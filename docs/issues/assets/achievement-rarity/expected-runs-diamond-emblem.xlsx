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 and Stats" sheetId="1" r:id="rId5"/>
    <sheet state="visible" name="Run Model" sheetId="2" r:id="rId6"/>
    <sheet state="visible" name="Sparkling Model" sheetId="3" r:id="rId7"/>
    <sheet state="visible" name="Critters Per Run" sheetId="4" r:id="rId8"/>
    <sheet state="visible" name="Runs Per Sparkling" sheetId="5" r:id="rId9"/>
    <sheet state="visible" name="CalculationsNotesTests" sheetId="6" r:id="rId10"/>
  </sheets>
  <definedNames/>
  <calcPr/>
</workbook>
</file>

<file path=xl/sharedStrings.xml><?xml version="1.0" encoding="utf-8"?>
<sst xmlns="http://schemas.openxmlformats.org/spreadsheetml/2006/main" count="165" uniqueCount="117">
  <si>
    <t>Critter</t>
  </si>
  <si>
    <t>Runs</t>
  </si>
  <si>
    <t>Spawns/Run</t>
  </si>
  <si>
    <t>Sparkling Chance/Run</t>
  </si>
  <si>
    <t>Expected Uniques</t>
  </si>
  <si>
    <t>No Sparkling Chance/Run</t>
  </si>
  <si>
    <t>Cavernfish</t>
  </si>
  <si>
    <t>Chance of 37/37</t>
  </si>
  <si>
    <t>Avg Critters per Run (Full Party)</t>
  </si>
  <si>
    <t>Avg Critters per Run (Lazy Party)</t>
  </si>
  <si>
    <t>Ranges (Full Party)</t>
  </si>
  <si>
    <t>Flitter</t>
  </si>
  <si>
    <t>*Critter Safari came out on August 4th</t>
  </si>
  <si>
    <t>CAVERN</t>
  </si>
  <si>
    <t>Shyworm</t>
  </si>
  <si>
    <t>Driftling</t>
  </si>
  <si>
    <t xml:space="preserve">August 11 Patch </t>
  </si>
  <si>
    <t>Chuckwalla</t>
  </si>
  <si>
    <t>Rockmite</t>
  </si>
  <si>
    <t>Scrappy</t>
  </si>
  <si>
    <t>Adjusted the spawn amounts of some Critter Safari mobs:</t>
  </si>
  <si>
    <t>Areita: 2-4 -&gt; 3-6</t>
  </si>
  <si>
    <t>Snoozle</t>
  </si>
  <si>
    <t>Billygoat: 1 -&gt; 2-4</t>
  </si>
  <si>
    <t>Gemzie</t>
  </si>
  <si>
    <t>Bloodbat: 2-4 -&gt; 3-6</t>
  </si>
  <si>
    <t>Foxtrot</t>
  </si>
  <si>
    <t>Tepid: 8-12 -&gt; 6-8</t>
  </si>
  <si>
    <t>Bluebird</t>
  </si>
  <si>
    <t>Honeybug</t>
  </si>
  <si>
    <t>Treefrog</t>
  </si>
  <si>
    <t>Woodchucker</t>
  </si>
  <si>
    <t>Fluffling</t>
  </si>
  <si>
    <t>Hideonfloor</t>
  </si>
  <si>
    <t>0-12**</t>
  </si>
  <si>
    <t>Gazer: 2 -&gt; 4</t>
  </si>
  <si>
    <t>Flitter: 3-6 -&gt; 6-8</t>
  </si>
  <si>
    <t>0-5</t>
  </si>
  <si>
    <t>Foxtrot: 3-6 -&gt; 6-8</t>
  </si>
  <si>
    <t>Parakeet</t>
  </si>
  <si>
    <t>Adjusted locations and amounts of some Floor Drops in the Critter Safari:</t>
  </si>
  <si>
    <t>FOREST</t>
  </si>
  <si>
    <t>Macaw</t>
  </si>
  <si>
    <t>Yogi Berry: 3-6 across all biomes -&gt; 3 guaranteed in Forest Biome</t>
  </si>
  <si>
    <t>Areita</t>
  </si>
  <si>
    <t>Wriggleworm: 3-6 across all biomes -&gt; 3 guaranteed in Forest Biome</t>
  </si>
  <si>
    <t>Bloodbat</t>
  </si>
  <si>
    <t>Duplico</t>
  </si>
  <si>
    <t>Gazer</t>
  </si>
  <si>
    <t>Litterbug</t>
  </si>
  <si>
    <t>Bag of Seeds: 3-6 across all biomes -&gt; 3 guaranteed in Forest Biome</t>
  </si>
  <si>
    <t>Solsnatcher</t>
  </si>
  <si>
    <t>** - Calculated in Calculations/Notes/Tests Tab</t>
  </si>
  <si>
    <t>Gimmiegold</t>
  </si>
  <si>
    <t>Hideonwall</t>
  </si>
  <si>
    <t>Hideyho</t>
  </si>
  <si>
    <t>Doomspiral</t>
  </si>
  <si>
    <t>Strongarm</t>
  </si>
  <si>
    <t>Tepid</t>
  </si>
  <si>
    <t>Polaris</t>
  </si>
  <si>
    <t>Shuddersquid</t>
  </si>
  <si>
    <t>Billygoat</t>
  </si>
  <si>
    <t>Mantis Shrimp</t>
  </si>
  <si>
    <t>Nozzlenose</t>
  </si>
  <si>
    <t>Troodon</t>
  </si>
  <si>
    <t>Wumpa</t>
  </si>
  <si>
    <t>0-16**</t>
  </si>
  <si>
    <t>HAUNTED</t>
  </si>
  <si>
    <t>3-10**</t>
  </si>
  <si>
    <t>ICY</t>
  </si>
  <si>
    <t>AVG TOTAL CRITTERS PER RUN</t>
  </si>
  <si>
    <t>RUNS PER SPARKLING CRITTER</t>
  </si>
  <si>
    <t>SPARKLE CHANCE</t>
  </si>
  <si>
    <t>Rockmite Trials (W/ 10 Tracking Perk)</t>
  </si>
  <si>
    <t>AVG Mounds/Run</t>
  </si>
  <si>
    <t>Run</t>
  </si>
  <si>
    <t># of Mounds</t>
  </si>
  <si>
    <t># of Rockmites</t>
  </si>
  <si>
    <t>AVG Rockmites/Run</t>
  </si>
  <si>
    <t>Link to photo</t>
  </si>
  <si>
    <t>Minimum Mounds/Run</t>
  </si>
  <si>
    <t>Maximum Mounds/Run</t>
  </si>
  <si>
    <t>Minimum Rockmites/Run</t>
  </si>
  <si>
    <t>Maximum Rockmites/Run</t>
  </si>
  <si>
    <t>Experimental Rockmite Chance/Mound</t>
  </si>
  <si>
    <r>
      <rPr>
        <b/>
        <color rgb="FF1155CC"/>
        <sz val="12.0"/>
        <u/>
      </rPr>
      <t>Theoretical</t>
    </r>
    <r>
      <rPr>
        <b/>
        <sz val="12.0"/>
      </rPr>
      <t xml:space="preserve"> Rockmite Chance/Mound</t>
    </r>
  </si>
  <si>
    <t>Assumed Mounds/Run</t>
  </si>
  <si>
    <t>Assumed Rockmites/Run</t>
  </si>
  <si>
    <t>Blubird Overall Chance</t>
  </si>
  <si>
    <t>Parakeet Overall Chance</t>
  </si>
  <si>
    <t>Macaw Overall Chance</t>
  </si>
  <si>
    <t>Weight</t>
  </si>
  <si>
    <t>Chance</t>
  </si>
  <si>
    <t>Weight w/ Tracking</t>
  </si>
  <si>
    <t>Weight Total for each Bird Food</t>
  </si>
  <si>
    <t>Total Runs Tracked</t>
  </si>
  <si>
    <t>Yogi Berry</t>
  </si>
  <si>
    <t>Wriggleworm</t>
  </si>
  <si>
    <t>Bag of Seeds</t>
  </si>
  <si>
    <t>Avg Chance</t>
  </si>
  <si>
    <t>*It is believed that the tracking on Macaws counts twice since there are 2 macaws that spawn</t>
  </si>
  <si>
    <t>List of random items to get at start of run</t>
  </si>
  <si>
    <t>Chance to get Bird food for each random item</t>
  </si>
  <si>
    <t>Purple Gem</t>
  </si>
  <si>
    <t>Lime Gem</t>
  </si>
  <si>
    <t>Orange Gem</t>
  </si>
  <si>
    <t>Average Bird food from random items each run in full party (Head Start + Extra Item from First Class Safari)</t>
  </si>
  <si>
    <t>Average Bird food per Run</t>
  </si>
  <si>
    <t>Soothing Incense</t>
  </si>
  <si>
    <t>Shining Coin</t>
  </si>
  <si>
    <t>Chance to get Shining Coin for each random item</t>
  </si>
  <si>
    <t>Icebreaker</t>
  </si>
  <si>
    <t>Expected Unique Sparkling Critters</t>
  </si>
  <si>
    <t>Safari Runs</t>
  </si>
  <si>
    <t>37/37 Probability</t>
  </si>
  <si>
    <t>Required Runs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</si>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</sst>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m-d"/>
    <numFmt numFmtId="166" formatCode="m/yyyy"/>
    <numFmt numFmtId="167" formatCode="0.0%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9.0"/>
      <color theme="1"/>
      <name val="Arial"/>
    </font>
    <font/>
    <font>
      <b/>
      <color theme="1"/>
      <name val="Arial"/>
    </font>
    <font>
      <b/>
      <sz val="15.0"/>
      <color theme="1"/>
      <name val="Arial"/>
    </font>
    <font>
      <b/>
      <sz val="20.0"/>
      <color theme="1"/>
      <name val="Arial"/>
      <scheme val="minor"/>
    </font>
    <font>
      <b/>
      <sz val="51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b/>
      <u/>
      <sz val="12.0"/>
      <color rgb="FF0000FF"/>
    </font>
    <font>
      <b/>
      <sz val="15.0"/>
      <color theme="1"/>
      <name val="Arial"/>
      <scheme val="minor"/>
    </font>
    <font>
      <b/>
      <sz val="53.0"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  <xf borderId="2" fillId="2" fontId="2" numFmtId="0" xfId="0" applyAlignment="1" applyBorder="1" applyFill="1" applyFont="1">
      <alignment horizontal="center" shrinkToFit="0" vertical="bottom" wrapText="1"/>
    </xf>
    <xf borderId="0" fillId="0" fontId="1" numFmtId="10" xfId="0" applyFont="1" applyNumberFormat="1"/>
    <xf borderId="2" fillId="2" fontId="2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2" fillId="0" fontId="2" numFmtId="0" xfId="0" applyAlignment="1" applyBorder="1" applyFont="1">
      <alignment horizontal="center" vertical="bottom"/>
    </xf>
    <xf borderId="2" fillId="4" fontId="6" numFmtId="0" xfId="0" applyAlignment="1" applyBorder="1" applyFill="1" applyFont="1">
      <alignment vertical="bottom"/>
    </xf>
    <xf borderId="0" fillId="0" fontId="1" numFmtId="164" xfId="0" applyFont="1" applyNumberFormat="1"/>
    <xf borderId="2" fillId="0" fontId="6" numFmtId="2" xfId="0" applyAlignment="1" applyBorder="1" applyFont="1" applyNumberFormat="1">
      <alignment horizontal="right" vertical="bottom"/>
    </xf>
    <xf borderId="2" fillId="0" fontId="6" numFmtId="165" xfId="0" applyAlignment="1" applyBorder="1" applyFont="1" applyNumberFormat="1">
      <alignment horizontal="right" readingOrder="0" vertical="bottom"/>
    </xf>
    <xf borderId="6" fillId="0" fontId="6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shrinkToFit="0" vertical="bottom" wrapText="1"/>
    </xf>
    <xf borderId="2" fillId="5" fontId="6" numFmtId="0" xfId="0" applyAlignment="1" applyBorder="1" applyFill="1" applyFont="1">
      <alignment vertical="bottom"/>
    </xf>
    <xf borderId="2" fillId="0" fontId="6" numFmtId="2" xfId="0" applyAlignment="1" applyBorder="1" applyFont="1" applyNumberFormat="1">
      <alignment horizontal="right" readingOrder="0" vertical="bottom"/>
    </xf>
    <xf borderId="2" fillId="6" fontId="6" numFmtId="0" xfId="0" applyAlignment="1" applyBorder="1" applyFill="1" applyFont="1">
      <alignment vertical="bottom"/>
    </xf>
    <xf borderId="2" fillId="0" fontId="6" numFmtId="164" xfId="0" applyAlignment="1" applyBorder="1" applyFont="1" applyNumberFormat="1">
      <alignment horizontal="right" vertical="bottom"/>
    </xf>
    <xf borderId="2" fillId="0" fontId="6" numFmtId="0" xfId="0" applyAlignment="1" applyBorder="1" applyFont="1">
      <alignment horizontal="right" readingOrder="0" vertical="bottom"/>
    </xf>
    <xf borderId="2" fillId="7" fontId="6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horizontal="center" vertical="bottom"/>
    </xf>
    <xf borderId="8" fillId="0" fontId="6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 vertical="bottom"/>
    </xf>
    <xf borderId="2" fillId="9" fontId="6" numFmtId="0" xfId="0" applyAlignment="1" applyBorder="1" applyFill="1" applyFont="1">
      <alignment vertical="bottom"/>
    </xf>
    <xf borderId="3" fillId="10" fontId="2" numFmtId="0" xfId="0" applyAlignment="1" applyBorder="1" applyFill="1" applyFont="1">
      <alignment horizontal="center" vertical="bottom"/>
    </xf>
    <xf borderId="3" fillId="11" fontId="2" numFmtId="0" xfId="0" applyAlignment="1" applyBorder="1" applyFill="1" applyFont="1">
      <alignment horizontal="center" vertical="bottom"/>
    </xf>
    <xf borderId="3" fillId="12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8" fillId="0" fontId="7" numFmtId="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" numFmtId="0" xfId="0" applyFont="1"/>
    <xf borderId="3" fillId="12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9" fillId="12" fontId="7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1" fillId="0" fontId="5" numFmtId="0" xfId="0" applyBorder="1" applyFont="1"/>
    <xf borderId="9" fillId="0" fontId="8" numFmtId="4" xfId="0" applyAlignment="1" applyBorder="1" applyFont="1" applyNumberForma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" fillId="0" fontId="5" numFmtId="0" xfId="0" applyBorder="1" applyFont="1"/>
    <xf borderId="9" fillId="0" fontId="9" numFmtId="2" xfId="0" applyAlignment="1" applyBorder="1" applyFont="1" applyNumberFormat="1">
      <alignment horizontal="center" vertical="center"/>
    </xf>
    <xf borderId="9" fillId="0" fontId="8" numFmtId="166" xfId="0" applyAlignment="1" applyBorder="1" applyFont="1" applyNumberFormat="1">
      <alignment horizontal="center" readingOrder="0" vertical="center"/>
    </xf>
    <xf borderId="9" fillId="0" fontId="10" numFmtId="0" xfId="0" applyAlignment="1" applyBorder="1" applyFont="1">
      <alignment horizontal="center" readingOrder="0"/>
    </xf>
    <xf borderId="11" fillId="0" fontId="10" numFmtId="0" xfId="0" applyBorder="1" applyFont="1"/>
    <xf borderId="2" fillId="0" fontId="10" numFmtId="0" xfId="0" applyAlignment="1" applyBorder="1" applyFont="1">
      <alignment readingOrder="0"/>
    </xf>
    <xf borderId="2" fillId="0" fontId="10" numFmtId="164" xfId="0" applyBorder="1" applyFont="1" applyNumberFormat="1"/>
    <xf borderId="8" fillId="0" fontId="10" numFmtId="0" xfId="0" applyAlignment="1" applyBorder="1" applyFont="1">
      <alignment readingOrder="0"/>
    </xf>
    <xf borderId="14" fillId="0" fontId="10" numFmtId="0" xfId="0" applyAlignment="1" applyBorder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2" fillId="0" fontId="10" numFmtId="0" xfId="0" applyBorder="1" applyFont="1"/>
    <xf borderId="2" fillId="0" fontId="10" numFmtId="10" xfId="0" applyBorder="1" applyFont="1" applyNumberFormat="1"/>
    <xf borderId="2" fillId="0" fontId="12" numFmtId="0" xfId="0" applyAlignment="1" applyBorder="1" applyFont="1">
      <alignment readingOrder="0"/>
    </xf>
    <xf borderId="2" fillId="0" fontId="10" numFmtId="10" xfId="0" applyAlignment="1" applyBorder="1" applyFont="1" applyNumberFormat="1">
      <alignment readingOrder="0"/>
    </xf>
    <xf borderId="2" fillId="0" fontId="10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9" fillId="0" fontId="13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13" fillId="0" fontId="1" numFmtId="10" xfId="0" applyBorder="1" applyFont="1" applyNumberFormat="1"/>
    <xf borderId="12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9" fillId="0" fontId="14" numFmtId="0" xfId="0" applyAlignment="1" applyBorder="1" applyFont="1">
      <alignment horizontal="center"/>
    </xf>
    <xf borderId="8" fillId="0" fontId="1" numFmtId="0" xfId="0" applyAlignment="1" applyBorder="1" applyFont="1">
      <alignment readingOrder="0"/>
    </xf>
    <xf borderId="15" fillId="0" fontId="1" numFmtId="10" xfId="0" applyBorder="1" applyFont="1" applyNumberFormat="1"/>
    <xf borderId="3" fillId="0" fontId="1" numFmtId="0" xfId="0" applyBorder="1" applyFont="1"/>
    <xf borderId="5" fillId="0" fontId="1" numFmtId="10" xfId="0" applyBorder="1" applyFont="1" applyNumberFormat="1"/>
    <xf borderId="4" fillId="0" fontId="1" numFmtId="0" xfId="0" applyBorder="1" applyFont="1"/>
    <xf borderId="1" fillId="0" fontId="1" numFmtId="0" xfId="0" applyBorder="1" applyFont="1"/>
    <xf borderId="0" fillId="0" fontId="1" numFmtId="4" xfId="0" applyFont="1" applyNumberFormat="1"/>
    <xf borderId="2" fillId="13" fontId="10" numFmtId="0" xfId="0" applyAlignment="1" applyBorder="1" applyFill="1" applyFont="1">
      <alignment readingOrder="0" shrinkToFit="0" wrapText="1"/>
    </xf>
    <xf borderId="2" fillId="13" fontId="10" numFmtId="0" xfId="0" applyAlignment="1" applyBorder="1" applyFill="1" applyFont="1">
      <alignment readingOrder="0"/>
    </xf>
    <xf borderId="2" fillId="0" fontId="15" numFmtId="0" xfId="0" applyAlignment="1" applyBorder="1" applyFont="1">
      <alignment readingOrder="0"/>
    </xf>
    <xf borderId="2" fillId="0" fontId="15" numFmtId="3" xfId="0" applyBorder="1" applyFont="1" applyNumberFormat="1"/>
    <xf borderId="2" fillId="0" fontId="16" numFmtId="9" xfId="0" applyAlignment="1" applyBorder="1" applyFont="1" applyNumberFormat="1">
      <alignment readingOrder="0"/>
    </xf>
    <xf borderId="2" fillId="0" fontId="16" numFmtId="3" xfId="0" applyBorder="1" applyFont="1" applyNumberFormat="1"/>
    <xf borderId="2" fillId="0" fontId="16" numFmtId="167" xfId="0" applyAlignment="1" applyBorder="1" applyFont="1" applyNumberFormat="1">
      <alignment readingOrder="0"/>
    </xf>
    <xf borderId="2" fillId="0" fontId="15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Expected Uniques vs. Safari Runs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'Run Model'!$B$1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'Run Model'!$A$2:$A$20002</c:f>
            </c:strRef>
          </c:cat>
          <c:val>
            <c:numRef>
              <c:f>'Run Model'!$B$2:$B$20002</c:f>
              <c:numCache/>
            </c:numRef>
          </c:val>
          <c:smooth val="1"/>
        </c:ser>
        <c:axId val="1541329938"/>
        <c:axId val="760725424"/>
      </c:lineChart>
      <c:catAx>
        <c:axId val="1541329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725424"/>
      </c:catAx>
      <c:valAx>
        <c:axId val="760725424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329938"/>
      </c:valAx>
    </c:plotArea>
    <c:plotVisOnly val="1"/>
  </c:chart>
  <c:spPr>
    <a:solidFill>
      <a:srgbClr val="C9DAF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0</xdr:rowOff>
    </xdr:from>
    <xdr:ext cx="6438900" cy="3990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0</xdr:row>
      <xdr:rowOff>0</xdr:rowOff>
    </xdr:from>
    <xdr:ext cx="8782050" cy="2800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6315075" cy="27336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hypixelskyblock.minecraft.wiki/w/Critter_Safari" TargetMode="External"/><Relationship Id="rId2" Type="http://schemas.openxmlformats.org/officeDocument/2006/relationships/hyperlink" Target="https://hypixelskyblock.minecraft.wiki/w/Rockmite" TargetMode="External"/><Relationship Id="rId3" Type="http://schemas.openxmlformats.org/officeDocument/2006/relationships/hyperlink" Target="https://hypixelskyblock.minecraft.wiki/w/Floor_Drops/Safari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3.0"/>
    <col customWidth="1" min="3" max="3" width="11.25"/>
    <col customWidth="1" min="5" max="5" width="15.75"/>
    <col customWidth="1" min="7" max="7" width="13.13"/>
    <col customWidth="1" min="8" max="8" width="17.88"/>
    <col customWidth="1" min="9" max="9" width="15.5"/>
    <col customWidth="1" min="10" max="10" width="3.0"/>
  </cols>
  <sheetData>
    <row r="2">
      <c r="H2" s="82" t="s">
        <v>112</v>
      </c>
      <c r="I2" s="83" t="s">
        <v>113</v>
      </c>
      <c r="K2" s="82" t="s">
        <v>114</v>
      </c>
      <c r="L2" s="82" t="s">
        <v>115</v>
      </c>
    </row>
    <row r="3">
      <c r="H3" s="84">
        <v>20.0</v>
      </c>
      <c r="I3" s="85">
        <f t="array" ref="I3">INDEX('Run Model'!A$2:A$20002,MATCH(TRUE,'Run Model'!B$2:B$20002&gt;=H3,0))</f>
        <v>441</v>
      </c>
      <c r="K3" s="86">
        <v>0.5</v>
      </c>
      <c r="L3" s="87">
        <f t="array" ref="L3">INDEX('Run Model'!A2:A20002,MATCH(TRUE,'Run Model'!C2:C20002&gt;=50%,0))</f>
        <v>3839</v>
      </c>
    </row>
    <row r="4">
      <c r="H4" s="84">
        <v>21.0</v>
      </c>
      <c r="I4" s="85">
        <f t="array" ref="I4">INDEX('Run Model'!A$2:A$20002,MATCH(TRUE,'Run Model'!B$2:B$20002&gt;=H4,0))</f>
        <v>478</v>
      </c>
      <c r="K4" s="86">
        <v>0.75</v>
      </c>
      <c r="L4" s="87">
        <f t="array" ref="L4">INDEX('Run Model'!A3:A20003,MATCH(TRUE,'Run Model'!C3:C20003&gt;=75%,0))</f>
        <v>5304</v>
      </c>
    </row>
    <row r="5">
      <c r="H5" s="84">
        <v>22.0</v>
      </c>
      <c r="I5" s="85">
        <f t="array" ref="I5">INDEX('Run Model'!A$2:A$20002,MATCH(TRUE,'Run Model'!B$2:B$20002&gt;=H5,0))</f>
        <v>519</v>
      </c>
      <c r="K5" s="86">
        <v>0.9</v>
      </c>
      <c r="L5" s="87">
        <f t="array" ref="L5">INDEX('Run Model'!A4:A20004,MATCH(TRUE,'Run Model'!C4:C20004&gt;=90%,0))</f>
        <v>7164</v>
      </c>
    </row>
    <row r="6">
      <c r="H6" s="84">
        <v>23.0</v>
      </c>
      <c r="I6" s="85">
        <f t="array" ref="I6">INDEX('Run Model'!A$2:A$20002,MATCH(TRUE,'Run Model'!B$2:B$20002&gt;=H6,0))</f>
        <v>563</v>
      </c>
      <c r="K6" s="86">
        <v>0.95</v>
      </c>
      <c r="L6" s="87">
        <f t="array" ref="L6">INDEX('Run Model'!A5:A20005,MATCH(TRUE,'Run Model'!C5:C20005&gt;=95%,0))</f>
        <v>8559</v>
      </c>
    </row>
    <row r="7">
      <c r="H7" s="84">
        <v>24.0</v>
      </c>
      <c r="I7" s="85">
        <f t="array" ref="I7">INDEX('Run Model'!A$2:A$20002,MATCH(TRUE,'Run Model'!B$2:B$20002&gt;=H7,0))</f>
        <v>612</v>
      </c>
      <c r="K7" s="86">
        <v>0.99</v>
      </c>
      <c r="L7" s="87">
        <f t="array" ref="L7">INDEX('Run Model'!A6:A20006,MATCH(TRUE,'Run Model'!C6:C20006&gt;=99%,0))</f>
        <v>11798</v>
      </c>
    </row>
    <row r="8">
      <c r="H8" s="84">
        <v>25.0</v>
      </c>
      <c r="I8" s="85">
        <f t="array" ref="I8">INDEX('Run Model'!A$2:A$20002,MATCH(TRUE,'Run Model'!B$2:B$20002&gt;=H8,0))</f>
        <v>665</v>
      </c>
      <c r="K8" s="88">
        <v>0.999</v>
      </c>
      <c r="L8" s="87">
        <f t="array" ref="L8">INDEX('Run Model'!A7:A20007,MATCH(TRUE,'Run Model'!C7:C20007&gt;=99.9%,0))</f>
        <v>16457</v>
      </c>
    </row>
    <row r="9">
      <c r="H9" s="84">
        <v>26.0</v>
      </c>
      <c r="I9" s="85">
        <f t="array" ref="I9">INDEX('Run Model'!A$2:A$20002,MATCH(TRUE,'Run Model'!B$2:B$20002&gt;=H9,0))</f>
        <v>724</v>
      </c>
    </row>
    <row r="10">
      <c r="H10" s="84">
        <v>27.0</v>
      </c>
      <c r="I10" s="85">
        <f t="array" ref="I10">INDEX('Run Model'!A$2:A$20002,MATCH(TRUE,'Run Model'!B$2:B$20002&gt;=H10,0))</f>
        <v>791</v>
      </c>
    </row>
    <row r="11">
      <c r="H11" s="84">
        <v>28.0</v>
      </c>
      <c r="I11" s="85">
        <f t="array" ref="I11">INDEX('Run Model'!A$2:A$20002,MATCH(TRUE,'Run Model'!B$2:B$20002&gt;=H11,0))</f>
        <v>866</v>
      </c>
    </row>
    <row r="12">
      <c r="H12" s="84">
        <v>29.0</v>
      </c>
      <c r="I12" s="85">
        <f t="array" ref="I12">INDEX('Run Model'!A$2:A$20002,MATCH(TRUE,'Run Model'!B$2:B$20002&gt;=H12,0))</f>
        <v>953</v>
      </c>
    </row>
    <row r="13">
      <c r="H13" s="84">
        <v>30.0</v>
      </c>
      <c r="I13" s="85">
        <f t="array" ref="I13">INDEX('Run Model'!A$2:A$20002,MATCH(TRUE,'Run Model'!B$2:B$20002&gt;=H13,0))</f>
        <v>1056</v>
      </c>
    </row>
    <row r="14">
      <c r="H14" s="84">
        <v>31.0</v>
      </c>
      <c r="I14" s="85">
        <f t="array" ref="I14">INDEX('Run Model'!A$2:A$20002,MATCH(TRUE,'Run Model'!B$2:B$20002&gt;=H14,0))</f>
        <v>1179</v>
      </c>
    </row>
    <row r="15">
      <c r="H15" s="84">
        <v>32.0</v>
      </c>
      <c r="I15" s="85">
        <f t="array" ref="I15">INDEX('Run Model'!A$2:A$20002,MATCH(TRUE,'Run Model'!B$2:B$20002&gt;=H15,0))</f>
        <v>1333</v>
      </c>
    </row>
    <row r="16">
      <c r="H16" s="84">
        <v>33.0</v>
      </c>
      <c r="I16" s="85">
        <f t="array" ref="I16">INDEX('Run Model'!A$2:A$20002,MATCH(TRUE,'Run Model'!B$2:B$20002&gt;=H16,0))</f>
        <v>1534</v>
      </c>
    </row>
    <row r="17">
      <c r="H17" s="84">
        <v>34.0</v>
      </c>
      <c r="I17" s="85">
        <f t="array" ref="I17">INDEX('Run Model'!A$2:A$20002,MATCH(TRUE,'Run Model'!B$2:B$20002&gt;=H17,0))</f>
        <v>1816</v>
      </c>
    </row>
    <row r="18">
      <c r="H18" s="84">
        <v>35.0</v>
      </c>
      <c r="I18" s="85">
        <f t="array" ref="I18">INDEX('Run Model'!A$2:A$20002,MATCH(TRUE,'Run Model'!B$2:B$20002&gt;=H18,0))</f>
        <v>2263</v>
      </c>
    </row>
    <row r="19">
      <c r="H19" s="84">
        <v>36.0</v>
      </c>
      <c r="I19" s="85">
        <f t="array" ref="I19">INDEX('Run Model'!A$2:A$20002,MATCH(TRUE,'Run Model'!B$2:B$20002&gt;=H19,0))</f>
        <v>3175</v>
      </c>
    </row>
    <row r="20">
      <c r="H20" s="84">
        <v>37.0</v>
      </c>
      <c r="I20" s="85">
        <f t="array" ref="I20">SUM(1-'Run Model'!C$2:C$20002)</f>
        <v>4365.831527</v>
      </c>
    </row>
    <row r="21">
      <c r="H21" s="82" t="s">
        <v>116</v>
      </c>
      <c r="I21" s="89">
        <f t="array" ref="I21">SQRT(
  SUM((2*'Run Model'!A$2:A$20002+1)*
    (1-'Run Model'!C$2:C$20002))
  -
  SUM(1-'Run Model'!C$2:C$20002)^2
)</f>
        <v>2152.067617</v>
      </c>
    </row>
  </sheetData>
  <printOptions horizontalCentered="1"/>
  <pageMargins bottom="0.027160493827160494" footer="0.0" header="0.0" left="0.0" right="0.1435228331780056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75"/>
  </cols>
  <sheetData>
    <row r="1">
      <c r="A1" s="2" t="s">
        <v>1</v>
      </c>
      <c r="B1" s="3" t="s">
        <v>4</v>
      </c>
      <c r="C1" s="2" t="s">
        <v>7</v>
      </c>
    </row>
    <row r="2">
      <c r="A2" s="6">
        <f t="array" ref="A2:A20002">SEQUENCE(20001,1,0,1)</f>
        <v>0</v>
      </c>
      <c r="B2" s="17">
        <f t="array" ref="B2">SUM(1-'Sparkling Model'!D$2:D$38^A2)</f>
        <v>0</v>
      </c>
      <c r="C2" s="8">
        <f t="array" ref="C2">PRODUCT(1-'Sparkling Model'!D$2:D$38^A2)</f>
        <v>0</v>
      </c>
    </row>
    <row r="3">
      <c r="A3" s="6">
        <v>1.0</v>
      </c>
      <c r="B3" s="17">
        <f t="array" ref="B3">SUM(1-'Sparkling Model'!D$2:D$38^A3)</f>
        <v>0.07073481587</v>
      </c>
      <c r="C3" s="8">
        <f t="array" ref="C3">PRODUCT(1-'Sparkling Model'!D$2:D$38^A3)</f>
        <v>0</v>
      </c>
    </row>
    <row r="4">
      <c r="A4" s="6">
        <v>2.0</v>
      </c>
      <c r="B4" s="17">
        <f t="array" ref="B4">SUM(1-'Sparkling Model'!D$2:D$38^A4)</f>
        <v>0.1413091183</v>
      </c>
      <c r="C4" s="8">
        <f t="array" ref="C4">PRODUCT(1-'Sparkling Model'!D$2:D$38^A4)</f>
        <v>0</v>
      </c>
    </row>
    <row r="5">
      <c r="A5" s="6">
        <v>3.0</v>
      </c>
      <c r="B5" s="17">
        <f t="array" ref="B5">SUM(1-'Sparkling Model'!D$2:D$38^A5)</f>
        <v>0.211723313</v>
      </c>
      <c r="C5" s="8">
        <f t="array" ref="C5">PRODUCT(1-'Sparkling Model'!D$2:D$38^A5)</f>
        <v>0</v>
      </c>
    </row>
    <row r="6">
      <c r="A6" s="6">
        <v>4.0</v>
      </c>
      <c r="B6" s="17">
        <f t="array" ref="B6">SUM(1-'Sparkling Model'!D$2:D$38^A6)</f>
        <v>0.2819778048</v>
      </c>
      <c r="C6" s="8">
        <f t="array" ref="C6">PRODUCT(1-'Sparkling Model'!D$2:D$38^A6)</f>
        <v>0</v>
      </c>
    </row>
    <row r="7">
      <c r="A7" s="6">
        <v>5.0</v>
      </c>
      <c r="B7" s="17">
        <f t="array" ref="B7">SUM(1-'Sparkling Model'!D$2:D$38^A7)</f>
        <v>0.3520729972</v>
      </c>
      <c r="C7" s="8">
        <f t="array" ref="C7">PRODUCT(1-'Sparkling Model'!D$2:D$38^A7)</f>
        <v>0</v>
      </c>
    </row>
    <row r="8">
      <c r="A8" s="6">
        <v>6.0</v>
      </c>
      <c r="B8" s="17">
        <f t="array" ref="B8">SUM(1-'Sparkling Model'!D$2:D$38^A8)</f>
        <v>0.4220092926</v>
      </c>
      <c r="C8" s="8">
        <f t="array" ref="C8">PRODUCT(1-'Sparkling Model'!D$2:D$38^A8)</f>
        <v>0</v>
      </c>
    </row>
    <row r="9">
      <c r="A9" s="6">
        <v>7.0</v>
      </c>
      <c r="B9" s="17">
        <f t="array" ref="B9">SUM(1-'Sparkling Model'!D$2:D$38^A9)</f>
        <v>0.4917870926</v>
      </c>
      <c r="C9" s="8">
        <f t="array" ref="C9">PRODUCT(1-'Sparkling Model'!D$2:D$38^A9)</f>
        <v>0</v>
      </c>
    </row>
    <row r="10">
      <c r="A10" s="6">
        <v>8.0</v>
      </c>
      <c r="B10" s="17">
        <f t="array" ref="B10">SUM(1-'Sparkling Model'!D$2:D$38^A10)</f>
        <v>0.5614067973</v>
      </c>
      <c r="C10" s="8">
        <f t="array" ref="C10">PRODUCT(1-'Sparkling Model'!D$2:D$38^A10)</f>
        <v>0</v>
      </c>
    </row>
    <row r="11">
      <c r="A11" s="6">
        <v>9.0</v>
      </c>
      <c r="B11" s="17">
        <f t="array" ref="B11">SUM(1-'Sparkling Model'!D$2:D$38^A11)</f>
        <v>0.630868806</v>
      </c>
      <c r="C11" s="8">
        <f t="array" ref="C11">PRODUCT(1-'Sparkling Model'!D$2:D$38^A11)</f>
        <v>0</v>
      </c>
    </row>
    <row r="12">
      <c r="A12" s="6">
        <v>10.0</v>
      </c>
      <c r="B12" s="17">
        <f t="array" ref="B12">SUM(1-'Sparkling Model'!D$2:D$38^A12)</f>
        <v>0.7001735169</v>
      </c>
      <c r="C12" s="8">
        <f t="array" ref="C12">PRODUCT(1-'Sparkling Model'!D$2:D$38^A12)</f>
        <v>0</v>
      </c>
    </row>
    <row r="13">
      <c r="A13" s="6">
        <v>11.0</v>
      </c>
      <c r="B13" s="17">
        <f t="array" ref="B13">SUM(1-'Sparkling Model'!D$2:D$38^A13)</f>
        <v>0.7693213269</v>
      </c>
      <c r="C13" s="8">
        <f t="array" ref="C13">PRODUCT(1-'Sparkling Model'!D$2:D$38^A13)</f>
        <v>0</v>
      </c>
    </row>
    <row r="14">
      <c r="A14" s="6">
        <v>12.0</v>
      </c>
      <c r="B14" s="17">
        <f t="array" ref="B14">SUM(1-'Sparkling Model'!D$2:D$38^A14)</f>
        <v>0.8383126321</v>
      </c>
      <c r="C14" s="8">
        <f t="array" ref="C14">PRODUCT(1-'Sparkling Model'!D$2:D$38^A14)</f>
        <v>0</v>
      </c>
    </row>
    <row r="15">
      <c r="A15" s="6">
        <v>13.0</v>
      </c>
      <c r="B15" s="17">
        <f t="array" ref="B15">SUM(1-'Sparkling Model'!D$2:D$38^A15)</f>
        <v>0.9071478273</v>
      </c>
      <c r="C15" s="8">
        <f t="array" ref="C15">PRODUCT(1-'Sparkling Model'!D$2:D$38^A15)</f>
        <v>0</v>
      </c>
    </row>
    <row r="16">
      <c r="A16" s="6">
        <v>14.0</v>
      </c>
      <c r="B16" s="17">
        <f t="array" ref="B16">SUM(1-'Sparkling Model'!D$2:D$38^A16)</f>
        <v>0.9758273063</v>
      </c>
      <c r="C16" s="8">
        <f t="array" ref="C16">PRODUCT(1-'Sparkling Model'!D$2:D$38^A16)</f>
        <v>0</v>
      </c>
    </row>
    <row r="17">
      <c r="A17" s="6">
        <v>15.0</v>
      </c>
      <c r="B17" s="17">
        <f t="array" ref="B17">SUM(1-'Sparkling Model'!D$2:D$38^A17)</f>
        <v>1.044351462</v>
      </c>
      <c r="C17" s="8">
        <f t="array" ref="C17">PRODUCT(1-'Sparkling Model'!D$2:D$38^A17)</f>
        <v>0</v>
      </c>
    </row>
    <row r="18">
      <c r="A18" s="6">
        <v>16.0</v>
      </c>
      <c r="B18" s="17">
        <f t="array" ref="B18">SUM(1-'Sparkling Model'!D$2:D$38^A18)</f>
        <v>1.112720686</v>
      </c>
      <c r="C18" s="8">
        <f t="array" ref="C18">PRODUCT(1-'Sparkling Model'!D$2:D$38^A18)</f>
        <v>0</v>
      </c>
    </row>
    <row r="19">
      <c r="A19" s="6">
        <v>17.0</v>
      </c>
      <c r="B19" s="17">
        <f t="array" ref="B19">SUM(1-'Sparkling Model'!D$2:D$38^A19)</f>
        <v>1.180935368</v>
      </c>
      <c r="C19" s="8">
        <f t="array" ref="C19">PRODUCT(1-'Sparkling Model'!D$2:D$38^A19)</f>
        <v>0</v>
      </c>
    </row>
    <row r="20">
      <c r="A20" s="6">
        <v>18.0</v>
      </c>
      <c r="B20" s="17">
        <f t="array" ref="B20">SUM(1-'Sparkling Model'!D$2:D$38^A20)</f>
        <v>1.2489959</v>
      </c>
      <c r="C20" s="8">
        <f t="array" ref="C20">PRODUCT(1-'Sparkling Model'!D$2:D$38^A20)</f>
        <v>0</v>
      </c>
    </row>
    <row r="21">
      <c r="A21" s="6">
        <v>19.0</v>
      </c>
      <c r="B21" s="17">
        <f t="array" ref="B21">SUM(1-'Sparkling Model'!D$2:D$38^A21)</f>
        <v>1.316902668</v>
      </c>
      <c r="C21" s="8">
        <f t="array" ref="C21">PRODUCT(1-'Sparkling Model'!D$2:D$38^A21)</f>
        <v>0</v>
      </c>
    </row>
    <row r="22">
      <c r="A22" s="6">
        <v>20.0</v>
      </c>
      <c r="B22" s="17">
        <f t="array" ref="B22">SUM(1-'Sparkling Model'!D$2:D$38^A22)</f>
        <v>1.38465606</v>
      </c>
      <c r="C22" s="8">
        <f t="array" ref="C22">PRODUCT(1-'Sparkling Model'!D$2:D$38^A22)</f>
        <v>0</v>
      </c>
    </row>
    <row r="23">
      <c r="A23" s="6">
        <v>21.0</v>
      </c>
      <c r="B23" s="17">
        <f t="array" ref="B23">SUM(1-'Sparkling Model'!D$2:D$38^A23)</f>
        <v>1.452256463</v>
      </c>
      <c r="C23" s="8">
        <f t="array" ref="C23">PRODUCT(1-'Sparkling Model'!D$2:D$38^A23)</f>
        <v>0</v>
      </c>
    </row>
    <row r="24">
      <c r="A24" s="6">
        <v>22.0</v>
      </c>
      <c r="B24" s="17">
        <f t="array" ref="B24">SUM(1-'Sparkling Model'!D$2:D$38^A24)</f>
        <v>1.519704263</v>
      </c>
      <c r="C24" s="8">
        <f t="array" ref="C24">PRODUCT(1-'Sparkling Model'!D$2:D$38^A24)</f>
        <v>0</v>
      </c>
    </row>
    <row r="25">
      <c r="A25" s="6">
        <v>23.0</v>
      </c>
      <c r="B25" s="17">
        <f t="array" ref="B25">SUM(1-'Sparkling Model'!D$2:D$38^A25)</f>
        <v>1.586999842</v>
      </c>
      <c r="C25" s="8">
        <f t="array" ref="C25">PRODUCT(1-'Sparkling Model'!D$2:D$38^A25)</f>
        <v>0</v>
      </c>
    </row>
    <row r="26">
      <c r="A26" s="6">
        <v>24.0</v>
      </c>
      <c r="B26" s="17">
        <f t="array" ref="B26">SUM(1-'Sparkling Model'!D$2:D$38^A26)</f>
        <v>1.654143586</v>
      </c>
      <c r="C26" s="8">
        <f t="array" ref="C26">PRODUCT(1-'Sparkling Model'!D$2:D$38^A26)</f>
        <v>0</v>
      </c>
    </row>
    <row r="27">
      <c r="A27" s="6">
        <v>25.0</v>
      </c>
      <c r="B27" s="17">
        <f t="array" ref="B27">SUM(1-'Sparkling Model'!D$2:D$38^A27)</f>
        <v>1.721135875</v>
      </c>
      <c r="C27" s="8">
        <f t="array" ref="C27">PRODUCT(1-'Sparkling Model'!D$2:D$38^A27)</f>
        <v>0</v>
      </c>
    </row>
    <row r="28">
      <c r="A28" s="6">
        <v>26.0</v>
      </c>
      <c r="B28" s="17">
        <f t="array" ref="B28">SUM(1-'Sparkling Model'!D$2:D$38^A28)</f>
        <v>1.787977091</v>
      </c>
      <c r="C28" s="8">
        <f t="array" ref="C28">PRODUCT(1-'Sparkling Model'!D$2:D$38^A28)</f>
        <v>0</v>
      </c>
    </row>
    <row r="29">
      <c r="A29" s="6">
        <v>27.0</v>
      </c>
      <c r="B29" s="17">
        <f t="array" ref="B29">SUM(1-'Sparkling Model'!D$2:D$38^A29)</f>
        <v>1.854667614</v>
      </c>
      <c r="C29" s="8">
        <f t="array" ref="C29">PRODUCT(1-'Sparkling Model'!D$2:D$38^A29)</f>
        <v>0</v>
      </c>
    </row>
    <row r="30">
      <c r="A30" s="6">
        <v>28.0</v>
      </c>
      <c r="B30" s="17">
        <f t="array" ref="B30">SUM(1-'Sparkling Model'!D$2:D$38^A30)</f>
        <v>1.921207824</v>
      </c>
      <c r="C30" s="8">
        <f t="array" ref="C30">PRODUCT(1-'Sparkling Model'!D$2:D$38^A30)</f>
        <v>0</v>
      </c>
    </row>
    <row r="31">
      <c r="A31" s="6">
        <v>29.0</v>
      </c>
      <c r="B31" s="17">
        <f t="array" ref="B31">SUM(1-'Sparkling Model'!D$2:D$38^A31)</f>
        <v>1.987598098</v>
      </c>
      <c r="C31" s="8">
        <f t="array" ref="C31">PRODUCT(1-'Sparkling Model'!D$2:D$38^A31)</f>
        <v>0</v>
      </c>
    </row>
    <row r="32">
      <c r="A32" s="6">
        <v>30.0</v>
      </c>
      <c r="B32" s="17">
        <f t="array" ref="B32">SUM(1-'Sparkling Model'!D$2:D$38^A32)</f>
        <v>2.053838813</v>
      </c>
      <c r="C32" s="8">
        <f t="array" ref="C32">PRODUCT(1-'Sparkling Model'!D$2:D$38^A32)</f>
        <v>0</v>
      </c>
    </row>
    <row r="33">
      <c r="A33" s="6">
        <v>31.0</v>
      </c>
      <c r="B33" s="17">
        <f t="array" ref="B33">SUM(1-'Sparkling Model'!D$2:D$38^A33)</f>
        <v>2.119930346</v>
      </c>
      <c r="C33" s="8">
        <f t="array" ref="C33">PRODUCT(1-'Sparkling Model'!D$2:D$38^A33)</f>
        <v>0</v>
      </c>
    </row>
    <row r="34">
      <c r="A34" s="6">
        <v>32.0</v>
      </c>
      <c r="B34" s="17">
        <f t="array" ref="B34">SUM(1-'Sparkling Model'!D$2:D$38^A34)</f>
        <v>2.185873071</v>
      </c>
      <c r="C34" s="8">
        <f t="array" ref="C34">PRODUCT(1-'Sparkling Model'!D$2:D$38^A34)</f>
        <v>0</v>
      </c>
    </row>
    <row r="35">
      <c r="A35" s="6">
        <v>33.0</v>
      </c>
      <c r="B35" s="17">
        <f t="array" ref="B35">SUM(1-'Sparkling Model'!D$2:D$38^A35)</f>
        <v>2.251667363</v>
      </c>
      <c r="C35" s="8">
        <f t="array" ref="C35">PRODUCT(1-'Sparkling Model'!D$2:D$38^A35)</f>
        <v>0</v>
      </c>
    </row>
    <row r="36">
      <c r="A36" s="6">
        <v>34.0</v>
      </c>
      <c r="B36" s="17">
        <f t="array" ref="B36">SUM(1-'Sparkling Model'!D$2:D$38^A36)</f>
        <v>2.317313594</v>
      </c>
      <c r="C36" s="8">
        <f t="array" ref="C36">PRODUCT(1-'Sparkling Model'!D$2:D$38^A36)</f>
        <v>0</v>
      </c>
    </row>
    <row r="37">
      <c r="A37" s="6">
        <v>35.0</v>
      </c>
      <c r="B37" s="17">
        <f t="array" ref="B37">SUM(1-'Sparkling Model'!D$2:D$38^A37)</f>
        <v>2.382812137</v>
      </c>
      <c r="C37" s="8">
        <f t="array" ref="C37">PRODUCT(1-'Sparkling Model'!D$2:D$38^A37)</f>
        <v>0</v>
      </c>
    </row>
    <row r="38">
      <c r="A38" s="6">
        <v>36.0</v>
      </c>
      <c r="B38" s="17">
        <f t="array" ref="B38">SUM(1-'Sparkling Model'!D$2:D$38^A38)</f>
        <v>2.448163362</v>
      </c>
      <c r="C38" s="8">
        <f t="array" ref="C38">PRODUCT(1-'Sparkling Model'!D$2:D$38^A38)</f>
        <v>0</v>
      </c>
    </row>
    <row r="39">
      <c r="A39" s="6">
        <v>37.0</v>
      </c>
      <c r="B39" s="17">
        <f t="array" ref="B39">SUM(1-'Sparkling Model'!D$2:D$38^A39)</f>
        <v>2.51336764</v>
      </c>
      <c r="C39" s="8">
        <f t="array" ref="C39">PRODUCT(1-'Sparkling Model'!D$2:D$38^A39)</f>
        <v>0</v>
      </c>
    </row>
    <row r="40">
      <c r="A40" s="6">
        <v>38.0</v>
      </c>
      <c r="B40" s="17">
        <f t="array" ref="B40">SUM(1-'Sparkling Model'!D$2:D$38^A40)</f>
        <v>2.578425338</v>
      </c>
      <c r="C40" s="8">
        <f t="array" ref="C40">PRODUCT(1-'Sparkling Model'!D$2:D$38^A40)</f>
        <v>0</v>
      </c>
    </row>
    <row r="41">
      <c r="A41" s="6">
        <v>39.0</v>
      </c>
      <c r="B41" s="17">
        <f t="array" ref="B41">SUM(1-'Sparkling Model'!D$2:D$38^A41)</f>
        <v>2.643336826</v>
      </c>
      <c r="C41" s="8">
        <f t="array" ref="C41">PRODUCT(1-'Sparkling Model'!D$2:D$38^A41)</f>
        <v>0</v>
      </c>
    </row>
    <row r="42">
      <c r="A42" s="6">
        <v>40.0</v>
      </c>
      <c r="B42" s="17">
        <f t="array" ref="B42">SUM(1-'Sparkling Model'!D$2:D$38^A42)</f>
        <v>2.708102471</v>
      </c>
      <c r="C42" s="8">
        <f t="array" ref="C42">PRODUCT(1-'Sparkling Model'!D$2:D$38^A42)</f>
        <v>0</v>
      </c>
    </row>
    <row r="43">
      <c r="A43" s="6">
        <v>41.0</v>
      </c>
      <c r="B43" s="17">
        <f t="array" ref="B43">SUM(1-'Sparkling Model'!D$2:D$38^A43)</f>
        <v>2.772722637</v>
      </c>
      <c r="C43" s="8">
        <f t="array" ref="C43">PRODUCT(1-'Sparkling Model'!D$2:D$38^A43)</f>
        <v>0</v>
      </c>
    </row>
    <row r="44">
      <c r="A44" s="6">
        <v>42.0</v>
      </c>
      <c r="B44" s="17">
        <f t="array" ref="B44">SUM(1-'Sparkling Model'!D$2:D$38^A44)</f>
        <v>2.837197691</v>
      </c>
      <c r="C44" s="8">
        <f t="array" ref="C44">PRODUCT(1-'Sparkling Model'!D$2:D$38^A44)</f>
        <v>0</v>
      </c>
    </row>
    <row r="45">
      <c r="A45" s="6">
        <v>43.0</v>
      </c>
      <c r="B45" s="17">
        <f t="array" ref="B45">SUM(1-'Sparkling Model'!D$2:D$38^A45)</f>
        <v>2.901527996</v>
      </c>
      <c r="C45" s="8">
        <f t="array" ref="C45">PRODUCT(1-'Sparkling Model'!D$2:D$38^A45)</f>
        <v>0</v>
      </c>
    </row>
    <row r="46">
      <c r="A46" s="6">
        <v>44.0</v>
      </c>
      <c r="B46" s="17">
        <f t="array" ref="B46">SUM(1-'Sparkling Model'!D$2:D$38^A46)</f>
        <v>2.965713915</v>
      </c>
      <c r="C46" s="8">
        <f t="array" ref="C46">PRODUCT(1-'Sparkling Model'!D$2:D$38^A46)</f>
        <v>0</v>
      </c>
    </row>
    <row r="47">
      <c r="A47" s="6">
        <v>45.0</v>
      </c>
      <c r="B47" s="17">
        <f t="array" ref="B47">SUM(1-'Sparkling Model'!D$2:D$38^A47)</f>
        <v>3.02975581</v>
      </c>
      <c r="C47" s="8">
        <f t="array" ref="C47">PRODUCT(1-'Sparkling Model'!D$2:D$38^A47)</f>
        <v>0</v>
      </c>
    </row>
    <row r="48">
      <c r="A48" s="6">
        <v>46.0</v>
      </c>
      <c r="B48" s="17">
        <f t="array" ref="B48">SUM(1-'Sparkling Model'!D$2:D$38^A48)</f>
        <v>3.093654043</v>
      </c>
      <c r="C48" s="8">
        <f t="array" ref="C48">PRODUCT(1-'Sparkling Model'!D$2:D$38^A48)</f>
        <v>0</v>
      </c>
    </row>
    <row r="49">
      <c r="A49" s="6">
        <v>47.0</v>
      </c>
      <c r="B49" s="17">
        <f t="array" ref="B49">SUM(1-'Sparkling Model'!D$2:D$38^A49)</f>
        <v>3.157408973</v>
      </c>
      <c r="C49" s="8">
        <f t="array" ref="C49">PRODUCT(1-'Sparkling Model'!D$2:D$38^A49)</f>
        <v>0</v>
      </c>
    </row>
    <row r="50">
      <c r="A50" s="6">
        <v>48.0</v>
      </c>
      <c r="B50" s="17">
        <f t="array" ref="B50">SUM(1-'Sparkling Model'!D$2:D$38^A50)</f>
        <v>3.221020959</v>
      </c>
      <c r="C50" s="8">
        <f t="array" ref="C50">PRODUCT(1-'Sparkling Model'!D$2:D$38^A50)</f>
        <v>0</v>
      </c>
    </row>
    <row r="51">
      <c r="A51" s="6">
        <v>49.0</v>
      </c>
      <c r="B51" s="17">
        <f t="array" ref="B51">SUM(1-'Sparkling Model'!D$2:D$38^A51)</f>
        <v>3.28449036</v>
      </c>
      <c r="C51" s="8">
        <f t="array" ref="C51">PRODUCT(1-'Sparkling Model'!D$2:D$38^A51)</f>
        <v>0</v>
      </c>
    </row>
    <row r="52">
      <c r="A52" s="6">
        <v>50.0</v>
      </c>
      <c r="B52" s="17">
        <f t="array" ref="B52">SUM(1-'Sparkling Model'!D$2:D$38^A52)</f>
        <v>3.347817533</v>
      </c>
      <c r="C52" s="8">
        <f t="array" ref="C52">PRODUCT(1-'Sparkling Model'!D$2:D$38^A52)</f>
        <v>0</v>
      </c>
    </row>
    <row r="53">
      <c r="A53" s="6">
        <v>51.0</v>
      </c>
      <c r="B53" s="17">
        <f t="array" ref="B53">SUM(1-'Sparkling Model'!D$2:D$38^A53)</f>
        <v>3.411002834</v>
      </c>
      <c r="C53" s="8">
        <f t="array" ref="C53">PRODUCT(1-'Sparkling Model'!D$2:D$38^A53)</f>
        <v>0</v>
      </c>
    </row>
    <row r="54">
      <c r="A54" s="6">
        <v>52.0</v>
      </c>
      <c r="B54" s="17">
        <f t="array" ref="B54">SUM(1-'Sparkling Model'!D$2:D$38^A54)</f>
        <v>3.474046618</v>
      </c>
      <c r="C54" s="8">
        <f t="array" ref="C54">PRODUCT(1-'Sparkling Model'!D$2:D$38^A54)</f>
        <v>0</v>
      </c>
    </row>
    <row r="55">
      <c r="A55" s="6">
        <v>53.0</v>
      </c>
      <c r="B55" s="17">
        <f t="array" ref="B55">SUM(1-'Sparkling Model'!D$2:D$38^A55)</f>
        <v>3.536949239</v>
      </c>
      <c r="C55" s="8">
        <f t="array" ref="C55">PRODUCT(1-'Sparkling Model'!D$2:D$38^A55)</f>
        <v>0</v>
      </c>
    </row>
    <row r="56">
      <c r="A56" s="6">
        <v>54.0</v>
      </c>
      <c r="B56" s="17">
        <f t="array" ref="B56">SUM(1-'Sparkling Model'!D$2:D$38^A56)</f>
        <v>3.599711051</v>
      </c>
      <c r="C56" s="8">
        <f t="array" ref="C56">PRODUCT(1-'Sparkling Model'!D$2:D$38^A56)</f>
        <v>0</v>
      </c>
    </row>
    <row r="57">
      <c r="A57" s="6">
        <v>55.0</v>
      </c>
      <c r="B57" s="17">
        <f t="array" ref="B57">SUM(1-'Sparkling Model'!D$2:D$38^A57)</f>
        <v>3.662332407</v>
      </c>
      <c r="C57" s="8">
        <f t="array" ref="C57">PRODUCT(1-'Sparkling Model'!D$2:D$38^A57)</f>
        <v>0</v>
      </c>
    </row>
    <row r="58">
      <c r="A58" s="6">
        <v>56.0</v>
      </c>
      <c r="B58" s="17">
        <f t="array" ref="B58">SUM(1-'Sparkling Model'!D$2:D$38^A58)</f>
        <v>3.724813657</v>
      </c>
      <c r="C58" s="8">
        <f t="array" ref="C58">PRODUCT(1-'Sparkling Model'!D$2:D$38^A58)</f>
        <v>0</v>
      </c>
    </row>
    <row r="59">
      <c r="A59" s="6">
        <v>57.0</v>
      </c>
      <c r="B59" s="17">
        <f t="array" ref="B59">SUM(1-'Sparkling Model'!D$2:D$38^A59)</f>
        <v>3.787155152</v>
      </c>
      <c r="C59" s="8">
        <f t="array" ref="C59">PRODUCT(1-'Sparkling Model'!D$2:D$38^A59)</f>
        <v>0</v>
      </c>
    </row>
    <row r="60">
      <c r="A60" s="6">
        <v>58.0</v>
      </c>
      <c r="B60" s="17">
        <f t="array" ref="B60">SUM(1-'Sparkling Model'!D$2:D$38^A60)</f>
        <v>3.849357241</v>
      </c>
      <c r="C60" s="8">
        <f t="array" ref="C60">PRODUCT(1-'Sparkling Model'!D$2:D$38^A60)</f>
        <v>0</v>
      </c>
    </row>
    <row r="61">
      <c r="A61" s="6">
        <v>59.0</v>
      </c>
      <c r="B61" s="17">
        <f t="array" ref="B61">SUM(1-'Sparkling Model'!D$2:D$38^A61)</f>
        <v>3.911420273</v>
      </c>
      <c r="C61" s="8">
        <f t="array" ref="C61">PRODUCT(1-'Sparkling Model'!D$2:D$38^A61)</f>
        <v>0</v>
      </c>
    </row>
    <row r="62">
      <c r="A62" s="6">
        <v>60.0</v>
      </c>
      <c r="B62" s="17">
        <f t="array" ref="B62">SUM(1-'Sparkling Model'!D$2:D$38^A62)</f>
        <v>3.973344597</v>
      </c>
      <c r="C62" s="8">
        <f t="array" ref="C62">PRODUCT(1-'Sparkling Model'!D$2:D$38^A62)</f>
        <v>0</v>
      </c>
    </row>
    <row r="63">
      <c r="A63" s="6">
        <v>61.0</v>
      </c>
      <c r="B63" s="17">
        <f t="array" ref="B63">SUM(1-'Sparkling Model'!D$2:D$38^A63)</f>
        <v>4.035130557</v>
      </c>
      <c r="C63" s="8">
        <f t="array" ref="C63">PRODUCT(1-'Sparkling Model'!D$2:D$38^A63)</f>
        <v>0</v>
      </c>
    </row>
    <row r="64">
      <c r="A64" s="6">
        <v>62.0</v>
      </c>
      <c r="B64" s="17">
        <f t="array" ref="B64">SUM(1-'Sparkling Model'!D$2:D$38^A64)</f>
        <v>4.096778501</v>
      </c>
      <c r="C64" s="8">
        <f t="array" ref="C64">PRODUCT(1-'Sparkling Model'!D$2:D$38^A64)</f>
        <v>0</v>
      </c>
    </row>
    <row r="65">
      <c r="A65" s="6">
        <v>63.0</v>
      </c>
      <c r="B65" s="17">
        <f t="array" ref="B65">SUM(1-'Sparkling Model'!D$2:D$38^A65)</f>
        <v>4.158288773</v>
      </c>
      <c r="C65" s="8">
        <f t="array" ref="C65">PRODUCT(1-'Sparkling Model'!D$2:D$38^A65)</f>
        <v>0</v>
      </c>
    </row>
    <row r="66">
      <c r="A66" s="6">
        <v>64.0</v>
      </c>
      <c r="B66" s="17">
        <f t="array" ref="B66">SUM(1-'Sparkling Model'!D$2:D$38^A66)</f>
        <v>4.219661717</v>
      </c>
      <c r="C66" s="8">
        <f t="array" ref="C66">PRODUCT(1-'Sparkling Model'!D$2:D$38^A66)</f>
        <v>0</v>
      </c>
    </row>
    <row r="67">
      <c r="A67" s="6">
        <v>65.0</v>
      </c>
      <c r="B67" s="17">
        <f t="array" ref="B67">SUM(1-'Sparkling Model'!D$2:D$38^A67)</f>
        <v>4.280897675</v>
      </c>
      <c r="C67" s="8">
        <f t="array" ref="C67">PRODUCT(1-'Sparkling Model'!D$2:D$38^A67)</f>
        <v>0</v>
      </c>
    </row>
    <row r="68">
      <c r="A68" s="6">
        <v>66.0</v>
      </c>
      <c r="B68" s="17">
        <f t="array" ref="B68">SUM(1-'Sparkling Model'!D$2:D$38^A68)</f>
        <v>4.341996991</v>
      </c>
      <c r="C68" s="8">
        <f t="array" ref="C68">PRODUCT(1-'Sparkling Model'!D$2:D$38^A68)</f>
        <v>0</v>
      </c>
    </row>
    <row r="69">
      <c r="A69" s="6">
        <v>67.0</v>
      </c>
      <c r="B69" s="17">
        <f t="array" ref="B69">SUM(1-'Sparkling Model'!D$2:D$38^A69)</f>
        <v>4.402960004</v>
      </c>
      <c r="C69" s="8">
        <f t="array" ref="C69">PRODUCT(1-'Sparkling Model'!D$2:D$38^A69)</f>
        <v>0</v>
      </c>
    </row>
    <row r="70">
      <c r="A70" s="6">
        <v>68.0</v>
      </c>
      <c r="B70" s="17">
        <f t="array" ref="B70">SUM(1-'Sparkling Model'!D$2:D$38^A70)</f>
        <v>4.463787056</v>
      </c>
      <c r="C70" s="8">
        <f t="array" ref="C70">PRODUCT(1-'Sparkling Model'!D$2:D$38^A70)</f>
        <v>0</v>
      </c>
    </row>
    <row r="71">
      <c r="A71" s="6">
        <v>69.0</v>
      </c>
      <c r="B71" s="17">
        <f t="array" ref="B71">SUM(1-'Sparkling Model'!D$2:D$38^A71)</f>
        <v>4.524478485</v>
      </c>
      <c r="C71" s="8">
        <f t="array" ref="C71">PRODUCT(1-'Sparkling Model'!D$2:D$38^A71)</f>
        <v>0</v>
      </c>
    </row>
    <row r="72">
      <c r="A72" s="6">
        <v>70.0</v>
      </c>
      <c r="B72" s="17">
        <f t="array" ref="B72">SUM(1-'Sparkling Model'!D$2:D$38^A72)</f>
        <v>4.58503463</v>
      </c>
      <c r="C72" s="8">
        <f t="array" ref="C72">PRODUCT(1-'Sparkling Model'!D$2:D$38^A72)</f>
        <v>0</v>
      </c>
    </row>
    <row r="73">
      <c r="A73" s="6">
        <v>71.0</v>
      </c>
      <c r="B73" s="17">
        <f t="array" ref="B73">SUM(1-'Sparkling Model'!D$2:D$38^A73)</f>
        <v>4.645455829</v>
      </c>
      <c r="C73" s="8">
        <f t="array" ref="C73">PRODUCT(1-'Sparkling Model'!D$2:D$38^A73)</f>
        <v>0</v>
      </c>
    </row>
    <row r="74">
      <c r="A74" s="6">
        <v>72.0</v>
      </c>
      <c r="B74" s="17">
        <f t="array" ref="B74">SUM(1-'Sparkling Model'!D$2:D$38^A74)</f>
        <v>4.705742417</v>
      </c>
      <c r="C74" s="8">
        <f t="array" ref="C74">PRODUCT(1-'Sparkling Model'!D$2:D$38^A74)</f>
        <v>0</v>
      </c>
    </row>
    <row r="75">
      <c r="A75" s="6">
        <v>73.0</v>
      </c>
      <c r="B75" s="17">
        <f t="array" ref="B75">SUM(1-'Sparkling Model'!D$2:D$38^A75)</f>
        <v>4.765894731</v>
      </c>
      <c r="C75" s="8">
        <f t="array" ref="C75">PRODUCT(1-'Sparkling Model'!D$2:D$38^A75)</f>
        <v>0</v>
      </c>
    </row>
    <row r="76">
      <c r="A76" s="6">
        <v>74.0</v>
      </c>
      <c r="B76" s="17">
        <f t="array" ref="B76">SUM(1-'Sparkling Model'!D$2:D$38^A76)</f>
        <v>4.825913105</v>
      </c>
      <c r="C76" s="8">
        <f t="array" ref="C76">PRODUCT(1-'Sparkling Model'!D$2:D$38^A76)</f>
        <v>0</v>
      </c>
    </row>
    <row r="77">
      <c r="A77" s="6">
        <v>75.0</v>
      </c>
      <c r="B77" s="17">
        <f t="array" ref="B77">SUM(1-'Sparkling Model'!D$2:D$38^A77)</f>
        <v>4.885797874</v>
      </c>
      <c r="C77" s="8">
        <f t="array" ref="C77">PRODUCT(1-'Sparkling Model'!D$2:D$38^A77)</f>
        <v>0</v>
      </c>
    </row>
    <row r="78">
      <c r="A78" s="6">
        <v>76.0</v>
      </c>
      <c r="B78" s="17">
        <f t="array" ref="B78">SUM(1-'Sparkling Model'!D$2:D$38^A78)</f>
        <v>4.945549369</v>
      </c>
      <c r="C78" s="8">
        <f t="array" ref="C78">PRODUCT(1-'Sparkling Model'!D$2:D$38^A78)</f>
        <v>0</v>
      </c>
    </row>
    <row r="79">
      <c r="A79" s="6">
        <v>77.0</v>
      </c>
      <c r="B79" s="17">
        <f t="array" ref="B79">SUM(1-'Sparkling Model'!D$2:D$38^A79)</f>
        <v>5.005167923</v>
      </c>
      <c r="C79" s="8">
        <f t="array" ref="C79">PRODUCT(1-'Sparkling Model'!D$2:D$38^A79)</f>
        <v>0</v>
      </c>
    </row>
    <row r="80">
      <c r="A80" s="6">
        <v>78.0</v>
      </c>
      <c r="B80" s="17">
        <f t="array" ref="B80">SUM(1-'Sparkling Model'!D$2:D$38^A80)</f>
        <v>5.064653868</v>
      </c>
      <c r="C80" s="8">
        <f t="array" ref="C80">PRODUCT(1-'Sparkling Model'!D$2:D$38^A80)</f>
        <v>0</v>
      </c>
    </row>
    <row r="81">
      <c r="A81" s="6">
        <v>79.0</v>
      </c>
      <c r="B81" s="17">
        <f t="array" ref="B81">SUM(1-'Sparkling Model'!D$2:D$38^A81)</f>
        <v>5.124007533</v>
      </c>
      <c r="C81" s="8">
        <f t="array" ref="C81">PRODUCT(1-'Sparkling Model'!D$2:D$38^A81)</f>
        <v>0</v>
      </c>
    </row>
    <row r="82">
      <c r="A82" s="6">
        <v>80.0</v>
      </c>
      <c r="B82" s="17">
        <f t="array" ref="B82">SUM(1-'Sparkling Model'!D$2:D$38^A82)</f>
        <v>5.183229248</v>
      </c>
      <c r="C82" s="8">
        <f t="array" ref="C82">PRODUCT(1-'Sparkling Model'!D$2:D$38^A82)</f>
        <v>0</v>
      </c>
    </row>
    <row r="83">
      <c r="A83" s="6">
        <v>81.0</v>
      </c>
      <c r="B83" s="17">
        <f t="array" ref="B83">SUM(1-'Sparkling Model'!D$2:D$38^A83)</f>
        <v>5.242319341</v>
      </c>
      <c r="C83" s="8">
        <f t="array" ref="C83">PRODUCT(1-'Sparkling Model'!D$2:D$38^A83)</f>
        <v>0</v>
      </c>
    </row>
    <row r="84">
      <c r="A84" s="6">
        <v>82.0</v>
      </c>
      <c r="B84" s="17">
        <f t="array" ref="B84">SUM(1-'Sparkling Model'!D$2:D$38^A84)</f>
        <v>5.301278141</v>
      </c>
      <c r="C84" s="8">
        <f t="array" ref="C84">PRODUCT(1-'Sparkling Model'!D$2:D$38^A84)</f>
        <v>0</v>
      </c>
    </row>
    <row r="85">
      <c r="A85" s="6">
        <v>83.0</v>
      </c>
      <c r="B85" s="17">
        <f t="array" ref="B85">SUM(1-'Sparkling Model'!D$2:D$38^A85)</f>
        <v>5.360105973</v>
      </c>
      <c r="C85" s="8">
        <f t="array" ref="C85">PRODUCT(1-'Sparkling Model'!D$2:D$38^A85)</f>
        <v>0</v>
      </c>
    </row>
    <row r="86">
      <c r="A86" s="6">
        <v>84.0</v>
      </c>
      <c r="B86" s="17">
        <f t="array" ref="B86">SUM(1-'Sparkling Model'!D$2:D$38^A86)</f>
        <v>5.418803163</v>
      </c>
      <c r="C86" s="8">
        <f t="array" ref="C86">PRODUCT(1-'Sparkling Model'!D$2:D$38^A86)</f>
        <v>0</v>
      </c>
    </row>
    <row r="87">
      <c r="A87" s="6">
        <v>85.0</v>
      </c>
      <c r="B87" s="17">
        <f t="array" ref="B87">SUM(1-'Sparkling Model'!D$2:D$38^A87)</f>
        <v>5.477370037</v>
      </c>
      <c r="C87" s="8">
        <f t="array" ref="C87">PRODUCT(1-'Sparkling Model'!D$2:D$38^A87)</f>
        <v>0</v>
      </c>
    </row>
    <row r="88">
      <c r="A88" s="6">
        <v>86.0</v>
      </c>
      <c r="B88" s="17">
        <f t="array" ref="B88">SUM(1-'Sparkling Model'!D$2:D$38^A88)</f>
        <v>5.535806919</v>
      </c>
      <c r="C88" s="8">
        <f t="array" ref="C88">PRODUCT(1-'Sparkling Model'!D$2:D$38^A88)</f>
        <v>0</v>
      </c>
    </row>
    <row r="89">
      <c r="A89" s="6">
        <v>87.0</v>
      </c>
      <c r="B89" s="17">
        <f t="array" ref="B89">SUM(1-'Sparkling Model'!D$2:D$38^A89)</f>
        <v>5.594114131</v>
      </c>
      <c r="C89" s="8">
        <f t="array" ref="C89">PRODUCT(1-'Sparkling Model'!D$2:D$38^A89)</f>
        <v>0</v>
      </c>
    </row>
    <row r="90">
      <c r="A90" s="6">
        <v>88.0</v>
      </c>
      <c r="B90" s="17">
        <f t="array" ref="B90">SUM(1-'Sparkling Model'!D$2:D$38^A90)</f>
        <v>5.652291996</v>
      </c>
      <c r="C90" s="8">
        <f t="array" ref="C90">PRODUCT(1-'Sparkling Model'!D$2:D$38^A90)</f>
        <v>0</v>
      </c>
    </row>
    <row r="91">
      <c r="A91" s="6">
        <v>89.0</v>
      </c>
      <c r="B91" s="17">
        <f t="array" ref="B91">SUM(1-'Sparkling Model'!D$2:D$38^A91)</f>
        <v>5.710340836</v>
      </c>
      <c r="C91" s="8">
        <f t="array" ref="C91">PRODUCT(1-'Sparkling Model'!D$2:D$38^A91)</f>
        <v>0</v>
      </c>
    </row>
    <row r="92">
      <c r="A92" s="6">
        <v>90.0</v>
      </c>
      <c r="B92" s="17">
        <f t="array" ref="B92">SUM(1-'Sparkling Model'!D$2:D$38^A92)</f>
        <v>5.768260971</v>
      </c>
      <c r="C92" s="8">
        <f t="array" ref="C92">PRODUCT(1-'Sparkling Model'!D$2:D$38^A92)</f>
        <v>0</v>
      </c>
    </row>
    <row r="93">
      <c r="A93" s="6">
        <v>91.0</v>
      </c>
      <c r="B93" s="17">
        <f t="array" ref="B93">SUM(1-'Sparkling Model'!D$2:D$38^A93)</f>
        <v>5.826052722</v>
      </c>
      <c r="C93" s="8">
        <f t="array" ref="C93">PRODUCT(1-'Sparkling Model'!D$2:D$38^A93)</f>
        <v>0</v>
      </c>
    </row>
    <row r="94">
      <c r="A94" s="6">
        <v>92.0</v>
      </c>
      <c r="B94" s="17">
        <f t="array" ref="B94">SUM(1-'Sparkling Model'!D$2:D$38^A94)</f>
        <v>5.883716406</v>
      </c>
      <c r="C94" s="8">
        <f t="array" ref="C94">PRODUCT(1-'Sparkling Model'!D$2:D$38^A94)</f>
        <v>0</v>
      </c>
    </row>
    <row r="95">
      <c r="A95" s="6">
        <v>93.0</v>
      </c>
      <c r="B95" s="17">
        <f t="array" ref="B95">SUM(1-'Sparkling Model'!D$2:D$38^A95)</f>
        <v>5.941252342</v>
      </c>
      <c r="C95" s="8">
        <f t="array" ref="C95">PRODUCT(1-'Sparkling Model'!D$2:D$38^A95)</f>
        <v>0</v>
      </c>
    </row>
    <row r="96">
      <c r="A96" s="6">
        <v>94.0</v>
      </c>
      <c r="B96" s="17">
        <f t="array" ref="B96">SUM(1-'Sparkling Model'!D$2:D$38^A96)</f>
        <v>5.998660847</v>
      </c>
      <c r="C96" s="8">
        <f t="array" ref="C96">PRODUCT(1-'Sparkling Model'!D$2:D$38^A96)</f>
        <v>0</v>
      </c>
    </row>
    <row r="97">
      <c r="A97" s="6">
        <v>95.0</v>
      </c>
      <c r="B97" s="17">
        <f t="array" ref="B97">SUM(1-'Sparkling Model'!D$2:D$38^A97)</f>
        <v>6.055942237</v>
      </c>
      <c r="C97" s="8">
        <f t="array" ref="C97">PRODUCT(1-'Sparkling Model'!D$2:D$38^A97)</f>
        <v>0</v>
      </c>
    </row>
    <row r="98">
      <c r="A98" s="6">
        <v>96.0</v>
      </c>
      <c r="B98" s="17">
        <f t="array" ref="B98">SUM(1-'Sparkling Model'!D$2:D$38^A98)</f>
        <v>6.113096829</v>
      </c>
      <c r="C98" s="8">
        <f t="array" ref="C98">PRODUCT(1-'Sparkling Model'!D$2:D$38^A98)</f>
        <v>0</v>
      </c>
    </row>
    <row r="99">
      <c r="A99" s="6">
        <v>97.0</v>
      </c>
      <c r="B99" s="17">
        <f t="array" ref="B99">SUM(1-'Sparkling Model'!D$2:D$38^A99)</f>
        <v>6.170124936</v>
      </c>
      <c r="C99" s="8">
        <f t="array" ref="C99">PRODUCT(1-'Sparkling Model'!D$2:D$38^A99)</f>
        <v>0</v>
      </c>
    </row>
    <row r="100">
      <c r="A100" s="6">
        <v>98.0</v>
      </c>
      <c r="B100" s="17">
        <f t="array" ref="B100">SUM(1-'Sparkling Model'!D$2:D$38^A100)</f>
        <v>6.227026873</v>
      </c>
      <c r="C100" s="8">
        <f t="array" ref="C100">PRODUCT(1-'Sparkling Model'!D$2:D$38^A100)</f>
        <v>0</v>
      </c>
    </row>
    <row r="101">
      <c r="A101" s="6">
        <v>99.0</v>
      </c>
      <c r="B101" s="17">
        <f t="array" ref="B101">SUM(1-'Sparkling Model'!D$2:D$38^A101)</f>
        <v>6.283802952</v>
      </c>
      <c r="C101" s="8">
        <f t="array" ref="C101">PRODUCT(1-'Sparkling Model'!D$2:D$38^A101)</f>
        <v>0</v>
      </c>
    </row>
    <row r="102">
      <c r="A102" s="6">
        <v>100.0</v>
      </c>
      <c r="B102" s="17">
        <f t="array" ref="B102">SUM(1-'Sparkling Model'!D$2:D$38^A102)</f>
        <v>6.340453485</v>
      </c>
      <c r="C102" s="8">
        <f t="array" ref="C102">PRODUCT(1-'Sparkling Model'!D$2:D$38^A102)</f>
        <v>0</v>
      </c>
    </row>
    <row r="103">
      <c r="A103" s="6">
        <v>101.0</v>
      </c>
      <c r="B103" s="17">
        <f t="array" ref="B103">SUM(1-'Sparkling Model'!D$2:D$38^A103)</f>
        <v>6.396978784</v>
      </c>
      <c r="C103" s="8">
        <f t="array" ref="C103">PRODUCT(1-'Sparkling Model'!D$2:D$38^A103)</f>
        <v>0</v>
      </c>
    </row>
    <row r="104">
      <c r="A104" s="6">
        <v>102.0</v>
      </c>
      <c r="B104" s="17">
        <f t="array" ref="B104">SUM(1-'Sparkling Model'!D$2:D$38^A104)</f>
        <v>6.453379159</v>
      </c>
      <c r="C104" s="8">
        <f t="array" ref="C104">PRODUCT(1-'Sparkling Model'!D$2:D$38^A104)</f>
        <v>0</v>
      </c>
    </row>
    <row r="105">
      <c r="A105" s="6">
        <v>103.0</v>
      </c>
      <c r="B105" s="17">
        <f t="array" ref="B105">SUM(1-'Sparkling Model'!D$2:D$38^A105)</f>
        <v>6.50965492</v>
      </c>
      <c r="C105" s="8">
        <f t="array" ref="C105">PRODUCT(1-'Sparkling Model'!D$2:D$38^A105)</f>
        <v>0</v>
      </c>
    </row>
    <row r="106">
      <c r="A106" s="6">
        <v>104.0</v>
      </c>
      <c r="B106" s="17">
        <f t="array" ref="B106">SUM(1-'Sparkling Model'!D$2:D$38^A106)</f>
        <v>6.565806376</v>
      </c>
      <c r="C106" s="8">
        <f t="array" ref="C106">PRODUCT(1-'Sparkling Model'!D$2:D$38^A106)</f>
        <v>0</v>
      </c>
    </row>
    <row r="107">
      <c r="A107" s="6">
        <v>105.0</v>
      </c>
      <c r="B107" s="17">
        <f t="array" ref="B107">SUM(1-'Sparkling Model'!D$2:D$38^A107)</f>
        <v>6.621833834</v>
      </c>
      <c r="C107" s="8">
        <f t="array" ref="C107">PRODUCT(1-'Sparkling Model'!D$2:D$38^A107)</f>
        <v>0</v>
      </c>
    </row>
    <row r="108">
      <c r="A108" s="6">
        <v>106.0</v>
      </c>
      <c r="B108" s="17">
        <f t="array" ref="B108">SUM(1-'Sparkling Model'!D$2:D$38^A108)</f>
        <v>6.677737602</v>
      </c>
      <c r="C108" s="8">
        <f t="array" ref="C108">PRODUCT(1-'Sparkling Model'!D$2:D$38^A108)</f>
        <v>0</v>
      </c>
    </row>
    <row r="109">
      <c r="A109" s="6">
        <v>107.0</v>
      </c>
      <c r="B109" s="17">
        <f t="array" ref="B109">SUM(1-'Sparkling Model'!D$2:D$38^A109)</f>
        <v>6.733517986</v>
      </c>
      <c r="C109" s="8">
        <f t="array" ref="C109">PRODUCT(1-'Sparkling Model'!D$2:D$38^A109)</f>
        <v>0</v>
      </c>
    </row>
    <row r="110">
      <c r="A110" s="6">
        <v>108.0</v>
      </c>
      <c r="B110" s="17">
        <f t="array" ref="B110">SUM(1-'Sparkling Model'!D$2:D$38^A110)</f>
        <v>6.789175291</v>
      </c>
      <c r="C110" s="8">
        <f t="array" ref="C110">PRODUCT(1-'Sparkling Model'!D$2:D$38^A110)</f>
        <v>0</v>
      </c>
    </row>
    <row r="111">
      <c r="A111" s="6">
        <v>109.0</v>
      </c>
      <c r="B111" s="17">
        <f t="array" ref="B111">SUM(1-'Sparkling Model'!D$2:D$38^A111)</f>
        <v>6.844709822</v>
      </c>
      <c r="C111" s="8">
        <f t="array" ref="C111">PRODUCT(1-'Sparkling Model'!D$2:D$38^A111)</f>
        <v>0</v>
      </c>
    </row>
    <row r="112">
      <c r="A112" s="6">
        <v>110.0</v>
      </c>
      <c r="B112" s="17">
        <f t="array" ref="B112">SUM(1-'Sparkling Model'!D$2:D$38^A112)</f>
        <v>6.900121884</v>
      </c>
      <c r="C112" s="8">
        <f t="array" ref="C112">PRODUCT(1-'Sparkling Model'!D$2:D$38^A112)</f>
        <v>0</v>
      </c>
    </row>
    <row r="113">
      <c r="A113" s="6">
        <v>111.0</v>
      </c>
      <c r="B113" s="17">
        <f t="array" ref="B113">SUM(1-'Sparkling Model'!D$2:D$38^A113)</f>
        <v>6.955411778</v>
      </c>
      <c r="C113" s="8">
        <f t="array" ref="C113">PRODUCT(1-'Sparkling Model'!D$2:D$38^A113)</f>
        <v>0</v>
      </c>
    </row>
    <row r="114">
      <c r="A114" s="6">
        <v>112.0</v>
      </c>
      <c r="B114" s="17">
        <f t="array" ref="B114">SUM(1-'Sparkling Model'!D$2:D$38^A114)</f>
        <v>7.010579808</v>
      </c>
      <c r="C114" s="8">
        <f t="array" ref="C114">PRODUCT(1-'Sparkling Model'!D$2:D$38^A114)</f>
        <v>0</v>
      </c>
    </row>
    <row r="115">
      <c r="A115" s="6">
        <v>113.0</v>
      </c>
      <c r="B115" s="17">
        <f t="array" ref="B115">SUM(1-'Sparkling Model'!D$2:D$38^A115)</f>
        <v>7.065626274</v>
      </c>
      <c r="C115" s="8">
        <f t="array" ref="C115">PRODUCT(1-'Sparkling Model'!D$2:D$38^A115)</f>
        <v>0</v>
      </c>
    </row>
    <row r="116">
      <c r="A116" s="6">
        <v>114.0</v>
      </c>
      <c r="B116" s="17">
        <f t="array" ref="B116">SUM(1-'Sparkling Model'!D$2:D$38^A116)</f>
        <v>7.120551478</v>
      </c>
      <c r="C116" s="8">
        <f t="array" ref="C116">PRODUCT(1-'Sparkling Model'!D$2:D$38^A116)</f>
        <v>0</v>
      </c>
    </row>
    <row r="117">
      <c r="A117" s="6">
        <v>115.0</v>
      </c>
      <c r="B117" s="17">
        <f t="array" ref="B117">SUM(1-'Sparkling Model'!D$2:D$38^A117)</f>
        <v>7.175355719</v>
      </c>
      <c r="C117" s="8">
        <f t="array" ref="C117">PRODUCT(1-'Sparkling Model'!D$2:D$38^A117)</f>
        <v>0</v>
      </c>
    </row>
    <row r="118">
      <c r="A118" s="6">
        <v>116.0</v>
      </c>
      <c r="B118" s="17">
        <f t="array" ref="B118">SUM(1-'Sparkling Model'!D$2:D$38^A118)</f>
        <v>7.230039295</v>
      </c>
      <c r="C118" s="8">
        <f t="array" ref="C118">PRODUCT(1-'Sparkling Model'!D$2:D$38^A118)</f>
        <v>0</v>
      </c>
    </row>
    <row r="119">
      <c r="A119" s="6">
        <v>117.0</v>
      </c>
      <c r="B119" s="17">
        <f t="array" ref="B119">SUM(1-'Sparkling Model'!D$2:D$38^A119)</f>
        <v>7.284602506</v>
      </c>
      <c r="C119" s="8">
        <f t="array" ref="C119">PRODUCT(1-'Sparkling Model'!D$2:D$38^A119)</f>
        <v>0</v>
      </c>
    </row>
    <row r="120">
      <c r="A120" s="6">
        <v>118.0</v>
      </c>
      <c r="B120" s="17">
        <f t="array" ref="B120">SUM(1-'Sparkling Model'!D$2:D$38^A120)</f>
        <v>7.339045649</v>
      </c>
      <c r="C120" s="8">
        <f t="array" ref="C120">PRODUCT(1-'Sparkling Model'!D$2:D$38^A120)</f>
        <v>0</v>
      </c>
    </row>
    <row r="121">
      <c r="A121" s="6">
        <v>119.0</v>
      </c>
      <c r="B121" s="17">
        <f t="array" ref="B121">SUM(1-'Sparkling Model'!D$2:D$38^A121)</f>
        <v>7.39336902</v>
      </c>
      <c r="C121" s="8">
        <f t="array" ref="C121">PRODUCT(1-'Sparkling Model'!D$2:D$38^A121)</f>
        <v>0</v>
      </c>
    </row>
    <row r="122">
      <c r="A122" s="6">
        <v>120.0</v>
      </c>
      <c r="B122" s="17">
        <f t="array" ref="B122">SUM(1-'Sparkling Model'!D$2:D$38^A122)</f>
        <v>7.447572915</v>
      </c>
      <c r="C122" s="8">
        <f t="array" ref="C122">PRODUCT(1-'Sparkling Model'!D$2:D$38^A122)</f>
        <v>0</v>
      </c>
    </row>
    <row r="123">
      <c r="A123" s="6">
        <v>121.0</v>
      </c>
      <c r="B123" s="17">
        <f t="array" ref="B123">SUM(1-'Sparkling Model'!D$2:D$38^A123)</f>
        <v>7.50165763</v>
      </c>
      <c r="C123" s="8">
        <f t="array" ref="C123">PRODUCT(1-'Sparkling Model'!D$2:D$38^A123)</f>
        <v>0</v>
      </c>
    </row>
    <row r="124">
      <c r="A124" s="6">
        <v>122.0</v>
      </c>
      <c r="B124" s="17">
        <f t="array" ref="B124">SUM(1-'Sparkling Model'!D$2:D$38^A124)</f>
        <v>7.555623458</v>
      </c>
      <c r="C124" s="8">
        <f t="array" ref="C124">PRODUCT(1-'Sparkling Model'!D$2:D$38^A124)</f>
        <v>0</v>
      </c>
    </row>
    <row r="125">
      <c r="A125" s="6">
        <v>123.0</v>
      </c>
      <c r="B125" s="17">
        <f t="array" ref="B125">SUM(1-'Sparkling Model'!D$2:D$38^A125)</f>
        <v>7.609470692</v>
      </c>
      <c r="C125" s="8">
        <f t="array" ref="C125">PRODUCT(1-'Sparkling Model'!D$2:D$38^A125)</f>
        <v>0</v>
      </c>
    </row>
    <row r="126">
      <c r="A126" s="6">
        <v>124.0</v>
      </c>
      <c r="B126" s="17">
        <f t="array" ref="B126">SUM(1-'Sparkling Model'!D$2:D$38^A126)</f>
        <v>7.663199626</v>
      </c>
      <c r="C126" s="8">
        <f t="array" ref="C126">PRODUCT(1-'Sparkling Model'!D$2:D$38^A126)</f>
        <v>0</v>
      </c>
    </row>
    <row r="127">
      <c r="A127" s="6">
        <v>125.0</v>
      </c>
      <c r="B127" s="17">
        <f t="array" ref="B127">SUM(1-'Sparkling Model'!D$2:D$38^A127)</f>
        <v>7.716810552</v>
      </c>
      <c r="C127" s="8">
        <f t="array" ref="C127">PRODUCT(1-'Sparkling Model'!D$2:D$38^A127)</f>
        <v>0</v>
      </c>
    </row>
    <row r="128">
      <c r="A128" s="6">
        <v>126.0</v>
      </c>
      <c r="B128" s="17">
        <f t="array" ref="B128">SUM(1-'Sparkling Model'!D$2:D$38^A128)</f>
        <v>7.77030376</v>
      </c>
      <c r="C128" s="8">
        <f t="array" ref="C128">PRODUCT(1-'Sparkling Model'!D$2:D$38^A128)</f>
        <v>0</v>
      </c>
    </row>
    <row r="129">
      <c r="A129" s="6">
        <v>127.0</v>
      </c>
      <c r="B129" s="17">
        <f t="array" ref="B129">SUM(1-'Sparkling Model'!D$2:D$38^A129)</f>
        <v>7.823679541</v>
      </c>
      <c r="C129" s="8">
        <f t="array" ref="C129">PRODUCT(1-'Sparkling Model'!D$2:D$38^A129)</f>
        <v>0</v>
      </c>
    </row>
    <row r="130">
      <c r="A130" s="6">
        <v>128.0</v>
      </c>
      <c r="B130" s="17">
        <f t="array" ref="B130">SUM(1-'Sparkling Model'!D$2:D$38^A130)</f>
        <v>7.876938184</v>
      </c>
      <c r="C130" s="8">
        <f t="array" ref="C130">PRODUCT(1-'Sparkling Model'!D$2:D$38^A130)</f>
        <v>0</v>
      </c>
    </row>
    <row r="131">
      <c r="A131" s="6">
        <v>129.0</v>
      </c>
      <c r="B131" s="17">
        <f t="array" ref="B131">SUM(1-'Sparkling Model'!D$2:D$38^A131)</f>
        <v>7.930079978</v>
      </c>
      <c r="C131" s="8">
        <f t="array" ref="C131">PRODUCT(1-'Sparkling Model'!D$2:D$38^A131)</f>
        <v>0</v>
      </c>
    </row>
    <row r="132">
      <c r="A132" s="6">
        <v>130.0</v>
      </c>
      <c r="B132" s="17">
        <f t="array" ref="B132">SUM(1-'Sparkling Model'!D$2:D$38^A132)</f>
        <v>7.983105212</v>
      </c>
      <c r="C132" s="8">
        <f t="array" ref="C132">PRODUCT(1-'Sparkling Model'!D$2:D$38^A132)</f>
        <v>0</v>
      </c>
    </row>
    <row r="133">
      <c r="A133" s="6">
        <v>131.0</v>
      </c>
      <c r="B133" s="17">
        <f t="array" ref="B133">SUM(1-'Sparkling Model'!D$2:D$38^A133)</f>
        <v>8.036014172</v>
      </c>
      <c r="C133" s="8">
        <f t="array" ref="C133">PRODUCT(1-'Sparkling Model'!D$2:D$38^A133)</f>
        <v>0</v>
      </c>
    </row>
    <row r="134">
      <c r="A134" s="6">
        <v>132.0</v>
      </c>
      <c r="B134" s="17">
        <f t="array" ref="B134">SUM(1-'Sparkling Model'!D$2:D$38^A134)</f>
        <v>8.088807145</v>
      </c>
      <c r="C134" s="8">
        <f t="array" ref="C134">PRODUCT(1-'Sparkling Model'!D$2:D$38^A134)</f>
        <v>0</v>
      </c>
    </row>
    <row r="135">
      <c r="A135" s="6">
        <v>133.0</v>
      </c>
      <c r="B135" s="17">
        <f t="array" ref="B135">SUM(1-'Sparkling Model'!D$2:D$38^A135)</f>
        <v>8.141484416</v>
      </c>
      <c r="C135" s="8">
        <f t="array" ref="C135">PRODUCT(1-'Sparkling Model'!D$2:D$38^A135)</f>
        <v>0</v>
      </c>
    </row>
    <row r="136">
      <c r="A136" s="6">
        <v>134.0</v>
      </c>
      <c r="B136" s="17">
        <f t="array" ref="B136">SUM(1-'Sparkling Model'!D$2:D$38^A136)</f>
        <v>8.194046271</v>
      </c>
      <c r="C136" s="8">
        <f t="array" ref="C136">PRODUCT(1-'Sparkling Model'!D$2:D$38^A136)</f>
        <v>0</v>
      </c>
    </row>
    <row r="137">
      <c r="A137" s="6">
        <v>135.0</v>
      </c>
      <c r="B137" s="17">
        <f t="array" ref="B137">SUM(1-'Sparkling Model'!D$2:D$38^A137)</f>
        <v>8.246492994</v>
      </c>
      <c r="C137" s="8">
        <f t="array" ref="C137">PRODUCT(1-'Sparkling Model'!D$2:D$38^A137)</f>
        <v>0</v>
      </c>
    </row>
    <row r="138">
      <c r="A138" s="6">
        <v>136.0</v>
      </c>
      <c r="B138" s="17">
        <f t="array" ref="B138">SUM(1-'Sparkling Model'!D$2:D$38^A138)</f>
        <v>8.298824868</v>
      </c>
      <c r="C138" s="8">
        <f t="array" ref="C138">PRODUCT(1-'Sparkling Model'!D$2:D$38^A138)</f>
        <v>0</v>
      </c>
    </row>
    <row r="139">
      <c r="A139" s="6">
        <v>137.0</v>
      </c>
      <c r="B139" s="17">
        <f t="array" ref="B139">SUM(1-'Sparkling Model'!D$2:D$38^A139)</f>
        <v>8.351042176</v>
      </c>
      <c r="C139" s="8">
        <f t="array" ref="C139">PRODUCT(1-'Sparkling Model'!D$2:D$38^A139)</f>
        <v>0</v>
      </c>
    </row>
    <row r="140">
      <c r="A140" s="6">
        <v>138.0</v>
      </c>
      <c r="B140" s="17">
        <f t="array" ref="B140">SUM(1-'Sparkling Model'!D$2:D$38^A140)</f>
        <v>8.403145199</v>
      </c>
      <c r="C140" s="8">
        <f t="array" ref="C140">PRODUCT(1-'Sparkling Model'!D$2:D$38^A140)</f>
        <v>0</v>
      </c>
    </row>
    <row r="141">
      <c r="A141" s="6">
        <v>139.0</v>
      </c>
      <c r="B141" s="17">
        <f t="array" ref="B141">SUM(1-'Sparkling Model'!D$2:D$38^A141)</f>
        <v>8.45513422</v>
      </c>
      <c r="C141" s="8">
        <f t="array" ref="C141">PRODUCT(1-'Sparkling Model'!D$2:D$38^A141)</f>
        <v>0</v>
      </c>
    </row>
    <row r="142">
      <c r="A142" s="6">
        <v>140.0</v>
      </c>
      <c r="B142" s="17">
        <f t="array" ref="B142">SUM(1-'Sparkling Model'!D$2:D$38^A142)</f>
        <v>8.507009518</v>
      </c>
      <c r="C142" s="8">
        <f t="array" ref="C142">PRODUCT(1-'Sparkling Model'!D$2:D$38^A142)</f>
        <v>0</v>
      </c>
    </row>
    <row r="143">
      <c r="A143" s="6">
        <v>141.0</v>
      </c>
      <c r="B143" s="17">
        <f t="array" ref="B143">SUM(1-'Sparkling Model'!D$2:D$38^A143)</f>
        <v>8.558771372</v>
      </c>
      <c r="C143" s="8">
        <f t="array" ref="C143">PRODUCT(1-'Sparkling Model'!D$2:D$38^A143)</f>
        <v>0</v>
      </c>
    </row>
    <row r="144">
      <c r="A144" s="6">
        <v>142.0</v>
      </c>
      <c r="B144" s="17">
        <f t="array" ref="B144">SUM(1-'Sparkling Model'!D$2:D$38^A144)</f>
        <v>8.610420063</v>
      </c>
      <c r="C144" s="8">
        <f t="array" ref="C144">PRODUCT(1-'Sparkling Model'!D$2:D$38^A144)</f>
        <v>0</v>
      </c>
    </row>
    <row r="145">
      <c r="A145" s="6">
        <v>143.0</v>
      </c>
      <c r="B145" s="17">
        <f t="array" ref="B145">SUM(1-'Sparkling Model'!D$2:D$38^A145)</f>
        <v>8.661955868</v>
      </c>
      <c r="C145" s="8">
        <f t="array" ref="C145">PRODUCT(1-'Sparkling Model'!D$2:D$38^A145)</f>
        <v>0</v>
      </c>
    </row>
    <row r="146">
      <c r="A146" s="6">
        <v>144.0</v>
      </c>
      <c r="B146" s="17">
        <f t="array" ref="B146">SUM(1-'Sparkling Model'!D$2:D$38^A146)</f>
        <v>8.713379064</v>
      </c>
      <c r="C146" s="8">
        <f t="array" ref="C146">PRODUCT(1-'Sparkling Model'!D$2:D$38^A146)</f>
        <v>0</v>
      </c>
    </row>
    <row r="147">
      <c r="A147" s="6">
        <v>145.0</v>
      </c>
      <c r="B147" s="17">
        <f t="array" ref="B147">SUM(1-'Sparkling Model'!D$2:D$38^A147)</f>
        <v>8.764689929</v>
      </c>
      <c r="C147" s="8">
        <f t="array" ref="C147">PRODUCT(1-'Sparkling Model'!D$2:D$38^A147)</f>
        <v>0</v>
      </c>
    </row>
    <row r="148">
      <c r="A148" s="6">
        <v>146.0</v>
      </c>
      <c r="B148" s="17">
        <f t="array" ref="B148">SUM(1-'Sparkling Model'!D$2:D$38^A148)</f>
        <v>8.815888738</v>
      </c>
      <c r="C148" s="8">
        <f t="array" ref="C148">PRODUCT(1-'Sparkling Model'!D$2:D$38^A148)</f>
        <v>0</v>
      </c>
    </row>
    <row r="149">
      <c r="A149" s="6">
        <v>147.0</v>
      </c>
      <c r="B149" s="17">
        <f t="array" ref="B149">SUM(1-'Sparkling Model'!D$2:D$38^A149)</f>
        <v>8.866975766</v>
      </c>
      <c r="C149" s="8">
        <f t="array" ref="C149">PRODUCT(1-'Sparkling Model'!D$2:D$38^A149)</f>
        <v>0</v>
      </c>
    </row>
    <row r="150">
      <c r="A150" s="6">
        <v>148.0</v>
      </c>
      <c r="B150" s="17">
        <f t="array" ref="B150">SUM(1-'Sparkling Model'!D$2:D$38^A150)</f>
        <v>8.917951288</v>
      </c>
      <c r="C150" s="8">
        <f t="array" ref="C150">PRODUCT(1-'Sparkling Model'!D$2:D$38^A150)</f>
        <v>0</v>
      </c>
    </row>
    <row r="151">
      <c r="A151" s="6">
        <v>149.0</v>
      </c>
      <c r="B151" s="17">
        <f t="array" ref="B151">SUM(1-'Sparkling Model'!D$2:D$38^A151)</f>
        <v>8.968815578</v>
      </c>
      <c r="C151" s="8">
        <f t="array" ref="C151">PRODUCT(1-'Sparkling Model'!D$2:D$38^A151)</f>
        <v>0</v>
      </c>
    </row>
    <row r="152">
      <c r="A152" s="6">
        <v>150.0</v>
      </c>
      <c r="B152" s="17">
        <f t="array" ref="B152">SUM(1-'Sparkling Model'!D$2:D$38^A152)</f>
        <v>9.019568909</v>
      </c>
      <c r="C152" s="8">
        <f t="array" ref="C152">PRODUCT(1-'Sparkling Model'!D$2:D$38^A152)</f>
        <v>0</v>
      </c>
    </row>
    <row r="153">
      <c r="A153" s="6">
        <v>151.0</v>
      </c>
      <c r="B153" s="17">
        <f t="array" ref="B153">SUM(1-'Sparkling Model'!D$2:D$38^A153)</f>
        <v>9.070211553</v>
      </c>
      <c r="C153" s="8">
        <f t="array" ref="C153">PRODUCT(1-'Sparkling Model'!D$2:D$38^A153)</f>
        <v>0</v>
      </c>
    </row>
    <row r="154">
      <c r="A154" s="6">
        <v>152.0</v>
      </c>
      <c r="B154" s="17">
        <f t="array" ref="B154">SUM(1-'Sparkling Model'!D$2:D$38^A154)</f>
        <v>9.120743781</v>
      </c>
      <c r="C154" s="8">
        <f t="array" ref="C154">PRODUCT(1-'Sparkling Model'!D$2:D$38^A154)</f>
        <v>0</v>
      </c>
    </row>
    <row r="155">
      <c r="A155" s="6">
        <v>153.0</v>
      </c>
      <c r="B155" s="17">
        <f t="array" ref="B155">SUM(1-'Sparkling Model'!D$2:D$38^A155)</f>
        <v>9.171165865</v>
      </c>
      <c r="C155" s="8">
        <f t="array" ref="C155">PRODUCT(1-'Sparkling Model'!D$2:D$38^A155)</f>
        <v>0</v>
      </c>
    </row>
    <row r="156">
      <c r="A156" s="6">
        <v>154.0</v>
      </c>
      <c r="B156" s="17">
        <f t="array" ref="B156">SUM(1-'Sparkling Model'!D$2:D$38^A156)</f>
        <v>9.221478075</v>
      </c>
      <c r="C156" s="8">
        <f t="array" ref="C156">PRODUCT(1-'Sparkling Model'!D$2:D$38^A156)</f>
        <v>0</v>
      </c>
    </row>
    <row r="157">
      <c r="A157" s="6">
        <v>155.0</v>
      </c>
      <c r="B157" s="17">
        <f t="array" ref="B157">SUM(1-'Sparkling Model'!D$2:D$38^A157)</f>
        <v>9.271680679</v>
      </c>
      <c r="C157" s="8">
        <f t="array" ref="C157">PRODUCT(1-'Sparkling Model'!D$2:D$38^A157)</f>
        <v>0</v>
      </c>
    </row>
    <row r="158">
      <c r="A158" s="6">
        <v>156.0</v>
      </c>
      <c r="B158" s="17">
        <f t="array" ref="B158">SUM(1-'Sparkling Model'!D$2:D$38^A158)</f>
        <v>9.321773948</v>
      </c>
      <c r="C158" s="8">
        <f t="array" ref="C158">PRODUCT(1-'Sparkling Model'!D$2:D$38^A158)</f>
        <v>0</v>
      </c>
    </row>
    <row r="159">
      <c r="A159" s="6">
        <v>157.0</v>
      </c>
      <c r="B159" s="17">
        <f t="array" ref="B159">SUM(1-'Sparkling Model'!D$2:D$38^A159)</f>
        <v>9.371758148</v>
      </c>
      <c r="C159" s="8">
        <f t="array" ref="C159">PRODUCT(1-'Sparkling Model'!D$2:D$38^A159)</f>
        <v>0</v>
      </c>
    </row>
    <row r="160">
      <c r="A160" s="6">
        <v>158.0</v>
      </c>
      <c r="B160" s="17">
        <f t="array" ref="B160">SUM(1-'Sparkling Model'!D$2:D$38^A160)</f>
        <v>9.421633548</v>
      </c>
      <c r="C160" s="8">
        <f t="array" ref="C160">PRODUCT(1-'Sparkling Model'!D$2:D$38^A160)</f>
        <v>0</v>
      </c>
    </row>
    <row r="161">
      <c r="A161" s="6">
        <v>159.0</v>
      </c>
      <c r="B161" s="17">
        <f t="array" ref="B161">SUM(1-'Sparkling Model'!D$2:D$38^A161)</f>
        <v>9.471400413</v>
      </c>
      <c r="C161" s="8">
        <f t="array" ref="C161">PRODUCT(1-'Sparkling Model'!D$2:D$38^A161)</f>
        <v>0</v>
      </c>
    </row>
    <row r="162">
      <c r="A162" s="6">
        <v>160.0</v>
      </c>
      <c r="B162" s="17">
        <f t="array" ref="B162">SUM(1-'Sparkling Model'!D$2:D$38^A162)</f>
        <v>9.521059009</v>
      </c>
      <c r="C162" s="8">
        <f t="array" ref="C162">PRODUCT(1-'Sparkling Model'!D$2:D$38^A162)</f>
        <v>0</v>
      </c>
    </row>
    <row r="163">
      <c r="A163" s="6">
        <v>161.0</v>
      </c>
      <c r="B163" s="17">
        <f t="array" ref="B163">SUM(1-'Sparkling Model'!D$2:D$38^A163)</f>
        <v>9.570609602</v>
      </c>
      <c r="C163" s="8">
        <f t="array" ref="C163">PRODUCT(1-'Sparkling Model'!D$2:D$38^A163)</f>
        <v>0</v>
      </c>
    </row>
    <row r="164">
      <c r="A164" s="6">
        <v>162.0</v>
      </c>
      <c r="B164" s="17">
        <f t="array" ref="B164">SUM(1-'Sparkling Model'!D$2:D$38^A164)</f>
        <v>9.620052457</v>
      </c>
      <c r="C164" s="8">
        <f t="array" ref="C164">PRODUCT(1-'Sparkling Model'!D$2:D$38^A164)</f>
        <v>0</v>
      </c>
    </row>
    <row r="165">
      <c r="A165" s="6">
        <v>163.0</v>
      </c>
      <c r="B165" s="17">
        <f t="array" ref="B165">SUM(1-'Sparkling Model'!D$2:D$38^A165)</f>
        <v>9.669387836</v>
      </c>
      <c r="C165" s="8">
        <f t="array" ref="C165">PRODUCT(1-'Sparkling Model'!D$2:D$38^A165)</f>
        <v>0</v>
      </c>
    </row>
    <row r="166">
      <c r="A166" s="6">
        <v>164.0</v>
      </c>
      <c r="B166" s="17">
        <f t="array" ref="B166">SUM(1-'Sparkling Model'!D$2:D$38^A166)</f>
        <v>9.718616003</v>
      </c>
      <c r="C166" s="8">
        <f t="array" ref="C166">PRODUCT(1-'Sparkling Model'!D$2:D$38^A166)</f>
        <v>0</v>
      </c>
    </row>
    <row r="167">
      <c r="A167" s="6">
        <v>165.0</v>
      </c>
      <c r="B167" s="17">
        <f t="array" ref="B167">SUM(1-'Sparkling Model'!D$2:D$38^A167)</f>
        <v>9.76773722</v>
      </c>
      <c r="C167" s="8">
        <f t="array" ref="C167">PRODUCT(1-'Sparkling Model'!D$2:D$38^A167)</f>
        <v>0</v>
      </c>
    </row>
    <row r="168">
      <c r="A168" s="6">
        <v>166.0</v>
      </c>
      <c r="B168" s="17">
        <f t="array" ref="B168">SUM(1-'Sparkling Model'!D$2:D$38^A168)</f>
        <v>9.816751749</v>
      </c>
      <c r="C168" s="8">
        <f t="array" ref="C168">PRODUCT(1-'Sparkling Model'!D$2:D$38^A168)</f>
        <v>0</v>
      </c>
    </row>
    <row r="169">
      <c r="A169" s="6">
        <v>167.0</v>
      </c>
      <c r="B169" s="17">
        <f t="array" ref="B169">SUM(1-'Sparkling Model'!D$2:D$38^A169)</f>
        <v>9.865659851</v>
      </c>
      <c r="C169" s="8">
        <f t="array" ref="C169">PRODUCT(1-'Sparkling Model'!D$2:D$38^A169)</f>
        <v>0</v>
      </c>
    </row>
    <row r="170">
      <c r="A170" s="6">
        <v>168.0</v>
      </c>
      <c r="B170" s="17">
        <f t="array" ref="B170">SUM(1-'Sparkling Model'!D$2:D$38^A170)</f>
        <v>9.914461787</v>
      </c>
      <c r="C170" s="8">
        <f t="array" ref="C170">PRODUCT(1-'Sparkling Model'!D$2:D$38^A170)</f>
        <v>0</v>
      </c>
    </row>
    <row r="171">
      <c r="A171" s="6">
        <v>169.0</v>
      </c>
      <c r="B171" s="17">
        <f t="array" ref="B171">SUM(1-'Sparkling Model'!D$2:D$38^A171)</f>
        <v>9.963157815</v>
      </c>
      <c r="C171" s="8">
        <f t="array" ref="C171">PRODUCT(1-'Sparkling Model'!D$2:D$38^A171)</f>
        <v>0</v>
      </c>
    </row>
    <row r="172">
      <c r="A172" s="6">
        <v>170.0</v>
      </c>
      <c r="B172" s="17">
        <f t="array" ref="B172">SUM(1-'Sparkling Model'!D$2:D$38^A172)</f>
        <v>10.01174819</v>
      </c>
      <c r="C172" s="8">
        <f t="array" ref="C172">PRODUCT(1-'Sparkling Model'!D$2:D$38^A172)</f>
        <v>0</v>
      </c>
    </row>
    <row r="173">
      <c r="A173" s="6">
        <v>171.0</v>
      </c>
      <c r="B173" s="17">
        <f t="array" ref="B173">SUM(1-'Sparkling Model'!D$2:D$38^A173)</f>
        <v>10.06023318</v>
      </c>
      <c r="C173" s="8">
        <f t="array" ref="C173">PRODUCT(1-'Sparkling Model'!D$2:D$38^A173)</f>
        <v>0</v>
      </c>
    </row>
    <row r="174">
      <c r="A174" s="6">
        <v>172.0</v>
      </c>
      <c r="B174" s="17">
        <f t="array" ref="B174">SUM(1-'Sparkling Model'!D$2:D$38^A174)</f>
        <v>10.10861304</v>
      </c>
      <c r="C174" s="8">
        <f t="array" ref="C174">PRODUCT(1-'Sparkling Model'!D$2:D$38^A174)</f>
        <v>0</v>
      </c>
    </row>
    <row r="175">
      <c r="A175" s="6">
        <v>173.0</v>
      </c>
      <c r="B175" s="17">
        <f t="array" ref="B175">SUM(1-'Sparkling Model'!D$2:D$38^A175)</f>
        <v>10.15688802</v>
      </c>
      <c r="C175" s="8">
        <f t="array" ref="C175">PRODUCT(1-'Sparkling Model'!D$2:D$38^A175)</f>
        <v>0</v>
      </c>
    </row>
    <row r="176">
      <c r="A176" s="6">
        <v>174.0</v>
      </c>
      <c r="B176" s="17">
        <f t="array" ref="B176">SUM(1-'Sparkling Model'!D$2:D$38^A176)</f>
        <v>10.20505838</v>
      </c>
      <c r="C176" s="8">
        <f t="array" ref="C176">PRODUCT(1-'Sparkling Model'!D$2:D$38^A176)</f>
        <v>0</v>
      </c>
    </row>
    <row r="177">
      <c r="A177" s="6">
        <v>175.0</v>
      </c>
      <c r="B177" s="17">
        <f t="array" ref="B177">SUM(1-'Sparkling Model'!D$2:D$38^A177)</f>
        <v>10.25312438</v>
      </c>
      <c r="C177" s="8">
        <f t="array" ref="C177">PRODUCT(1-'Sparkling Model'!D$2:D$38^A177)</f>
        <v>0</v>
      </c>
    </row>
    <row r="178">
      <c r="A178" s="6">
        <v>176.0</v>
      </c>
      <c r="B178" s="17">
        <f t="array" ref="B178">SUM(1-'Sparkling Model'!D$2:D$38^A178)</f>
        <v>10.30108627</v>
      </c>
      <c r="C178" s="8">
        <f t="array" ref="C178">PRODUCT(1-'Sparkling Model'!D$2:D$38^A178)</f>
        <v>0</v>
      </c>
    </row>
    <row r="179">
      <c r="A179" s="6">
        <v>177.0</v>
      </c>
      <c r="B179" s="17">
        <f t="array" ref="B179">SUM(1-'Sparkling Model'!D$2:D$38^A179)</f>
        <v>10.3489443</v>
      </c>
      <c r="C179" s="8">
        <f t="array" ref="C179">PRODUCT(1-'Sparkling Model'!D$2:D$38^A179)</f>
        <v>0</v>
      </c>
    </row>
    <row r="180">
      <c r="A180" s="6">
        <v>178.0</v>
      </c>
      <c r="B180" s="17">
        <f t="array" ref="B180">SUM(1-'Sparkling Model'!D$2:D$38^A180)</f>
        <v>10.39669873</v>
      </c>
      <c r="C180" s="8">
        <f t="array" ref="C180">PRODUCT(1-'Sparkling Model'!D$2:D$38^A180)</f>
        <v>0</v>
      </c>
    </row>
    <row r="181">
      <c r="A181" s="6">
        <v>179.0</v>
      </c>
      <c r="B181" s="17">
        <f t="array" ref="B181">SUM(1-'Sparkling Model'!D$2:D$38^A181)</f>
        <v>10.44434981</v>
      </c>
      <c r="C181" s="8">
        <f t="array" ref="C181">PRODUCT(1-'Sparkling Model'!D$2:D$38^A181)</f>
        <v>0</v>
      </c>
    </row>
    <row r="182">
      <c r="A182" s="6">
        <v>180.0</v>
      </c>
      <c r="B182" s="17">
        <f t="array" ref="B182">SUM(1-'Sparkling Model'!D$2:D$38^A182)</f>
        <v>10.4918978</v>
      </c>
      <c r="C182" s="8">
        <f t="array" ref="C182">PRODUCT(1-'Sparkling Model'!D$2:D$38^A182)</f>
        <v>0</v>
      </c>
    </row>
    <row r="183">
      <c r="A183" s="6">
        <v>181.0</v>
      </c>
      <c r="B183" s="17">
        <f t="array" ref="B183">SUM(1-'Sparkling Model'!D$2:D$38^A183)</f>
        <v>10.53934294</v>
      </c>
      <c r="C183" s="8">
        <f t="array" ref="C183">PRODUCT(1-'Sparkling Model'!D$2:D$38^A183)</f>
        <v>0</v>
      </c>
    </row>
    <row r="184">
      <c r="A184" s="6">
        <v>182.0</v>
      </c>
      <c r="B184" s="17">
        <f t="array" ref="B184">SUM(1-'Sparkling Model'!D$2:D$38^A184)</f>
        <v>10.58668548</v>
      </c>
      <c r="C184" s="8">
        <f t="array" ref="C184">PRODUCT(1-'Sparkling Model'!D$2:D$38^A184)</f>
        <v>0</v>
      </c>
    </row>
    <row r="185">
      <c r="A185" s="6">
        <v>183.0</v>
      </c>
      <c r="B185" s="17">
        <f t="array" ref="B185">SUM(1-'Sparkling Model'!D$2:D$38^A185)</f>
        <v>10.63392568</v>
      </c>
      <c r="C185" s="8">
        <f t="array" ref="C185">PRODUCT(1-'Sparkling Model'!D$2:D$38^A185)</f>
        <v>0</v>
      </c>
    </row>
    <row r="186">
      <c r="A186" s="6">
        <v>184.0</v>
      </c>
      <c r="B186" s="17">
        <f t="array" ref="B186">SUM(1-'Sparkling Model'!D$2:D$38^A186)</f>
        <v>10.68106378</v>
      </c>
      <c r="C186" s="8">
        <f t="array" ref="C186">PRODUCT(1-'Sparkling Model'!D$2:D$38^A186)</f>
        <v>0</v>
      </c>
    </row>
    <row r="187">
      <c r="A187" s="6">
        <v>185.0</v>
      </c>
      <c r="B187" s="17">
        <f t="array" ref="B187">SUM(1-'Sparkling Model'!D$2:D$38^A187)</f>
        <v>10.72810004</v>
      </c>
      <c r="C187" s="8">
        <f t="array" ref="C187">PRODUCT(1-'Sparkling Model'!D$2:D$38^A187)</f>
        <v>0</v>
      </c>
    </row>
    <row r="188">
      <c r="A188" s="6">
        <v>186.0</v>
      </c>
      <c r="B188" s="17">
        <f t="array" ref="B188">SUM(1-'Sparkling Model'!D$2:D$38^A188)</f>
        <v>10.7750347</v>
      </c>
      <c r="C188" s="8">
        <f t="array" ref="C188">PRODUCT(1-'Sparkling Model'!D$2:D$38^A188)</f>
        <v>0</v>
      </c>
    </row>
    <row r="189">
      <c r="A189" s="6">
        <v>187.0</v>
      </c>
      <c r="B189" s="17">
        <f t="array" ref="B189">SUM(1-'Sparkling Model'!D$2:D$38^A189)</f>
        <v>10.82186801</v>
      </c>
      <c r="C189" s="8">
        <f t="array" ref="C189">PRODUCT(1-'Sparkling Model'!D$2:D$38^A189)</f>
        <v>0</v>
      </c>
    </row>
    <row r="190">
      <c r="A190" s="6">
        <v>188.0</v>
      </c>
      <c r="B190" s="17">
        <f t="array" ref="B190">SUM(1-'Sparkling Model'!D$2:D$38^A190)</f>
        <v>10.86860022</v>
      </c>
      <c r="C190" s="8">
        <f t="array" ref="C190">PRODUCT(1-'Sparkling Model'!D$2:D$38^A190)</f>
        <v>0</v>
      </c>
    </row>
    <row r="191">
      <c r="A191" s="6">
        <v>189.0</v>
      </c>
      <c r="B191" s="17">
        <f t="array" ref="B191">SUM(1-'Sparkling Model'!D$2:D$38^A191)</f>
        <v>10.91523156</v>
      </c>
      <c r="C191" s="8">
        <f t="array" ref="C191">PRODUCT(1-'Sparkling Model'!D$2:D$38^A191)</f>
        <v>0</v>
      </c>
    </row>
    <row r="192">
      <c r="A192" s="6">
        <v>190.0</v>
      </c>
      <c r="B192" s="17">
        <f t="array" ref="B192">SUM(1-'Sparkling Model'!D$2:D$38^A192)</f>
        <v>10.9617623</v>
      </c>
      <c r="C192" s="8">
        <f t="array" ref="C192">PRODUCT(1-'Sparkling Model'!D$2:D$38^A192)</f>
        <v>0</v>
      </c>
    </row>
    <row r="193">
      <c r="A193" s="6">
        <v>191.0</v>
      </c>
      <c r="B193" s="17">
        <f t="array" ref="B193">SUM(1-'Sparkling Model'!D$2:D$38^A193)</f>
        <v>11.00819267</v>
      </c>
      <c r="C193" s="8">
        <f t="array" ref="C193">PRODUCT(1-'Sparkling Model'!D$2:D$38^A193)</f>
        <v>0</v>
      </c>
    </row>
    <row r="194">
      <c r="A194" s="6">
        <v>192.0</v>
      </c>
      <c r="B194" s="17">
        <f t="array" ref="B194">SUM(1-'Sparkling Model'!D$2:D$38^A194)</f>
        <v>11.05452291</v>
      </c>
      <c r="C194" s="8">
        <f t="array" ref="C194">PRODUCT(1-'Sparkling Model'!D$2:D$38^A194)</f>
        <v>0</v>
      </c>
    </row>
    <row r="195">
      <c r="A195" s="6">
        <v>193.0</v>
      </c>
      <c r="B195" s="17">
        <f t="array" ref="B195">SUM(1-'Sparkling Model'!D$2:D$38^A195)</f>
        <v>11.10075328</v>
      </c>
      <c r="C195" s="8">
        <f t="array" ref="C195">PRODUCT(1-'Sparkling Model'!D$2:D$38^A195)</f>
        <v>0</v>
      </c>
    </row>
    <row r="196">
      <c r="A196" s="6">
        <v>194.0</v>
      </c>
      <c r="B196" s="17">
        <f t="array" ref="B196">SUM(1-'Sparkling Model'!D$2:D$38^A196)</f>
        <v>11.14688401</v>
      </c>
      <c r="C196" s="8">
        <f t="array" ref="C196">PRODUCT(1-'Sparkling Model'!D$2:D$38^A196)</f>
        <v>0</v>
      </c>
    </row>
    <row r="197">
      <c r="A197" s="6">
        <v>195.0</v>
      </c>
      <c r="B197" s="17">
        <f t="array" ref="B197">SUM(1-'Sparkling Model'!D$2:D$38^A197)</f>
        <v>11.19291534</v>
      </c>
      <c r="C197" s="8">
        <f t="array" ref="C197">PRODUCT(1-'Sparkling Model'!D$2:D$38^A197)</f>
        <v>0</v>
      </c>
    </row>
    <row r="198">
      <c r="A198" s="6">
        <v>196.0</v>
      </c>
      <c r="B198" s="17">
        <f t="array" ref="B198">SUM(1-'Sparkling Model'!D$2:D$38^A198)</f>
        <v>11.23884752</v>
      </c>
      <c r="C198" s="8">
        <f t="array" ref="C198">PRODUCT(1-'Sparkling Model'!D$2:D$38^A198)</f>
        <v>0</v>
      </c>
    </row>
    <row r="199">
      <c r="A199" s="6">
        <v>197.0</v>
      </c>
      <c r="B199" s="17">
        <f t="array" ref="B199">SUM(1-'Sparkling Model'!D$2:D$38^A199)</f>
        <v>11.28468079</v>
      </c>
      <c r="C199" s="8">
        <f t="array" ref="C199">PRODUCT(1-'Sparkling Model'!D$2:D$38^A199)</f>
        <v>0</v>
      </c>
    </row>
    <row r="200">
      <c r="A200" s="6">
        <v>198.0</v>
      </c>
      <c r="B200" s="17">
        <f t="array" ref="B200">SUM(1-'Sparkling Model'!D$2:D$38^A200)</f>
        <v>11.33041539</v>
      </c>
      <c r="C200" s="8">
        <f t="array" ref="C200">PRODUCT(1-'Sparkling Model'!D$2:D$38^A200)</f>
        <v>0</v>
      </c>
    </row>
    <row r="201">
      <c r="A201" s="6">
        <v>199.0</v>
      </c>
      <c r="B201" s="17">
        <f t="array" ref="B201">SUM(1-'Sparkling Model'!D$2:D$38^A201)</f>
        <v>11.37605155</v>
      </c>
      <c r="C201" s="8">
        <f t="array" ref="C201">PRODUCT(1-'Sparkling Model'!D$2:D$38^A201)</f>
        <v>0</v>
      </c>
    </row>
    <row r="202">
      <c r="A202" s="6">
        <v>200.0</v>
      </c>
      <c r="B202" s="17">
        <f t="array" ref="B202">SUM(1-'Sparkling Model'!D$2:D$38^A202)</f>
        <v>11.42158953</v>
      </c>
      <c r="C202" s="8">
        <f t="array" ref="C202">PRODUCT(1-'Sparkling Model'!D$2:D$38^A202)</f>
        <v>0</v>
      </c>
    </row>
    <row r="203">
      <c r="A203" s="6">
        <v>201.0</v>
      </c>
      <c r="B203" s="17">
        <f t="array" ref="B203">SUM(1-'Sparkling Model'!D$2:D$38^A203)</f>
        <v>11.46702955</v>
      </c>
      <c r="C203" s="8">
        <f t="array" ref="C203">PRODUCT(1-'Sparkling Model'!D$2:D$38^A203)</f>
        <v>0</v>
      </c>
    </row>
    <row r="204">
      <c r="A204" s="6">
        <v>202.0</v>
      </c>
      <c r="B204" s="17">
        <f t="array" ref="B204">SUM(1-'Sparkling Model'!D$2:D$38^A204)</f>
        <v>11.51237185</v>
      </c>
      <c r="C204" s="8">
        <f t="array" ref="C204">PRODUCT(1-'Sparkling Model'!D$2:D$38^A204)</f>
        <v>0</v>
      </c>
    </row>
    <row r="205">
      <c r="A205" s="6">
        <v>203.0</v>
      </c>
      <c r="B205" s="17">
        <f t="array" ref="B205">SUM(1-'Sparkling Model'!D$2:D$38^A205)</f>
        <v>11.55761668</v>
      </c>
      <c r="C205" s="8">
        <f t="array" ref="C205">PRODUCT(1-'Sparkling Model'!D$2:D$38^A205)</f>
        <v>0</v>
      </c>
    </row>
    <row r="206">
      <c r="A206" s="6">
        <v>204.0</v>
      </c>
      <c r="B206" s="17">
        <f t="array" ref="B206">SUM(1-'Sparkling Model'!D$2:D$38^A206)</f>
        <v>11.60276426</v>
      </c>
      <c r="C206" s="8">
        <f t="array" ref="C206">PRODUCT(1-'Sparkling Model'!D$2:D$38^A206)</f>
        <v>0</v>
      </c>
    </row>
    <row r="207">
      <c r="A207" s="6">
        <v>205.0</v>
      </c>
      <c r="B207" s="17">
        <f t="array" ref="B207">SUM(1-'Sparkling Model'!D$2:D$38^A207)</f>
        <v>11.64781483</v>
      </c>
      <c r="C207" s="8">
        <f t="array" ref="C207">PRODUCT(1-'Sparkling Model'!D$2:D$38^A207)</f>
        <v>0</v>
      </c>
    </row>
    <row r="208">
      <c r="A208" s="6">
        <v>206.0</v>
      </c>
      <c r="B208" s="17">
        <f t="array" ref="B208">SUM(1-'Sparkling Model'!D$2:D$38^A208)</f>
        <v>11.69276864</v>
      </c>
      <c r="C208" s="8">
        <f t="array" ref="C208">PRODUCT(1-'Sparkling Model'!D$2:D$38^A208)</f>
        <v>0</v>
      </c>
    </row>
    <row r="209">
      <c r="A209" s="6">
        <v>207.0</v>
      </c>
      <c r="B209" s="17">
        <f t="array" ref="B209">SUM(1-'Sparkling Model'!D$2:D$38^A209)</f>
        <v>11.73762591</v>
      </c>
      <c r="C209" s="8">
        <f t="array" ref="C209">PRODUCT(1-'Sparkling Model'!D$2:D$38^A209)</f>
        <v>0</v>
      </c>
    </row>
    <row r="210">
      <c r="A210" s="6">
        <v>208.0</v>
      </c>
      <c r="B210" s="17">
        <f t="array" ref="B210">SUM(1-'Sparkling Model'!D$2:D$38^A210)</f>
        <v>11.78238687</v>
      </c>
      <c r="C210" s="8">
        <f t="array" ref="C210">PRODUCT(1-'Sparkling Model'!D$2:D$38^A210)</f>
        <v>0</v>
      </c>
    </row>
    <row r="211">
      <c r="A211" s="6">
        <v>209.0</v>
      </c>
      <c r="B211" s="17">
        <f t="array" ref="B211">SUM(1-'Sparkling Model'!D$2:D$38^A211)</f>
        <v>11.82705177</v>
      </c>
      <c r="C211" s="8">
        <f t="array" ref="C211">PRODUCT(1-'Sparkling Model'!D$2:D$38^A211)</f>
        <v>0</v>
      </c>
    </row>
    <row r="212">
      <c r="A212" s="6">
        <v>210.0</v>
      </c>
      <c r="B212" s="17">
        <f t="array" ref="B212">SUM(1-'Sparkling Model'!D$2:D$38^A212)</f>
        <v>11.87162083</v>
      </c>
      <c r="C212" s="8">
        <f t="array" ref="C212">PRODUCT(1-'Sparkling Model'!D$2:D$38^A212)</f>
        <v>0</v>
      </c>
    </row>
    <row r="213">
      <c r="A213" s="6">
        <v>211.0</v>
      </c>
      <c r="B213" s="17">
        <f t="array" ref="B213">SUM(1-'Sparkling Model'!D$2:D$38^A213)</f>
        <v>11.91609429</v>
      </c>
      <c r="C213" s="8">
        <f t="array" ref="C213">PRODUCT(1-'Sparkling Model'!D$2:D$38^A213)</f>
        <v>0</v>
      </c>
    </row>
    <row r="214">
      <c r="A214" s="6">
        <v>212.0</v>
      </c>
      <c r="B214" s="17">
        <f t="array" ref="B214">SUM(1-'Sparkling Model'!D$2:D$38^A214)</f>
        <v>11.96047237</v>
      </c>
      <c r="C214" s="8">
        <f t="array" ref="C214">PRODUCT(1-'Sparkling Model'!D$2:D$38^A214)</f>
        <v>0</v>
      </c>
    </row>
    <row r="215">
      <c r="A215" s="6">
        <v>213.0</v>
      </c>
      <c r="B215" s="17">
        <f t="array" ref="B215">SUM(1-'Sparkling Model'!D$2:D$38^A215)</f>
        <v>12.00475532</v>
      </c>
      <c r="C215" s="8">
        <f t="array" ref="C215">PRODUCT(1-'Sparkling Model'!D$2:D$38^A215)</f>
        <v>0</v>
      </c>
    </row>
    <row r="216">
      <c r="A216" s="6">
        <v>214.0</v>
      </c>
      <c r="B216" s="17">
        <f t="array" ref="B216">SUM(1-'Sparkling Model'!D$2:D$38^A216)</f>
        <v>12.04894335</v>
      </c>
      <c r="C216" s="8">
        <f t="array" ref="C216">PRODUCT(1-'Sparkling Model'!D$2:D$38^A216)</f>
        <v>0</v>
      </c>
    </row>
    <row r="217">
      <c r="A217" s="6">
        <v>215.0</v>
      </c>
      <c r="B217" s="17">
        <f t="array" ref="B217">SUM(1-'Sparkling Model'!D$2:D$38^A217)</f>
        <v>12.09303671</v>
      </c>
      <c r="C217" s="8">
        <f t="array" ref="C217">PRODUCT(1-'Sparkling Model'!D$2:D$38^A217)</f>
        <v>0</v>
      </c>
    </row>
    <row r="218">
      <c r="A218" s="6">
        <v>216.0</v>
      </c>
      <c r="B218" s="17">
        <f t="array" ref="B218">SUM(1-'Sparkling Model'!D$2:D$38^A218)</f>
        <v>12.13703561</v>
      </c>
      <c r="C218" s="8">
        <f t="array" ref="C218">PRODUCT(1-'Sparkling Model'!D$2:D$38^A218)</f>
        <v>0</v>
      </c>
    </row>
    <row r="219">
      <c r="A219" s="6">
        <v>217.0</v>
      </c>
      <c r="B219" s="17">
        <f t="array" ref="B219">SUM(1-'Sparkling Model'!D$2:D$38^A219)</f>
        <v>12.18094029</v>
      </c>
      <c r="C219" s="8">
        <f t="array" ref="C219">PRODUCT(1-'Sparkling Model'!D$2:D$38^A219)</f>
        <v>0</v>
      </c>
    </row>
    <row r="220">
      <c r="A220" s="6">
        <v>218.0</v>
      </c>
      <c r="B220" s="17">
        <f t="array" ref="B220">SUM(1-'Sparkling Model'!D$2:D$38^A220)</f>
        <v>12.22475097</v>
      </c>
      <c r="C220" s="8">
        <f t="array" ref="C220">PRODUCT(1-'Sparkling Model'!D$2:D$38^A220)</f>
        <v>0</v>
      </c>
    </row>
    <row r="221">
      <c r="A221" s="6">
        <v>219.0</v>
      </c>
      <c r="B221" s="17">
        <f t="array" ref="B221">SUM(1-'Sparkling Model'!D$2:D$38^A221)</f>
        <v>12.26846789</v>
      </c>
      <c r="C221" s="8">
        <f t="array" ref="C221">PRODUCT(1-'Sparkling Model'!D$2:D$38^A221)</f>
        <v>0</v>
      </c>
    </row>
    <row r="222">
      <c r="A222" s="6">
        <v>220.0</v>
      </c>
      <c r="B222" s="17">
        <f t="array" ref="B222">SUM(1-'Sparkling Model'!D$2:D$38^A222)</f>
        <v>12.31209126</v>
      </c>
      <c r="C222" s="8">
        <f t="array" ref="C222">PRODUCT(1-'Sparkling Model'!D$2:D$38^A222)</f>
        <v>0</v>
      </c>
    </row>
    <row r="223">
      <c r="A223" s="6">
        <v>221.0</v>
      </c>
      <c r="B223" s="17">
        <f t="array" ref="B223">SUM(1-'Sparkling Model'!D$2:D$38^A223)</f>
        <v>12.35562132</v>
      </c>
      <c r="C223" s="8">
        <f t="array" ref="C223">PRODUCT(1-'Sparkling Model'!D$2:D$38^A223)</f>
        <v>0</v>
      </c>
    </row>
    <row r="224">
      <c r="A224" s="6">
        <v>222.0</v>
      </c>
      <c r="B224" s="17">
        <f t="array" ref="B224">SUM(1-'Sparkling Model'!D$2:D$38^A224)</f>
        <v>12.3990583</v>
      </c>
      <c r="C224" s="8">
        <f t="array" ref="C224">PRODUCT(1-'Sparkling Model'!D$2:D$38^A224)</f>
        <v>0</v>
      </c>
    </row>
    <row r="225">
      <c r="A225" s="6">
        <v>223.0</v>
      </c>
      <c r="B225" s="17">
        <f t="array" ref="B225">SUM(1-'Sparkling Model'!D$2:D$38^A225)</f>
        <v>12.44240241</v>
      </c>
      <c r="C225" s="8">
        <f t="array" ref="C225">PRODUCT(1-'Sparkling Model'!D$2:D$38^A225)</f>
        <v>0</v>
      </c>
    </row>
    <row r="226">
      <c r="A226" s="6">
        <v>224.0</v>
      </c>
      <c r="B226" s="17">
        <f t="array" ref="B226">SUM(1-'Sparkling Model'!D$2:D$38^A226)</f>
        <v>12.48565388</v>
      </c>
      <c r="C226" s="8">
        <f t="array" ref="C226">PRODUCT(1-'Sparkling Model'!D$2:D$38^A226)</f>
        <v>0</v>
      </c>
    </row>
    <row r="227">
      <c r="A227" s="6">
        <v>225.0</v>
      </c>
      <c r="B227" s="17">
        <f t="array" ref="B227">SUM(1-'Sparkling Model'!D$2:D$38^A227)</f>
        <v>12.52881293</v>
      </c>
      <c r="C227" s="8">
        <f t="array" ref="C227">PRODUCT(1-'Sparkling Model'!D$2:D$38^A227)</f>
        <v>0</v>
      </c>
    </row>
    <row r="228">
      <c r="A228" s="6">
        <v>226.0</v>
      </c>
      <c r="B228" s="17">
        <f t="array" ref="B228">SUM(1-'Sparkling Model'!D$2:D$38^A228)</f>
        <v>12.57187979</v>
      </c>
      <c r="C228" s="8">
        <f t="array" ref="C228">PRODUCT(1-'Sparkling Model'!D$2:D$38^A228)</f>
        <v>0</v>
      </c>
    </row>
    <row r="229">
      <c r="A229" s="6">
        <v>227.0</v>
      </c>
      <c r="B229" s="17">
        <f t="array" ref="B229">SUM(1-'Sparkling Model'!D$2:D$38^A229)</f>
        <v>12.61485468</v>
      </c>
      <c r="C229" s="8">
        <f t="array" ref="C229">PRODUCT(1-'Sparkling Model'!D$2:D$38^A229)</f>
        <v>0</v>
      </c>
    </row>
    <row r="230">
      <c r="A230" s="6">
        <v>228.0</v>
      </c>
      <c r="B230" s="17">
        <f t="array" ref="B230">SUM(1-'Sparkling Model'!D$2:D$38^A230)</f>
        <v>12.65773783</v>
      </c>
      <c r="C230" s="8">
        <f t="array" ref="C230">PRODUCT(1-'Sparkling Model'!D$2:D$38^A230)</f>
        <v>0</v>
      </c>
    </row>
    <row r="231">
      <c r="A231" s="6">
        <v>229.0</v>
      </c>
      <c r="B231" s="17">
        <f t="array" ref="B231">SUM(1-'Sparkling Model'!D$2:D$38^A231)</f>
        <v>12.70052945</v>
      </c>
      <c r="C231" s="8">
        <f t="array" ref="C231">PRODUCT(1-'Sparkling Model'!D$2:D$38^A231)</f>
        <v>0</v>
      </c>
    </row>
    <row r="232">
      <c r="A232" s="6">
        <v>230.0</v>
      </c>
      <c r="B232" s="17">
        <f t="array" ref="B232">SUM(1-'Sparkling Model'!D$2:D$38^A232)</f>
        <v>12.74322976</v>
      </c>
      <c r="C232" s="8">
        <f t="array" ref="C232">PRODUCT(1-'Sparkling Model'!D$2:D$38^A232)</f>
        <v>0</v>
      </c>
    </row>
    <row r="233">
      <c r="A233" s="6">
        <v>231.0</v>
      </c>
      <c r="B233" s="17">
        <f t="array" ref="B233">SUM(1-'Sparkling Model'!D$2:D$38^A233)</f>
        <v>12.78583899</v>
      </c>
      <c r="C233" s="8">
        <f t="array" ref="C233">PRODUCT(1-'Sparkling Model'!D$2:D$38^A233)</f>
        <v>0</v>
      </c>
    </row>
    <row r="234">
      <c r="A234" s="6">
        <v>232.0</v>
      </c>
      <c r="B234" s="17">
        <f t="array" ref="B234">SUM(1-'Sparkling Model'!D$2:D$38^A234)</f>
        <v>12.82835735</v>
      </c>
      <c r="C234" s="8">
        <f t="array" ref="C234">PRODUCT(1-'Sparkling Model'!D$2:D$38^A234)</f>
        <v>0</v>
      </c>
    </row>
    <row r="235">
      <c r="A235" s="6">
        <v>233.0</v>
      </c>
      <c r="B235" s="17">
        <f t="array" ref="B235">SUM(1-'Sparkling Model'!D$2:D$38^A235)</f>
        <v>12.87078507</v>
      </c>
      <c r="C235" s="8">
        <f t="array" ref="C235">PRODUCT(1-'Sparkling Model'!D$2:D$38^A235)</f>
        <v>0</v>
      </c>
    </row>
    <row r="236">
      <c r="A236" s="6">
        <v>234.0</v>
      </c>
      <c r="B236" s="17">
        <f t="array" ref="B236">SUM(1-'Sparkling Model'!D$2:D$38^A236)</f>
        <v>12.91312236</v>
      </c>
      <c r="C236" s="8">
        <f t="array" ref="C236">PRODUCT(1-'Sparkling Model'!D$2:D$38^A236)</f>
        <v>0</v>
      </c>
    </row>
    <row r="237">
      <c r="A237" s="6">
        <v>235.0</v>
      </c>
      <c r="B237" s="17">
        <f t="array" ref="B237">SUM(1-'Sparkling Model'!D$2:D$38^A237)</f>
        <v>12.95536944</v>
      </c>
      <c r="C237" s="8">
        <f t="array" ref="C237">PRODUCT(1-'Sparkling Model'!D$2:D$38^A237)</f>
        <v>0</v>
      </c>
    </row>
    <row r="238">
      <c r="A238" s="6">
        <v>236.0</v>
      </c>
      <c r="B238" s="17">
        <f t="array" ref="B238">SUM(1-'Sparkling Model'!D$2:D$38^A238)</f>
        <v>12.99752653</v>
      </c>
      <c r="C238" s="8">
        <f t="array" ref="C238">PRODUCT(1-'Sparkling Model'!D$2:D$38^A238)</f>
        <v>0</v>
      </c>
    </row>
    <row r="239">
      <c r="A239" s="6">
        <v>237.0</v>
      </c>
      <c r="B239" s="17">
        <f t="array" ref="B239">SUM(1-'Sparkling Model'!D$2:D$38^A239)</f>
        <v>13.03959385</v>
      </c>
      <c r="C239" s="8">
        <f t="array" ref="C239">PRODUCT(1-'Sparkling Model'!D$2:D$38^A239)</f>
        <v>0</v>
      </c>
    </row>
    <row r="240">
      <c r="A240" s="6">
        <v>238.0</v>
      </c>
      <c r="B240" s="17">
        <f t="array" ref="B240">SUM(1-'Sparkling Model'!D$2:D$38^A240)</f>
        <v>13.0815716</v>
      </c>
      <c r="C240" s="8">
        <f t="array" ref="C240">PRODUCT(1-'Sparkling Model'!D$2:D$38^A240)</f>
        <v>0</v>
      </c>
    </row>
    <row r="241">
      <c r="A241" s="6">
        <v>239.0</v>
      </c>
      <c r="B241" s="17">
        <f t="array" ref="B241">SUM(1-'Sparkling Model'!D$2:D$38^A241)</f>
        <v>13.12346002</v>
      </c>
      <c r="C241" s="8">
        <f t="array" ref="C241">PRODUCT(1-'Sparkling Model'!D$2:D$38^A241)</f>
        <v>0</v>
      </c>
    </row>
    <row r="242">
      <c r="A242" s="6">
        <v>240.0</v>
      </c>
      <c r="B242" s="17">
        <f t="array" ref="B242">SUM(1-'Sparkling Model'!D$2:D$38^A242)</f>
        <v>13.1652593</v>
      </c>
      <c r="C242" s="8">
        <f t="array" ref="C242">PRODUCT(1-'Sparkling Model'!D$2:D$38^A242)</f>
        <v>0</v>
      </c>
    </row>
    <row r="243">
      <c r="A243" s="6">
        <v>241.0</v>
      </c>
      <c r="B243" s="17">
        <f t="array" ref="B243">SUM(1-'Sparkling Model'!D$2:D$38^A243)</f>
        <v>13.20696968</v>
      </c>
      <c r="C243" s="8">
        <f t="array" ref="C243">PRODUCT(1-'Sparkling Model'!D$2:D$38^A243)</f>
        <v>0</v>
      </c>
    </row>
    <row r="244">
      <c r="A244" s="6">
        <v>242.0</v>
      </c>
      <c r="B244" s="17">
        <f t="array" ref="B244">SUM(1-'Sparkling Model'!D$2:D$38^A244)</f>
        <v>13.24859135</v>
      </c>
      <c r="C244" s="8">
        <f t="array" ref="C244">PRODUCT(1-'Sparkling Model'!D$2:D$38^A244)</f>
        <v>0</v>
      </c>
    </row>
    <row r="245">
      <c r="A245" s="6">
        <v>243.0</v>
      </c>
      <c r="B245" s="17">
        <f t="array" ref="B245">SUM(1-'Sparkling Model'!D$2:D$38^A245)</f>
        <v>13.29012454</v>
      </c>
      <c r="C245" s="8">
        <f t="array" ref="C245">PRODUCT(1-'Sparkling Model'!D$2:D$38^A245)</f>
        <v>0</v>
      </c>
    </row>
    <row r="246">
      <c r="A246" s="6">
        <v>244.0</v>
      </c>
      <c r="B246" s="17">
        <f t="array" ref="B246">SUM(1-'Sparkling Model'!D$2:D$38^A246)</f>
        <v>13.33156946</v>
      </c>
      <c r="C246" s="8">
        <f t="array" ref="C246">PRODUCT(1-'Sparkling Model'!D$2:D$38^A246)</f>
        <v>0</v>
      </c>
    </row>
    <row r="247">
      <c r="A247" s="6">
        <v>245.0</v>
      </c>
      <c r="B247" s="17">
        <f t="array" ref="B247">SUM(1-'Sparkling Model'!D$2:D$38^A247)</f>
        <v>13.37292631</v>
      </c>
      <c r="C247" s="8">
        <f t="array" ref="C247">PRODUCT(1-'Sparkling Model'!D$2:D$38^A247)</f>
        <v>0</v>
      </c>
    </row>
    <row r="248">
      <c r="A248" s="6">
        <v>246.0</v>
      </c>
      <c r="B248" s="17">
        <f t="array" ref="B248">SUM(1-'Sparkling Model'!D$2:D$38^A248)</f>
        <v>13.41419532</v>
      </c>
      <c r="C248" s="8">
        <f t="array" ref="C248">PRODUCT(1-'Sparkling Model'!D$2:D$38^A248)</f>
        <v>0</v>
      </c>
    </row>
    <row r="249">
      <c r="A249" s="6">
        <v>247.0</v>
      </c>
      <c r="B249" s="17">
        <f t="array" ref="B249">SUM(1-'Sparkling Model'!D$2:D$38^A249)</f>
        <v>13.45537669</v>
      </c>
      <c r="C249" s="8">
        <f t="array" ref="C249">PRODUCT(1-'Sparkling Model'!D$2:D$38^A249)</f>
        <v>0</v>
      </c>
    </row>
    <row r="250">
      <c r="A250" s="6">
        <v>248.0</v>
      </c>
      <c r="B250" s="17">
        <f t="array" ref="B250">SUM(1-'Sparkling Model'!D$2:D$38^A250)</f>
        <v>13.49647064</v>
      </c>
      <c r="C250" s="8">
        <f t="array" ref="C250">PRODUCT(1-'Sparkling Model'!D$2:D$38^A250)</f>
        <v>0</v>
      </c>
    </row>
    <row r="251">
      <c r="A251" s="6">
        <v>249.0</v>
      </c>
      <c r="B251" s="17">
        <f t="array" ref="B251">SUM(1-'Sparkling Model'!D$2:D$38^A251)</f>
        <v>13.53747737</v>
      </c>
      <c r="C251" s="8">
        <f t="array" ref="C251">PRODUCT(1-'Sparkling Model'!D$2:D$38^A251)</f>
        <v>0</v>
      </c>
    </row>
    <row r="252">
      <c r="A252" s="6">
        <v>250.0</v>
      </c>
      <c r="B252" s="17">
        <f t="array" ref="B252">SUM(1-'Sparkling Model'!D$2:D$38^A252)</f>
        <v>13.57839709</v>
      </c>
      <c r="C252" s="8">
        <f t="array" ref="C252">PRODUCT(1-'Sparkling Model'!D$2:D$38^A252)</f>
        <v>0</v>
      </c>
    </row>
    <row r="253">
      <c r="A253" s="6">
        <v>251.0</v>
      </c>
      <c r="B253" s="17">
        <f t="array" ref="B253">SUM(1-'Sparkling Model'!D$2:D$38^A253)</f>
        <v>13.61923002</v>
      </c>
      <c r="C253" s="8">
        <f t="array" ref="C253">PRODUCT(1-'Sparkling Model'!D$2:D$38^A253)</f>
        <v>0</v>
      </c>
    </row>
    <row r="254">
      <c r="A254" s="6">
        <v>252.0</v>
      </c>
      <c r="B254" s="17">
        <f t="array" ref="B254">SUM(1-'Sparkling Model'!D$2:D$38^A254)</f>
        <v>13.65997635</v>
      </c>
      <c r="C254" s="8">
        <f t="array" ref="C254">PRODUCT(1-'Sparkling Model'!D$2:D$38^A254)</f>
        <v>0</v>
      </c>
    </row>
    <row r="255">
      <c r="A255" s="6">
        <v>253.0</v>
      </c>
      <c r="B255" s="17">
        <f t="array" ref="B255">SUM(1-'Sparkling Model'!D$2:D$38^A255)</f>
        <v>13.70063631</v>
      </c>
      <c r="C255" s="8">
        <f t="array" ref="C255">PRODUCT(1-'Sparkling Model'!D$2:D$38^A255)</f>
        <v>0</v>
      </c>
    </row>
    <row r="256">
      <c r="A256" s="6">
        <v>254.0</v>
      </c>
      <c r="B256" s="17">
        <f t="array" ref="B256">SUM(1-'Sparkling Model'!D$2:D$38^A256)</f>
        <v>13.74121009</v>
      </c>
      <c r="C256" s="8">
        <f t="array" ref="C256">PRODUCT(1-'Sparkling Model'!D$2:D$38^A256)</f>
        <v>0</v>
      </c>
    </row>
    <row r="257">
      <c r="A257" s="6">
        <v>255.0</v>
      </c>
      <c r="B257" s="17">
        <f t="array" ref="B257">SUM(1-'Sparkling Model'!D$2:D$38^A257)</f>
        <v>13.78169791</v>
      </c>
      <c r="C257" s="8">
        <f t="array" ref="C257">PRODUCT(1-'Sparkling Model'!D$2:D$38^A257)</f>
        <v>0</v>
      </c>
    </row>
    <row r="258">
      <c r="A258" s="6">
        <v>256.0</v>
      </c>
      <c r="B258" s="17">
        <f t="array" ref="B258">SUM(1-'Sparkling Model'!D$2:D$38^A258)</f>
        <v>13.82209996</v>
      </c>
      <c r="C258" s="8">
        <f t="array" ref="C258">PRODUCT(1-'Sparkling Model'!D$2:D$38^A258)</f>
        <v>0</v>
      </c>
    </row>
    <row r="259">
      <c r="A259" s="6">
        <v>257.0</v>
      </c>
      <c r="B259" s="17">
        <f t="array" ref="B259">SUM(1-'Sparkling Model'!D$2:D$38^A259)</f>
        <v>13.86241646</v>
      </c>
      <c r="C259" s="8">
        <f t="array" ref="C259">PRODUCT(1-'Sparkling Model'!D$2:D$38^A259)</f>
        <v>0</v>
      </c>
    </row>
    <row r="260">
      <c r="A260" s="6">
        <v>258.0</v>
      </c>
      <c r="B260" s="17">
        <f t="array" ref="B260">SUM(1-'Sparkling Model'!D$2:D$38^A260)</f>
        <v>13.90264761</v>
      </c>
      <c r="C260" s="8">
        <f t="array" ref="C260">PRODUCT(1-'Sparkling Model'!D$2:D$38^A260)</f>
        <v>0</v>
      </c>
    </row>
    <row r="261">
      <c r="A261" s="6">
        <v>259.0</v>
      </c>
      <c r="B261" s="17">
        <f t="array" ref="B261">SUM(1-'Sparkling Model'!D$2:D$38^A261)</f>
        <v>13.94279362</v>
      </c>
      <c r="C261" s="8">
        <f t="array" ref="C261">PRODUCT(1-'Sparkling Model'!D$2:D$38^A261)</f>
        <v>0</v>
      </c>
    </row>
    <row r="262">
      <c r="A262" s="6">
        <v>260.0</v>
      </c>
      <c r="B262" s="17">
        <f t="array" ref="B262">SUM(1-'Sparkling Model'!D$2:D$38^A262)</f>
        <v>13.98285469</v>
      </c>
      <c r="C262" s="8">
        <f t="array" ref="C262">PRODUCT(1-'Sparkling Model'!D$2:D$38^A262)</f>
        <v>0</v>
      </c>
    </row>
    <row r="263">
      <c r="A263" s="6">
        <v>261.0</v>
      </c>
      <c r="B263" s="17">
        <f t="array" ref="B263">SUM(1-'Sparkling Model'!D$2:D$38^A263)</f>
        <v>14.02283102</v>
      </c>
      <c r="C263" s="8">
        <f t="array" ref="C263">PRODUCT(1-'Sparkling Model'!D$2:D$38^A263)</f>
        <v>0</v>
      </c>
    </row>
    <row r="264">
      <c r="A264" s="6">
        <v>262.0</v>
      </c>
      <c r="B264" s="17">
        <f t="array" ref="B264">SUM(1-'Sparkling Model'!D$2:D$38^A264)</f>
        <v>14.06272281</v>
      </c>
      <c r="C264" s="8">
        <f t="array" ref="C264">PRODUCT(1-'Sparkling Model'!D$2:D$38^A264)</f>
        <v>0</v>
      </c>
    </row>
    <row r="265">
      <c r="A265" s="6">
        <v>263.0</v>
      </c>
      <c r="B265" s="17">
        <f t="array" ref="B265">SUM(1-'Sparkling Model'!D$2:D$38^A265)</f>
        <v>14.10253028</v>
      </c>
      <c r="C265" s="8">
        <f t="array" ref="C265">PRODUCT(1-'Sparkling Model'!D$2:D$38^A265)</f>
        <v>0</v>
      </c>
    </row>
    <row r="266">
      <c r="A266" s="6">
        <v>264.0</v>
      </c>
      <c r="B266" s="17">
        <f t="array" ref="B266">SUM(1-'Sparkling Model'!D$2:D$38^A266)</f>
        <v>14.14225362</v>
      </c>
      <c r="C266" s="8">
        <f t="array" ref="C266">PRODUCT(1-'Sparkling Model'!D$2:D$38^A266)</f>
        <v>0</v>
      </c>
    </row>
    <row r="267">
      <c r="A267" s="6">
        <v>265.0</v>
      </c>
      <c r="B267" s="17">
        <f t="array" ref="B267">SUM(1-'Sparkling Model'!D$2:D$38^A267)</f>
        <v>14.18189303</v>
      </c>
      <c r="C267" s="8">
        <f t="array" ref="C267">PRODUCT(1-'Sparkling Model'!D$2:D$38^A267)</f>
        <v>0</v>
      </c>
    </row>
    <row r="268">
      <c r="A268" s="6">
        <v>266.0</v>
      </c>
      <c r="B268" s="17">
        <f t="array" ref="B268">SUM(1-'Sparkling Model'!D$2:D$38^A268)</f>
        <v>14.22144871</v>
      </c>
      <c r="C268" s="8">
        <f t="array" ref="C268">PRODUCT(1-'Sparkling Model'!D$2:D$38^A268)</f>
        <v>0</v>
      </c>
    </row>
    <row r="269">
      <c r="A269" s="6">
        <v>267.0</v>
      </c>
      <c r="B269" s="17">
        <f t="array" ref="B269">SUM(1-'Sparkling Model'!D$2:D$38^A269)</f>
        <v>14.26092087</v>
      </c>
      <c r="C269" s="8">
        <f t="array" ref="C269">PRODUCT(1-'Sparkling Model'!D$2:D$38^A269)</f>
        <v>0</v>
      </c>
    </row>
    <row r="270">
      <c r="A270" s="6">
        <v>268.0</v>
      </c>
      <c r="B270" s="17">
        <f t="array" ref="B270">SUM(1-'Sparkling Model'!D$2:D$38^A270)</f>
        <v>14.3003097</v>
      </c>
      <c r="C270" s="8">
        <f t="array" ref="C270">PRODUCT(1-'Sparkling Model'!D$2:D$38^A270)</f>
        <v>0</v>
      </c>
    </row>
    <row r="271">
      <c r="A271" s="6">
        <v>269.0</v>
      </c>
      <c r="B271" s="17">
        <f t="array" ref="B271">SUM(1-'Sparkling Model'!D$2:D$38^A271)</f>
        <v>14.33961541</v>
      </c>
      <c r="C271" s="8">
        <f t="array" ref="C271">PRODUCT(1-'Sparkling Model'!D$2:D$38^A271)</f>
        <v>0</v>
      </c>
    </row>
    <row r="272">
      <c r="A272" s="6">
        <v>270.0</v>
      </c>
      <c r="B272" s="17">
        <f t="array" ref="B272">SUM(1-'Sparkling Model'!D$2:D$38^A272)</f>
        <v>14.37883818</v>
      </c>
      <c r="C272" s="8">
        <f t="array" ref="C272">PRODUCT(1-'Sparkling Model'!D$2:D$38^A272)</f>
        <v>0</v>
      </c>
    </row>
    <row r="273">
      <c r="A273" s="6">
        <v>271.0</v>
      </c>
      <c r="B273" s="17">
        <f t="array" ref="B273">SUM(1-'Sparkling Model'!D$2:D$38^A273)</f>
        <v>14.41797823</v>
      </c>
      <c r="C273" s="8">
        <f t="array" ref="C273">PRODUCT(1-'Sparkling Model'!D$2:D$38^A273)</f>
        <v>0</v>
      </c>
    </row>
    <row r="274">
      <c r="A274" s="6">
        <v>272.0</v>
      </c>
      <c r="B274" s="17">
        <f t="array" ref="B274">SUM(1-'Sparkling Model'!D$2:D$38^A274)</f>
        <v>14.45703575</v>
      </c>
      <c r="C274" s="8">
        <f t="array" ref="C274">PRODUCT(1-'Sparkling Model'!D$2:D$38^A274)</f>
        <v>0</v>
      </c>
    </row>
    <row r="275">
      <c r="A275" s="6">
        <v>273.0</v>
      </c>
      <c r="B275" s="17">
        <f t="array" ref="B275">SUM(1-'Sparkling Model'!D$2:D$38^A275)</f>
        <v>14.49601094</v>
      </c>
      <c r="C275" s="8">
        <f t="array" ref="C275">PRODUCT(1-'Sparkling Model'!D$2:D$38^A275)</f>
        <v>0</v>
      </c>
    </row>
    <row r="276">
      <c r="A276" s="6">
        <v>274.0</v>
      </c>
      <c r="B276" s="17">
        <f t="array" ref="B276">SUM(1-'Sparkling Model'!D$2:D$38^A276)</f>
        <v>14.53490398</v>
      </c>
      <c r="C276" s="8">
        <f t="array" ref="C276">PRODUCT(1-'Sparkling Model'!D$2:D$38^A276)</f>
        <v>0</v>
      </c>
    </row>
    <row r="277">
      <c r="A277" s="6">
        <v>275.0</v>
      </c>
      <c r="B277" s="17">
        <f t="array" ref="B277">SUM(1-'Sparkling Model'!D$2:D$38^A277)</f>
        <v>14.57371509</v>
      </c>
      <c r="C277" s="8">
        <f t="array" ref="C277">PRODUCT(1-'Sparkling Model'!D$2:D$38^A277)</f>
        <v>0</v>
      </c>
    </row>
    <row r="278">
      <c r="A278" s="6">
        <v>276.0</v>
      </c>
      <c r="B278" s="17">
        <f t="array" ref="B278">SUM(1-'Sparkling Model'!D$2:D$38^A278)</f>
        <v>14.61244445</v>
      </c>
      <c r="C278" s="8">
        <f t="array" ref="C278">PRODUCT(1-'Sparkling Model'!D$2:D$38^A278)</f>
        <v>0</v>
      </c>
    </row>
    <row r="279">
      <c r="A279" s="6">
        <v>277.0</v>
      </c>
      <c r="B279" s="17">
        <f t="array" ref="B279">SUM(1-'Sparkling Model'!D$2:D$38^A279)</f>
        <v>14.65109227</v>
      </c>
      <c r="C279" s="8">
        <f t="array" ref="C279">PRODUCT(1-'Sparkling Model'!D$2:D$38^A279)</f>
        <v>0</v>
      </c>
    </row>
    <row r="280">
      <c r="A280" s="6">
        <v>278.0</v>
      </c>
      <c r="B280" s="17">
        <f t="array" ref="B280">SUM(1-'Sparkling Model'!D$2:D$38^A280)</f>
        <v>14.68965872</v>
      </c>
      <c r="C280" s="8">
        <f t="array" ref="C280">PRODUCT(1-'Sparkling Model'!D$2:D$38^A280)</f>
        <v>0</v>
      </c>
    </row>
    <row r="281">
      <c r="A281" s="6">
        <v>279.0</v>
      </c>
      <c r="B281" s="17">
        <f t="array" ref="B281">SUM(1-'Sparkling Model'!D$2:D$38^A281)</f>
        <v>14.72814402</v>
      </c>
      <c r="C281" s="8">
        <f t="array" ref="C281">PRODUCT(1-'Sparkling Model'!D$2:D$38^A281)</f>
        <v>0</v>
      </c>
    </row>
    <row r="282">
      <c r="A282" s="6">
        <v>280.0</v>
      </c>
      <c r="B282" s="17">
        <f t="array" ref="B282">SUM(1-'Sparkling Model'!D$2:D$38^A282)</f>
        <v>14.76654835</v>
      </c>
      <c r="C282" s="8">
        <f t="array" ref="C282">PRODUCT(1-'Sparkling Model'!D$2:D$38^A282)</f>
        <v>0</v>
      </c>
    </row>
    <row r="283">
      <c r="A283" s="6">
        <v>281.0</v>
      </c>
      <c r="B283" s="17">
        <f t="array" ref="B283">SUM(1-'Sparkling Model'!D$2:D$38^A283)</f>
        <v>14.80487191</v>
      </c>
      <c r="C283" s="8">
        <f t="array" ref="C283">PRODUCT(1-'Sparkling Model'!D$2:D$38^A283)</f>
        <v>0</v>
      </c>
    </row>
    <row r="284">
      <c r="A284" s="6">
        <v>282.0</v>
      </c>
      <c r="B284" s="17">
        <f t="array" ref="B284">SUM(1-'Sparkling Model'!D$2:D$38^A284)</f>
        <v>14.84311489</v>
      </c>
      <c r="C284" s="8">
        <f t="array" ref="C284">PRODUCT(1-'Sparkling Model'!D$2:D$38^A284)</f>
        <v>0</v>
      </c>
    </row>
    <row r="285">
      <c r="A285" s="6">
        <v>283.0</v>
      </c>
      <c r="B285" s="17">
        <f t="array" ref="B285">SUM(1-'Sparkling Model'!D$2:D$38^A285)</f>
        <v>14.88127748</v>
      </c>
      <c r="C285" s="8">
        <f t="array" ref="C285">PRODUCT(1-'Sparkling Model'!D$2:D$38^A285)</f>
        <v>0</v>
      </c>
    </row>
    <row r="286">
      <c r="A286" s="6">
        <v>284.0</v>
      </c>
      <c r="B286" s="17">
        <f t="array" ref="B286">SUM(1-'Sparkling Model'!D$2:D$38^A286)</f>
        <v>14.91935987</v>
      </c>
      <c r="C286" s="8">
        <f t="array" ref="C286">PRODUCT(1-'Sparkling Model'!D$2:D$38^A286)</f>
        <v>0</v>
      </c>
    </row>
    <row r="287">
      <c r="A287" s="6">
        <v>285.0</v>
      </c>
      <c r="B287" s="17">
        <f t="array" ref="B287">SUM(1-'Sparkling Model'!D$2:D$38^A287)</f>
        <v>14.95736226</v>
      </c>
      <c r="C287" s="8">
        <f t="array" ref="C287">PRODUCT(1-'Sparkling Model'!D$2:D$38^A287)</f>
        <v>0</v>
      </c>
    </row>
    <row r="288">
      <c r="A288" s="6">
        <v>286.0</v>
      </c>
      <c r="B288" s="17">
        <f t="array" ref="B288">SUM(1-'Sparkling Model'!D$2:D$38^A288)</f>
        <v>14.99528484</v>
      </c>
      <c r="C288" s="8">
        <f t="array" ref="C288">PRODUCT(1-'Sparkling Model'!D$2:D$38^A288)</f>
        <v>0</v>
      </c>
    </row>
    <row r="289">
      <c r="A289" s="6">
        <v>287.0</v>
      </c>
      <c r="B289" s="17">
        <f t="array" ref="B289">SUM(1-'Sparkling Model'!D$2:D$38^A289)</f>
        <v>15.03312779</v>
      </c>
      <c r="C289" s="8">
        <f t="array" ref="C289">PRODUCT(1-'Sparkling Model'!D$2:D$38^A289)</f>
        <v>0</v>
      </c>
    </row>
    <row r="290">
      <c r="A290" s="6">
        <v>288.0</v>
      </c>
      <c r="B290" s="17">
        <f t="array" ref="B290">SUM(1-'Sparkling Model'!D$2:D$38^A290)</f>
        <v>15.0708913</v>
      </c>
      <c r="C290" s="8">
        <f t="array" ref="C290">PRODUCT(1-'Sparkling Model'!D$2:D$38^A290)</f>
        <v>0</v>
      </c>
    </row>
    <row r="291">
      <c r="A291" s="6">
        <v>289.0</v>
      </c>
      <c r="B291" s="17">
        <f t="array" ref="B291">SUM(1-'Sparkling Model'!D$2:D$38^A291)</f>
        <v>15.10857558</v>
      </c>
      <c r="C291" s="8">
        <f t="array" ref="C291">PRODUCT(1-'Sparkling Model'!D$2:D$38^A291)</f>
        <v>0</v>
      </c>
    </row>
    <row r="292">
      <c r="A292" s="6">
        <v>290.0</v>
      </c>
      <c r="B292" s="17">
        <f t="array" ref="B292">SUM(1-'Sparkling Model'!D$2:D$38^A292)</f>
        <v>15.14618079</v>
      </c>
      <c r="C292" s="8">
        <f t="array" ref="C292">PRODUCT(1-'Sparkling Model'!D$2:D$38^A292)</f>
        <v>0</v>
      </c>
    </row>
    <row r="293">
      <c r="A293" s="6">
        <v>291.0</v>
      </c>
      <c r="B293" s="17">
        <f t="array" ref="B293">SUM(1-'Sparkling Model'!D$2:D$38^A293)</f>
        <v>15.18370714</v>
      </c>
      <c r="C293" s="8">
        <f t="array" ref="C293">PRODUCT(1-'Sparkling Model'!D$2:D$38^A293)</f>
        <v>0</v>
      </c>
    </row>
    <row r="294">
      <c r="A294" s="6">
        <v>292.0</v>
      </c>
      <c r="B294" s="17">
        <f t="array" ref="B294">SUM(1-'Sparkling Model'!D$2:D$38^A294)</f>
        <v>15.22115481</v>
      </c>
      <c r="C294" s="8">
        <f t="array" ref="C294">PRODUCT(1-'Sparkling Model'!D$2:D$38^A294)</f>
        <v>0</v>
      </c>
    </row>
    <row r="295">
      <c r="A295" s="6">
        <v>293.0</v>
      </c>
      <c r="B295" s="17">
        <f t="array" ref="B295">SUM(1-'Sparkling Model'!D$2:D$38^A295)</f>
        <v>15.25852398</v>
      </c>
      <c r="C295" s="8">
        <f t="array" ref="C295">PRODUCT(1-'Sparkling Model'!D$2:D$38^A295)</f>
        <v>0</v>
      </c>
    </row>
    <row r="296">
      <c r="A296" s="6">
        <v>294.0</v>
      </c>
      <c r="B296" s="17">
        <f t="array" ref="B296">SUM(1-'Sparkling Model'!D$2:D$38^A296)</f>
        <v>15.29581485</v>
      </c>
      <c r="C296" s="8">
        <f t="array" ref="C296">PRODUCT(1-'Sparkling Model'!D$2:D$38^A296)</f>
        <v>0</v>
      </c>
    </row>
    <row r="297">
      <c r="A297" s="6">
        <v>295.0</v>
      </c>
      <c r="B297" s="17">
        <f t="array" ref="B297">SUM(1-'Sparkling Model'!D$2:D$38^A297)</f>
        <v>15.3330276</v>
      </c>
      <c r="C297" s="8">
        <f t="array" ref="C297">PRODUCT(1-'Sparkling Model'!D$2:D$38^A297)</f>
        <v>0</v>
      </c>
    </row>
    <row r="298">
      <c r="A298" s="6">
        <v>296.0</v>
      </c>
      <c r="B298" s="17">
        <f t="array" ref="B298">SUM(1-'Sparkling Model'!D$2:D$38^A298)</f>
        <v>15.37016242</v>
      </c>
      <c r="C298" s="8">
        <f t="array" ref="C298">PRODUCT(1-'Sparkling Model'!D$2:D$38^A298)</f>
        <v>0</v>
      </c>
    </row>
    <row r="299">
      <c r="A299" s="6">
        <v>297.0</v>
      </c>
      <c r="B299" s="17">
        <f t="array" ref="B299">SUM(1-'Sparkling Model'!D$2:D$38^A299)</f>
        <v>15.40721949</v>
      </c>
      <c r="C299" s="8">
        <f t="array" ref="C299">PRODUCT(1-'Sparkling Model'!D$2:D$38^A299)</f>
        <v>0</v>
      </c>
    </row>
    <row r="300">
      <c r="A300" s="6">
        <v>298.0</v>
      </c>
      <c r="B300" s="17">
        <f t="array" ref="B300">SUM(1-'Sparkling Model'!D$2:D$38^A300)</f>
        <v>15.44419899</v>
      </c>
      <c r="C300" s="8">
        <f t="array" ref="C300">PRODUCT(1-'Sparkling Model'!D$2:D$38^A300)</f>
        <v>0</v>
      </c>
    </row>
    <row r="301">
      <c r="A301" s="6">
        <v>299.0</v>
      </c>
      <c r="B301" s="17">
        <f t="array" ref="B301">SUM(1-'Sparkling Model'!D$2:D$38^A301)</f>
        <v>15.48110112</v>
      </c>
      <c r="C301" s="8">
        <f t="array" ref="C301">PRODUCT(1-'Sparkling Model'!D$2:D$38^A301)</f>
        <v>0</v>
      </c>
    </row>
    <row r="302">
      <c r="A302" s="6">
        <v>300.0</v>
      </c>
      <c r="B302" s="17">
        <f t="array" ref="B302">SUM(1-'Sparkling Model'!D$2:D$38^A302)</f>
        <v>15.51792605</v>
      </c>
      <c r="C302" s="8">
        <f t="array" ref="C302">PRODUCT(1-'Sparkling Model'!D$2:D$38^A302)</f>
        <v>0</v>
      </c>
    </row>
    <row r="303">
      <c r="A303" s="6">
        <v>301.0</v>
      </c>
      <c r="B303" s="17">
        <f t="array" ref="B303">SUM(1-'Sparkling Model'!D$2:D$38^A303)</f>
        <v>15.55467397</v>
      </c>
      <c r="C303" s="8">
        <f t="array" ref="C303">PRODUCT(1-'Sparkling Model'!D$2:D$38^A303)</f>
        <v>0</v>
      </c>
    </row>
    <row r="304">
      <c r="A304" s="6">
        <v>302.0</v>
      </c>
      <c r="B304" s="17">
        <f t="array" ref="B304">SUM(1-'Sparkling Model'!D$2:D$38^A304)</f>
        <v>15.59134507</v>
      </c>
      <c r="C304" s="8">
        <f t="array" ref="C304">PRODUCT(1-'Sparkling Model'!D$2:D$38^A304)</f>
        <v>0</v>
      </c>
    </row>
    <row r="305">
      <c r="A305" s="6">
        <v>303.0</v>
      </c>
      <c r="B305" s="17">
        <f t="array" ref="B305">SUM(1-'Sparkling Model'!D$2:D$38^A305)</f>
        <v>15.62793951</v>
      </c>
      <c r="C305" s="8">
        <f t="array" ref="C305">PRODUCT(1-'Sparkling Model'!D$2:D$38^A305)</f>
        <v>0</v>
      </c>
    </row>
    <row r="306">
      <c r="A306" s="6">
        <v>304.0</v>
      </c>
      <c r="B306" s="17">
        <f t="array" ref="B306">SUM(1-'Sparkling Model'!D$2:D$38^A306)</f>
        <v>15.6644575</v>
      </c>
      <c r="C306" s="8">
        <f t="array" ref="C306">PRODUCT(1-'Sparkling Model'!D$2:D$38^A306)</f>
        <v>0</v>
      </c>
    </row>
    <row r="307">
      <c r="A307" s="6">
        <v>305.0</v>
      </c>
      <c r="B307" s="17">
        <f t="array" ref="B307">SUM(1-'Sparkling Model'!D$2:D$38^A307)</f>
        <v>15.7008992</v>
      </c>
      <c r="C307" s="8">
        <f t="array" ref="C307">PRODUCT(1-'Sparkling Model'!D$2:D$38^A307)</f>
        <v>0</v>
      </c>
    </row>
    <row r="308">
      <c r="A308" s="6">
        <v>306.0</v>
      </c>
      <c r="B308" s="17">
        <f t="array" ref="B308">SUM(1-'Sparkling Model'!D$2:D$38^A308)</f>
        <v>15.7372648</v>
      </c>
      <c r="C308" s="8">
        <f t="array" ref="C308">PRODUCT(1-'Sparkling Model'!D$2:D$38^A308)</f>
        <v>0</v>
      </c>
    </row>
    <row r="309">
      <c r="A309" s="6">
        <v>307.0</v>
      </c>
      <c r="B309" s="17">
        <f t="array" ref="B309">SUM(1-'Sparkling Model'!D$2:D$38^A309)</f>
        <v>15.77355448</v>
      </c>
      <c r="C309" s="8">
        <f t="array" ref="C309">PRODUCT(1-'Sparkling Model'!D$2:D$38^A309)</f>
        <v>0</v>
      </c>
    </row>
    <row r="310">
      <c r="A310" s="6">
        <v>308.0</v>
      </c>
      <c r="B310" s="17">
        <f t="array" ref="B310">SUM(1-'Sparkling Model'!D$2:D$38^A310)</f>
        <v>15.80976842</v>
      </c>
      <c r="C310" s="8">
        <f t="array" ref="C310">PRODUCT(1-'Sparkling Model'!D$2:D$38^A310)</f>
        <v>0</v>
      </c>
    </row>
    <row r="311">
      <c r="A311" s="6">
        <v>309.0</v>
      </c>
      <c r="B311" s="17">
        <f t="array" ref="B311">SUM(1-'Sparkling Model'!D$2:D$38^A311)</f>
        <v>15.8459068</v>
      </c>
      <c r="C311" s="8">
        <f t="array" ref="C311">PRODUCT(1-'Sparkling Model'!D$2:D$38^A311)</f>
        <v>0</v>
      </c>
    </row>
    <row r="312">
      <c r="A312" s="6">
        <v>310.0</v>
      </c>
      <c r="B312" s="17">
        <f t="array" ref="B312">SUM(1-'Sparkling Model'!D$2:D$38^A312)</f>
        <v>15.8819698</v>
      </c>
      <c r="C312" s="8">
        <f t="array" ref="C312">PRODUCT(1-'Sparkling Model'!D$2:D$38^A312)</f>
        <v>0</v>
      </c>
    </row>
    <row r="313">
      <c r="A313" s="6">
        <v>311.0</v>
      </c>
      <c r="B313" s="17">
        <f t="array" ref="B313">SUM(1-'Sparkling Model'!D$2:D$38^A313)</f>
        <v>15.9179576</v>
      </c>
      <c r="C313" s="8">
        <f t="array" ref="C313">PRODUCT(1-'Sparkling Model'!D$2:D$38^A313)</f>
        <v>0</v>
      </c>
    </row>
    <row r="314">
      <c r="A314" s="6">
        <v>312.0</v>
      </c>
      <c r="B314" s="17">
        <f t="array" ref="B314">SUM(1-'Sparkling Model'!D$2:D$38^A314)</f>
        <v>15.95387037</v>
      </c>
      <c r="C314" s="8">
        <f t="array" ref="C314">PRODUCT(1-'Sparkling Model'!D$2:D$38^A314)</f>
        <v>0</v>
      </c>
    </row>
    <row r="315">
      <c r="A315" s="6">
        <v>313.0</v>
      </c>
      <c r="B315" s="17">
        <f t="array" ref="B315">SUM(1-'Sparkling Model'!D$2:D$38^A315)</f>
        <v>15.9897083</v>
      </c>
      <c r="C315" s="8">
        <f t="array" ref="C315">PRODUCT(1-'Sparkling Model'!D$2:D$38^A315)</f>
        <v>0</v>
      </c>
    </row>
    <row r="316">
      <c r="A316" s="6">
        <v>314.0</v>
      </c>
      <c r="B316" s="17">
        <f t="array" ref="B316">SUM(1-'Sparkling Model'!D$2:D$38^A316)</f>
        <v>16.02547155</v>
      </c>
      <c r="C316" s="8">
        <f t="array" ref="C316">PRODUCT(1-'Sparkling Model'!D$2:D$38^A316)</f>
        <v>0</v>
      </c>
    </row>
    <row r="317">
      <c r="A317" s="6">
        <v>315.0</v>
      </c>
      <c r="B317" s="17">
        <f t="array" ref="B317">SUM(1-'Sparkling Model'!D$2:D$38^A317)</f>
        <v>16.06116032</v>
      </c>
      <c r="C317" s="8">
        <f t="array" ref="C317">PRODUCT(1-'Sparkling Model'!D$2:D$38^A317)</f>
        <v>0</v>
      </c>
    </row>
    <row r="318">
      <c r="A318" s="6">
        <v>316.0</v>
      </c>
      <c r="B318" s="17">
        <f t="array" ref="B318">SUM(1-'Sparkling Model'!D$2:D$38^A318)</f>
        <v>16.09677477</v>
      </c>
      <c r="C318" s="8">
        <f t="array" ref="C318">PRODUCT(1-'Sparkling Model'!D$2:D$38^A318)</f>
        <v>0</v>
      </c>
    </row>
    <row r="319">
      <c r="A319" s="6">
        <v>317.0</v>
      </c>
      <c r="B319" s="17">
        <f t="array" ref="B319">SUM(1-'Sparkling Model'!D$2:D$38^A319)</f>
        <v>16.13231508</v>
      </c>
      <c r="C319" s="8">
        <f t="array" ref="C319">PRODUCT(1-'Sparkling Model'!D$2:D$38^A319)</f>
        <v>0</v>
      </c>
    </row>
    <row r="320">
      <c r="A320" s="6">
        <v>318.0</v>
      </c>
      <c r="B320" s="17">
        <f t="array" ref="B320">SUM(1-'Sparkling Model'!D$2:D$38^A320)</f>
        <v>16.16778143</v>
      </c>
      <c r="C320" s="8">
        <f t="array" ref="C320">PRODUCT(1-'Sparkling Model'!D$2:D$38^A320)</f>
        <v>0</v>
      </c>
    </row>
    <row r="321">
      <c r="A321" s="6">
        <v>319.0</v>
      </c>
      <c r="B321" s="17">
        <f t="array" ref="B321">SUM(1-'Sparkling Model'!D$2:D$38^A321)</f>
        <v>16.20317399</v>
      </c>
      <c r="C321" s="8">
        <f t="array" ref="C321">PRODUCT(1-'Sparkling Model'!D$2:D$38^A321)</f>
        <v>0</v>
      </c>
    </row>
    <row r="322">
      <c r="A322" s="6">
        <v>320.0</v>
      </c>
      <c r="B322" s="17">
        <f t="array" ref="B322">SUM(1-'Sparkling Model'!D$2:D$38^A322)</f>
        <v>16.23849293</v>
      </c>
      <c r="C322" s="8">
        <f t="array" ref="C322">PRODUCT(1-'Sparkling Model'!D$2:D$38^A322)</f>
        <v>0</v>
      </c>
    </row>
    <row r="323">
      <c r="A323" s="6">
        <v>321.0</v>
      </c>
      <c r="B323" s="17">
        <f t="array" ref="B323">SUM(1-'Sparkling Model'!D$2:D$38^A323)</f>
        <v>16.27373844</v>
      </c>
      <c r="C323" s="8">
        <f t="array" ref="C323">PRODUCT(1-'Sparkling Model'!D$2:D$38^A323)</f>
        <v>0</v>
      </c>
    </row>
    <row r="324">
      <c r="A324" s="6">
        <v>322.0</v>
      </c>
      <c r="B324" s="17">
        <f t="array" ref="B324">SUM(1-'Sparkling Model'!D$2:D$38^A324)</f>
        <v>16.30891068</v>
      </c>
      <c r="C324" s="8">
        <f t="array" ref="C324">PRODUCT(1-'Sparkling Model'!D$2:D$38^A324)</f>
        <v>0</v>
      </c>
    </row>
    <row r="325">
      <c r="A325" s="6">
        <v>323.0</v>
      </c>
      <c r="B325" s="17">
        <f t="array" ref="B325">SUM(1-'Sparkling Model'!D$2:D$38^A325)</f>
        <v>16.34400982</v>
      </c>
      <c r="C325" s="8">
        <f t="array" ref="C325">PRODUCT(1-'Sparkling Model'!D$2:D$38^A325)</f>
        <v>0</v>
      </c>
    </row>
    <row r="326">
      <c r="A326" s="6">
        <v>324.0</v>
      </c>
      <c r="B326" s="17">
        <f t="array" ref="B326">SUM(1-'Sparkling Model'!D$2:D$38^A326)</f>
        <v>16.37903605</v>
      </c>
      <c r="C326" s="8">
        <f t="array" ref="C326">PRODUCT(1-'Sparkling Model'!D$2:D$38^A326)</f>
        <v>0</v>
      </c>
    </row>
    <row r="327">
      <c r="A327" s="6">
        <v>325.0</v>
      </c>
      <c r="B327" s="17">
        <f t="array" ref="B327">SUM(1-'Sparkling Model'!D$2:D$38^A327)</f>
        <v>16.41398953</v>
      </c>
      <c r="C327" s="8">
        <f t="array" ref="C327">PRODUCT(1-'Sparkling Model'!D$2:D$38^A327)</f>
        <v>0</v>
      </c>
    </row>
    <row r="328">
      <c r="A328" s="6">
        <v>326.0</v>
      </c>
      <c r="B328" s="17">
        <f t="array" ref="B328">SUM(1-'Sparkling Model'!D$2:D$38^A328)</f>
        <v>16.44887043</v>
      </c>
      <c r="C328" s="8">
        <f t="array" ref="C328">PRODUCT(1-'Sparkling Model'!D$2:D$38^A328)</f>
        <v>0</v>
      </c>
    </row>
    <row r="329">
      <c r="A329" s="6">
        <v>327.0</v>
      </c>
      <c r="B329" s="17">
        <f t="array" ref="B329">SUM(1-'Sparkling Model'!D$2:D$38^A329)</f>
        <v>16.48367893</v>
      </c>
      <c r="C329" s="8">
        <f t="array" ref="C329">PRODUCT(1-'Sparkling Model'!D$2:D$38^A329)</f>
        <v>0</v>
      </c>
    </row>
    <row r="330">
      <c r="A330" s="6">
        <v>328.0</v>
      </c>
      <c r="B330" s="17">
        <f t="array" ref="B330">SUM(1-'Sparkling Model'!D$2:D$38^A330)</f>
        <v>16.5184152</v>
      </c>
      <c r="C330" s="8">
        <f t="array" ref="C330">PRODUCT(1-'Sparkling Model'!D$2:D$38^A330)</f>
        <v>0</v>
      </c>
    </row>
    <row r="331">
      <c r="A331" s="6">
        <v>329.0</v>
      </c>
      <c r="B331" s="17">
        <f t="array" ref="B331">SUM(1-'Sparkling Model'!D$2:D$38^A331)</f>
        <v>16.5530794</v>
      </c>
      <c r="C331" s="8">
        <f t="array" ref="C331">PRODUCT(1-'Sparkling Model'!D$2:D$38^A331)</f>
        <v>0</v>
      </c>
    </row>
    <row r="332">
      <c r="A332" s="6">
        <v>330.0</v>
      </c>
      <c r="B332" s="17">
        <f t="array" ref="B332">SUM(1-'Sparkling Model'!D$2:D$38^A332)</f>
        <v>16.58767171</v>
      </c>
      <c r="C332" s="8">
        <f t="array" ref="C332">PRODUCT(1-'Sparkling Model'!D$2:D$38^A332)</f>
        <v>0</v>
      </c>
    </row>
    <row r="333">
      <c r="A333" s="6">
        <v>331.0</v>
      </c>
      <c r="B333" s="17">
        <f t="array" ref="B333">SUM(1-'Sparkling Model'!D$2:D$38^A333)</f>
        <v>16.6221923</v>
      </c>
      <c r="C333" s="8">
        <f t="array" ref="C333">PRODUCT(1-'Sparkling Model'!D$2:D$38^A333)</f>
        <v>0</v>
      </c>
    </row>
    <row r="334">
      <c r="A334" s="6">
        <v>332.0</v>
      </c>
      <c r="B334" s="17">
        <f t="array" ref="B334">SUM(1-'Sparkling Model'!D$2:D$38^A334)</f>
        <v>16.65664134</v>
      </c>
      <c r="C334" s="8">
        <f t="array" ref="C334">PRODUCT(1-'Sparkling Model'!D$2:D$38^A334)</f>
        <v>0</v>
      </c>
    </row>
    <row r="335">
      <c r="A335" s="6">
        <v>333.0</v>
      </c>
      <c r="B335" s="17">
        <f t="array" ref="B335">SUM(1-'Sparkling Model'!D$2:D$38^A335)</f>
        <v>16.69101899</v>
      </c>
      <c r="C335" s="8">
        <f t="array" ref="C335">PRODUCT(1-'Sparkling Model'!D$2:D$38^A335)</f>
        <v>0</v>
      </c>
    </row>
    <row r="336">
      <c r="A336" s="6">
        <v>334.0</v>
      </c>
      <c r="B336" s="17">
        <f t="array" ref="B336">SUM(1-'Sparkling Model'!D$2:D$38^A336)</f>
        <v>16.72532543</v>
      </c>
      <c r="C336" s="8">
        <f t="array" ref="C336">PRODUCT(1-'Sparkling Model'!D$2:D$38^A336)</f>
        <v>0</v>
      </c>
    </row>
    <row r="337">
      <c r="A337" s="6">
        <v>335.0</v>
      </c>
      <c r="B337" s="17">
        <f t="array" ref="B337">SUM(1-'Sparkling Model'!D$2:D$38^A337)</f>
        <v>16.75956082</v>
      </c>
      <c r="C337" s="8">
        <f t="array" ref="C337">PRODUCT(1-'Sparkling Model'!D$2:D$38^A337)</f>
        <v>0</v>
      </c>
    </row>
    <row r="338">
      <c r="A338" s="6">
        <v>336.0</v>
      </c>
      <c r="B338" s="17">
        <f t="array" ref="B338">SUM(1-'Sparkling Model'!D$2:D$38^A338)</f>
        <v>16.79372533</v>
      </c>
      <c r="C338" s="8">
        <f t="array" ref="C338">PRODUCT(1-'Sparkling Model'!D$2:D$38^A338)</f>
        <v>0</v>
      </c>
    </row>
    <row r="339">
      <c r="A339" s="6">
        <v>337.0</v>
      </c>
      <c r="B339" s="17">
        <f t="array" ref="B339">SUM(1-'Sparkling Model'!D$2:D$38^A339)</f>
        <v>16.82781913</v>
      </c>
      <c r="C339" s="8">
        <f t="array" ref="C339">PRODUCT(1-'Sparkling Model'!D$2:D$38^A339)</f>
        <v>0</v>
      </c>
    </row>
    <row r="340">
      <c r="A340" s="6">
        <v>338.0</v>
      </c>
      <c r="B340" s="17">
        <f t="array" ref="B340">SUM(1-'Sparkling Model'!D$2:D$38^A340)</f>
        <v>16.86184238</v>
      </c>
      <c r="C340" s="8">
        <f t="array" ref="C340">PRODUCT(1-'Sparkling Model'!D$2:D$38^A340)</f>
        <v>0</v>
      </c>
    </row>
    <row r="341">
      <c r="A341" s="6">
        <v>339.0</v>
      </c>
      <c r="B341" s="17">
        <f t="array" ref="B341">SUM(1-'Sparkling Model'!D$2:D$38^A341)</f>
        <v>16.89579525</v>
      </c>
      <c r="C341" s="8">
        <f t="array" ref="C341">PRODUCT(1-'Sparkling Model'!D$2:D$38^A341)</f>
        <v>0</v>
      </c>
    </row>
    <row r="342">
      <c r="A342" s="6">
        <v>340.0</v>
      </c>
      <c r="B342" s="17">
        <f t="array" ref="B342">SUM(1-'Sparkling Model'!D$2:D$38^A342)</f>
        <v>16.9296779</v>
      </c>
      <c r="C342" s="8">
        <f t="array" ref="C342">PRODUCT(1-'Sparkling Model'!D$2:D$38^A342)</f>
        <v>0</v>
      </c>
    </row>
    <row r="343">
      <c r="A343" s="6">
        <v>341.0</v>
      </c>
      <c r="B343" s="17">
        <f t="array" ref="B343">SUM(1-'Sparkling Model'!D$2:D$38^A343)</f>
        <v>16.96349051</v>
      </c>
      <c r="C343" s="8">
        <f t="array" ref="C343">PRODUCT(1-'Sparkling Model'!D$2:D$38^A343)</f>
        <v>0</v>
      </c>
    </row>
    <row r="344">
      <c r="A344" s="6">
        <v>342.0</v>
      </c>
      <c r="B344" s="17">
        <f t="array" ref="B344">SUM(1-'Sparkling Model'!D$2:D$38^A344)</f>
        <v>16.99723324</v>
      </c>
      <c r="C344" s="8">
        <f t="array" ref="C344">PRODUCT(1-'Sparkling Model'!D$2:D$38^A344)</f>
        <v>0</v>
      </c>
    </row>
    <row r="345">
      <c r="A345" s="6">
        <v>343.0</v>
      </c>
      <c r="B345" s="17">
        <f t="array" ref="B345">SUM(1-'Sparkling Model'!D$2:D$38^A345)</f>
        <v>17.03090624</v>
      </c>
      <c r="C345" s="8">
        <f t="array" ref="C345">PRODUCT(1-'Sparkling Model'!D$2:D$38^A345)</f>
        <v>0</v>
      </c>
    </row>
    <row r="346">
      <c r="A346" s="6">
        <v>344.0</v>
      </c>
      <c r="B346" s="17">
        <f t="array" ref="B346">SUM(1-'Sparkling Model'!D$2:D$38^A346)</f>
        <v>17.06450969</v>
      </c>
      <c r="C346" s="8">
        <f t="array" ref="C346">PRODUCT(1-'Sparkling Model'!D$2:D$38^A346)</f>
        <v>0</v>
      </c>
    </row>
    <row r="347">
      <c r="A347" s="6">
        <v>345.0</v>
      </c>
      <c r="B347" s="17">
        <f t="array" ref="B347">SUM(1-'Sparkling Model'!D$2:D$38^A347)</f>
        <v>17.09804375</v>
      </c>
      <c r="C347" s="8">
        <f t="array" ref="C347">PRODUCT(1-'Sparkling Model'!D$2:D$38^A347)</f>
        <v>0</v>
      </c>
    </row>
    <row r="348">
      <c r="A348" s="6">
        <v>346.0</v>
      </c>
      <c r="B348" s="17">
        <f t="array" ref="B348">SUM(1-'Sparkling Model'!D$2:D$38^A348)</f>
        <v>17.13150858</v>
      </c>
      <c r="C348" s="8">
        <f t="array" ref="C348">PRODUCT(1-'Sparkling Model'!D$2:D$38^A348)</f>
        <v>0</v>
      </c>
    </row>
    <row r="349">
      <c r="A349" s="6">
        <v>347.0</v>
      </c>
      <c r="B349" s="17">
        <f t="array" ref="B349">SUM(1-'Sparkling Model'!D$2:D$38^A349)</f>
        <v>17.16490435</v>
      </c>
      <c r="C349" s="8">
        <f t="array" ref="C349">PRODUCT(1-'Sparkling Model'!D$2:D$38^A349)</f>
        <v>0</v>
      </c>
    </row>
    <row r="350">
      <c r="A350" s="6">
        <v>348.0</v>
      </c>
      <c r="B350" s="17">
        <f t="array" ref="B350">SUM(1-'Sparkling Model'!D$2:D$38^A350)</f>
        <v>17.19823121</v>
      </c>
      <c r="C350" s="8">
        <f t="array" ref="C350">PRODUCT(1-'Sparkling Model'!D$2:D$38^A350)</f>
        <v>0</v>
      </c>
    </row>
    <row r="351">
      <c r="A351" s="6">
        <v>349.0</v>
      </c>
      <c r="B351" s="17">
        <f t="array" ref="B351">SUM(1-'Sparkling Model'!D$2:D$38^A351)</f>
        <v>17.23148933</v>
      </c>
      <c r="C351" s="8">
        <f t="array" ref="C351">PRODUCT(1-'Sparkling Model'!D$2:D$38^A351)</f>
        <v>0</v>
      </c>
    </row>
    <row r="352">
      <c r="A352" s="6">
        <v>350.0</v>
      </c>
      <c r="B352" s="17">
        <f t="array" ref="B352">SUM(1-'Sparkling Model'!D$2:D$38^A352)</f>
        <v>17.26467888</v>
      </c>
      <c r="C352" s="8">
        <f t="array" ref="C352">PRODUCT(1-'Sparkling Model'!D$2:D$38^A352)</f>
        <v>0</v>
      </c>
    </row>
    <row r="353">
      <c r="A353" s="6">
        <v>351.0</v>
      </c>
      <c r="B353" s="17">
        <f t="array" ref="B353">SUM(1-'Sparkling Model'!D$2:D$38^A353)</f>
        <v>17.2978</v>
      </c>
      <c r="C353" s="8">
        <f t="array" ref="C353">PRODUCT(1-'Sparkling Model'!D$2:D$38^A353)</f>
        <v>0</v>
      </c>
    </row>
    <row r="354">
      <c r="A354" s="6">
        <v>352.0</v>
      </c>
      <c r="B354" s="17">
        <f t="array" ref="B354">SUM(1-'Sparkling Model'!D$2:D$38^A354)</f>
        <v>17.33085287</v>
      </c>
      <c r="C354" s="8">
        <f t="array" ref="C354">PRODUCT(1-'Sparkling Model'!D$2:D$38^A354)</f>
        <v>0</v>
      </c>
    </row>
    <row r="355">
      <c r="A355" s="6">
        <v>353.0</v>
      </c>
      <c r="B355" s="17">
        <f t="array" ref="B355">SUM(1-'Sparkling Model'!D$2:D$38^A355)</f>
        <v>17.36383765</v>
      </c>
      <c r="C355" s="8">
        <f t="array" ref="C355">PRODUCT(1-'Sparkling Model'!D$2:D$38^A355)</f>
        <v>0</v>
      </c>
    </row>
    <row r="356">
      <c r="A356" s="6">
        <v>354.0</v>
      </c>
      <c r="B356" s="17">
        <f t="array" ref="B356">SUM(1-'Sparkling Model'!D$2:D$38^A356)</f>
        <v>17.39675448</v>
      </c>
      <c r="C356" s="8">
        <f t="array" ref="C356">PRODUCT(1-'Sparkling Model'!D$2:D$38^A356)</f>
        <v>0</v>
      </c>
    </row>
    <row r="357">
      <c r="A357" s="6">
        <v>355.0</v>
      </c>
      <c r="B357" s="17">
        <f t="array" ref="B357">SUM(1-'Sparkling Model'!D$2:D$38^A357)</f>
        <v>17.42960354</v>
      </c>
      <c r="C357" s="8">
        <f t="array" ref="C357">PRODUCT(1-'Sparkling Model'!D$2:D$38^A357)</f>
        <v>0</v>
      </c>
    </row>
    <row r="358">
      <c r="A358" s="6">
        <v>356.0</v>
      </c>
      <c r="B358" s="17">
        <f t="array" ref="B358">SUM(1-'Sparkling Model'!D$2:D$38^A358)</f>
        <v>17.46238498</v>
      </c>
      <c r="C358" s="8">
        <f t="array" ref="C358">PRODUCT(1-'Sparkling Model'!D$2:D$38^A358)</f>
        <v>0</v>
      </c>
    </row>
    <row r="359">
      <c r="A359" s="6">
        <v>357.0</v>
      </c>
      <c r="B359" s="17">
        <f t="array" ref="B359">SUM(1-'Sparkling Model'!D$2:D$38^A359)</f>
        <v>17.49509896</v>
      </c>
      <c r="C359" s="8">
        <f t="array" ref="C359">PRODUCT(1-'Sparkling Model'!D$2:D$38^A359)</f>
        <v>0</v>
      </c>
    </row>
    <row r="360">
      <c r="A360" s="6">
        <v>358.0</v>
      </c>
      <c r="B360" s="17">
        <f t="array" ref="B360">SUM(1-'Sparkling Model'!D$2:D$38^A360)</f>
        <v>17.52774565</v>
      </c>
      <c r="C360" s="8">
        <f t="array" ref="C360">PRODUCT(1-'Sparkling Model'!D$2:D$38^A360)</f>
        <v>0</v>
      </c>
    </row>
    <row r="361">
      <c r="A361" s="6">
        <v>359.0</v>
      </c>
      <c r="B361" s="17">
        <f t="array" ref="B361">SUM(1-'Sparkling Model'!D$2:D$38^A361)</f>
        <v>17.56032519</v>
      </c>
      <c r="C361" s="8">
        <f t="array" ref="C361">PRODUCT(1-'Sparkling Model'!D$2:D$38^A361)</f>
        <v>0</v>
      </c>
    </row>
    <row r="362">
      <c r="A362" s="6">
        <v>360.0</v>
      </c>
      <c r="B362" s="17">
        <f t="array" ref="B362">SUM(1-'Sparkling Model'!D$2:D$38^A362)</f>
        <v>17.59283774</v>
      </c>
      <c r="C362" s="8">
        <f t="array" ref="C362">PRODUCT(1-'Sparkling Model'!D$2:D$38^A362)</f>
        <v>0</v>
      </c>
    </row>
    <row r="363">
      <c r="A363" s="6">
        <v>361.0</v>
      </c>
      <c r="B363" s="17">
        <f t="array" ref="B363">SUM(1-'Sparkling Model'!D$2:D$38^A363)</f>
        <v>17.62528346</v>
      </c>
      <c r="C363" s="8">
        <f t="array" ref="C363">PRODUCT(1-'Sparkling Model'!D$2:D$38^A363)</f>
        <v>0</v>
      </c>
    </row>
    <row r="364">
      <c r="A364" s="6">
        <v>362.0</v>
      </c>
      <c r="B364" s="17">
        <f t="array" ref="B364">SUM(1-'Sparkling Model'!D$2:D$38^A364)</f>
        <v>17.65766252</v>
      </c>
      <c r="C364" s="8">
        <f t="array" ref="C364">PRODUCT(1-'Sparkling Model'!D$2:D$38^A364)</f>
        <v>0</v>
      </c>
    </row>
    <row r="365">
      <c r="A365" s="6">
        <v>363.0</v>
      </c>
      <c r="B365" s="17">
        <f t="array" ref="B365">SUM(1-'Sparkling Model'!D$2:D$38^A365)</f>
        <v>17.68997506</v>
      </c>
      <c r="C365" s="8">
        <f t="array" ref="C365">PRODUCT(1-'Sparkling Model'!D$2:D$38^A365)</f>
        <v>0</v>
      </c>
    </row>
    <row r="366">
      <c r="A366" s="6">
        <v>364.0</v>
      </c>
      <c r="B366" s="17">
        <f t="array" ref="B366">SUM(1-'Sparkling Model'!D$2:D$38^A366)</f>
        <v>17.72222124</v>
      </c>
      <c r="C366" s="8">
        <f t="array" ref="C366">PRODUCT(1-'Sparkling Model'!D$2:D$38^A366)</f>
        <v>0</v>
      </c>
    </row>
    <row r="367">
      <c r="A367" s="6">
        <v>365.0</v>
      </c>
      <c r="B367" s="17">
        <f t="array" ref="B367">SUM(1-'Sparkling Model'!D$2:D$38^A367)</f>
        <v>17.75440121</v>
      </c>
      <c r="C367" s="8">
        <f t="array" ref="C367">PRODUCT(1-'Sparkling Model'!D$2:D$38^A367)</f>
        <v>0</v>
      </c>
    </row>
    <row r="368">
      <c r="A368" s="6">
        <v>366.0</v>
      </c>
      <c r="B368" s="17">
        <f t="array" ref="B368">SUM(1-'Sparkling Model'!D$2:D$38^A368)</f>
        <v>17.78651514</v>
      </c>
      <c r="C368" s="8">
        <f t="array" ref="C368">PRODUCT(1-'Sparkling Model'!D$2:D$38^A368)</f>
        <v>0</v>
      </c>
    </row>
    <row r="369">
      <c r="A369" s="6">
        <v>367.0</v>
      </c>
      <c r="B369" s="17">
        <f t="array" ref="B369">SUM(1-'Sparkling Model'!D$2:D$38^A369)</f>
        <v>17.81856317</v>
      </c>
      <c r="C369" s="8">
        <f t="array" ref="C369">PRODUCT(1-'Sparkling Model'!D$2:D$38^A369)</f>
        <v>0</v>
      </c>
    </row>
    <row r="370">
      <c r="A370" s="6">
        <v>368.0</v>
      </c>
      <c r="B370" s="17">
        <f t="array" ref="B370">SUM(1-'Sparkling Model'!D$2:D$38^A370)</f>
        <v>17.85054547</v>
      </c>
      <c r="C370" s="8">
        <f t="array" ref="C370">PRODUCT(1-'Sparkling Model'!D$2:D$38^A370)</f>
        <v>0</v>
      </c>
    </row>
    <row r="371">
      <c r="A371" s="6">
        <v>369.0</v>
      </c>
      <c r="B371" s="17">
        <f t="array" ref="B371">SUM(1-'Sparkling Model'!D$2:D$38^A371)</f>
        <v>17.88246218</v>
      </c>
      <c r="C371" s="8">
        <f t="array" ref="C371">PRODUCT(1-'Sparkling Model'!D$2:D$38^A371)</f>
        <v>0</v>
      </c>
    </row>
    <row r="372">
      <c r="A372" s="6">
        <v>370.0</v>
      </c>
      <c r="B372" s="17">
        <f t="array" ref="B372">SUM(1-'Sparkling Model'!D$2:D$38^A372)</f>
        <v>17.91431345</v>
      </c>
      <c r="C372" s="8">
        <f t="array" ref="C372">PRODUCT(1-'Sparkling Model'!D$2:D$38^A372)</f>
        <v>0</v>
      </c>
    </row>
    <row r="373">
      <c r="A373" s="6">
        <v>371.0</v>
      </c>
      <c r="B373" s="17">
        <f t="array" ref="B373">SUM(1-'Sparkling Model'!D$2:D$38^A373)</f>
        <v>17.94609945</v>
      </c>
      <c r="C373" s="8">
        <f t="array" ref="C373">PRODUCT(1-'Sparkling Model'!D$2:D$38^A373)</f>
        <v>0</v>
      </c>
    </row>
    <row r="374">
      <c r="A374" s="6">
        <v>372.0</v>
      </c>
      <c r="B374" s="17">
        <f t="array" ref="B374">SUM(1-'Sparkling Model'!D$2:D$38^A374)</f>
        <v>17.97782032</v>
      </c>
      <c r="C374" s="8">
        <f t="array" ref="C374">PRODUCT(1-'Sparkling Model'!D$2:D$38^A374)</f>
        <v>0</v>
      </c>
    </row>
    <row r="375">
      <c r="A375" s="6">
        <v>373.0</v>
      </c>
      <c r="B375" s="17">
        <f t="array" ref="B375">SUM(1-'Sparkling Model'!D$2:D$38^A375)</f>
        <v>18.00947622</v>
      </c>
      <c r="C375" s="8">
        <f t="array" ref="C375">PRODUCT(1-'Sparkling Model'!D$2:D$38^A375)</f>
        <v>0</v>
      </c>
    </row>
    <row r="376">
      <c r="A376" s="6">
        <v>374.0</v>
      </c>
      <c r="B376" s="17">
        <f t="array" ref="B376">SUM(1-'Sparkling Model'!D$2:D$38^A376)</f>
        <v>18.04106729</v>
      </c>
      <c r="C376" s="8">
        <f t="array" ref="C376">PRODUCT(1-'Sparkling Model'!D$2:D$38^A376)</f>
        <v>0</v>
      </c>
    </row>
    <row r="377">
      <c r="A377" s="6">
        <v>375.0</v>
      </c>
      <c r="B377" s="17">
        <f t="array" ref="B377">SUM(1-'Sparkling Model'!D$2:D$38^A377)</f>
        <v>18.0725937</v>
      </c>
      <c r="C377" s="8">
        <f t="array" ref="C377">PRODUCT(1-'Sparkling Model'!D$2:D$38^A377)</f>
        <v>0</v>
      </c>
    </row>
    <row r="378">
      <c r="A378" s="6">
        <v>376.0</v>
      </c>
      <c r="B378" s="17">
        <f t="array" ref="B378">SUM(1-'Sparkling Model'!D$2:D$38^A378)</f>
        <v>18.10405558</v>
      </c>
      <c r="C378" s="8">
        <f t="array" ref="C378">PRODUCT(1-'Sparkling Model'!D$2:D$38^A378)</f>
        <v>0</v>
      </c>
    </row>
    <row r="379">
      <c r="A379" s="6">
        <v>377.0</v>
      </c>
      <c r="B379" s="17">
        <f t="array" ref="B379">SUM(1-'Sparkling Model'!D$2:D$38^A379)</f>
        <v>18.1354531</v>
      </c>
      <c r="C379" s="8">
        <f t="array" ref="C379">PRODUCT(1-'Sparkling Model'!D$2:D$38^A379)</f>
        <v>0</v>
      </c>
    </row>
    <row r="380">
      <c r="A380" s="6">
        <v>378.0</v>
      </c>
      <c r="B380" s="17">
        <f t="array" ref="B380">SUM(1-'Sparkling Model'!D$2:D$38^A380)</f>
        <v>18.1667864</v>
      </c>
      <c r="C380" s="8">
        <f t="array" ref="C380">PRODUCT(1-'Sparkling Model'!D$2:D$38^A380)</f>
        <v>0</v>
      </c>
    </row>
    <row r="381">
      <c r="A381" s="6">
        <v>379.0</v>
      </c>
      <c r="B381" s="17">
        <f t="array" ref="B381">SUM(1-'Sparkling Model'!D$2:D$38^A381)</f>
        <v>18.19805563</v>
      </c>
      <c r="C381" s="8">
        <f t="array" ref="C381">PRODUCT(1-'Sparkling Model'!D$2:D$38^A381)</f>
        <v>0</v>
      </c>
    </row>
    <row r="382">
      <c r="A382" s="6">
        <v>380.0</v>
      </c>
      <c r="B382" s="17">
        <f t="array" ref="B382">SUM(1-'Sparkling Model'!D$2:D$38^A382)</f>
        <v>18.22926094</v>
      </c>
      <c r="C382" s="8">
        <f t="array" ref="C382">PRODUCT(1-'Sparkling Model'!D$2:D$38^A382)</f>
        <v>0</v>
      </c>
    </row>
    <row r="383">
      <c r="A383" s="6">
        <v>381.0</v>
      </c>
      <c r="B383" s="17">
        <f t="array" ref="B383">SUM(1-'Sparkling Model'!D$2:D$38^A383)</f>
        <v>18.26040248</v>
      </c>
      <c r="C383" s="8">
        <f t="array" ref="C383">PRODUCT(1-'Sparkling Model'!D$2:D$38^A383)</f>
        <v>0</v>
      </c>
    </row>
    <row r="384">
      <c r="A384" s="6">
        <v>382.0</v>
      </c>
      <c r="B384" s="17">
        <f t="array" ref="B384">SUM(1-'Sparkling Model'!D$2:D$38^A384)</f>
        <v>18.29148041</v>
      </c>
      <c r="C384" s="8">
        <f t="array" ref="C384">PRODUCT(1-'Sparkling Model'!D$2:D$38^A384)</f>
        <v>0</v>
      </c>
    </row>
    <row r="385">
      <c r="A385" s="6">
        <v>383.0</v>
      </c>
      <c r="B385" s="17">
        <f t="array" ref="B385">SUM(1-'Sparkling Model'!D$2:D$38^A385)</f>
        <v>18.32249486</v>
      </c>
      <c r="C385" s="8">
        <f t="array" ref="C385">PRODUCT(1-'Sparkling Model'!D$2:D$38^A385)</f>
        <v>0</v>
      </c>
    </row>
    <row r="386">
      <c r="A386" s="6">
        <v>384.0</v>
      </c>
      <c r="B386" s="17">
        <f t="array" ref="B386">SUM(1-'Sparkling Model'!D$2:D$38^A386)</f>
        <v>18.35344598</v>
      </c>
      <c r="C386" s="8">
        <f t="array" ref="C386">PRODUCT(1-'Sparkling Model'!D$2:D$38^A386)</f>
        <v>0</v>
      </c>
    </row>
    <row r="387">
      <c r="A387" s="6">
        <v>385.0</v>
      </c>
      <c r="B387" s="17">
        <f t="array" ref="B387">SUM(1-'Sparkling Model'!D$2:D$38^A387)</f>
        <v>18.38433394</v>
      </c>
      <c r="C387" s="8">
        <f t="array" ref="C387">PRODUCT(1-'Sparkling Model'!D$2:D$38^A387)</f>
        <v>0</v>
      </c>
    </row>
    <row r="388">
      <c r="A388" s="6">
        <v>386.0</v>
      </c>
      <c r="B388" s="17">
        <f t="array" ref="B388">SUM(1-'Sparkling Model'!D$2:D$38^A388)</f>
        <v>18.41515886</v>
      </c>
      <c r="C388" s="8">
        <f t="array" ref="C388">PRODUCT(1-'Sparkling Model'!D$2:D$38^A388)</f>
        <v>0</v>
      </c>
    </row>
    <row r="389">
      <c r="A389" s="6">
        <v>387.0</v>
      </c>
      <c r="B389" s="17">
        <f t="array" ref="B389">SUM(1-'Sparkling Model'!D$2:D$38^A389)</f>
        <v>18.4459209</v>
      </c>
      <c r="C389" s="8">
        <f t="array" ref="C389">PRODUCT(1-'Sparkling Model'!D$2:D$38^A389)</f>
        <v>0</v>
      </c>
    </row>
    <row r="390">
      <c r="A390" s="6">
        <v>388.0</v>
      </c>
      <c r="B390" s="17">
        <f t="array" ref="B390">SUM(1-'Sparkling Model'!D$2:D$38^A390)</f>
        <v>18.47662021</v>
      </c>
      <c r="C390" s="8">
        <f t="array" ref="C390">PRODUCT(1-'Sparkling Model'!D$2:D$38^A390)</f>
        <v>0</v>
      </c>
    </row>
    <row r="391">
      <c r="A391" s="6">
        <v>389.0</v>
      </c>
      <c r="B391" s="17">
        <f t="array" ref="B391">SUM(1-'Sparkling Model'!D$2:D$38^A391)</f>
        <v>18.50725692</v>
      </c>
      <c r="C391" s="8">
        <f t="array" ref="C391">PRODUCT(1-'Sparkling Model'!D$2:D$38^A391)</f>
        <v>0</v>
      </c>
    </row>
    <row r="392">
      <c r="A392" s="6">
        <v>390.0</v>
      </c>
      <c r="B392" s="17">
        <f t="array" ref="B392">SUM(1-'Sparkling Model'!D$2:D$38^A392)</f>
        <v>18.5378312</v>
      </c>
      <c r="C392" s="8">
        <f t="array" ref="C392">PRODUCT(1-'Sparkling Model'!D$2:D$38^A392)</f>
        <v>0</v>
      </c>
    </row>
    <row r="393">
      <c r="A393" s="6">
        <v>391.0</v>
      </c>
      <c r="B393" s="17">
        <f t="array" ref="B393">SUM(1-'Sparkling Model'!D$2:D$38^A393)</f>
        <v>18.56834318</v>
      </c>
      <c r="C393" s="8">
        <f t="array" ref="C393">PRODUCT(1-'Sparkling Model'!D$2:D$38^A393)</f>
        <v>0</v>
      </c>
    </row>
    <row r="394">
      <c r="A394" s="6">
        <v>392.0</v>
      </c>
      <c r="B394" s="17">
        <f t="array" ref="B394">SUM(1-'Sparkling Model'!D$2:D$38^A394)</f>
        <v>18.598793</v>
      </c>
      <c r="C394" s="8">
        <f t="array" ref="C394">PRODUCT(1-'Sparkling Model'!D$2:D$38^A394)</f>
        <v>0</v>
      </c>
    </row>
    <row r="395">
      <c r="A395" s="6">
        <v>393.0</v>
      </c>
      <c r="B395" s="17">
        <f t="array" ref="B395">SUM(1-'Sparkling Model'!D$2:D$38^A395)</f>
        <v>18.62918082</v>
      </c>
      <c r="C395" s="8">
        <f t="array" ref="C395">PRODUCT(1-'Sparkling Model'!D$2:D$38^A395)</f>
        <v>0</v>
      </c>
    </row>
    <row r="396">
      <c r="A396" s="6">
        <v>394.0</v>
      </c>
      <c r="B396" s="17">
        <f t="array" ref="B396">SUM(1-'Sparkling Model'!D$2:D$38^A396)</f>
        <v>18.65950677</v>
      </c>
      <c r="C396" s="8">
        <f t="array" ref="C396">PRODUCT(1-'Sparkling Model'!D$2:D$38^A396)</f>
        <v>0</v>
      </c>
    </row>
    <row r="397">
      <c r="A397" s="6">
        <v>395.0</v>
      </c>
      <c r="B397" s="17">
        <f t="array" ref="B397">SUM(1-'Sparkling Model'!D$2:D$38^A397)</f>
        <v>18.689771</v>
      </c>
      <c r="C397" s="8">
        <f t="array" ref="C397">PRODUCT(1-'Sparkling Model'!D$2:D$38^A397)</f>
        <v>0</v>
      </c>
    </row>
    <row r="398">
      <c r="A398" s="6">
        <v>396.0</v>
      </c>
      <c r="B398" s="17">
        <f t="array" ref="B398">SUM(1-'Sparkling Model'!D$2:D$38^A398)</f>
        <v>18.71997366</v>
      </c>
      <c r="C398" s="8">
        <f t="array" ref="C398">PRODUCT(1-'Sparkling Model'!D$2:D$38^A398)</f>
        <v>0</v>
      </c>
    </row>
    <row r="399">
      <c r="A399" s="6">
        <v>397.0</v>
      </c>
      <c r="B399" s="17">
        <f t="array" ref="B399">SUM(1-'Sparkling Model'!D$2:D$38^A399)</f>
        <v>18.75011489</v>
      </c>
      <c r="C399" s="8">
        <f t="array" ref="C399">PRODUCT(1-'Sparkling Model'!D$2:D$38^A399)</f>
        <v>0</v>
      </c>
    </row>
    <row r="400">
      <c r="A400" s="6">
        <v>398.0</v>
      </c>
      <c r="B400" s="17">
        <f t="array" ref="B400">SUM(1-'Sparkling Model'!D$2:D$38^A400)</f>
        <v>18.78019483</v>
      </c>
      <c r="C400" s="8">
        <f t="array" ref="C400">PRODUCT(1-'Sparkling Model'!D$2:D$38^A400)</f>
        <v>0</v>
      </c>
    </row>
    <row r="401">
      <c r="A401" s="6">
        <v>399.0</v>
      </c>
      <c r="B401" s="17">
        <f t="array" ref="B401">SUM(1-'Sparkling Model'!D$2:D$38^A401)</f>
        <v>18.81021362</v>
      </c>
      <c r="C401" s="8">
        <f t="array" ref="C401">PRODUCT(1-'Sparkling Model'!D$2:D$38^A401)</f>
        <v>0</v>
      </c>
    </row>
    <row r="402">
      <c r="A402" s="6">
        <v>400.0</v>
      </c>
      <c r="B402" s="17">
        <f t="array" ref="B402">SUM(1-'Sparkling Model'!D$2:D$38^A402)</f>
        <v>18.8401714</v>
      </c>
      <c r="C402" s="8">
        <f t="array" ref="C402">PRODUCT(1-'Sparkling Model'!D$2:D$38^A402)</f>
        <v>0</v>
      </c>
    </row>
    <row r="403">
      <c r="A403" s="6">
        <v>401.0</v>
      </c>
      <c r="B403" s="17">
        <f t="array" ref="B403">SUM(1-'Sparkling Model'!D$2:D$38^A403)</f>
        <v>18.87006832</v>
      </c>
      <c r="C403" s="8">
        <f t="array" ref="C403">PRODUCT(1-'Sparkling Model'!D$2:D$38^A403)</f>
        <v>0</v>
      </c>
    </row>
    <row r="404">
      <c r="A404" s="6">
        <v>402.0</v>
      </c>
      <c r="B404" s="17">
        <f t="array" ref="B404">SUM(1-'Sparkling Model'!D$2:D$38^A404)</f>
        <v>18.89990452</v>
      </c>
      <c r="C404" s="8">
        <f t="array" ref="C404">PRODUCT(1-'Sparkling Model'!D$2:D$38^A404)</f>
        <v>0</v>
      </c>
    </row>
    <row r="405">
      <c r="A405" s="6">
        <v>403.0</v>
      </c>
      <c r="B405" s="17">
        <f t="array" ref="B405">SUM(1-'Sparkling Model'!D$2:D$38^A405)</f>
        <v>18.92968014</v>
      </c>
      <c r="C405" s="8">
        <f t="array" ref="C405">PRODUCT(1-'Sparkling Model'!D$2:D$38^A405)</f>
        <v>0</v>
      </c>
    </row>
    <row r="406">
      <c r="A406" s="6">
        <v>404.0</v>
      </c>
      <c r="B406" s="17">
        <f t="array" ref="B406">SUM(1-'Sparkling Model'!D$2:D$38^A406)</f>
        <v>18.95939532</v>
      </c>
      <c r="C406" s="8">
        <f t="array" ref="C406">PRODUCT(1-'Sparkling Model'!D$2:D$38^A406)</f>
        <v>0</v>
      </c>
    </row>
    <row r="407">
      <c r="A407" s="6">
        <v>405.0</v>
      </c>
      <c r="B407" s="17">
        <f t="array" ref="B407">SUM(1-'Sparkling Model'!D$2:D$38^A407)</f>
        <v>18.98905021</v>
      </c>
      <c r="C407" s="8">
        <f t="array" ref="C407">PRODUCT(1-'Sparkling Model'!D$2:D$38^A407)</f>
        <v>0</v>
      </c>
    </row>
    <row r="408">
      <c r="A408" s="6">
        <v>406.0</v>
      </c>
      <c r="B408" s="17">
        <f t="array" ref="B408">SUM(1-'Sparkling Model'!D$2:D$38^A408)</f>
        <v>19.01864493</v>
      </c>
      <c r="C408" s="8">
        <f t="array" ref="C408">PRODUCT(1-'Sparkling Model'!D$2:D$38^A408)</f>
        <v>0</v>
      </c>
    </row>
    <row r="409">
      <c r="A409" s="6">
        <v>407.0</v>
      </c>
      <c r="B409" s="17">
        <f t="array" ref="B409">SUM(1-'Sparkling Model'!D$2:D$38^A409)</f>
        <v>19.04817963</v>
      </c>
      <c r="C409" s="8">
        <f t="array" ref="C409">PRODUCT(1-'Sparkling Model'!D$2:D$38^A409)</f>
        <v>0</v>
      </c>
    </row>
    <row r="410">
      <c r="A410" s="6">
        <v>408.0</v>
      </c>
      <c r="B410" s="17">
        <f t="array" ref="B410">SUM(1-'Sparkling Model'!D$2:D$38^A410)</f>
        <v>19.07765445</v>
      </c>
      <c r="C410" s="8">
        <f t="array" ref="C410">PRODUCT(1-'Sparkling Model'!D$2:D$38^A410)</f>
        <v>0</v>
      </c>
    </row>
    <row r="411">
      <c r="A411" s="6">
        <v>409.0</v>
      </c>
      <c r="B411" s="17">
        <f t="array" ref="B411">SUM(1-'Sparkling Model'!D$2:D$38^A411)</f>
        <v>19.10706953</v>
      </c>
      <c r="C411" s="8">
        <f t="array" ref="C411">PRODUCT(1-'Sparkling Model'!D$2:D$38^A411)</f>
        <v>0</v>
      </c>
    </row>
    <row r="412">
      <c r="A412" s="6">
        <v>410.0</v>
      </c>
      <c r="B412" s="17">
        <f t="array" ref="B412">SUM(1-'Sparkling Model'!D$2:D$38^A412)</f>
        <v>19.13642501</v>
      </c>
      <c r="C412" s="8">
        <f t="array" ref="C412">PRODUCT(1-'Sparkling Model'!D$2:D$38^A412)</f>
        <v>0</v>
      </c>
    </row>
    <row r="413">
      <c r="A413" s="6">
        <v>411.0</v>
      </c>
      <c r="B413" s="17">
        <f t="array" ref="B413">SUM(1-'Sparkling Model'!D$2:D$38^A413)</f>
        <v>19.16572102</v>
      </c>
      <c r="C413" s="8">
        <f t="array" ref="C413">PRODUCT(1-'Sparkling Model'!D$2:D$38^A413)</f>
        <v>0</v>
      </c>
    </row>
    <row r="414">
      <c r="A414" s="6">
        <v>412.0</v>
      </c>
      <c r="B414" s="17">
        <f t="array" ref="B414">SUM(1-'Sparkling Model'!D$2:D$38^A414)</f>
        <v>19.19495771</v>
      </c>
      <c r="C414" s="8">
        <f t="array" ref="C414">PRODUCT(1-'Sparkling Model'!D$2:D$38^A414)</f>
        <v>0</v>
      </c>
    </row>
    <row r="415">
      <c r="A415" s="6">
        <v>413.0</v>
      </c>
      <c r="B415" s="17">
        <f t="array" ref="B415">SUM(1-'Sparkling Model'!D$2:D$38^A415)</f>
        <v>19.2241352</v>
      </c>
      <c r="C415" s="8">
        <f t="array" ref="C415">PRODUCT(1-'Sparkling Model'!D$2:D$38^A415)</f>
        <v>0</v>
      </c>
    </row>
    <row r="416">
      <c r="A416" s="6">
        <v>414.0</v>
      </c>
      <c r="B416" s="17">
        <f t="array" ref="B416">SUM(1-'Sparkling Model'!D$2:D$38^A416)</f>
        <v>19.25325365</v>
      </c>
      <c r="C416" s="8">
        <f t="array" ref="C416">PRODUCT(1-'Sparkling Model'!D$2:D$38^A416)</f>
        <v>0</v>
      </c>
    </row>
    <row r="417">
      <c r="A417" s="6">
        <v>415.0</v>
      </c>
      <c r="B417" s="17">
        <f t="array" ref="B417">SUM(1-'Sparkling Model'!D$2:D$38^A417)</f>
        <v>19.28231318</v>
      </c>
      <c r="C417" s="8">
        <f t="array" ref="C417">PRODUCT(1-'Sparkling Model'!D$2:D$38^A417)</f>
        <v>0</v>
      </c>
    </row>
    <row r="418">
      <c r="A418" s="6">
        <v>416.0</v>
      </c>
      <c r="B418" s="17">
        <f t="array" ref="B418">SUM(1-'Sparkling Model'!D$2:D$38^A418)</f>
        <v>19.31131393</v>
      </c>
      <c r="C418" s="8">
        <f t="array" ref="C418">PRODUCT(1-'Sparkling Model'!D$2:D$38^A418)</f>
        <v>0</v>
      </c>
    </row>
    <row r="419">
      <c r="A419" s="6">
        <v>417.0</v>
      </c>
      <c r="B419" s="17">
        <f t="array" ref="B419">SUM(1-'Sparkling Model'!D$2:D$38^A419)</f>
        <v>19.34025603</v>
      </c>
      <c r="C419" s="8">
        <f t="array" ref="C419">PRODUCT(1-'Sparkling Model'!D$2:D$38^A419)</f>
        <v>0</v>
      </c>
    </row>
    <row r="420">
      <c r="A420" s="6">
        <v>418.0</v>
      </c>
      <c r="B420" s="17">
        <f t="array" ref="B420">SUM(1-'Sparkling Model'!D$2:D$38^A420)</f>
        <v>19.36913963</v>
      </c>
      <c r="C420" s="8">
        <f t="array" ref="C420">PRODUCT(1-'Sparkling Model'!D$2:D$38^A420)</f>
        <v>0</v>
      </c>
    </row>
    <row r="421">
      <c r="A421" s="6">
        <v>419.0</v>
      </c>
      <c r="B421" s="17">
        <f t="array" ref="B421">SUM(1-'Sparkling Model'!D$2:D$38^A421)</f>
        <v>19.39796486</v>
      </c>
      <c r="C421" s="8">
        <f t="array" ref="C421">PRODUCT(1-'Sparkling Model'!D$2:D$38^A421)</f>
        <v>0</v>
      </c>
    </row>
    <row r="422">
      <c r="A422" s="6">
        <v>420.0</v>
      </c>
      <c r="B422" s="17">
        <f t="array" ref="B422">SUM(1-'Sparkling Model'!D$2:D$38^A422)</f>
        <v>19.42673186</v>
      </c>
      <c r="C422" s="8">
        <f t="array" ref="C422">PRODUCT(1-'Sparkling Model'!D$2:D$38^A422)</f>
        <v>0</v>
      </c>
    </row>
    <row r="423">
      <c r="A423" s="6">
        <v>421.0</v>
      </c>
      <c r="B423" s="17">
        <f t="array" ref="B423">SUM(1-'Sparkling Model'!D$2:D$38^A423)</f>
        <v>19.45544075</v>
      </c>
      <c r="C423" s="8">
        <f t="array" ref="C423">PRODUCT(1-'Sparkling Model'!D$2:D$38^A423)</f>
        <v>0</v>
      </c>
    </row>
    <row r="424">
      <c r="A424" s="6">
        <v>422.0</v>
      </c>
      <c r="B424" s="17">
        <f t="array" ref="B424">SUM(1-'Sparkling Model'!D$2:D$38^A424)</f>
        <v>19.48409167</v>
      </c>
      <c r="C424" s="8">
        <f t="array" ref="C424">PRODUCT(1-'Sparkling Model'!D$2:D$38^A424)</f>
        <v>0</v>
      </c>
    </row>
    <row r="425">
      <c r="A425" s="6">
        <v>423.0</v>
      </c>
      <c r="B425" s="17">
        <f t="array" ref="B425">SUM(1-'Sparkling Model'!D$2:D$38^A425)</f>
        <v>19.51268476</v>
      </c>
      <c r="C425" s="8">
        <f t="array" ref="C425">PRODUCT(1-'Sparkling Model'!D$2:D$38^A425)</f>
        <v>0</v>
      </c>
    </row>
    <row r="426">
      <c r="A426" s="6">
        <v>424.0</v>
      </c>
      <c r="B426" s="17">
        <f t="array" ref="B426">SUM(1-'Sparkling Model'!D$2:D$38^A426)</f>
        <v>19.54122016</v>
      </c>
      <c r="C426" s="8">
        <f t="array" ref="C426">PRODUCT(1-'Sparkling Model'!D$2:D$38^A426)</f>
        <v>0</v>
      </c>
    </row>
    <row r="427">
      <c r="A427" s="6">
        <v>425.0</v>
      </c>
      <c r="B427" s="17">
        <f t="array" ref="B427">SUM(1-'Sparkling Model'!D$2:D$38^A427)</f>
        <v>19.56969798</v>
      </c>
      <c r="C427" s="8">
        <f t="array" ref="C427">PRODUCT(1-'Sparkling Model'!D$2:D$38^A427)</f>
        <v>0</v>
      </c>
    </row>
    <row r="428">
      <c r="A428" s="6">
        <v>426.0</v>
      </c>
      <c r="B428" s="17">
        <f t="array" ref="B428">SUM(1-'Sparkling Model'!D$2:D$38^A428)</f>
        <v>19.59811837</v>
      </c>
      <c r="C428" s="8">
        <f t="array" ref="C428">PRODUCT(1-'Sparkling Model'!D$2:D$38^A428)</f>
        <v>0</v>
      </c>
    </row>
    <row r="429">
      <c r="A429" s="6">
        <v>427.0</v>
      </c>
      <c r="B429" s="17">
        <f t="array" ref="B429">SUM(1-'Sparkling Model'!D$2:D$38^A429)</f>
        <v>19.62648147</v>
      </c>
      <c r="C429" s="8">
        <f t="array" ref="C429">PRODUCT(1-'Sparkling Model'!D$2:D$38^A429)</f>
        <v>0</v>
      </c>
    </row>
    <row r="430">
      <c r="A430" s="6">
        <v>428.0</v>
      </c>
      <c r="B430" s="17">
        <f t="array" ref="B430">SUM(1-'Sparkling Model'!D$2:D$38^A430)</f>
        <v>19.65478739</v>
      </c>
      <c r="C430" s="8">
        <f t="array" ref="C430">PRODUCT(1-'Sparkling Model'!D$2:D$38^A430)</f>
        <v>0</v>
      </c>
    </row>
    <row r="431">
      <c r="A431" s="6">
        <v>429.0</v>
      </c>
      <c r="B431" s="17">
        <f t="array" ref="B431">SUM(1-'Sparkling Model'!D$2:D$38^A431)</f>
        <v>19.68303628</v>
      </c>
      <c r="C431" s="8">
        <f t="array" ref="C431">PRODUCT(1-'Sparkling Model'!D$2:D$38^A431)</f>
        <v>0</v>
      </c>
    </row>
    <row r="432">
      <c r="A432" s="6">
        <v>430.0</v>
      </c>
      <c r="B432" s="17">
        <f t="array" ref="B432">SUM(1-'Sparkling Model'!D$2:D$38^A432)</f>
        <v>19.71122827</v>
      </c>
      <c r="C432" s="8">
        <f t="array" ref="C432">PRODUCT(1-'Sparkling Model'!D$2:D$38^A432)</f>
        <v>0</v>
      </c>
    </row>
    <row r="433">
      <c r="A433" s="6">
        <v>431.0</v>
      </c>
      <c r="B433" s="17">
        <f t="array" ref="B433">SUM(1-'Sparkling Model'!D$2:D$38^A433)</f>
        <v>19.73936348</v>
      </c>
      <c r="C433" s="8">
        <f t="array" ref="C433">PRODUCT(1-'Sparkling Model'!D$2:D$38^A433)</f>
        <v>0</v>
      </c>
    </row>
    <row r="434">
      <c r="A434" s="6">
        <v>432.0</v>
      </c>
      <c r="B434" s="17">
        <f t="array" ref="B434">SUM(1-'Sparkling Model'!D$2:D$38^A434)</f>
        <v>19.76744205</v>
      </c>
      <c r="C434" s="8">
        <f t="array" ref="C434">PRODUCT(1-'Sparkling Model'!D$2:D$38^A434)</f>
        <v>0</v>
      </c>
    </row>
    <row r="435">
      <c r="A435" s="6">
        <v>433.0</v>
      </c>
      <c r="B435" s="17">
        <f t="array" ref="B435">SUM(1-'Sparkling Model'!D$2:D$38^A435)</f>
        <v>19.79546411</v>
      </c>
      <c r="C435" s="8">
        <f t="array" ref="C435">PRODUCT(1-'Sparkling Model'!D$2:D$38^A435)</f>
        <v>0</v>
      </c>
    </row>
    <row r="436">
      <c r="A436" s="6">
        <v>434.0</v>
      </c>
      <c r="B436" s="17">
        <f t="array" ref="B436">SUM(1-'Sparkling Model'!D$2:D$38^A436)</f>
        <v>19.82342979</v>
      </c>
      <c r="C436" s="8">
        <f t="array" ref="C436">PRODUCT(1-'Sparkling Model'!D$2:D$38^A436)</f>
        <v>0</v>
      </c>
    </row>
    <row r="437">
      <c r="A437" s="6">
        <v>435.0</v>
      </c>
      <c r="B437" s="17">
        <f t="array" ref="B437">SUM(1-'Sparkling Model'!D$2:D$38^A437)</f>
        <v>19.85133922</v>
      </c>
      <c r="C437" s="8">
        <f t="array" ref="C437">PRODUCT(1-'Sparkling Model'!D$2:D$38^A437)</f>
        <v>0</v>
      </c>
    </row>
    <row r="438">
      <c r="A438" s="6">
        <v>436.0</v>
      </c>
      <c r="B438" s="17">
        <f t="array" ref="B438">SUM(1-'Sparkling Model'!D$2:D$38^A438)</f>
        <v>19.87919253</v>
      </c>
      <c r="C438" s="8">
        <f t="array" ref="C438">PRODUCT(1-'Sparkling Model'!D$2:D$38^A438)</f>
        <v>0</v>
      </c>
    </row>
    <row r="439">
      <c r="A439" s="6">
        <v>437.0</v>
      </c>
      <c r="B439" s="17">
        <f t="array" ref="B439">SUM(1-'Sparkling Model'!D$2:D$38^A439)</f>
        <v>19.90698984</v>
      </c>
      <c r="C439" s="8">
        <f t="array" ref="C439">PRODUCT(1-'Sparkling Model'!D$2:D$38^A439)</f>
        <v>0</v>
      </c>
    </row>
    <row r="440">
      <c r="A440" s="6">
        <v>438.0</v>
      </c>
      <c r="B440" s="17">
        <f t="array" ref="B440">SUM(1-'Sparkling Model'!D$2:D$38^A440)</f>
        <v>19.9347313</v>
      </c>
      <c r="C440" s="8">
        <f t="array" ref="C440">PRODUCT(1-'Sparkling Model'!D$2:D$38^A440)</f>
        <v>0</v>
      </c>
    </row>
    <row r="441">
      <c r="A441" s="6">
        <v>439.0</v>
      </c>
      <c r="B441" s="17">
        <f t="array" ref="B441">SUM(1-'Sparkling Model'!D$2:D$38^A441)</f>
        <v>19.96241702</v>
      </c>
      <c r="C441" s="8">
        <f t="array" ref="C441">PRODUCT(1-'Sparkling Model'!D$2:D$38^A441)</f>
        <v>0</v>
      </c>
    </row>
    <row r="442">
      <c r="A442" s="6">
        <v>440.0</v>
      </c>
      <c r="B442" s="17">
        <f t="array" ref="B442">SUM(1-'Sparkling Model'!D$2:D$38^A442)</f>
        <v>19.99004713</v>
      </c>
      <c r="C442" s="8">
        <f t="array" ref="C442">PRODUCT(1-'Sparkling Model'!D$2:D$38^A442)</f>
        <v>0</v>
      </c>
    </row>
    <row r="443">
      <c r="A443" s="6">
        <v>441.0</v>
      </c>
      <c r="B443" s="17">
        <f t="array" ref="B443">SUM(1-'Sparkling Model'!D$2:D$38^A443)</f>
        <v>20.01762177</v>
      </c>
      <c r="C443" s="8">
        <f t="array" ref="C443">PRODUCT(1-'Sparkling Model'!D$2:D$38^A443)</f>
        <v>0</v>
      </c>
    </row>
    <row r="444">
      <c r="A444" s="6">
        <v>442.0</v>
      </c>
      <c r="B444" s="17">
        <f t="array" ref="B444">SUM(1-'Sparkling Model'!D$2:D$38^A444)</f>
        <v>20.04514106</v>
      </c>
      <c r="C444" s="8">
        <f t="array" ref="C444">PRODUCT(1-'Sparkling Model'!D$2:D$38^A444)</f>
        <v>0</v>
      </c>
    </row>
    <row r="445">
      <c r="A445" s="6">
        <v>443.0</v>
      </c>
      <c r="B445" s="17">
        <f t="array" ref="B445">SUM(1-'Sparkling Model'!D$2:D$38^A445)</f>
        <v>20.07260513</v>
      </c>
      <c r="C445" s="8">
        <f t="array" ref="C445">PRODUCT(1-'Sparkling Model'!D$2:D$38^A445)</f>
        <v>0</v>
      </c>
    </row>
    <row r="446">
      <c r="A446" s="6">
        <v>444.0</v>
      </c>
      <c r="B446" s="17">
        <f t="array" ref="B446">SUM(1-'Sparkling Model'!D$2:D$38^A446)</f>
        <v>20.1000141</v>
      </c>
      <c r="C446" s="8">
        <f t="array" ref="C446">PRODUCT(1-'Sparkling Model'!D$2:D$38^A446)</f>
        <v>0</v>
      </c>
    </row>
    <row r="447">
      <c r="A447" s="6">
        <v>445.0</v>
      </c>
      <c r="B447" s="17">
        <f t="array" ref="B447">SUM(1-'Sparkling Model'!D$2:D$38^A447)</f>
        <v>20.1273681</v>
      </c>
      <c r="C447" s="8">
        <f t="array" ref="C447">PRODUCT(1-'Sparkling Model'!D$2:D$38^A447)</f>
        <v>0</v>
      </c>
    </row>
    <row r="448">
      <c r="A448" s="6">
        <v>446.0</v>
      </c>
      <c r="B448" s="17">
        <f t="array" ref="B448">SUM(1-'Sparkling Model'!D$2:D$38^A448)</f>
        <v>20.15466727</v>
      </c>
      <c r="C448" s="8">
        <f t="array" ref="C448">PRODUCT(1-'Sparkling Model'!D$2:D$38^A448)</f>
        <v>0</v>
      </c>
    </row>
    <row r="449">
      <c r="A449" s="6">
        <v>447.0</v>
      </c>
      <c r="B449" s="17">
        <f t="array" ref="B449">SUM(1-'Sparkling Model'!D$2:D$38^A449)</f>
        <v>20.18191171</v>
      </c>
      <c r="C449" s="8">
        <f t="array" ref="C449">PRODUCT(1-'Sparkling Model'!D$2:D$38^A449)</f>
        <v>0</v>
      </c>
    </row>
    <row r="450">
      <c r="A450" s="6">
        <v>448.0</v>
      </c>
      <c r="B450" s="17">
        <f t="array" ref="B450">SUM(1-'Sparkling Model'!D$2:D$38^A450)</f>
        <v>20.20910157</v>
      </c>
      <c r="C450" s="8">
        <f t="array" ref="C450">PRODUCT(1-'Sparkling Model'!D$2:D$38^A450)</f>
        <v>0</v>
      </c>
    </row>
    <row r="451">
      <c r="A451" s="6">
        <v>449.0</v>
      </c>
      <c r="B451" s="17">
        <f t="array" ref="B451">SUM(1-'Sparkling Model'!D$2:D$38^A451)</f>
        <v>20.23623697</v>
      </c>
      <c r="C451" s="8">
        <f t="array" ref="C451">PRODUCT(1-'Sparkling Model'!D$2:D$38^A451)</f>
        <v>0</v>
      </c>
    </row>
    <row r="452">
      <c r="A452" s="6">
        <v>450.0</v>
      </c>
      <c r="B452" s="17">
        <f t="array" ref="B452">SUM(1-'Sparkling Model'!D$2:D$38^A452)</f>
        <v>20.26331802</v>
      </c>
      <c r="C452" s="8">
        <f t="array" ref="C452">PRODUCT(1-'Sparkling Model'!D$2:D$38^A452)</f>
        <v>0</v>
      </c>
    </row>
    <row r="453">
      <c r="A453" s="6">
        <v>451.0</v>
      </c>
      <c r="B453" s="17">
        <f t="array" ref="B453">SUM(1-'Sparkling Model'!D$2:D$38^A453)</f>
        <v>20.29034486</v>
      </c>
      <c r="C453" s="8">
        <f t="array" ref="C453">PRODUCT(1-'Sparkling Model'!D$2:D$38^A453)</f>
        <v>0</v>
      </c>
    </row>
    <row r="454">
      <c r="A454" s="6">
        <v>452.0</v>
      </c>
      <c r="B454" s="17">
        <f t="array" ref="B454">SUM(1-'Sparkling Model'!D$2:D$38^A454)</f>
        <v>20.31731761</v>
      </c>
      <c r="C454" s="8">
        <f t="array" ref="C454">PRODUCT(1-'Sparkling Model'!D$2:D$38^A454)</f>
        <v>0</v>
      </c>
    </row>
    <row r="455">
      <c r="A455" s="6">
        <v>453.0</v>
      </c>
      <c r="B455" s="17">
        <f t="array" ref="B455">SUM(1-'Sparkling Model'!D$2:D$38^A455)</f>
        <v>20.3442364</v>
      </c>
      <c r="C455" s="8">
        <f t="array" ref="C455">PRODUCT(1-'Sparkling Model'!D$2:D$38^A455)</f>
        <v>0</v>
      </c>
    </row>
    <row r="456">
      <c r="A456" s="6">
        <v>454.0</v>
      </c>
      <c r="B456" s="17">
        <f t="array" ref="B456">SUM(1-'Sparkling Model'!D$2:D$38^A456)</f>
        <v>20.37110134</v>
      </c>
      <c r="C456" s="8">
        <f t="array" ref="C456">PRODUCT(1-'Sparkling Model'!D$2:D$38^A456)</f>
        <v>0</v>
      </c>
    </row>
    <row r="457">
      <c r="A457" s="6">
        <v>455.0</v>
      </c>
      <c r="B457" s="17">
        <f t="array" ref="B457">SUM(1-'Sparkling Model'!D$2:D$38^A457)</f>
        <v>20.39791257</v>
      </c>
      <c r="C457" s="8">
        <f t="array" ref="C457">PRODUCT(1-'Sparkling Model'!D$2:D$38^A457)</f>
        <v>0</v>
      </c>
    </row>
    <row r="458">
      <c r="A458" s="6">
        <v>456.0</v>
      </c>
      <c r="B458" s="17">
        <f t="array" ref="B458">SUM(1-'Sparkling Model'!D$2:D$38^A458)</f>
        <v>20.4246702</v>
      </c>
      <c r="C458" s="8">
        <f t="array" ref="C458">PRODUCT(1-'Sparkling Model'!D$2:D$38^A458)</f>
        <v>0</v>
      </c>
    </row>
    <row r="459">
      <c r="A459" s="6">
        <v>457.0</v>
      </c>
      <c r="B459" s="17">
        <f t="array" ref="B459">SUM(1-'Sparkling Model'!D$2:D$38^A459)</f>
        <v>20.45137436</v>
      </c>
      <c r="C459" s="8">
        <f t="array" ref="C459">PRODUCT(1-'Sparkling Model'!D$2:D$38^A459)</f>
        <v>0</v>
      </c>
    </row>
    <row r="460">
      <c r="A460" s="6">
        <v>458.0</v>
      </c>
      <c r="B460" s="17">
        <f t="array" ref="B460">SUM(1-'Sparkling Model'!D$2:D$38^A460)</f>
        <v>20.47802517</v>
      </c>
      <c r="C460" s="8">
        <f t="array" ref="C460">PRODUCT(1-'Sparkling Model'!D$2:D$38^A460)</f>
        <v>0</v>
      </c>
    </row>
    <row r="461">
      <c r="A461" s="6">
        <v>459.0</v>
      </c>
      <c r="B461" s="17">
        <f t="array" ref="B461">SUM(1-'Sparkling Model'!D$2:D$38^A461)</f>
        <v>20.50462276</v>
      </c>
      <c r="C461" s="8">
        <f t="array" ref="C461">PRODUCT(1-'Sparkling Model'!D$2:D$38^A461)</f>
        <v>0</v>
      </c>
    </row>
    <row r="462">
      <c r="A462" s="6">
        <v>460.0</v>
      </c>
      <c r="B462" s="17">
        <f t="array" ref="B462">SUM(1-'Sparkling Model'!D$2:D$38^A462)</f>
        <v>20.53116724</v>
      </c>
      <c r="C462" s="8">
        <f t="array" ref="C462">PRODUCT(1-'Sparkling Model'!D$2:D$38^A462)</f>
        <v>0</v>
      </c>
    </row>
    <row r="463">
      <c r="A463" s="6">
        <v>461.0</v>
      </c>
      <c r="B463" s="17">
        <f t="array" ref="B463">SUM(1-'Sparkling Model'!D$2:D$38^A463)</f>
        <v>20.55765874</v>
      </c>
      <c r="C463" s="8">
        <f t="array" ref="C463">PRODUCT(1-'Sparkling Model'!D$2:D$38^A463)</f>
        <v>0</v>
      </c>
    </row>
    <row r="464">
      <c r="A464" s="6">
        <v>462.0</v>
      </c>
      <c r="B464" s="17">
        <f t="array" ref="B464">SUM(1-'Sparkling Model'!D$2:D$38^A464)</f>
        <v>20.58409738</v>
      </c>
      <c r="C464" s="8">
        <f t="array" ref="C464">PRODUCT(1-'Sparkling Model'!D$2:D$38^A464)</f>
        <v>0</v>
      </c>
    </row>
    <row r="465">
      <c r="A465" s="6">
        <v>463.0</v>
      </c>
      <c r="B465" s="17">
        <f t="array" ref="B465">SUM(1-'Sparkling Model'!D$2:D$38^A465)</f>
        <v>20.61048327</v>
      </c>
      <c r="C465" s="8">
        <f t="array" ref="C465">PRODUCT(1-'Sparkling Model'!D$2:D$38^A465)</f>
        <v>0</v>
      </c>
    </row>
    <row r="466">
      <c r="A466" s="6">
        <v>464.0</v>
      </c>
      <c r="B466" s="17">
        <f t="array" ref="B466">SUM(1-'Sparkling Model'!D$2:D$38^A466)</f>
        <v>20.63681655</v>
      </c>
      <c r="C466" s="8">
        <f t="array" ref="C466">PRODUCT(1-'Sparkling Model'!D$2:D$38^A466)</f>
        <v>0</v>
      </c>
    </row>
    <row r="467">
      <c r="A467" s="6">
        <v>465.0</v>
      </c>
      <c r="B467" s="17">
        <f t="array" ref="B467">SUM(1-'Sparkling Model'!D$2:D$38^A467)</f>
        <v>20.66309733</v>
      </c>
      <c r="C467" s="8">
        <f t="array" ref="C467">PRODUCT(1-'Sparkling Model'!D$2:D$38^A467)</f>
        <v>0</v>
      </c>
    </row>
    <row r="468">
      <c r="A468" s="6">
        <v>466.0</v>
      </c>
      <c r="B468" s="17">
        <f t="array" ref="B468">SUM(1-'Sparkling Model'!D$2:D$38^A468)</f>
        <v>20.68932573</v>
      </c>
      <c r="C468" s="8">
        <f t="array" ref="C468">PRODUCT(1-'Sparkling Model'!D$2:D$38^A468)</f>
        <v>0</v>
      </c>
    </row>
    <row r="469">
      <c r="A469" s="6">
        <v>467.0</v>
      </c>
      <c r="B469" s="17">
        <f t="array" ref="B469">SUM(1-'Sparkling Model'!D$2:D$38^A469)</f>
        <v>20.71550188</v>
      </c>
      <c r="C469" s="8">
        <f t="array" ref="C469">PRODUCT(1-'Sparkling Model'!D$2:D$38^A469)</f>
        <v>0</v>
      </c>
    </row>
    <row r="470">
      <c r="A470" s="6">
        <v>468.0</v>
      </c>
      <c r="B470" s="17">
        <f t="array" ref="B470">SUM(1-'Sparkling Model'!D$2:D$38^A470)</f>
        <v>20.74162588</v>
      </c>
      <c r="C470" s="8">
        <f t="array" ref="C470">PRODUCT(1-'Sparkling Model'!D$2:D$38^A470)</f>
        <v>0</v>
      </c>
    </row>
    <row r="471">
      <c r="A471" s="6">
        <v>469.0</v>
      </c>
      <c r="B471" s="17">
        <f t="array" ref="B471">SUM(1-'Sparkling Model'!D$2:D$38^A471)</f>
        <v>20.76769787</v>
      </c>
      <c r="C471" s="8">
        <f t="array" ref="C471">PRODUCT(1-'Sparkling Model'!D$2:D$38^A471)</f>
        <v>0</v>
      </c>
    </row>
    <row r="472">
      <c r="A472" s="6">
        <v>470.0</v>
      </c>
      <c r="B472" s="17">
        <f t="array" ref="B472">SUM(1-'Sparkling Model'!D$2:D$38^A472)</f>
        <v>20.79371795</v>
      </c>
      <c r="C472" s="8">
        <f t="array" ref="C472">PRODUCT(1-'Sparkling Model'!D$2:D$38^A472)</f>
        <v>0</v>
      </c>
    </row>
    <row r="473">
      <c r="A473" s="6">
        <v>471.0</v>
      </c>
      <c r="B473" s="17">
        <f t="array" ref="B473">SUM(1-'Sparkling Model'!D$2:D$38^A473)</f>
        <v>20.81968626</v>
      </c>
      <c r="C473" s="8">
        <f t="array" ref="C473">PRODUCT(1-'Sparkling Model'!D$2:D$38^A473)</f>
        <v>0</v>
      </c>
    </row>
    <row r="474">
      <c r="A474" s="6">
        <v>472.0</v>
      </c>
      <c r="B474" s="17">
        <f t="array" ref="B474">SUM(1-'Sparkling Model'!D$2:D$38^A474)</f>
        <v>20.8456029</v>
      </c>
      <c r="C474" s="8">
        <f t="array" ref="C474">PRODUCT(1-'Sparkling Model'!D$2:D$38^A474)</f>
        <v>0</v>
      </c>
    </row>
    <row r="475">
      <c r="A475" s="6">
        <v>473.0</v>
      </c>
      <c r="B475" s="17">
        <f t="array" ref="B475">SUM(1-'Sparkling Model'!D$2:D$38^A475)</f>
        <v>20.87146799</v>
      </c>
      <c r="C475" s="8">
        <f t="array" ref="C475">PRODUCT(1-'Sparkling Model'!D$2:D$38^A475)</f>
        <v>0</v>
      </c>
    </row>
    <row r="476">
      <c r="A476" s="6">
        <v>474.0</v>
      </c>
      <c r="B476" s="17">
        <f t="array" ref="B476">SUM(1-'Sparkling Model'!D$2:D$38^A476)</f>
        <v>20.89728166</v>
      </c>
      <c r="C476" s="8">
        <f t="array" ref="C476">PRODUCT(1-'Sparkling Model'!D$2:D$38^A476)</f>
        <v>0</v>
      </c>
    </row>
    <row r="477">
      <c r="A477" s="6">
        <v>475.0</v>
      </c>
      <c r="B477" s="17">
        <f t="array" ref="B477">SUM(1-'Sparkling Model'!D$2:D$38^A477)</f>
        <v>20.92304402</v>
      </c>
      <c r="C477" s="8">
        <f t="array" ref="C477">PRODUCT(1-'Sparkling Model'!D$2:D$38^A477)</f>
        <v>0</v>
      </c>
    </row>
    <row r="478">
      <c r="A478" s="6">
        <v>476.0</v>
      </c>
      <c r="B478" s="17">
        <f t="array" ref="B478">SUM(1-'Sparkling Model'!D$2:D$38^A478)</f>
        <v>20.94875518</v>
      </c>
      <c r="C478" s="8">
        <f t="array" ref="C478">PRODUCT(1-'Sparkling Model'!D$2:D$38^A478)</f>
        <v>0</v>
      </c>
    </row>
    <row r="479">
      <c r="A479" s="6">
        <v>477.0</v>
      </c>
      <c r="B479" s="17">
        <f t="array" ref="B479">SUM(1-'Sparkling Model'!D$2:D$38^A479)</f>
        <v>20.97441527</v>
      </c>
      <c r="C479" s="8">
        <f t="array" ref="C479">PRODUCT(1-'Sparkling Model'!D$2:D$38^A479)</f>
        <v>0</v>
      </c>
    </row>
    <row r="480">
      <c r="A480" s="6">
        <v>478.0</v>
      </c>
      <c r="B480" s="17">
        <f t="array" ref="B480">SUM(1-'Sparkling Model'!D$2:D$38^A480)</f>
        <v>21.0000244</v>
      </c>
      <c r="C480" s="8">
        <f t="array" ref="C480">PRODUCT(1-'Sparkling Model'!D$2:D$38^A480)</f>
        <v>0</v>
      </c>
    </row>
    <row r="481">
      <c r="A481" s="6">
        <v>479.0</v>
      </c>
      <c r="B481" s="17">
        <f t="array" ref="B481">SUM(1-'Sparkling Model'!D$2:D$38^A481)</f>
        <v>21.02558269</v>
      </c>
      <c r="C481" s="8">
        <f t="array" ref="C481">PRODUCT(1-'Sparkling Model'!D$2:D$38^A481)</f>
        <v>0</v>
      </c>
    </row>
    <row r="482">
      <c r="A482" s="6">
        <v>480.0</v>
      </c>
      <c r="B482" s="17">
        <f t="array" ref="B482">SUM(1-'Sparkling Model'!D$2:D$38^A482)</f>
        <v>21.05109025</v>
      </c>
      <c r="C482" s="8">
        <f t="array" ref="C482">PRODUCT(1-'Sparkling Model'!D$2:D$38^A482)</f>
        <v>0.0000000001006461273</v>
      </c>
    </row>
    <row r="483">
      <c r="A483" s="6">
        <v>481.0</v>
      </c>
      <c r="B483" s="17">
        <f t="array" ref="B483">SUM(1-'Sparkling Model'!D$2:D$38^A483)</f>
        <v>21.0765472</v>
      </c>
      <c r="C483" s="8">
        <f t="array" ref="C483">PRODUCT(1-'Sparkling Model'!D$2:D$38^A483)</f>
        <v>0.0000000001055818241</v>
      </c>
    </row>
    <row r="484">
      <c r="A484" s="6">
        <v>482.0</v>
      </c>
      <c r="B484" s="17">
        <f t="array" ref="B484">SUM(1-'Sparkling Model'!D$2:D$38^A484)</f>
        <v>21.10195365</v>
      </c>
      <c r="C484" s="8">
        <f t="array" ref="C484">PRODUCT(1-'Sparkling Model'!D$2:D$38^A484)</f>
        <v>0.0000000001107432314</v>
      </c>
    </row>
    <row r="485">
      <c r="A485" s="6">
        <v>483.0</v>
      </c>
      <c r="B485" s="17">
        <f t="array" ref="B485">SUM(1-'Sparkling Model'!D$2:D$38^A485)</f>
        <v>21.12730973</v>
      </c>
      <c r="C485" s="8">
        <f t="array" ref="C485">PRODUCT(1-'Sparkling Model'!D$2:D$38^A485)</f>
        <v>0.0000000001161399</v>
      </c>
    </row>
    <row r="486">
      <c r="A486" s="6">
        <v>484.0</v>
      </c>
      <c r="B486" s="17">
        <f t="array" ref="B486">SUM(1-'Sparkling Model'!D$2:D$38^A486)</f>
        <v>21.15261554</v>
      </c>
      <c r="C486" s="8">
        <f t="array" ref="C486">PRODUCT(1-'Sparkling Model'!D$2:D$38^A486)</f>
        <v>0.0000000001217817509</v>
      </c>
    </row>
    <row r="487">
      <c r="A487" s="6">
        <v>485.0</v>
      </c>
      <c r="B487" s="17">
        <f t="array" ref="B487">SUM(1-'Sparkling Model'!D$2:D$38^A487)</f>
        <v>21.1778712</v>
      </c>
      <c r="C487" s="8">
        <f t="array" ref="C487">PRODUCT(1-'Sparkling Model'!D$2:D$38^A487)</f>
        <v>0.0000000001276790879</v>
      </c>
    </row>
    <row r="488">
      <c r="A488" s="6">
        <v>486.0</v>
      </c>
      <c r="B488" s="17">
        <f t="array" ref="B488">SUM(1-'Sparkling Model'!D$2:D$38^A488)</f>
        <v>21.20307682</v>
      </c>
      <c r="C488" s="8">
        <f t="array" ref="C488">PRODUCT(1-'Sparkling Model'!D$2:D$38^A488)</f>
        <v>0.0000000001338426117</v>
      </c>
    </row>
    <row r="489">
      <c r="A489" s="6">
        <v>487.0</v>
      </c>
      <c r="B489" s="17">
        <f t="array" ref="B489">SUM(1-'Sparkling Model'!D$2:D$38^A489)</f>
        <v>21.22823252</v>
      </c>
      <c r="C489" s="8">
        <f t="array" ref="C489">PRODUCT(1-'Sparkling Model'!D$2:D$38^A489)</f>
        <v>0.0000000001402834332</v>
      </c>
    </row>
    <row r="490">
      <c r="A490" s="6">
        <v>488.0</v>
      </c>
      <c r="B490" s="17">
        <f t="array" ref="B490">SUM(1-'Sparkling Model'!D$2:D$38^A490)</f>
        <v>21.25333841</v>
      </c>
      <c r="C490" s="8">
        <f t="array" ref="C490">PRODUCT(1-'Sparkling Model'!D$2:D$38^A490)</f>
        <v>0.0000000001470130877</v>
      </c>
    </row>
    <row r="491">
      <c r="A491" s="6">
        <v>489.0</v>
      </c>
      <c r="B491" s="17">
        <f t="array" ref="B491">SUM(1-'Sparkling Model'!D$2:D$38^A491)</f>
        <v>21.27839461</v>
      </c>
      <c r="C491" s="8">
        <f t="array" ref="C491">PRODUCT(1-'Sparkling Model'!D$2:D$38^A491)</f>
        <v>0.0000000001540435497</v>
      </c>
    </row>
    <row r="492">
      <c r="A492" s="6">
        <v>490.0</v>
      </c>
      <c r="B492" s="17">
        <f t="array" ref="B492">SUM(1-'Sparkling Model'!D$2:D$38^A492)</f>
        <v>21.30340122</v>
      </c>
      <c r="C492" s="8">
        <f t="array" ref="C492">PRODUCT(1-'Sparkling Model'!D$2:D$38^A492)</f>
        <v>0.0000000001613872479</v>
      </c>
    </row>
    <row r="493">
      <c r="A493" s="6">
        <v>491.0</v>
      </c>
      <c r="B493" s="17">
        <f t="array" ref="B493">SUM(1-'Sparkling Model'!D$2:D$38^A493)</f>
        <v>21.32835837</v>
      </c>
      <c r="C493" s="8">
        <f t="array" ref="C493">PRODUCT(1-'Sparkling Model'!D$2:D$38^A493)</f>
        <v>0.0000000001690570809</v>
      </c>
    </row>
    <row r="494">
      <c r="A494" s="6">
        <v>492.0</v>
      </c>
      <c r="B494" s="17">
        <f t="array" ref="B494">SUM(1-'Sparkling Model'!D$2:D$38^A494)</f>
        <v>21.35326616</v>
      </c>
      <c r="C494" s="8">
        <f t="array" ref="C494">PRODUCT(1-'Sparkling Model'!D$2:D$38^A494)</f>
        <v>0.0000000001770664328</v>
      </c>
    </row>
    <row r="495">
      <c r="A495" s="6">
        <v>493.0</v>
      </c>
      <c r="B495" s="17">
        <f t="array" ref="B495">SUM(1-'Sparkling Model'!D$2:D$38^A495)</f>
        <v>21.37812471</v>
      </c>
      <c r="C495" s="8">
        <f t="array" ref="C495">PRODUCT(1-'Sparkling Model'!D$2:D$38^A495)</f>
        <v>0.0000000001854291902</v>
      </c>
    </row>
    <row r="496">
      <c r="A496" s="6">
        <v>494.0</v>
      </c>
      <c r="B496" s="17">
        <f t="array" ref="B496">SUM(1-'Sparkling Model'!D$2:D$38^A496)</f>
        <v>21.40293412</v>
      </c>
      <c r="C496" s="8">
        <f t="array" ref="C496">PRODUCT(1-'Sparkling Model'!D$2:D$38^A496)</f>
        <v>0.000000000194159759</v>
      </c>
    </row>
    <row r="497">
      <c r="A497" s="6">
        <v>495.0</v>
      </c>
      <c r="B497" s="17">
        <f t="array" ref="B497">SUM(1-'Sparkling Model'!D$2:D$38^A497)</f>
        <v>21.42769451</v>
      </c>
      <c r="C497" s="8">
        <f t="array" ref="C497">PRODUCT(1-'Sparkling Model'!D$2:D$38^A497)</f>
        <v>0.0000000002032730817</v>
      </c>
    </row>
    <row r="498">
      <c r="A498" s="6">
        <v>496.0</v>
      </c>
      <c r="B498" s="17">
        <f t="array" ref="B498">SUM(1-'Sparkling Model'!D$2:D$38^A498)</f>
        <v>21.452406</v>
      </c>
      <c r="C498" s="8">
        <f t="array" ref="C498">PRODUCT(1-'Sparkling Model'!D$2:D$38^A498)</f>
        <v>0.0000000002127846557</v>
      </c>
    </row>
    <row r="499">
      <c r="A499" s="6">
        <v>497.0</v>
      </c>
      <c r="B499" s="17">
        <f t="array" ref="B499">SUM(1-'Sparkling Model'!D$2:D$38^A499)</f>
        <v>21.47706868</v>
      </c>
      <c r="C499" s="8">
        <f t="array" ref="C499">PRODUCT(1-'Sparkling Model'!D$2:D$38^A499)</f>
        <v>0.0000000002227105516</v>
      </c>
    </row>
    <row r="500">
      <c r="A500" s="6">
        <v>498.0</v>
      </c>
      <c r="B500" s="17">
        <f t="array" ref="B500">SUM(1-'Sparkling Model'!D$2:D$38^A500)</f>
        <v>21.50168268</v>
      </c>
      <c r="C500" s="8">
        <f t="array" ref="C500">PRODUCT(1-'Sparkling Model'!D$2:D$38^A500)</f>
        <v>0.0000000002330674325</v>
      </c>
    </row>
    <row r="501">
      <c r="A501" s="6">
        <v>499.0</v>
      </c>
      <c r="B501" s="17">
        <f t="array" ref="B501">SUM(1-'Sparkling Model'!D$2:D$38^A501)</f>
        <v>21.52624811</v>
      </c>
      <c r="C501" s="8">
        <f t="array" ref="C501">PRODUCT(1-'Sparkling Model'!D$2:D$38^A501)</f>
        <v>0.0000000002438725738</v>
      </c>
    </row>
    <row r="502">
      <c r="A502" s="6">
        <v>500.0</v>
      </c>
      <c r="B502" s="17">
        <f t="array" ref="B502">SUM(1-'Sparkling Model'!D$2:D$38^A502)</f>
        <v>21.55076507</v>
      </c>
      <c r="C502" s="8">
        <f t="array" ref="C502">PRODUCT(1-'Sparkling Model'!D$2:D$38^A502)</f>
        <v>0.0000000002551438829</v>
      </c>
    </row>
    <row r="503">
      <c r="A503" s="6">
        <v>501.0</v>
      </c>
      <c r="B503" s="17">
        <f t="array" ref="B503">SUM(1-'Sparkling Model'!D$2:D$38^A503)</f>
        <v>21.57523367</v>
      </c>
      <c r="C503" s="8">
        <f t="array" ref="C503">PRODUCT(1-'Sparkling Model'!D$2:D$38^A503)</f>
        <v>0.0000000002668999204</v>
      </c>
    </row>
    <row r="504">
      <c r="A504" s="6">
        <v>502.0</v>
      </c>
      <c r="B504" s="17">
        <f t="array" ref="B504">SUM(1-'Sparkling Model'!D$2:D$38^A504)</f>
        <v>21.59965403</v>
      </c>
      <c r="C504" s="8">
        <f t="array" ref="C504">PRODUCT(1-'Sparkling Model'!D$2:D$38^A504)</f>
        <v>0.0000000002791599218</v>
      </c>
    </row>
    <row r="505">
      <c r="A505" s="6">
        <v>503.0</v>
      </c>
      <c r="B505" s="17">
        <f t="array" ref="B505">SUM(1-'Sparkling Model'!D$2:D$38^A505)</f>
        <v>21.62402625</v>
      </c>
      <c r="C505" s="8">
        <f t="array" ref="C505">PRODUCT(1-'Sparkling Model'!D$2:D$38^A505)</f>
        <v>0.0000000002919438187</v>
      </c>
    </row>
    <row r="506">
      <c r="A506" s="6">
        <v>504.0</v>
      </c>
      <c r="B506" s="17">
        <f t="array" ref="B506">SUM(1-'Sparkling Model'!D$2:D$38^A506)</f>
        <v>21.64835044</v>
      </c>
      <c r="C506" s="8">
        <f t="array" ref="C506">PRODUCT(1-'Sparkling Model'!D$2:D$38^A506)</f>
        <v>0.0000000003052722623</v>
      </c>
    </row>
    <row r="507">
      <c r="A507" s="6">
        <v>505.0</v>
      </c>
      <c r="B507" s="17">
        <f t="array" ref="B507">SUM(1-'Sparkling Model'!D$2:D$38^A507)</f>
        <v>21.67262672</v>
      </c>
      <c r="C507" s="8">
        <f t="array" ref="C507">PRODUCT(1-'Sparkling Model'!D$2:D$38^A507)</f>
        <v>0.0000000003191666465</v>
      </c>
    </row>
    <row r="508">
      <c r="A508" s="6">
        <v>506.0</v>
      </c>
      <c r="B508" s="17">
        <f t="array" ref="B508">SUM(1-'Sparkling Model'!D$2:D$38^A508)</f>
        <v>21.69685518</v>
      </c>
      <c r="C508" s="8">
        <f t="array" ref="C508">PRODUCT(1-'Sparkling Model'!D$2:D$38^A508)</f>
        <v>0.0000000003336491316</v>
      </c>
    </row>
    <row r="509">
      <c r="A509" s="6">
        <v>507.0</v>
      </c>
      <c r="B509" s="17">
        <f t="array" ref="B509">SUM(1-'Sparkling Model'!D$2:D$38^A509)</f>
        <v>21.72103595</v>
      </c>
      <c r="C509" s="8">
        <f t="array" ref="C509">PRODUCT(1-'Sparkling Model'!D$2:D$38^A509)</f>
        <v>0.0000000003487426693</v>
      </c>
    </row>
    <row r="510">
      <c r="A510" s="6">
        <v>508.0</v>
      </c>
      <c r="B510" s="17">
        <f t="array" ref="B510">SUM(1-'Sparkling Model'!D$2:D$38^A510)</f>
        <v>21.74516912</v>
      </c>
      <c r="C510" s="8">
        <f t="array" ref="C510">PRODUCT(1-'Sparkling Model'!D$2:D$38^A510)</f>
        <v>0.0000000003644710279</v>
      </c>
    </row>
    <row r="511">
      <c r="A511" s="6">
        <v>509.0</v>
      </c>
      <c r="B511" s="17">
        <f t="array" ref="B511">SUM(1-'Sparkling Model'!D$2:D$38^A511)</f>
        <v>21.76925481</v>
      </c>
      <c r="C511" s="8">
        <f t="array" ref="C511">PRODUCT(1-'Sparkling Model'!D$2:D$38^A511)</f>
        <v>0.0000000003808588184</v>
      </c>
    </row>
    <row r="512">
      <c r="A512" s="6">
        <v>510.0</v>
      </c>
      <c r="B512" s="17">
        <f t="array" ref="B512">SUM(1-'Sparkling Model'!D$2:D$38^A512)</f>
        <v>21.79329312</v>
      </c>
      <c r="C512" s="8">
        <f t="array" ref="C512">PRODUCT(1-'Sparkling Model'!D$2:D$38^A512)</f>
        <v>0.0000000003979315215</v>
      </c>
    </row>
    <row r="513">
      <c r="A513" s="6">
        <v>511.0</v>
      </c>
      <c r="B513" s="17">
        <f t="array" ref="B513">SUM(1-'Sparkling Model'!D$2:D$38^A513)</f>
        <v>21.81728417</v>
      </c>
      <c r="C513" s="8">
        <f t="array" ref="C513">PRODUCT(1-'Sparkling Model'!D$2:D$38^A513)</f>
        <v>0.0000000004157155148</v>
      </c>
    </row>
    <row r="514">
      <c r="A514" s="6">
        <v>512.0</v>
      </c>
      <c r="B514" s="17">
        <f t="array" ref="B514">SUM(1-'Sparkling Model'!D$2:D$38^A514)</f>
        <v>21.84122805</v>
      </c>
      <c r="C514" s="8">
        <f t="array" ref="C514">PRODUCT(1-'Sparkling Model'!D$2:D$38^A514)</f>
        <v>0.0000000004342381015</v>
      </c>
    </row>
    <row r="515">
      <c r="A515" s="6">
        <v>513.0</v>
      </c>
      <c r="B515" s="17">
        <f t="array" ref="B515">SUM(1-'Sparkling Model'!D$2:D$38^A515)</f>
        <v>21.86512487</v>
      </c>
      <c r="C515" s="8">
        <f t="array" ref="C515">PRODUCT(1-'Sparkling Model'!D$2:D$38^A515)</f>
        <v>0.0000000004535275392</v>
      </c>
    </row>
    <row r="516">
      <c r="A516" s="6">
        <v>514.0</v>
      </c>
      <c r="B516" s="17">
        <f t="array" ref="B516">SUM(1-'Sparkling Model'!D$2:D$38^A516)</f>
        <v>21.88897474</v>
      </c>
      <c r="C516" s="8">
        <f t="array" ref="C516">PRODUCT(1-'Sparkling Model'!D$2:D$38^A516)</f>
        <v>0.0000000004736130701</v>
      </c>
    </row>
    <row r="517">
      <c r="A517" s="6">
        <v>515.0</v>
      </c>
      <c r="B517" s="17">
        <f t="array" ref="B517">SUM(1-'Sparkling Model'!D$2:D$38^A517)</f>
        <v>21.91277778</v>
      </c>
      <c r="C517" s="8">
        <f t="array" ref="C517">PRODUCT(1-'Sparkling Model'!D$2:D$38^A517)</f>
        <v>0.0000000004945249516</v>
      </c>
    </row>
    <row r="518">
      <c r="A518" s="6">
        <v>516.0</v>
      </c>
      <c r="B518" s="17">
        <f t="array" ref="B518">SUM(1-'Sparkling Model'!D$2:D$38^A518)</f>
        <v>21.93653407</v>
      </c>
      <c r="C518" s="8">
        <f t="array" ref="C518">PRODUCT(1-'Sparkling Model'!D$2:D$38^A518)</f>
        <v>0.0000000005162944877</v>
      </c>
    </row>
    <row r="519">
      <c r="A519" s="6">
        <v>517.0</v>
      </c>
      <c r="B519" s="17">
        <f t="array" ref="B519">SUM(1-'Sparkling Model'!D$2:D$38^A519)</f>
        <v>21.96024374</v>
      </c>
      <c r="C519" s="8">
        <f t="array" ref="C519">PRODUCT(1-'Sparkling Model'!D$2:D$38^A519)</f>
        <v>0.0000000005389540616</v>
      </c>
    </row>
    <row r="520">
      <c r="A520" s="6">
        <v>518.0</v>
      </c>
      <c r="B520" s="17">
        <f t="array" ref="B520">SUM(1-'Sparkling Model'!D$2:D$38^A520)</f>
        <v>21.98390687</v>
      </c>
      <c r="C520" s="8">
        <f t="array" ref="C520">PRODUCT(1-'Sparkling Model'!D$2:D$38^A520)</f>
        <v>0.0000000005625371692</v>
      </c>
    </row>
    <row r="521">
      <c r="A521" s="6">
        <v>519.0</v>
      </c>
      <c r="B521" s="17">
        <f t="array" ref="B521">SUM(1-'Sparkling Model'!D$2:D$38^A521)</f>
        <v>22.00752359</v>
      </c>
      <c r="C521" s="8">
        <f t="array" ref="C521">PRODUCT(1-'Sparkling Model'!D$2:D$38^A521)</f>
        <v>0.0000000005870784529</v>
      </c>
    </row>
    <row r="522">
      <c r="A522" s="6">
        <v>520.0</v>
      </c>
      <c r="B522" s="17">
        <f t="array" ref="B522">SUM(1-'Sparkling Model'!D$2:D$38^A522)</f>
        <v>22.03109399</v>
      </c>
      <c r="C522" s="8">
        <f t="array" ref="C522">PRODUCT(1-'Sparkling Model'!D$2:D$38^A522)</f>
        <v>0.000000000612613737</v>
      </c>
    </row>
    <row r="523">
      <c r="A523" s="6">
        <v>521.0</v>
      </c>
      <c r="B523" s="17">
        <f t="array" ref="B523">SUM(1-'Sparkling Model'!D$2:D$38^A523)</f>
        <v>22.05461819</v>
      </c>
      <c r="C523" s="8">
        <f t="array" ref="C523">PRODUCT(1-'Sparkling Model'!D$2:D$38^A523)</f>
        <v>0.0000000006391800638</v>
      </c>
    </row>
    <row r="524">
      <c r="A524" s="6">
        <v>522.0</v>
      </c>
      <c r="B524" s="17">
        <f t="array" ref="B524">SUM(1-'Sparkling Model'!D$2:D$38^A524)</f>
        <v>22.07809627</v>
      </c>
      <c r="C524" s="8">
        <f t="array" ref="C524">PRODUCT(1-'Sparkling Model'!D$2:D$38^A524)</f>
        <v>0.0000000006668157302</v>
      </c>
    </row>
    <row r="525">
      <c r="A525" s="6">
        <v>523.0</v>
      </c>
      <c r="B525" s="17">
        <f t="array" ref="B525">SUM(1-'Sparkling Model'!D$2:D$38^A525)</f>
        <v>22.10152836</v>
      </c>
      <c r="C525" s="8">
        <f t="array" ref="C525">PRODUCT(1-'Sparkling Model'!D$2:D$38^A525)</f>
        <v>0.0000000006955603264</v>
      </c>
    </row>
    <row r="526">
      <c r="A526" s="6">
        <v>524.0</v>
      </c>
      <c r="B526" s="17">
        <f t="array" ref="B526">SUM(1-'Sparkling Model'!D$2:D$38^A526)</f>
        <v>22.12491454</v>
      </c>
      <c r="C526" s="8">
        <f t="array" ref="C526">PRODUCT(1-'Sparkling Model'!D$2:D$38^A526)</f>
        <v>0.0000000007254547743</v>
      </c>
    </row>
    <row r="527">
      <c r="A527" s="6">
        <v>525.0</v>
      </c>
      <c r="B527" s="17">
        <f t="array" ref="B527">SUM(1-'Sparkling Model'!D$2:D$38^A527)</f>
        <v>22.14825494</v>
      </c>
      <c r="C527" s="8">
        <f t="array" ref="C527">PRODUCT(1-'Sparkling Model'!D$2:D$38^A527)</f>
        <v>0.0000000007565413679</v>
      </c>
    </row>
    <row r="528">
      <c r="A528" s="6">
        <v>526.0</v>
      </c>
      <c r="B528" s="17">
        <f t="array" ref="B528">SUM(1-'Sparkling Model'!D$2:D$38^A528)</f>
        <v>22.17154964</v>
      </c>
      <c r="C528" s="8">
        <f t="array" ref="C528">PRODUCT(1-'Sparkling Model'!D$2:D$38^A528)</f>
        <v>0.0000000007888638139</v>
      </c>
    </row>
    <row r="529">
      <c r="A529" s="6">
        <v>527.0</v>
      </c>
      <c r="B529" s="17">
        <f t="array" ref="B529">SUM(1-'Sparkling Model'!D$2:D$38^A529)</f>
        <v>22.19479875</v>
      </c>
      <c r="C529" s="8">
        <f t="array" ref="C529">PRODUCT(1-'Sparkling Model'!D$2:D$38^A529)</f>
        <v>0.0000000008224672747</v>
      </c>
    </row>
    <row r="530">
      <c r="A530" s="6">
        <v>528.0</v>
      </c>
      <c r="B530" s="17">
        <f t="array" ref="B530">SUM(1-'Sparkling Model'!D$2:D$38^A530)</f>
        <v>22.21800238</v>
      </c>
      <c r="C530" s="8">
        <f t="array" ref="C530">PRODUCT(1-'Sparkling Model'!D$2:D$38^A530)</f>
        <v>0.0000000008573984107</v>
      </c>
    </row>
    <row r="531">
      <c r="A531" s="6">
        <v>529.0</v>
      </c>
      <c r="B531" s="17">
        <f t="array" ref="B531">SUM(1-'Sparkling Model'!D$2:D$38^A531)</f>
        <v>22.24116062</v>
      </c>
      <c r="C531" s="8">
        <f t="array" ref="C531">PRODUCT(1-'Sparkling Model'!D$2:D$38^A531)</f>
        <v>0.0000000008937054253</v>
      </c>
    </row>
    <row r="532">
      <c r="A532" s="6">
        <v>530.0</v>
      </c>
      <c r="B532" s="17">
        <f t="array" ref="B532">SUM(1-'Sparkling Model'!D$2:D$38^A532)</f>
        <v>22.26427359</v>
      </c>
      <c r="C532" s="8">
        <f t="array" ref="C532">PRODUCT(1-'Sparkling Model'!D$2:D$38^A532)</f>
        <v>0.0000000009314381103</v>
      </c>
    </row>
    <row r="533">
      <c r="A533" s="6">
        <v>531.0</v>
      </c>
      <c r="B533" s="17">
        <f t="array" ref="B533">SUM(1-'Sparkling Model'!D$2:D$38^A533)</f>
        <v>22.28734138</v>
      </c>
      <c r="C533" s="8">
        <f t="array" ref="C533">PRODUCT(1-'Sparkling Model'!D$2:D$38^A533)</f>
        <v>0.0000000009706478921</v>
      </c>
    </row>
    <row r="534">
      <c r="A534" s="6">
        <v>532.0</v>
      </c>
      <c r="B534" s="17">
        <f t="array" ref="B534">SUM(1-'Sparkling Model'!D$2:D$38^A534)</f>
        <v>22.31036409</v>
      </c>
      <c r="C534" s="8">
        <f t="array" ref="C534">PRODUCT(1-'Sparkling Model'!D$2:D$38^A534)</f>
        <v>0.00000000101138788</v>
      </c>
    </row>
    <row r="535">
      <c r="A535" s="6">
        <v>533.0</v>
      </c>
      <c r="B535" s="17">
        <f t="array" ref="B535">SUM(1-'Sparkling Model'!D$2:D$38^A535)</f>
        <v>22.33334183</v>
      </c>
      <c r="C535" s="8">
        <f t="array" ref="C535">PRODUCT(1-'Sparkling Model'!D$2:D$38^A535)</f>
        <v>0.000000001053712917</v>
      </c>
    </row>
    <row r="536">
      <c r="A536" s="6">
        <v>534.0</v>
      </c>
      <c r="B536" s="17">
        <f t="array" ref="B536">SUM(1-'Sparkling Model'!D$2:D$38^A536)</f>
        <v>22.3562747</v>
      </c>
      <c r="C536" s="8">
        <f t="array" ref="C536">PRODUCT(1-'Sparkling Model'!D$2:D$38^A536)</f>
        <v>0.000000001097679624</v>
      </c>
    </row>
    <row r="537">
      <c r="A537" s="6">
        <v>535.0</v>
      </c>
      <c r="B537" s="17">
        <f t="array" ref="B537">SUM(1-'Sparkling Model'!D$2:D$38^A537)</f>
        <v>22.37916279</v>
      </c>
      <c r="C537" s="8">
        <f t="array" ref="C537">PRODUCT(1-'Sparkling Model'!D$2:D$38^A537)</f>
        <v>0.00000000114334646</v>
      </c>
    </row>
    <row r="538">
      <c r="A538" s="6">
        <v>536.0</v>
      </c>
      <c r="B538" s="17">
        <f t="array" ref="B538">SUM(1-'Sparkling Model'!D$2:D$38^A538)</f>
        <v>22.40200621</v>
      </c>
      <c r="C538" s="8">
        <f t="array" ref="C538">PRODUCT(1-'Sparkling Model'!D$2:D$38^A538)</f>
        <v>0.00000000119077377</v>
      </c>
    </row>
    <row r="539">
      <c r="A539" s="6">
        <v>537.0</v>
      </c>
      <c r="B539" s="17">
        <f t="array" ref="B539">SUM(1-'Sparkling Model'!D$2:D$38^A539)</f>
        <v>22.42480507</v>
      </c>
      <c r="C539" s="8">
        <f t="array" ref="C539">PRODUCT(1-'Sparkling Model'!D$2:D$38^A539)</f>
        <v>0.000000001240023837</v>
      </c>
    </row>
    <row r="540">
      <c r="A540" s="6">
        <v>538.0</v>
      </c>
      <c r="B540" s="17">
        <f t="array" ref="B540">SUM(1-'Sparkling Model'!D$2:D$38^A540)</f>
        <v>22.44755945</v>
      </c>
      <c r="C540" s="8">
        <f t="array" ref="C540">PRODUCT(1-'Sparkling Model'!D$2:D$38^A540)</f>
        <v>0.000000001291160943</v>
      </c>
    </row>
    <row r="541">
      <c r="A541" s="6">
        <v>539.0</v>
      </c>
      <c r="B541" s="17">
        <f t="array" ref="B541">SUM(1-'Sparkling Model'!D$2:D$38^A541)</f>
        <v>22.47026946</v>
      </c>
      <c r="C541" s="8">
        <f t="array" ref="C541">PRODUCT(1-'Sparkling Model'!D$2:D$38^A541)</f>
        <v>0.000000001344251423</v>
      </c>
    </row>
    <row r="542">
      <c r="A542" s="6">
        <v>540.0</v>
      </c>
      <c r="B542" s="17">
        <f t="array" ref="B542">SUM(1-'Sparkling Model'!D$2:D$38^A542)</f>
        <v>22.49293521</v>
      </c>
      <c r="C542" s="8">
        <f t="array" ref="C542">PRODUCT(1-'Sparkling Model'!D$2:D$38^A542)</f>
        <v>0.000000001399363724</v>
      </c>
    </row>
    <row r="543">
      <c r="A543" s="6">
        <v>541.0</v>
      </c>
      <c r="B543" s="17">
        <f t="array" ref="B543">SUM(1-'Sparkling Model'!D$2:D$38^A543)</f>
        <v>22.51555678</v>
      </c>
      <c r="C543" s="8">
        <f t="array" ref="C543">PRODUCT(1-'Sparkling Model'!D$2:D$38^A543)</f>
        <v>0.000000001456568463</v>
      </c>
    </row>
    <row r="544">
      <c r="A544" s="6">
        <v>542.0</v>
      </c>
      <c r="B544" s="17">
        <f t="array" ref="B544">SUM(1-'Sparkling Model'!D$2:D$38^A544)</f>
        <v>22.53813428</v>
      </c>
      <c r="C544" s="8">
        <f t="array" ref="C544">PRODUCT(1-'Sparkling Model'!D$2:D$38^A544)</f>
        <v>0.00000000151593849</v>
      </c>
    </row>
    <row r="545">
      <c r="A545" s="6">
        <v>543.0</v>
      </c>
      <c r="B545" s="17">
        <f t="array" ref="B545">SUM(1-'Sparkling Model'!D$2:D$38^A545)</f>
        <v>22.56066781</v>
      </c>
      <c r="C545" s="8">
        <f t="array" ref="C545">PRODUCT(1-'Sparkling Model'!D$2:D$38^A545)</f>
        <v>0.000000001577548953</v>
      </c>
    </row>
    <row r="546">
      <c r="A546" s="6">
        <v>544.0</v>
      </c>
      <c r="B546" s="17">
        <f t="array" ref="B546">SUM(1-'Sparkling Model'!D$2:D$38^A546)</f>
        <v>22.58315747</v>
      </c>
      <c r="C546" s="8">
        <f t="array" ref="C546">PRODUCT(1-'Sparkling Model'!D$2:D$38^A546)</f>
        <v>0.000000001641477355</v>
      </c>
    </row>
    <row r="547">
      <c r="A547" s="6">
        <v>545.0</v>
      </c>
      <c r="B547" s="17">
        <f t="array" ref="B547">SUM(1-'Sparkling Model'!D$2:D$38^A547)</f>
        <v>22.60560335</v>
      </c>
      <c r="C547" s="8">
        <f t="array" ref="C547">PRODUCT(1-'Sparkling Model'!D$2:D$38^A547)</f>
        <v>0.000000001707803628</v>
      </c>
    </row>
    <row r="548">
      <c r="A548" s="6">
        <v>546.0</v>
      </c>
      <c r="B548" s="17">
        <f t="array" ref="B548">SUM(1-'Sparkling Model'!D$2:D$38^A548)</f>
        <v>22.62800556</v>
      </c>
      <c r="C548" s="8">
        <f t="array" ref="C548">PRODUCT(1-'Sparkling Model'!D$2:D$38^A548)</f>
        <v>0.000000001776610195</v>
      </c>
    </row>
    <row r="549">
      <c r="A549" s="6">
        <v>547.0</v>
      </c>
      <c r="B549" s="17">
        <f t="array" ref="B549">SUM(1-'Sparkling Model'!D$2:D$38^A549)</f>
        <v>22.65036419</v>
      </c>
      <c r="C549" s="8">
        <f t="array" ref="C549">PRODUCT(1-'Sparkling Model'!D$2:D$38^A549)</f>
        <v>0.000000001847982042</v>
      </c>
    </row>
    <row r="550">
      <c r="A550" s="6">
        <v>548.0</v>
      </c>
      <c r="B550" s="17">
        <f t="array" ref="B550">SUM(1-'Sparkling Model'!D$2:D$38^A550)</f>
        <v>22.67267934</v>
      </c>
      <c r="C550" s="8">
        <f t="array" ref="C550">PRODUCT(1-'Sparkling Model'!D$2:D$38^A550)</f>
        <v>0.000000001922006785</v>
      </c>
    </row>
    <row r="551">
      <c r="A551" s="6">
        <v>549.0</v>
      </c>
      <c r="B551" s="17">
        <f t="array" ref="B551">SUM(1-'Sparkling Model'!D$2:D$38^A551)</f>
        <v>22.69495111</v>
      </c>
      <c r="C551" s="8">
        <f t="array" ref="C551">PRODUCT(1-'Sparkling Model'!D$2:D$38^A551)</f>
        <v>0.000000001998774748</v>
      </c>
    </row>
    <row r="552">
      <c r="A552" s="6">
        <v>550.0</v>
      </c>
      <c r="B552" s="17">
        <f t="array" ref="B552">SUM(1-'Sparkling Model'!D$2:D$38^A552)</f>
        <v>22.71717959</v>
      </c>
      <c r="C552" s="8">
        <f t="array" ref="C552">PRODUCT(1-'Sparkling Model'!D$2:D$38^A552)</f>
        <v>0.00000000207837903</v>
      </c>
    </row>
    <row r="553">
      <c r="A553" s="6">
        <v>551.0</v>
      </c>
      <c r="B553" s="17">
        <f t="array" ref="B553">SUM(1-'Sparkling Model'!D$2:D$38^A553)</f>
        <v>22.73936489</v>
      </c>
      <c r="C553" s="8">
        <f t="array" ref="C553">PRODUCT(1-'Sparkling Model'!D$2:D$38^A553)</f>
        <v>0.000000002160915586</v>
      </c>
    </row>
    <row r="554">
      <c r="A554" s="6">
        <v>552.0</v>
      </c>
      <c r="B554" s="17">
        <f t="array" ref="B554">SUM(1-'Sparkling Model'!D$2:D$38^A554)</f>
        <v>22.7615071</v>
      </c>
      <c r="C554" s="8">
        <f t="array" ref="C554">PRODUCT(1-'Sparkling Model'!D$2:D$38^A554)</f>
        <v>0.000000002246483304</v>
      </c>
    </row>
    <row r="555">
      <c r="A555" s="6">
        <v>553.0</v>
      </c>
      <c r="B555" s="17">
        <f t="array" ref="B555">SUM(1-'Sparkling Model'!D$2:D$38^A555)</f>
        <v>22.78360631</v>
      </c>
      <c r="C555" s="8">
        <f t="array" ref="C555">PRODUCT(1-'Sparkling Model'!D$2:D$38^A555)</f>
        <v>0.000000002335184081</v>
      </c>
    </row>
    <row r="556">
      <c r="A556" s="6">
        <v>554.0</v>
      </c>
      <c r="B556" s="17">
        <f t="array" ref="B556">SUM(1-'Sparkling Model'!D$2:D$38^A556)</f>
        <v>22.80566262</v>
      </c>
      <c r="C556" s="8">
        <f t="array" ref="C556">PRODUCT(1-'Sparkling Model'!D$2:D$38^A556)</f>
        <v>0.000000002427122907</v>
      </c>
    </row>
    <row r="557">
      <c r="A557" s="6">
        <v>555.0</v>
      </c>
      <c r="B557" s="17">
        <f t="array" ref="B557">SUM(1-'Sparkling Model'!D$2:D$38^A557)</f>
        <v>22.82767614</v>
      </c>
      <c r="C557" s="8">
        <f t="array" ref="C557">PRODUCT(1-'Sparkling Model'!D$2:D$38^A557)</f>
        <v>0.000000002522407948</v>
      </c>
    </row>
    <row r="558">
      <c r="A558" s="6">
        <v>556.0</v>
      </c>
      <c r="B558" s="17">
        <f t="array" ref="B558">SUM(1-'Sparkling Model'!D$2:D$38^A558)</f>
        <v>22.84964694</v>
      </c>
      <c r="C558" s="8">
        <f t="array" ref="C558">PRODUCT(1-'Sparkling Model'!D$2:D$38^A558)</f>
        <v>0.000000002621150629</v>
      </c>
    </row>
    <row r="559">
      <c r="A559" s="6">
        <v>557.0</v>
      </c>
      <c r="B559" s="17">
        <f t="array" ref="B559">SUM(1-'Sparkling Model'!D$2:D$38^A559)</f>
        <v>22.87157514</v>
      </c>
      <c r="C559" s="8">
        <f t="array" ref="C559">PRODUCT(1-'Sparkling Model'!D$2:D$38^A559)</f>
        <v>0.000000002723465723</v>
      </c>
    </row>
    <row r="560">
      <c r="A560" s="6">
        <v>558.0</v>
      </c>
      <c r="B560" s="17">
        <f t="array" ref="B560">SUM(1-'Sparkling Model'!D$2:D$38^A560)</f>
        <v>22.89346083</v>
      </c>
      <c r="C560" s="8">
        <f t="array" ref="C560">PRODUCT(1-'Sparkling Model'!D$2:D$38^A560)</f>
        <v>0.00000000282947144</v>
      </c>
    </row>
    <row r="561">
      <c r="A561" s="6">
        <v>559.0</v>
      </c>
      <c r="B561" s="17">
        <f t="array" ref="B561">SUM(1-'Sparkling Model'!D$2:D$38^A561)</f>
        <v>22.91530409</v>
      </c>
      <c r="C561" s="8">
        <f t="array" ref="C561">PRODUCT(1-'Sparkling Model'!D$2:D$38^A561)</f>
        <v>0.000000002939289515</v>
      </c>
    </row>
    <row r="562">
      <c r="A562" s="6">
        <v>560.0</v>
      </c>
      <c r="B562" s="17">
        <f t="array" ref="B562">SUM(1-'Sparkling Model'!D$2:D$38^A562)</f>
        <v>22.93710503</v>
      </c>
      <c r="C562" s="8">
        <f t="array" ref="C562">PRODUCT(1-'Sparkling Model'!D$2:D$38^A562)</f>
        <v>0.000000003053045305</v>
      </c>
    </row>
    <row r="563">
      <c r="A563" s="6">
        <v>561.0</v>
      </c>
      <c r="B563" s="17">
        <f t="array" ref="B563">SUM(1-'Sparkling Model'!D$2:D$38^A563)</f>
        <v>22.95886375</v>
      </c>
      <c r="C563" s="8">
        <f t="array" ref="C563">PRODUCT(1-'Sparkling Model'!D$2:D$38^A563)</f>
        <v>0.000000003170867879</v>
      </c>
    </row>
    <row r="564">
      <c r="A564" s="6">
        <v>562.0</v>
      </c>
      <c r="B564" s="17">
        <f t="array" ref="B564">SUM(1-'Sparkling Model'!D$2:D$38^A564)</f>
        <v>22.98058032</v>
      </c>
      <c r="C564" s="8">
        <f t="array" ref="C564">PRODUCT(1-'Sparkling Model'!D$2:D$38^A564)</f>
        <v>0.00000000329289012</v>
      </c>
    </row>
    <row r="565">
      <c r="A565" s="6">
        <v>563.0</v>
      </c>
      <c r="B565" s="17">
        <f t="array" ref="B565">SUM(1-'Sparkling Model'!D$2:D$38^A565)</f>
        <v>23.00225486</v>
      </c>
      <c r="C565" s="8">
        <f t="array" ref="C565">PRODUCT(1-'Sparkling Model'!D$2:D$38^A565)</f>
        <v>0.000000003419248824</v>
      </c>
    </row>
    <row r="566">
      <c r="A566" s="6">
        <v>564.0</v>
      </c>
      <c r="B566" s="17">
        <f t="array" ref="B566">SUM(1-'Sparkling Model'!D$2:D$38^A566)</f>
        <v>23.02388745</v>
      </c>
      <c r="C566" s="8">
        <f t="array" ref="C566">PRODUCT(1-'Sparkling Model'!D$2:D$38^A566)</f>
        <v>0.000000003550084797</v>
      </c>
    </row>
    <row r="567">
      <c r="A567" s="6">
        <v>565.0</v>
      </c>
      <c r="B567" s="17">
        <f t="array" ref="B567">SUM(1-'Sparkling Model'!D$2:D$38^A567)</f>
        <v>23.0454782</v>
      </c>
      <c r="C567" s="8">
        <f t="array" ref="C567">PRODUCT(1-'Sparkling Model'!D$2:D$38^A567)</f>
        <v>0.000000003685542963</v>
      </c>
    </row>
    <row r="568">
      <c r="A568" s="6">
        <v>566.0</v>
      </c>
      <c r="B568" s="17">
        <f t="array" ref="B568">SUM(1-'Sparkling Model'!D$2:D$38^A568)</f>
        <v>23.06702718</v>
      </c>
      <c r="C568" s="8">
        <f t="array" ref="C568">PRODUCT(1-'Sparkling Model'!D$2:D$38^A568)</f>
        <v>0.00000000382577247</v>
      </c>
    </row>
    <row r="569">
      <c r="A569" s="6">
        <v>567.0</v>
      </c>
      <c r="B569" s="17">
        <f t="array" ref="B569">SUM(1-'Sparkling Model'!D$2:D$38^A569)</f>
        <v>23.08853449</v>
      </c>
      <c r="C569" s="8">
        <f t="array" ref="C569">PRODUCT(1-'Sparkling Model'!D$2:D$38^A569)</f>
        <v>0.000000003970926796</v>
      </c>
    </row>
    <row r="570">
      <c r="A570" s="6">
        <v>568.0</v>
      </c>
      <c r="B570" s="17">
        <f t="array" ref="B570">SUM(1-'Sparkling Model'!D$2:D$38^A570)</f>
        <v>23.11000024</v>
      </c>
      <c r="C570" s="8">
        <f t="array" ref="C570">PRODUCT(1-'Sparkling Model'!D$2:D$38^A570)</f>
        <v>0.000000004121163861</v>
      </c>
    </row>
    <row r="571">
      <c r="A571" s="6">
        <v>569.0</v>
      </c>
      <c r="B571" s="17">
        <f t="array" ref="B571">SUM(1-'Sparkling Model'!D$2:D$38^A571)</f>
        <v>23.1314245</v>
      </c>
      <c r="C571" s="8">
        <f t="array" ref="C571">PRODUCT(1-'Sparkling Model'!D$2:D$38^A571)</f>
        <v>0.000000004276646142</v>
      </c>
    </row>
    <row r="572">
      <c r="A572" s="6">
        <v>570.0</v>
      </c>
      <c r="B572" s="17">
        <f t="array" ref="B572">SUM(1-'Sparkling Model'!D$2:D$38^A572)</f>
        <v>23.15280738</v>
      </c>
      <c r="C572" s="8">
        <f t="array" ref="C572">PRODUCT(1-'Sparkling Model'!D$2:D$38^A572)</f>
        <v>0.000000004437540786</v>
      </c>
    </row>
    <row r="573">
      <c r="A573" s="6">
        <v>571.0</v>
      </c>
      <c r="B573" s="17">
        <f t="array" ref="B573">SUM(1-'Sparkling Model'!D$2:D$38^A573)</f>
        <v>23.17414897</v>
      </c>
      <c r="C573" s="8">
        <f t="array" ref="C573">PRODUCT(1-'Sparkling Model'!D$2:D$38^A573)</f>
        <v>0.000000004604019729</v>
      </c>
    </row>
    <row r="574">
      <c r="A574" s="6">
        <v>572.0</v>
      </c>
      <c r="B574" s="17">
        <f t="array" ref="B574">SUM(1-'Sparkling Model'!D$2:D$38^A574)</f>
        <v>23.19544935</v>
      </c>
      <c r="C574" s="8">
        <f t="array" ref="C574">PRODUCT(1-'Sparkling Model'!D$2:D$38^A574)</f>
        <v>0.000000004776259817</v>
      </c>
    </row>
    <row r="575">
      <c r="A575" s="6">
        <v>573.0</v>
      </c>
      <c r="B575" s="17">
        <f t="array" ref="B575">SUM(1-'Sparkling Model'!D$2:D$38^A575)</f>
        <v>23.21670863</v>
      </c>
      <c r="C575" s="8">
        <f t="array" ref="C575">PRODUCT(1-'Sparkling Model'!D$2:D$38^A575)</f>
        <v>0.00000000495444293</v>
      </c>
    </row>
    <row r="576">
      <c r="A576" s="6">
        <v>574.0</v>
      </c>
      <c r="B576" s="17">
        <f t="array" ref="B576">SUM(1-'Sparkling Model'!D$2:D$38^A576)</f>
        <v>23.23792689</v>
      </c>
      <c r="C576" s="8">
        <f t="array" ref="C576">PRODUCT(1-'Sparkling Model'!D$2:D$38^A576)</f>
        <v>0.000000005138756105</v>
      </c>
    </row>
    <row r="577">
      <c r="A577" s="6">
        <v>575.0</v>
      </c>
      <c r="B577" s="17">
        <f t="array" ref="B577">SUM(1-'Sparkling Model'!D$2:D$38^A577)</f>
        <v>23.25910422</v>
      </c>
      <c r="C577" s="8">
        <f t="array" ref="C577">PRODUCT(1-'Sparkling Model'!D$2:D$38^A577)</f>
        <v>0.000000005329391669</v>
      </c>
    </row>
    <row r="578">
      <c r="A578" s="6">
        <v>576.0</v>
      </c>
      <c r="B578" s="17">
        <f t="array" ref="B578">SUM(1-'Sparkling Model'!D$2:D$38^A578)</f>
        <v>23.28024071</v>
      </c>
      <c r="C578" s="8">
        <f t="array" ref="C578">PRODUCT(1-'Sparkling Model'!D$2:D$38^A578)</f>
        <v>0.000000005526547367</v>
      </c>
    </row>
    <row r="579">
      <c r="A579" s="6">
        <v>577.0</v>
      </c>
      <c r="B579" s="17">
        <f t="array" ref="B579">SUM(1-'Sparkling Model'!D$2:D$38^A579)</f>
        <v>23.30133646</v>
      </c>
      <c r="C579" s="8">
        <f t="array" ref="C579">PRODUCT(1-'Sparkling Model'!D$2:D$38^A579)</f>
        <v>0.000000005730426496</v>
      </c>
    </row>
    <row r="580">
      <c r="A580" s="6">
        <v>578.0</v>
      </c>
      <c r="B580" s="17">
        <f t="array" ref="B580">SUM(1-'Sparkling Model'!D$2:D$38^A580)</f>
        <v>23.32239156</v>
      </c>
      <c r="C580" s="8">
        <f t="array" ref="C580">PRODUCT(1-'Sparkling Model'!D$2:D$38^A580)</f>
        <v>0.000000005941238046</v>
      </c>
    </row>
    <row r="581">
      <c r="A581" s="6">
        <v>579.0</v>
      </c>
      <c r="B581" s="17">
        <f t="array" ref="B581">SUM(1-'Sparkling Model'!D$2:D$38^A581)</f>
        <v>23.3434061</v>
      </c>
      <c r="C581" s="8">
        <f t="array" ref="C581">PRODUCT(1-'Sparkling Model'!D$2:D$38^A581)</f>
        <v>0.000000006159196832</v>
      </c>
    </row>
    <row r="582">
      <c r="A582" s="6">
        <v>580.0</v>
      </c>
      <c r="B582" s="17">
        <f t="array" ref="B582">SUM(1-'Sparkling Model'!D$2:D$38^A582)</f>
        <v>23.36438017</v>
      </c>
      <c r="C582" s="8">
        <f t="array" ref="C582">PRODUCT(1-'Sparkling Model'!D$2:D$38^A582)</f>
        <v>0.000000006384523646</v>
      </c>
    </row>
    <row r="583">
      <c r="A583" s="6">
        <v>581.0</v>
      </c>
      <c r="B583" s="17">
        <f t="array" ref="B583">SUM(1-'Sparkling Model'!D$2:D$38^A583)</f>
        <v>23.38531385</v>
      </c>
      <c r="C583" s="8">
        <f t="array" ref="C583">PRODUCT(1-'Sparkling Model'!D$2:D$38^A583)</f>
        <v>0.000000006617445393</v>
      </c>
    </row>
    <row r="584">
      <c r="A584" s="6">
        <v>582.0</v>
      </c>
      <c r="B584" s="17">
        <f t="array" ref="B584">SUM(1-'Sparkling Model'!D$2:D$38^A584)</f>
        <v>23.40620724</v>
      </c>
      <c r="C584" s="8">
        <f t="array" ref="C584">PRODUCT(1-'Sparkling Model'!D$2:D$38^A584)</f>
        <v>0.000000006858195248</v>
      </c>
    </row>
    <row r="585">
      <c r="A585" s="6">
        <v>583.0</v>
      </c>
      <c r="B585" s="17">
        <f t="array" ref="B585">SUM(1-'Sparkling Model'!D$2:D$38^A585)</f>
        <v>23.42706043</v>
      </c>
      <c r="C585" s="8">
        <f t="array" ref="C585">PRODUCT(1-'Sparkling Model'!D$2:D$38^A585)</f>
        <v>0.000000007107012803</v>
      </c>
    </row>
    <row r="586">
      <c r="A586" s="6">
        <v>584.0</v>
      </c>
      <c r="B586" s="17">
        <f t="array" ref="B586">SUM(1-'Sparkling Model'!D$2:D$38^A586)</f>
        <v>23.44787351</v>
      </c>
      <c r="C586" s="8">
        <f t="array" ref="C586">PRODUCT(1-'Sparkling Model'!D$2:D$38^A586)</f>
        <v>0.000000007364144221</v>
      </c>
    </row>
    <row r="587">
      <c r="A587" s="6">
        <v>585.0</v>
      </c>
      <c r="B587" s="17">
        <f t="array" ref="B587">SUM(1-'Sparkling Model'!D$2:D$38^A587)</f>
        <v>23.46864657</v>
      </c>
      <c r="C587" s="8">
        <f t="array" ref="C587">PRODUCT(1-'Sparkling Model'!D$2:D$38^A587)</f>
        <v>0.000000007629842398</v>
      </c>
    </row>
    <row r="588">
      <c r="A588" s="6">
        <v>586.0</v>
      </c>
      <c r="B588" s="17">
        <f t="array" ref="B588">SUM(1-'Sparkling Model'!D$2:D$38^A588)</f>
        <v>23.48937969</v>
      </c>
      <c r="C588" s="8">
        <f t="array" ref="C588">PRODUCT(1-'Sparkling Model'!D$2:D$38^A588)</f>
        <v>0.000000007904367118</v>
      </c>
    </row>
    <row r="589">
      <c r="A589" s="6">
        <v>587.0</v>
      </c>
      <c r="B589" s="17">
        <f t="array" ref="B589">SUM(1-'Sparkling Model'!D$2:D$38^A589)</f>
        <v>23.51007296</v>
      </c>
      <c r="C589" s="8">
        <f t="array" ref="C589">PRODUCT(1-'Sparkling Model'!D$2:D$38^A589)</f>
        <v>0.000000008187985224</v>
      </c>
    </row>
    <row r="590">
      <c r="A590" s="6">
        <v>588.0</v>
      </c>
      <c r="B590" s="17">
        <f t="array" ref="B590">SUM(1-'Sparkling Model'!D$2:D$38^A590)</f>
        <v>23.53072648</v>
      </c>
      <c r="C590" s="8">
        <f t="array" ref="C590">PRODUCT(1-'Sparkling Model'!D$2:D$38^A590)</f>
        <v>0.000000008480970781</v>
      </c>
    </row>
    <row r="591">
      <c r="A591" s="6">
        <v>589.0</v>
      </c>
      <c r="B591" s="17">
        <f t="array" ref="B591">SUM(1-'Sparkling Model'!D$2:D$38^A591)</f>
        <v>23.55134034</v>
      </c>
      <c r="C591" s="8">
        <f t="array" ref="C591">PRODUCT(1-'Sparkling Model'!D$2:D$38^A591)</f>
        <v>0.000000008783605247</v>
      </c>
    </row>
    <row r="592">
      <c r="A592" s="6">
        <v>590.0</v>
      </c>
      <c r="B592" s="17">
        <f t="array" ref="B592">SUM(1-'Sparkling Model'!D$2:D$38^A592)</f>
        <v>23.57191461</v>
      </c>
      <c r="C592" s="8">
        <f t="array" ref="C592">PRODUCT(1-'Sparkling Model'!D$2:D$38^A592)</f>
        <v>0.00000000909617765</v>
      </c>
    </row>
    <row r="593">
      <c r="A593" s="6">
        <v>591.0</v>
      </c>
      <c r="B593" s="17">
        <f t="array" ref="B593">SUM(1-'Sparkling Model'!D$2:D$38^A593)</f>
        <v>23.59244939</v>
      </c>
      <c r="C593" s="8">
        <f t="array" ref="C593">PRODUCT(1-'Sparkling Model'!D$2:D$38^A593)</f>
        <v>0.000000009418984764</v>
      </c>
    </row>
    <row r="594">
      <c r="A594" s="6">
        <v>592.0</v>
      </c>
      <c r="B594" s="17">
        <f t="array" ref="B594">SUM(1-'Sparkling Model'!D$2:D$38^A594)</f>
        <v>23.61294477</v>
      </c>
      <c r="C594" s="8">
        <f t="array" ref="C594">PRODUCT(1-'Sparkling Model'!D$2:D$38^A594)</f>
        <v>0.000000009752331289</v>
      </c>
    </row>
    <row r="595">
      <c r="A595" s="6">
        <v>593.0</v>
      </c>
      <c r="B595" s="17">
        <f t="array" ref="B595">SUM(1-'Sparkling Model'!D$2:D$38^A595)</f>
        <v>23.63340083</v>
      </c>
      <c r="C595" s="8">
        <f t="array" ref="C595">PRODUCT(1-'Sparkling Model'!D$2:D$38^A595)</f>
        <v>0.00000001009653004</v>
      </c>
    </row>
    <row r="596">
      <c r="A596" s="6">
        <v>594.0</v>
      </c>
      <c r="B596" s="17">
        <f t="array" ref="B596">SUM(1-'Sparkling Model'!D$2:D$38^A596)</f>
        <v>23.65381766</v>
      </c>
      <c r="C596" s="8">
        <f t="array" ref="C596">PRODUCT(1-'Sparkling Model'!D$2:D$38^A596)</f>
        <v>0.00000001045190213</v>
      </c>
    </row>
    <row r="597">
      <c r="A597" s="6">
        <v>595.0</v>
      </c>
      <c r="B597" s="17">
        <f t="array" ref="B597">SUM(1-'Sparkling Model'!D$2:D$38^A597)</f>
        <v>23.67419535</v>
      </c>
      <c r="C597" s="8">
        <f t="array" ref="C597">PRODUCT(1-'Sparkling Model'!D$2:D$38^A597)</f>
        <v>0.00000001081877716</v>
      </c>
    </row>
    <row r="598">
      <c r="A598" s="6">
        <v>596.0</v>
      </c>
      <c r="B598" s="17">
        <f t="array" ref="B598">SUM(1-'Sparkling Model'!D$2:D$38^A598)</f>
        <v>23.69453399</v>
      </c>
      <c r="C598" s="8">
        <f t="array" ref="C598">PRODUCT(1-'Sparkling Model'!D$2:D$38^A598)</f>
        <v>0.00000001119749343</v>
      </c>
    </row>
    <row r="599">
      <c r="A599" s="6">
        <v>597.0</v>
      </c>
      <c r="B599" s="17">
        <f t="array" ref="B599">SUM(1-'Sparkling Model'!D$2:D$38^A599)</f>
        <v>23.71483366</v>
      </c>
      <c r="C599" s="8">
        <f t="array" ref="C599">PRODUCT(1-'Sparkling Model'!D$2:D$38^A599)</f>
        <v>0.00000001158839813</v>
      </c>
    </row>
    <row r="600">
      <c r="A600" s="6">
        <v>598.0</v>
      </c>
      <c r="B600" s="17">
        <f t="array" ref="B600">SUM(1-'Sparkling Model'!D$2:D$38^A600)</f>
        <v>23.73509444</v>
      </c>
      <c r="C600" s="8">
        <f t="array" ref="C600">PRODUCT(1-'Sparkling Model'!D$2:D$38^A600)</f>
        <v>0.00000001199184752</v>
      </c>
    </row>
    <row r="601">
      <c r="A601" s="6">
        <v>599.0</v>
      </c>
      <c r="B601" s="17">
        <f t="array" ref="B601">SUM(1-'Sparkling Model'!D$2:D$38^A601)</f>
        <v>23.75531643</v>
      </c>
      <c r="C601" s="8">
        <f t="array" ref="C601">PRODUCT(1-'Sparkling Model'!D$2:D$38^A601)</f>
        <v>0.00000001240820718</v>
      </c>
    </row>
    <row r="602">
      <c r="A602" s="6">
        <v>600.0</v>
      </c>
      <c r="B602" s="17">
        <f t="array" ref="B602">SUM(1-'Sparkling Model'!D$2:D$38^A602)</f>
        <v>23.77549972</v>
      </c>
      <c r="C602" s="8">
        <f t="array" ref="C602">PRODUCT(1-'Sparkling Model'!D$2:D$38^A602)</f>
        <v>0.00000001283785219</v>
      </c>
    </row>
    <row r="603">
      <c r="A603" s="6">
        <v>601.0</v>
      </c>
      <c r="B603" s="17">
        <f t="array" ref="B603">SUM(1-'Sparkling Model'!D$2:D$38^A603)</f>
        <v>23.79564437</v>
      </c>
      <c r="C603" s="8">
        <f t="array" ref="C603">PRODUCT(1-'Sparkling Model'!D$2:D$38^A603)</f>
        <v>0.00000001328116736</v>
      </c>
    </row>
    <row r="604">
      <c r="A604" s="6">
        <v>602.0</v>
      </c>
      <c r="B604" s="17">
        <f t="array" ref="B604">SUM(1-'Sparkling Model'!D$2:D$38^A604)</f>
        <v>23.8157505</v>
      </c>
      <c r="C604" s="8">
        <f t="array" ref="C604">PRODUCT(1-'Sparkling Model'!D$2:D$38^A604)</f>
        <v>0.00000001373854743</v>
      </c>
    </row>
    <row r="605">
      <c r="A605" s="6">
        <v>603.0</v>
      </c>
      <c r="B605" s="17">
        <f t="array" ref="B605">SUM(1-'Sparkling Model'!D$2:D$38^A605)</f>
        <v>23.83581816</v>
      </c>
      <c r="C605" s="8">
        <f t="array" ref="C605">PRODUCT(1-'Sparkling Model'!D$2:D$38^A605)</f>
        <v>0.00000001421039734</v>
      </c>
    </row>
    <row r="606">
      <c r="A606" s="6">
        <v>604.0</v>
      </c>
      <c r="B606" s="17">
        <f t="array" ref="B606">SUM(1-'Sparkling Model'!D$2:D$38^A606)</f>
        <v>23.85584747</v>
      </c>
      <c r="C606" s="8">
        <f t="array" ref="C606">PRODUCT(1-'Sparkling Model'!D$2:D$38^A606)</f>
        <v>0.00000001469713239</v>
      </c>
    </row>
    <row r="607">
      <c r="A607" s="6">
        <v>605.0</v>
      </c>
      <c r="B607" s="17">
        <f t="array" ref="B607">SUM(1-'Sparkling Model'!D$2:D$38^A607)</f>
        <v>23.87583849</v>
      </c>
      <c r="C607" s="8">
        <f t="array" ref="C607">PRODUCT(1-'Sparkling Model'!D$2:D$38^A607)</f>
        <v>0.00000001519917852</v>
      </c>
    </row>
    <row r="608">
      <c r="A608" s="6">
        <v>606.0</v>
      </c>
      <c r="B608" s="17">
        <f t="array" ref="B608">SUM(1-'Sparkling Model'!D$2:D$38^A608)</f>
        <v>23.89579131</v>
      </c>
      <c r="C608" s="8">
        <f t="array" ref="C608">PRODUCT(1-'Sparkling Model'!D$2:D$38^A608)</f>
        <v>0.00000001571697254</v>
      </c>
    </row>
    <row r="609">
      <c r="A609" s="6">
        <v>607.0</v>
      </c>
      <c r="B609" s="17">
        <f t="array" ref="B609">SUM(1-'Sparkling Model'!D$2:D$38^A609)</f>
        <v>23.91570602</v>
      </c>
      <c r="C609" s="8">
        <f t="array" ref="C609">PRODUCT(1-'Sparkling Model'!D$2:D$38^A609)</f>
        <v>0.00000001625096236</v>
      </c>
    </row>
    <row r="610">
      <c r="A610" s="6">
        <v>608.0</v>
      </c>
      <c r="B610" s="17">
        <f t="array" ref="B610">SUM(1-'Sparkling Model'!D$2:D$38^A610)</f>
        <v>23.9355827</v>
      </c>
      <c r="C610" s="8">
        <f t="array" ref="C610">PRODUCT(1-'Sparkling Model'!D$2:D$38^A610)</f>
        <v>0.00000001680160723</v>
      </c>
    </row>
    <row r="611">
      <c r="A611" s="6">
        <v>609.0</v>
      </c>
      <c r="B611" s="17">
        <f t="array" ref="B611">SUM(1-'Sparkling Model'!D$2:D$38^A611)</f>
        <v>23.95542144</v>
      </c>
      <c r="C611" s="8">
        <f t="array" ref="C611">PRODUCT(1-'Sparkling Model'!D$2:D$38^A611)</f>
        <v>0.00000001736937799</v>
      </c>
    </row>
    <row r="612">
      <c r="A612" s="6">
        <v>610.0</v>
      </c>
      <c r="B612" s="17">
        <f t="array" ref="B612">SUM(1-'Sparkling Model'!D$2:D$38^A612)</f>
        <v>23.97522232</v>
      </c>
      <c r="C612" s="8">
        <f t="array" ref="C612">PRODUCT(1-'Sparkling Model'!D$2:D$38^A612)</f>
        <v>0.00000001795475737</v>
      </c>
    </row>
    <row r="613">
      <c r="A613" s="6">
        <v>611.0</v>
      </c>
      <c r="B613" s="17">
        <f t="array" ref="B613">SUM(1-'Sparkling Model'!D$2:D$38^A613)</f>
        <v>23.99498543</v>
      </c>
      <c r="C613" s="8">
        <f t="array" ref="C613">PRODUCT(1-'Sparkling Model'!D$2:D$38^A613)</f>
        <v>0.00000001855824016</v>
      </c>
    </row>
    <row r="614">
      <c r="A614" s="6">
        <v>612.0</v>
      </c>
      <c r="B614" s="17">
        <f t="array" ref="B614">SUM(1-'Sparkling Model'!D$2:D$38^A614)</f>
        <v>24.01471084</v>
      </c>
      <c r="C614" s="8">
        <f t="array" ref="C614">PRODUCT(1-'Sparkling Model'!D$2:D$38^A614)</f>
        <v>0.00000001918033356</v>
      </c>
    </row>
    <row r="615">
      <c r="A615" s="6">
        <v>613.0</v>
      </c>
      <c r="B615" s="17">
        <f t="array" ref="B615">SUM(1-'Sparkling Model'!D$2:D$38^A615)</f>
        <v>24.03439864</v>
      </c>
      <c r="C615" s="8">
        <f t="array" ref="C615">PRODUCT(1-'Sparkling Model'!D$2:D$38^A615)</f>
        <v>0.00000001982155739</v>
      </c>
    </row>
    <row r="616">
      <c r="A616" s="6">
        <v>614.0</v>
      </c>
      <c r="B616" s="17">
        <f t="array" ref="B616">SUM(1-'Sparkling Model'!D$2:D$38^A616)</f>
        <v>24.05404892</v>
      </c>
      <c r="C616" s="8">
        <f t="array" ref="C616">PRODUCT(1-'Sparkling Model'!D$2:D$38^A616)</f>
        <v>0.0000000204824444</v>
      </c>
    </row>
    <row r="617">
      <c r="A617" s="6">
        <v>615.0</v>
      </c>
      <c r="B617" s="17">
        <f t="array" ref="B617">SUM(1-'Sparkling Model'!D$2:D$38^A617)</f>
        <v>24.07366175</v>
      </c>
      <c r="C617" s="8">
        <f t="array" ref="C617">PRODUCT(1-'Sparkling Model'!D$2:D$38^A617)</f>
        <v>0.0000000211635405</v>
      </c>
    </row>
    <row r="618">
      <c r="A618" s="6">
        <v>616.0</v>
      </c>
      <c r="B618" s="17">
        <f t="array" ref="B618">SUM(1-'Sparkling Model'!D$2:D$38^A618)</f>
        <v>24.09323722</v>
      </c>
      <c r="C618" s="8">
        <f t="array" ref="C618">PRODUCT(1-'Sparkling Model'!D$2:D$38^A618)</f>
        <v>0.00000002186540511</v>
      </c>
    </row>
    <row r="619">
      <c r="A619" s="6">
        <v>617.0</v>
      </c>
      <c r="B619" s="17">
        <f t="array" ref="B619">SUM(1-'Sparkling Model'!D$2:D$38^A619)</f>
        <v>24.11277542</v>
      </c>
      <c r="C619" s="8">
        <f t="array" ref="C619">PRODUCT(1-'Sparkling Model'!D$2:D$38^A619)</f>
        <v>0.00000002258861138</v>
      </c>
    </row>
    <row r="620">
      <c r="A620" s="6">
        <v>618.0</v>
      </c>
      <c r="B620" s="17">
        <f t="array" ref="B620">SUM(1-'Sparkling Model'!D$2:D$38^A620)</f>
        <v>24.13227642</v>
      </c>
      <c r="C620" s="8">
        <f t="array" ref="C620">PRODUCT(1-'Sparkling Model'!D$2:D$38^A620)</f>
        <v>0.00000002333374654</v>
      </c>
    </row>
    <row r="621">
      <c r="A621" s="6">
        <v>619.0</v>
      </c>
      <c r="B621" s="17">
        <f t="array" ref="B621">SUM(1-'Sparkling Model'!D$2:D$38^A621)</f>
        <v>24.1517403</v>
      </c>
      <c r="C621" s="8">
        <f t="array" ref="C621">PRODUCT(1-'Sparkling Model'!D$2:D$38^A621)</f>
        <v>0.00000002410141214</v>
      </c>
    </row>
    <row r="622">
      <c r="A622" s="6">
        <v>620.0</v>
      </c>
      <c r="B622" s="17">
        <f t="array" ref="B622">SUM(1-'Sparkling Model'!D$2:D$38^A622)</f>
        <v>24.17116716</v>
      </c>
      <c r="C622" s="8">
        <f t="array" ref="C622">PRODUCT(1-'Sparkling Model'!D$2:D$38^A622)</f>
        <v>0.0000000248922244</v>
      </c>
    </row>
    <row r="623">
      <c r="A623" s="6">
        <v>621.0</v>
      </c>
      <c r="B623" s="17">
        <f t="array" ref="B623">SUM(1-'Sparkling Model'!D$2:D$38^A623)</f>
        <v>24.19055706</v>
      </c>
      <c r="C623" s="8">
        <f t="array" ref="C623">PRODUCT(1-'Sparkling Model'!D$2:D$38^A623)</f>
        <v>0.0000000257068145</v>
      </c>
    </row>
    <row r="624">
      <c r="A624" s="6">
        <v>622.0</v>
      </c>
      <c r="B624" s="17">
        <f t="array" ref="B624">SUM(1-'Sparkling Model'!D$2:D$38^A624)</f>
        <v>24.2099101</v>
      </c>
      <c r="C624" s="8">
        <f t="array" ref="C624">PRODUCT(1-'Sparkling Model'!D$2:D$38^A624)</f>
        <v>0.0000000265458289</v>
      </c>
    </row>
    <row r="625">
      <c r="A625" s="6">
        <v>623.0</v>
      </c>
      <c r="B625" s="17">
        <f t="array" ref="B625">SUM(1-'Sparkling Model'!D$2:D$38^A625)</f>
        <v>24.22922635</v>
      </c>
      <c r="C625" s="8">
        <f t="array" ref="C625">PRODUCT(1-'Sparkling Model'!D$2:D$38^A625)</f>
        <v>0.00000002740992962</v>
      </c>
    </row>
    <row r="626">
      <c r="A626" s="6">
        <v>624.0</v>
      </c>
      <c r="B626" s="17">
        <f t="array" ref="B626">SUM(1-'Sparkling Model'!D$2:D$38^A626)</f>
        <v>24.2485059</v>
      </c>
      <c r="C626" s="8">
        <f t="array" ref="C626">PRODUCT(1-'Sparkling Model'!D$2:D$38^A626)</f>
        <v>0.00000002829979464</v>
      </c>
    </row>
    <row r="627">
      <c r="A627" s="6">
        <v>625.0</v>
      </c>
      <c r="B627" s="17">
        <f t="array" ref="B627">SUM(1-'Sparkling Model'!D$2:D$38^A627)</f>
        <v>24.26774882</v>
      </c>
      <c r="C627" s="8">
        <f t="array" ref="C627">PRODUCT(1-'Sparkling Model'!D$2:D$38^A627)</f>
        <v>0.00000002921611816</v>
      </c>
    </row>
    <row r="628">
      <c r="A628" s="6">
        <v>626.0</v>
      </c>
      <c r="B628" s="17">
        <f t="array" ref="B628">SUM(1-'Sparkling Model'!D$2:D$38^A628)</f>
        <v>24.2869552</v>
      </c>
      <c r="C628" s="8">
        <f t="array" ref="C628">PRODUCT(1-'Sparkling Model'!D$2:D$38^A628)</f>
        <v>0.00000003015961095</v>
      </c>
    </row>
    <row r="629">
      <c r="A629" s="6">
        <v>627.0</v>
      </c>
      <c r="B629" s="17">
        <f t="array" ref="B629">SUM(1-'Sparkling Model'!D$2:D$38^A629)</f>
        <v>24.30612512</v>
      </c>
      <c r="C629" s="8">
        <f t="array" ref="C629">PRODUCT(1-'Sparkling Model'!D$2:D$38^A629)</f>
        <v>0.00000003113100072</v>
      </c>
    </row>
    <row r="630">
      <c r="A630" s="6">
        <v>628.0</v>
      </c>
      <c r="B630" s="17">
        <f t="array" ref="B630">SUM(1-'Sparkling Model'!D$2:D$38^A630)</f>
        <v>24.32525865</v>
      </c>
      <c r="C630" s="8">
        <f t="array" ref="C630">PRODUCT(1-'Sparkling Model'!D$2:D$38^A630)</f>
        <v>0.00000003213103245</v>
      </c>
    </row>
    <row r="631">
      <c r="A631" s="6">
        <v>629.0</v>
      </c>
      <c r="B631" s="17">
        <f t="array" ref="B631">SUM(1-'Sparkling Model'!D$2:D$38^A631)</f>
        <v>24.34435588</v>
      </c>
      <c r="C631" s="8">
        <f t="array" ref="C631">PRODUCT(1-'Sparkling Model'!D$2:D$38^A631)</f>
        <v>0.00000003316046873</v>
      </c>
    </row>
    <row r="632">
      <c r="A632" s="6">
        <v>630.0</v>
      </c>
      <c r="B632" s="17">
        <f t="array" ref="B632">SUM(1-'Sparkling Model'!D$2:D$38^A632)</f>
        <v>24.36341689</v>
      </c>
      <c r="C632" s="8">
        <f t="array" ref="C632">PRODUCT(1-'Sparkling Model'!D$2:D$38^A632)</f>
        <v>0.00000003422009013</v>
      </c>
    </row>
    <row r="633">
      <c r="A633" s="6">
        <v>631.0</v>
      </c>
      <c r="B633" s="17">
        <f t="array" ref="B633">SUM(1-'Sparkling Model'!D$2:D$38^A633)</f>
        <v>24.38244176</v>
      </c>
      <c r="C633" s="8">
        <f t="array" ref="C633">PRODUCT(1-'Sparkling Model'!D$2:D$38^A633)</f>
        <v>0.00000003531069556</v>
      </c>
    </row>
    <row r="634">
      <c r="A634" s="6">
        <v>632.0</v>
      </c>
      <c r="B634" s="17">
        <f t="array" ref="B634">SUM(1-'Sparkling Model'!D$2:D$38^A634)</f>
        <v>24.40143056</v>
      </c>
      <c r="C634" s="8">
        <f t="array" ref="C634">PRODUCT(1-'Sparkling Model'!D$2:D$38^A634)</f>
        <v>0.00000003643310263</v>
      </c>
    </row>
    <row r="635">
      <c r="A635" s="6">
        <v>633.0</v>
      </c>
      <c r="B635" s="17">
        <f t="array" ref="B635">SUM(1-'Sparkling Model'!D$2:D$38^A635)</f>
        <v>24.42038338</v>
      </c>
      <c r="C635" s="8">
        <f t="array" ref="C635">PRODUCT(1-'Sparkling Model'!D$2:D$38^A635)</f>
        <v>0.00000003758814807</v>
      </c>
    </row>
    <row r="636">
      <c r="A636" s="6">
        <v>634.0</v>
      </c>
      <c r="B636" s="17">
        <f t="array" ref="B636">SUM(1-'Sparkling Model'!D$2:D$38^A636)</f>
        <v>24.43930029</v>
      </c>
      <c r="C636" s="8">
        <f t="array" ref="C636">PRODUCT(1-'Sparkling Model'!D$2:D$38^A636)</f>
        <v>0.00000003877668805</v>
      </c>
    </row>
    <row r="637">
      <c r="A637" s="6">
        <v>635.0</v>
      </c>
      <c r="B637" s="17">
        <f t="array" ref="B637">SUM(1-'Sparkling Model'!D$2:D$38^A637)</f>
        <v>24.45818138</v>
      </c>
      <c r="C637" s="8">
        <f t="array" ref="C637">PRODUCT(1-'Sparkling Model'!D$2:D$38^A637)</f>
        <v>0.0000000399995986</v>
      </c>
    </row>
    <row r="638">
      <c r="A638" s="6">
        <v>636.0</v>
      </c>
      <c r="B638" s="17">
        <f t="array" ref="B638">SUM(1-'Sparkling Model'!D$2:D$38^A638)</f>
        <v>24.47702672</v>
      </c>
      <c r="C638" s="8">
        <f t="array" ref="C638">PRODUCT(1-'Sparkling Model'!D$2:D$38^A638)</f>
        <v>0.00000004125777602</v>
      </c>
    </row>
    <row r="639">
      <c r="A639" s="6">
        <v>637.0</v>
      </c>
      <c r="B639" s="17">
        <f t="array" ref="B639">SUM(1-'Sparkling Model'!D$2:D$38^A639)</f>
        <v>24.49583639</v>
      </c>
      <c r="C639" s="8">
        <f t="array" ref="C639">PRODUCT(1-'Sparkling Model'!D$2:D$38^A639)</f>
        <v>0.00000004255213725</v>
      </c>
    </row>
    <row r="640">
      <c r="A640" s="6">
        <v>638.0</v>
      </c>
      <c r="B640" s="17">
        <f t="array" ref="B640">SUM(1-'Sparkling Model'!D$2:D$38^A640)</f>
        <v>24.51461048</v>
      </c>
      <c r="C640" s="8">
        <f t="array" ref="C640">PRODUCT(1-'Sparkling Model'!D$2:D$38^A640)</f>
        <v>0.00000004388362029</v>
      </c>
    </row>
    <row r="641">
      <c r="A641" s="6">
        <v>639.0</v>
      </c>
      <c r="B641" s="17">
        <f t="array" ref="B641">SUM(1-'Sparkling Model'!D$2:D$38^A641)</f>
        <v>24.53334905</v>
      </c>
      <c r="C641" s="8">
        <f t="array" ref="C641">PRODUCT(1-'Sparkling Model'!D$2:D$38^A641)</f>
        <v>0.00000004525318462</v>
      </c>
    </row>
    <row r="642">
      <c r="A642" s="6">
        <v>640.0</v>
      </c>
      <c r="B642" s="17">
        <f t="array" ref="B642">SUM(1-'Sparkling Model'!D$2:D$38^A642)</f>
        <v>24.55205219</v>
      </c>
      <c r="C642" s="8">
        <f t="array" ref="C642">PRODUCT(1-'Sparkling Model'!D$2:D$38^A642)</f>
        <v>0.00000004666181162</v>
      </c>
    </row>
    <row r="643">
      <c r="A643" s="6">
        <v>641.0</v>
      </c>
      <c r="B643" s="17">
        <f t="array" ref="B643">SUM(1-'Sparkling Model'!D$2:D$38^A643)</f>
        <v>24.57071997</v>
      </c>
      <c r="C643" s="8">
        <f t="array" ref="C643">PRODUCT(1-'Sparkling Model'!D$2:D$38^A643)</f>
        <v>0.00000004811050497</v>
      </c>
    </row>
    <row r="644">
      <c r="A644" s="6">
        <v>642.0</v>
      </c>
      <c r="B644" s="17">
        <f t="array" ref="B644">SUM(1-'Sparkling Model'!D$2:D$38^A644)</f>
        <v>24.58935248</v>
      </c>
      <c r="C644" s="8">
        <f t="array" ref="C644">PRODUCT(1-'Sparkling Model'!D$2:D$38^A644)</f>
        <v>0.00000004960029113</v>
      </c>
    </row>
    <row r="645">
      <c r="A645" s="6">
        <v>643.0</v>
      </c>
      <c r="B645" s="17">
        <f t="array" ref="B645">SUM(1-'Sparkling Model'!D$2:D$38^A645)</f>
        <v>24.60794978</v>
      </c>
      <c r="C645" s="8">
        <f t="array" ref="C645">PRODUCT(1-'Sparkling Model'!D$2:D$38^A645)</f>
        <v>0.00000005113221975</v>
      </c>
    </row>
    <row r="646">
      <c r="A646" s="6">
        <v>644.0</v>
      </c>
      <c r="B646" s="17">
        <f t="array" ref="B646">SUM(1-'Sparkling Model'!D$2:D$38^A646)</f>
        <v>24.62651196</v>
      </c>
      <c r="C646" s="8">
        <f t="array" ref="C646">PRODUCT(1-'Sparkling Model'!D$2:D$38^A646)</f>
        <v>0.00000005270736411</v>
      </c>
    </row>
    <row r="647">
      <c r="A647" s="6">
        <v>645.0</v>
      </c>
      <c r="B647" s="17">
        <f t="array" ref="B647">SUM(1-'Sparkling Model'!D$2:D$38^A647)</f>
        <v>24.6450391</v>
      </c>
      <c r="C647" s="8">
        <f t="array" ref="C647">PRODUCT(1-'Sparkling Model'!D$2:D$38^A647)</f>
        <v>0.00000005432682161</v>
      </c>
    </row>
    <row r="648">
      <c r="A648" s="6">
        <v>646.0</v>
      </c>
      <c r="B648" s="17">
        <f t="array" ref="B648">SUM(1-'Sparkling Model'!D$2:D$38^A648)</f>
        <v>24.66353126</v>
      </c>
      <c r="C648" s="8">
        <f t="array" ref="C648">PRODUCT(1-'Sparkling Model'!D$2:D$38^A648)</f>
        <v>0.00000005599171419</v>
      </c>
    </row>
    <row r="649">
      <c r="A649" s="6">
        <v>647.0</v>
      </c>
      <c r="B649" s="17">
        <f t="array" ref="B649">SUM(1-'Sparkling Model'!D$2:D$38^A649)</f>
        <v>24.68198854</v>
      </c>
      <c r="C649" s="8">
        <f t="array" ref="C649">PRODUCT(1-'Sparkling Model'!D$2:D$38^A649)</f>
        <v>0.00000005770318882</v>
      </c>
    </row>
    <row r="650">
      <c r="A650" s="6">
        <v>648.0</v>
      </c>
      <c r="B650" s="17">
        <f t="array" ref="B650">SUM(1-'Sparkling Model'!D$2:D$38^A650)</f>
        <v>24.700411</v>
      </c>
      <c r="C650" s="8">
        <f t="array" ref="C650">PRODUCT(1-'Sparkling Model'!D$2:D$38^A650)</f>
        <v>0.000000059462418</v>
      </c>
    </row>
    <row r="651">
      <c r="A651" s="6">
        <v>649.0</v>
      </c>
      <c r="B651" s="17">
        <f t="array" ref="B651">SUM(1-'Sparkling Model'!D$2:D$38^A651)</f>
        <v>24.71879871</v>
      </c>
      <c r="C651" s="8">
        <f t="array" ref="C651">PRODUCT(1-'Sparkling Model'!D$2:D$38^A651)</f>
        <v>0.00000006127060018</v>
      </c>
    </row>
    <row r="652">
      <c r="A652" s="6">
        <v>650.0</v>
      </c>
      <c r="B652" s="17">
        <f t="array" ref="B652">SUM(1-'Sparkling Model'!D$2:D$38^A652)</f>
        <v>24.73715177</v>
      </c>
      <c r="C652" s="8">
        <f t="array" ref="C652">PRODUCT(1-'Sparkling Model'!D$2:D$38^A652)</f>
        <v>0.0000000631289603</v>
      </c>
    </row>
    <row r="653">
      <c r="A653" s="6">
        <v>651.0</v>
      </c>
      <c r="B653" s="17">
        <f t="array" ref="B653">SUM(1-'Sparkling Model'!D$2:D$38^A653)</f>
        <v>24.75547024</v>
      </c>
      <c r="C653" s="8">
        <f t="array" ref="C653">PRODUCT(1-'Sparkling Model'!D$2:D$38^A653)</f>
        <v>0.00000006503875029</v>
      </c>
    </row>
    <row r="654">
      <c r="A654" s="6">
        <v>652.0</v>
      </c>
      <c r="B654" s="17">
        <f t="array" ref="B654">SUM(1-'Sparkling Model'!D$2:D$38^A654)</f>
        <v>24.77375419</v>
      </c>
      <c r="C654" s="8">
        <f t="array" ref="C654">PRODUCT(1-'Sparkling Model'!D$2:D$38^A654)</f>
        <v>0.00000006700124952</v>
      </c>
    </row>
    <row r="655">
      <c r="A655" s="6">
        <v>653.0</v>
      </c>
      <c r="B655" s="17">
        <f t="array" ref="B655">SUM(1-'Sparkling Model'!D$2:D$38^A655)</f>
        <v>24.79200371</v>
      </c>
      <c r="C655" s="8">
        <f t="array" ref="C655">PRODUCT(1-'Sparkling Model'!D$2:D$38^A655)</f>
        <v>0.0000000690177654</v>
      </c>
    </row>
    <row r="656">
      <c r="A656" s="6">
        <v>654.0</v>
      </c>
      <c r="B656" s="17">
        <f t="array" ref="B656">SUM(1-'Sparkling Model'!D$2:D$38^A656)</f>
        <v>24.81021887</v>
      </c>
      <c r="C656" s="8">
        <f t="array" ref="C656">PRODUCT(1-'Sparkling Model'!D$2:D$38^A656)</f>
        <v>0.00000007108963381</v>
      </c>
    </row>
    <row r="657">
      <c r="A657" s="6">
        <v>655.0</v>
      </c>
      <c r="B657" s="17">
        <f t="array" ref="B657">SUM(1-'Sparkling Model'!D$2:D$38^A657)</f>
        <v>24.82839975</v>
      </c>
      <c r="C657" s="8">
        <f t="array" ref="C657">PRODUCT(1-'Sparkling Model'!D$2:D$38^A657)</f>
        <v>0.0000000732182197</v>
      </c>
    </row>
    <row r="658">
      <c r="A658" s="6">
        <v>656.0</v>
      </c>
      <c r="B658" s="17">
        <f t="array" ref="B658">SUM(1-'Sparkling Model'!D$2:D$38^A658)</f>
        <v>24.84654641</v>
      </c>
      <c r="C658" s="8">
        <f t="array" ref="C658">PRODUCT(1-'Sparkling Model'!D$2:D$38^A658)</f>
        <v>0.00000007540491756</v>
      </c>
    </row>
    <row r="659">
      <c r="A659" s="6">
        <v>657.0</v>
      </c>
      <c r="B659" s="17">
        <f t="array" ref="B659">SUM(1-'Sparkling Model'!D$2:D$38^A659)</f>
        <v>24.86465894</v>
      </c>
      <c r="C659" s="8">
        <f t="array" ref="C659">PRODUCT(1-'Sparkling Model'!D$2:D$38^A659)</f>
        <v>0.00000007765115204</v>
      </c>
    </row>
    <row r="660">
      <c r="A660" s="6">
        <v>658.0</v>
      </c>
      <c r="B660" s="17">
        <f t="array" ref="B660">SUM(1-'Sparkling Model'!D$2:D$38^A660)</f>
        <v>24.8827374</v>
      </c>
      <c r="C660" s="8">
        <f t="array" ref="C660">PRODUCT(1-'Sparkling Model'!D$2:D$38^A660)</f>
        <v>0.00000007995837843</v>
      </c>
    </row>
    <row r="661">
      <c r="A661" s="6">
        <v>659.0</v>
      </c>
      <c r="B661" s="17">
        <f t="array" ref="B661">SUM(1-'Sparkling Model'!D$2:D$38^A661)</f>
        <v>24.90078189</v>
      </c>
      <c r="C661" s="8">
        <f t="array" ref="C661">PRODUCT(1-'Sparkling Model'!D$2:D$38^A661)</f>
        <v>0.00000008232808325</v>
      </c>
    </row>
    <row r="662">
      <c r="A662" s="6">
        <v>660.0</v>
      </c>
      <c r="B662" s="17">
        <f t="array" ref="B662">SUM(1-'Sparkling Model'!D$2:D$38^A662)</f>
        <v>24.91879246</v>
      </c>
      <c r="C662" s="8">
        <f t="array" ref="C662">PRODUCT(1-'Sparkling Model'!D$2:D$38^A662)</f>
        <v>0.00000008476178483</v>
      </c>
    </row>
    <row r="663">
      <c r="A663" s="6">
        <v>661.0</v>
      </c>
      <c r="B663" s="17">
        <f t="array" ref="B663">SUM(1-'Sparkling Model'!D$2:D$38^A663)</f>
        <v>24.93676919</v>
      </c>
      <c r="C663" s="8">
        <f t="array" ref="C663">PRODUCT(1-'Sparkling Model'!D$2:D$38^A663)</f>
        <v>0.00000008726103387</v>
      </c>
    </row>
    <row r="664">
      <c r="A664" s="6">
        <v>662.0</v>
      </c>
      <c r="B664" s="17">
        <f t="array" ref="B664">SUM(1-'Sparkling Model'!D$2:D$38^A664)</f>
        <v>24.95471215</v>
      </c>
      <c r="C664" s="8">
        <f t="array" ref="C664">PRODUCT(1-'Sparkling Model'!D$2:D$38^A664)</f>
        <v>0.000000089827414</v>
      </c>
    </row>
    <row r="665">
      <c r="A665" s="6">
        <v>663.0</v>
      </c>
      <c r="B665" s="17">
        <f t="array" ref="B665">SUM(1-'Sparkling Model'!D$2:D$38^A665)</f>
        <v>24.97262143</v>
      </c>
      <c r="C665" s="8">
        <f t="array" ref="C665">PRODUCT(1-'Sparkling Model'!D$2:D$38^A665)</f>
        <v>0.00000009246254244</v>
      </c>
    </row>
    <row r="666">
      <c r="A666" s="6">
        <v>664.0</v>
      </c>
      <c r="B666" s="17">
        <f t="array" ref="B666">SUM(1-'Sparkling Model'!D$2:D$38^A666)</f>
        <v>24.99049709</v>
      </c>
      <c r="C666" s="8">
        <f t="array" ref="C666">PRODUCT(1-'Sparkling Model'!D$2:D$38^A666)</f>
        <v>0.00000009516807053</v>
      </c>
    </row>
    <row r="667">
      <c r="A667" s="6">
        <v>665.0</v>
      </c>
      <c r="B667" s="17">
        <f t="array" ref="B667">SUM(1-'Sparkling Model'!D$2:D$38^A667)</f>
        <v>25.00833921</v>
      </c>
      <c r="C667" s="8">
        <f t="array" ref="C667">PRODUCT(1-'Sparkling Model'!D$2:D$38^A667)</f>
        <v>0.00000009794568437</v>
      </c>
    </row>
    <row r="668">
      <c r="A668" s="6">
        <v>666.0</v>
      </c>
      <c r="B668" s="17">
        <f t="array" ref="B668">SUM(1-'Sparkling Model'!D$2:D$38^A668)</f>
        <v>25.02614786</v>
      </c>
      <c r="C668" s="8">
        <f t="array" ref="C668">PRODUCT(1-'Sparkling Model'!D$2:D$38^A668)</f>
        <v>0.0000001007971054</v>
      </c>
    </row>
    <row r="669">
      <c r="A669" s="6">
        <v>667.0</v>
      </c>
      <c r="B669" s="17">
        <f t="array" ref="B669">SUM(1-'Sparkling Model'!D$2:D$38^A669)</f>
        <v>25.04392311</v>
      </c>
      <c r="C669" s="8">
        <f t="array" ref="C669">PRODUCT(1-'Sparkling Model'!D$2:D$38^A669)</f>
        <v>0.0000001037240912</v>
      </c>
    </row>
    <row r="670">
      <c r="A670" s="6">
        <v>668.0</v>
      </c>
      <c r="B670" s="17">
        <f t="array" ref="B670">SUM(1-'Sparkling Model'!D$2:D$38^A670)</f>
        <v>25.06166504</v>
      </c>
      <c r="C670" s="8">
        <f t="array" ref="C670">PRODUCT(1-'Sparkling Model'!D$2:D$38^A670)</f>
        <v>0.0000001067284358</v>
      </c>
    </row>
    <row r="671">
      <c r="A671" s="6">
        <v>669.0</v>
      </c>
      <c r="B671" s="17">
        <f t="array" ref="B671">SUM(1-'Sparkling Model'!D$2:D$38^A671)</f>
        <v>25.07937372</v>
      </c>
      <c r="C671" s="8">
        <f t="array" ref="C671">PRODUCT(1-'Sparkling Model'!D$2:D$38^A671)</f>
        <v>0.0000001098119706</v>
      </c>
    </row>
    <row r="672">
      <c r="A672" s="6">
        <v>670.0</v>
      </c>
      <c r="B672" s="17">
        <f t="array" ref="B672">SUM(1-'Sparkling Model'!D$2:D$38^A672)</f>
        <v>25.09704922</v>
      </c>
      <c r="C672" s="8">
        <f t="array" ref="C672">PRODUCT(1-'Sparkling Model'!D$2:D$38^A672)</f>
        <v>0.0000001129765649</v>
      </c>
    </row>
    <row r="673">
      <c r="A673" s="6">
        <v>671.0</v>
      </c>
      <c r="B673" s="17">
        <f t="array" ref="B673">SUM(1-'Sparkling Model'!D$2:D$38^A673)</f>
        <v>25.11469161</v>
      </c>
      <c r="C673" s="8">
        <f t="array" ref="C673">PRODUCT(1-'Sparkling Model'!D$2:D$38^A673)</f>
        <v>0.0000001162241267</v>
      </c>
    </row>
    <row r="674">
      <c r="A674" s="6">
        <v>672.0</v>
      </c>
      <c r="B674" s="17">
        <f t="array" ref="B674">SUM(1-'Sparkling Model'!D$2:D$38^A674)</f>
        <v>25.13230097</v>
      </c>
      <c r="C674" s="8">
        <f t="array" ref="C674">PRODUCT(1-'Sparkling Model'!D$2:D$38^A674)</f>
        <v>0.0000001195566031</v>
      </c>
    </row>
    <row r="675">
      <c r="A675" s="6">
        <v>673.0</v>
      </c>
      <c r="B675" s="17">
        <f t="array" ref="B675">SUM(1-'Sparkling Model'!D$2:D$38^A675)</f>
        <v>25.14987736</v>
      </c>
      <c r="C675" s="8">
        <f t="array" ref="C675">PRODUCT(1-'Sparkling Model'!D$2:D$38^A675)</f>
        <v>0.0000001229759812</v>
      </c>
    </row>
    <row r="676">
      <c r="A676" s="6">
        <v>674.0</v>
      </c>
      <c r="B676" s="17">
        <f t="array" ref="B676">SUM(1-'Sparkling Model'!D$2:D$38^A676)</f>
        <v>25.16742087</v>
      </c>
      <c r="C676" s="8">
        <f t="array" ref="C676">PRODUCT(1-'Sparkling Model'!D$2:D$38^A676)</f>
        <v>0.0000001264842888</v>
      </c>
    </row>
    <row r="677">
      <c r="A677" s="6">
        <v>675.0</v>
      </c>
      <c r="B677" s="17">
        <f t="array" ref="B677">SUM(1-'Sparkling Model'!D$2:D$38^A677)</f>
        <v>25.18493156</v>
      </c>
      <c r="C677" s="8">
        <f t="array" ref="C677">PRODUCT(1-'Sparkling Model'!D$2:D$38^A677)</f>
        <v>0.000000130083595</v>
      </c>
    </row>
    <row r="678">
      <c r="A678" s="6">
        <v>676.0</v>
      </c>
      <c r="B678" s="17">
        <f t="array" ref="B678">SUM(1-'Sparkling Model'!D$2:D$38^A678)</f>
        <v>25.2024095</v>
      </c>
      <c r="C678" s="8">
        <f t="array" ref="C678">PRODUCT(1-'Sparkling Model'!D$2:D$38^A678)</f>
        <v>0.0000001337760109</v>
      </c>
    </row>
    <row r="679">
      <c r="A679" s="6">
        <v>677.0</v>
      </c>
      <c r="B679" s="17">
        <f t="array" ref="B679">SUM(1-'Sparkling Model'!D$2:D$38^A679)</f>
        <v>25.21985476</v>
      </c>
      <c r="C679" s="8">
        <f t="array" ref="C679">PRODUCT(1-'Sparkling Model'!D$2:D$38^A679)</f>
        <v>0.0000001375636904</v>
      </c>
    </row>
    <row r="680">
      <c r="A680" s="6">
        <v>678.0</v>
      </c>
      <c r="B680" s="17">
        <f t="array" ref="B680">SUM(1-'Sparkling Model'!D$2:D$38^A680)</f>
        <v>25.23726743</v>
      </c>
      <c r="C680" s="8">
        <f t="array" ref="C680">PRODUCT(1-'Sparkling Model'!D$2:D$38^A680)</f>
        <v>0.0000001414488307</v>
      </c>
    </row>
    <row r="681">
      <c r="A681" s="6">
        <v>679.0</v>
      </c>
      <c r="B681" s="17">
        <f t="array" ref="B681">SUM(1-'Sparkling Model'!D$2:D$38^A681)</f>
        <v>25.25464755</v>
      </c>
      <c r="C681" s="8">
        <f t="array" ref="C681">PRODUCT(1-'Sparkling Model'!D$2:D$38^A681)</f>
        <v>0.0000001454336735</v>
      </c>
    </row>
    <row r="682">
      <c r="A682" s="6">
        <v>680.0</v>
      </c>
      <c r="B682" s="17">
        <f t="array" ref="B682">SUM(1-'Sparkling Model'!D$2:D$38^A682)</f>
        <v>25.27199522</v>
      </c>
      <c r="C682" s="8">
        <f t="array" ref="C682">PRODUCT(1-'Sparkling Model'!D$2:D$38^A682)</f>
        <v>0.0000001495205053</v>
      </c>
    </row>
    <row r="683">
      <c r="A683" s="6">
        <v>681.0</v>
      </c>
      <c r="B683" s="17">
        <f t="array" ref="B683">SUM(1-'Sparkling Model'!D$2:D$38^A683)</f>
        <v>25.28931049</v>
      </c>
      <c r="C683" s="8">
        <f t="array" ref="C683">PRODUCT(1-'Sparkling Model'!D$2:D$38^A683)</f>
        <v>0.0000001537116582</v>
      </c>
    </row>
    <row r="684">
      <c r="A684" s="6">
        <v>682.0</v>
      </c>
      <c r="B684" s="17">
        <f t="array" ref="B684">SUM(1-'Sparkling Model'!D$2:D$38^A684)</f>
        <v>25.30659344</v>
      </c>
      <c r="C684" s="8">
        <f t="array" ref="C684">PRODUCT(1-'Sparkling Model'!D$2:D$38^A684)</f>
        <v>0.0000001580095111</v>
      </c>
    </row>
    <row r="685">
      <c r="A685" s="6">
        <v>683.0</v>
      </c>
      <c r="B685" s="17">
        <f t="array" ref="B685">SUM(1-'Sparkling Model'!D$2:D$38^A685)</f>
        <v>25.32384414</v>
      </c>
      <c r="C685" s="8">
        <f t="array" ref="C685">PRODUCT(1-'Sparkling Model'!D$2:D$38^A685)</f>
        <v>0.0000001624164899</v>
      </c>
    </row>
    <row r="686">
      <c r="A686" s="6">
        <v>684.0</v>
      </c>
      <c r="B686" s="17">
        <f t="array" ref="B686">SUM(1-'Sparkling Model'!D$2:D$38^A686)</f>
        <v>25.34106266</v>
      </c>
      <c r="C686" s="8">
        <f t="array" ref="C686">PRODUCT(1-'Sparkling Model'!D$2:D$38^A686)</f>
        <v>0.0000001669350685</v>
      </c>
    </row>
    <row r="687">
      <c r="A687" s="6">
        <v>685.0</v>
      </c>
      <c r="B687" s="17">
        <f t="array" ref="B687">SUM(1-'Sparkling Model'!D$2:D$38^A687)</f>
        <v>25.35824907</v>
      </c>
      <c r="C687" s="8">
        <f t="array" ref="C687">PRODUCT(1-'Sparkling Model'!D$2:D$38^A687)</f>
        <v>0.0000001715677698</v>
      </c>
    </row>
    <row r="688">
      <c r="A688" s="6">
        <v>686.0</v>
      </c>
      <c r="B688" s="17">
        <f t="array" ref="B688">SUM(1-'Sparkling Model'!D$2:D$38^A688)</f>
        <v>25.37540344</v>
      </c>
      <c r="C688" s="8">
        <f t="array" ref="C688">PRODUCT(1-'Sparkling Model'!D$2:D$38^A688)</f>
        <v>0.0000001763171663</v>
      </c>
    </row>
    <row r="689">
      <c r="A689" s="6">
        <v>687.0</v>
      </c>
      <c r="B689" s="17">
        <f t="array" ref="B689">SUM(1-'Sparkling Model'!D$2:D$38^A689)</f>
        <v>25.39252583</v>
      </c>
      <c r="C689" s="8">
        <f t="array" ref="C689">PRODUCT(1-'Sparkling Model'!D$2:D$38^A689)</f>
        <v>0.0000001811858809</v>
      </c>
    </row>
    <row r="690">
      <c r="A690" s="6">
        <v>688.0</v>
      </c>
      <c r="B690" s="17">
        <f t="array" ref="B690">SUM(1-'Sparkling Model'!D$2:D$38^A690)</f>
        <v>25.40961633</v>
      </c>
      <c r="C690" s="8">
        <f t="array" ref="C690">PRODUCT(1-'Sparkling Model'!D$2:D$38^A690)</f>
        <v>0.0000001861765878</v>
      </c>
    </row>
    <row r="691">
      <c r="A691" s="6">
        <v>689.0</v>
      </c>
      <c r="B691" s="17">
        <f t="array" ref="B691">SUM(1-'Sparkling Model'!D$2:D$38^A691)</f>
        <v>25.42667498</v>
      </c>
      <c r="C691" s="8">
        <f t="array" ref="C691">PRODUCT(1-'Sparkling Model'!D$2:D$38^A691)</f>
        <v>0.0000001912920132</v>
      </c>
    </row>
    <row r="692">
      <c r="A692" s="6">
        <v>690.0</v>
      </c>
      <c r="B692" s="17">
        <f t="array" ref="B692">SUM(1-'Sparkling Model'!D$2:D$38^A692)</f>
        <v>25.44370188</v>
      </c>
      <c r="C692" s="8">
        <f t="array" ref="C692">PRODUCT(1-'Sparkling Model'!D$2:D$38^A692)</f>
        <v>0.0000001965349365</v>
      </c>
    </row>
    <row r="693">
      <c r="A693" s="6">
        <v>691.0</v>
      </c>
      <c r="B693" s="17">
        <f t="array" ref="B693">SUM(1-'Sparkling Model'!D$2:D$38^A693)</f>
        <v>25.46069708</v>
      </c>
      <c r="C693" s="8">
        <f t="array" ref="C693">PRODUCT(1-'Sparkling Model'!D$2:D$38^A693)</f>
        <v>0.0000002019081907</v>
      </c>
    </row>
    <row r="694">
      <c r="A694" s="6">
        <v>692.0</v>
      </c>
      <c r="B694" s="17">
        <f t="array" ref="B694">SUM(1-'Sparkling Model'!D$2:D$38^A694)</f>
        <v>25.47766065</v>
      </c>
      <c r="C694" s="8">
        <f t="array" ref="C694">PRODUCT(1-'Sparkling Model'!D$2:D$38^A694)</f>
        <v>0.0000002074146636</v>
      </c>
    </row>
    <row r="695">
      <c r="A695" s="6">
        <v>693.0</v>
      </c>
      <c r="B695" s="17">
        <f t="array" ref="B695">SUM(1-'Sparkling Model'!D$2:D$38^A695)</f>
        <v>25.49459267</v>
      </c>
      <c r="C695" s="8">
        <f t="array" ref="C695">PRODUCT(1-'Sparkling Model'!D$2:D$38^A695)</f>
        <v>0.0000002130572984</v>
      </c>
    </row>
    <row r="696">
      <c r="A696" s="6">
        <v>694.0</v>
      </c>
      <c r="B696" s="17">
        <f t="array" ref="B696">SUM(1-'Sparkling Model'!D$2:D$38^A696)</f>
        <v>25.5114932</v>
      </c>
      <c r="C696" s="8">
        <f t="array" ref="C696">PRODUCT(1-'Sparkling Model'!D$2:D$38^A696)</f>
        <v>0.000000218839095</v>
      </c>
    </row>
    <row r="697">
      <c r="A697" s="6">
        <v>695.0</v>
      </c>
      <c r="B697" s="17">
        <f t="array" ref="B697">SUM(1-'Sparkling Model'!D$2:D$38^A697)</f>
        <v>25.52836231</v>
      </c>
      <c r="C697" s="8">
        <f t="array" ref="C697">PRODUCT(1-'Sparkling Model'!D$2:D$38^A697)</f>
        <v>0.0000002247631104</v>
      </c>
    </row>
    <row r="698">
      <c r="A698" s="6">
        <v>696.0</v>
      </c>
      <c r="B698" s="17">
        <f t="array" ref="B698">SUM(1-'Sparkling Model'!D$2:D$38^A698)</f>
        <v>25.54520006</v>
      </c>
      <c r="C698" s="8">
        <f t="array" ref="C698">PRODUCT(1-'Sparkling Model'!D$2:D$38^A698)</f>
        <v>0.00000023083246</v>
      </c>
    </row>
    <row r="699">
      <c r="A699" s="6">
        <v>697.0</v>
      </c>
      <c r="B699" s="17">
        <f t="array" ref="B699">SUM(1-'Sparkling Model'!D$2:D$38^A699)</f>
        <v>25.56200653</v>
      </c>
      <c r="C699" s="8">
        <f t="array" ref="C699">PRODUCT(1-'Sparkling Model'!D$2:D$38^A699)</f>
        <v>0.0000002370503183</v>
      </c>
    </row>
    <row r="700">
      <c r="A700" s="6">
        <v>698.0</v>
      </c>
      <c r="B700" s="17">
        <f t="array" ref="B700">SUM(1-'Sparkling Model'!D$2:D$38^A700)</f>
        <v>25.57878178</v>
      </c>
      <c r="C700" s="8">
        <f t="array" ref="C700">PRODUCT(1-'Sparkling Model'!D$2:D$38^A700)</f>
        <v>0.00000024341992</v>
      </c>
    </row>
    <row r="701">
      <c r="A701" s="6">
        <v>699.0</v>
      </c>
      <c r="B701" s="17">
        <f t="array" ref="B701">SUM(1-'Sparkling Model'!D$2:D$38^A701)</f>
        <v>25.59552588</v>
      </c>
      <c r="C701" s="8">
        <f t="array" ref="C701">PRODUCT(1-'Sparkling Model'!D$2:D$38^A701)</f>
        <v>0.0000002499445606</v>
      </c>
    </row>
    <row r="702">
      <c r="A702" s="6">
        <v>700.0</v>
      </c>
      <c r="B702" s="17">
        <f t="array" ref="B702">SUM(1-'Sparkling Model'!D$2:D$38^A702)</f>
        <v>25.6122389</v>
      </c>
      <c r="C702" s="8">
        <f t="array" ref="C702">PRODUCT(1-'Sparkling Model'!D$2:D$38^A702)</f>
        <v>0.000000256627598</v>
      </c>
    </row>
    <row r="703">
      <c r="A703" s="6">
        <v>701.0</v>
      </c>
      <c r="B703" s="17">
        <f t="array" ref="B703">SUM(1-'Sparkling Model'!D$2:D$38^A703)</f>
        <v>25.62892091</v>
      </c>
      <c r="C703" s="8">
        <f t="array" ref="C703">PRODUCT(1-'Sparkling Model'!D$2:D$38^A703)</f>
        <v>0.0000002634724527</v>
      </c>
    </row>
    <row r="704">
      <c r="A704" s="6">
        <v>702.0</v>
      </c>
      <c r="B704" s="17">
        <f t="array" ref="B704">SUM(1-'Sparkling Model'!D$2:D$38^A704)</f>
        <v>25.64557197</v>
      </c>
      <c r="C704" s="8">
        <f t="array" ref="C704">PRODUCT(1-'Sparkling Model'!D$2:D$38^A704)</f>
        <v>0.0000002704826093</v>
      </c>
    </row>
    <row r="705">
      <c r="A705" s="6">
        <v>703.0</v>
      </c>
      <c r="B705" s="17">
        <f t="array" ref="B705">SUM(1-'Sparkling Model'!D$2:D$38^A705)</f>
        <v>25.66219215</v>
      </c>
      <c r="C705" s="8">
        <f t="array" ref="C705">PRODUCT(1-'Sparkling Model'!D$2:D$38^A705)</f>
        <v>0.0000002776616173</v>
      </c>
    </row>
    <row r="706">
      <c r="A706" s="6">
        <v>704.0</v>
      </c>
      <c r="B706" s="17">
        <f t="array" ref="B706">SUM(1-'Sparkling Model'!D$2:D$38^A706)</f>
        <v>25.67878151</v>
      </c>
      <c r="C706" s="8">
        <f t="array" ref="C706">PRODUCT(1-'Sparkling Model'!D$2:D$38^A706)</f>
        <v>0.0000002850130922</v>
      </c>
    </row>
    <row r="707">
      <c r="A707" s="6">
        <v>705.0</v>
      </c>
      <c r="B707" s="17">
        <f t="array" ref="B707">SUM(1-'Sparkling Model'!D$2:D$38^A707)</f>
        <v>25.69534013</v>
      </c>
      <c r="C707" s="8">
        <f t="array" ref="C707">PRODUCT(1-'Sparkling Model'!D$2:D$38^A707)</f>
        <v>0.0000002925407164</v>
      </c>
    </row>
    <row r="708">
      <c r="A708" s="6">
        <v>706.0</v>
      </c>
      <c r="B708" s="17">
        <f t="array" ref="B708">SUM(1-'Sparkling Model'!D$2:D$38^A708)</f>
        <v>25.71186806</v>
      </c>
      <c r="C708" s="8">
        <f t="array" ref="C708">PRODUCT(1-'Sparkling Model'!D$2:D$38^A708)</f>
        <v>0.0000003002482402</v>
      </c>
    </row>
    <row r="709">
      <c r="A709" s="6">
        <v>707.0</v>
      </c>
      <c r="B709" s="17">
        <f t="array" ref="B709">SUM(1-'Sparkling Model'!D$2:D$38^A709)</f>
        <v>25.72836539</v>
      </c>
      <c r="C709" s="8">
        <f t="array" ref="C709">PRODUCT(1-'Sparkling Model'!D$2:D$38^A709)</f>
        <v>0.000000308139483</v>
      </c>
    </row>
    <row r="710">
      <c r="A710" s="6">
        <v>708.0</v>
      </c>
      <c r="B710" s="17">
        <f t="array" ref="B710">SUM(1-'Sparkling Model'!D$2:D$38^A710)</f>
        <v>25.74483216</v>
      </c>
      <c r="C710" s="8">
        <f t="array" ref="C710">PRODUCT(1-'Sparkling Model'!D$2:D$38^A710)</f>
        <v>0.0000003162183341</v>
      </c>
    </row>
    <row r="711">
      <c r="A711" s="6">
        <v>709.0</v>
      </c>
      <c r="B711" s="17">
        <f t="array" ref="B711">SUM(1-'Sparkling Model'!D$2:D$38^A711)</f>
        <v>25.76126845</v>
      </c>
      <c r="C711" s="8">
        <f t="array" ref="C711">PRODUCT(1-'Sparkling Model'!D$2:D$38^A711)</f>
        <v>0.000000324488754</v>
      </c>
    </row>
    <row r="712">
      <c r="A712" s="6">
        <v>710.0</v>
      </c>
      <c r="B712" s="17">
        <f t="array" ref="B712">SUM(1-'Sparkling Model'!D$2:D$38^A712)</f>
        <v>25.77767433</v>
      </c>
      <c r="C712" s="8">
        <f t="array" ref="C712">PRODUCT(1-'Sparkling Model'!D$2:D$38^A712)</f>
        <v>0.0000003329547754</v>
      </c>
    </row>
    <row r="713">
      <c r="A713" s="6">
        <v>711.0</v>
      </c>
      <c r="B713" s="17">
        <f t="array" ref="B713">SUM(1-'Sparkling Model'!D$2:D$38^A713)</f>
        <v>25.79404985</v>
      </c>
      <c r="C713" s="8">
        <f t="array" ref="C713">PRODUCT(1-'Sparkling Model'!D$2:D$38^A713)</f>
        <v>0.0000003416205041</v>
      </c>
    </row>
    <row r="714">
      <c r="A714" s="6">
        <v>712.0</v>
      </c>
      <c r="B714" s="17">
        <f t="array" ref="B714">SUM(1-'Sparkling Model'!D$2:D$38^A714)</f>
        <v>25.81039509</v>
      </c>
      <c r="C714" s="8">
        <f t="array" ref="C714">PRODUCT(1-'Sparkling Model'!D$2:D$38^A714)</f>
        <v>0.0000003504901205</v>
      </c>
    </row>
    <row r="715">
      <c r="A715" s="6">
        <v>713.0</v>
      </c>
      <c r="B715" s="17">
        <f t="array" ref="B715">SUM(1-'Sparkling Model'!D$2:D$38^A715)</f>
        <v>25.82671012</v>
      </c>
      <c r="C715" s="8">
        <f t="array" ref="C715">PRODUCT(1-'Sparkling Model'!D$2:D$38^A715)</f>
        <v>0.00000035956788</v>
      </c>
    </row>
    <row r="716">
      <c r="A716" s="6">
        <v>714.0</v>
      </c>
      <c r="B716" s="17">
        <f t="array" ref="B716">SUM(1-'Sparkling Model'!D$2:D$38^A716)</f>
        <v>25.84299498</v>
      </c>
      <c r="C716" s="8">
        <f t="array" ref="C716">PRODUCT(1-'Sparkling Model'!D$2:D$38^A716)</f>
        <v>0.0000003688581151</v>
      </c>
    </row>
    <row r="717">
      <c r="A717" s="6">
        <v>715.0</v>
      </c>
      <c r="B717" s="17">
        <f t="array" ref="B717">SUM(1-'Sparkling Model'!D$2:D$38^A717)</f>
        <v>25.85924976</v>
      </c>
      <c r="C717" s="8">
        <f t="array" ref="C717">PRODUCT(1-'Sparkling Model'!D$2:D$38^A717)</f>
        <v>0.0000003783652357</v>
      </c>
    </row>
    <row r="718">
      <c r="A718" s="6">
        <v>716.0</v>
      </c>
      <c r="B718" s="17">
        <f t="array" ref="B718">SUM(1-'Sparkling Model'!D$2:D$38^A718)</f>
        <v>25.87547451</v>
      </c>
      <c r="C718" s="8">
        <f t="array" ref="C718">PRODUCT(1-'Sparkling Model'!D$2:D$38^A718)</f>
        <v>0.0000003880937304</v>
      </c>
    </row>
    <row r="719">
      <c r="A719" s="6">
        <v>717.0</v>
      </c>
      <c r="B719" s="17">
        <f t="array" ref="B719">SUM(1-'Sparkling Model'!D$2:D$38^A719)</f>
        <v>25.89166931</v>
      </c>
      <c r="C719" s="8">
        <f t="array" ref="C719">PRODUCT(1-'Sparkling Model'!D$2:D$38^A719)</f>
        <v>0.0000003980481681</v>
      </c>
    </row>
    <row r="720">
      <c r="A720" s="6">
        <v>718.0</v>
      </c>
      <c r="B720" s="17">
        <f t="array" ref="B720">SUM(1-'Sparkling Model'!D$2:D$38^A720)</f>
        <v>25.9078342</v>
      </c>
      <c r="C720" s="8">
        <f t="array" ref="C720">PRODUCT(1-'Sparkling Model'!D$2:D$38^A720)</f>
        <v>0.0000004082331987</v>
      </c>
    </row>
    <row r="721">
      <c r="A721" s="6">
        <v>719.0</v>
      </c>
      <c r="B721" s="17">
        <f t="array" ref="B721">SUM(1-'Sparkling Model'!D$2:D$38^A721)</f>
        <v>25.92396927</v>
      </c>
      <c r="C721" s="8">
        <f t="array" ref="C721">PRODUCT(1-'Sparkling Model'!D$2:D$38^A721)</f>
        <v>0.0000004186535544</v>
      </c>
    </row>
    <row r="722">
      <c r="A722" s="6">
        <v>720.0</v>
      </c>
      <c r="B722" s="17">
        <f t="array" ref="B722">SUM(1-'Sparkling Model'!D$2:D$38^A722)</f>
        <v>25.94007457</v>
      </c>
      <c r="C722" s="8">
        <f t="array" ref="C722">PRODUCT(1-'Sparkling Model'!D$2:D$38^A722)</f>
        <v>0.0000004293140509</v>
      </c>
    </row>
    <row r="723">
      <c r="A723" s="6">
        <v>721.0</v>
      </c>
      <c r="B723" s="17">
        <f t="array" ref="B723">SUM(1-'Sparkling Model'!D$2:D$38^A723)</f>
        <v>25.95615017</v>
      </c>
      <c r="C723" s="8">
        <f t="array" ref="C723">PRODUCT(1-'Sparkling Model'!D$2:D$38^A723)</f>
        <v>0.0000004402195888</v>
      </c>
    </row>
    <row r="724">
      <c r="A724" s="6">
        <v>722.0</v>
      </c>
      <c r="B724" s="17">
        <f t="array" ref="B724">SUM(1-'Sparkling Model'!D$2:D$38^A724)</f>
        <v>25.97219613</v>
      </c>
      <c r="C724" s="8">
        <f t="array" ref="C724">PRODUCT(1-'Sparkling Model'!D$2:D$38^A724)</f>
        <v>0.0000004513751544</v>
      </c>
    </row>
    <row r="725">
      <c r="A725" s="6">
        <v>723.0</v>
      </c>
      <c r="B725" s="17">
        <f t="array" ref="B725">SUM(1-'Sparkling Model'!D$2:D$38^A725)</f>
        <v>25.98821252</v>
      </c>
      <c r="C725" s="8">
        <f t="array" ref="C725">PRODUCT(1-'Sparkling Model'!D$2:D$38^A725)</f>
        <v>0.0000004627858214</v>
      </c>
    </row>
    <row r="726">
      <c r="A726" s="6">
        <v>724.0</v>
      </c>
      <c r="B726" s="17">
        <f t="array" ref="B726">SUM(1-'Sparkling Model'!D$2:D$38^A726)</f>
        <v>26.0041994</v>
      </c>
      <c r="C726" s="8">
        <f t="array" ref="C726">PRODUCT(1-'Sparkling Model'!D$2:D$38^A726)</f>
        <v>0.0000004744567519</v>
      </c>
    </row>
    <row r="727">
      <c r="A727" s="6">
        <v>725.0</v>
      </c>
      <c r="B727" s="17">
        <f t="array" ref="B727">SUM(1-'Sparkling Model'!D$2:D$38^A727)</f>
        <v>26.02015683</v>
      </c>
      <c r="C727" s="8">
        <f t="array" ref="C727">PRODUCT(1-'Sparkling Model'!D$2:D$38^A727)</f>
        <v>0.0000004863931974</v>
      </c>
    </row>
    <row r="728">
      <c r="A728" s="6">
        <v>726.0</v>
      </c>
      <c r="B728" s="17">
        <f t="array" ref="B728">SUM(1-'Sparkling Model'!D$2:D$38^A728)</f>
        <v>26.03608487</v>
      </c>
      <c r="C728" s="8">
        <f t="array" ref="C728">PRODUCT(1-'Sparkling Model'!D$2:D$38^A728)</f>
        <v>0.0000004986005006</v>
      </c>
    </row>
    <row r="729">
      <c r="A729" s="6">
        <v>727.0</v>
      </c>
      <c r="B729" s="17">
        <f t="array" ref="B729">SUM(1-'Sparkling Model'!D$2:D$38^A729)</f>
        <v>26.05198359</v>
      </c>
      <c r="C729" s="8">
        <f t="array" ref="C729">PRODUCT(1-'Sparkling Model'!D$2:D$38^A729)</f>
        <v>0.0000005110840963</v>
      </c>
    </row>
    <row r="730">
      <c r="A730" s="6">
        <v>728.0</v>
      </c>
      <c r="B730" s="17">
        <f t="array" ref="B730">SUM(1-'Sparkling Model'!D$2:D$38^A730)</f>
        <v>26.06785306</v>
      </c>
      <c r="C730" s="8">
        <f t="array" ref="C730">PRODUCT(1-'Sparkling Model'!D$2:D$38^A730)</f>
        <v>0.0000005238495128</v>
      </c>
    </row>
    <row r="731">
      <c r="A731" s="6">
        <v>729.0</v>
      </c>
      <c r="B731" s="17">
        <f t="array" ref="B731">SUM(1-'Sparkling Model'!D$2:D$38^A731)</f>
        <v>26.08369333</v>
      </c>
      <c r="C731" s="8">
        <f t="array" ref="C731">PRODUCT(1-'Sparkling Model'!D$2:D$38^A731)</f>
        <v>0.0000005369023734</v>
      </c>
    </row>
    <row r="732">
      <c r="A732" s="6">
        <v>730.0</v>
      </c>
      <c r="B732" s="17">
        <f t="array" ref="B732">SUM(1-'Sparkling Model'!D$2:D$38^A732)</f>
        <v>26.09950447</v>
      </c>
      <c r="C732" s="8">
        <f t="array" ref="C732">PRODUCT(1-'Sparkling Model'!D$2:D$38^A732)</f>
        <v>0.0000005502483974</v>
      </c>
    </row>
    <row r="733">
      <c r="A733" s="6">
        <v>731.0</v>
      </c>
      <c r="B733" s="17">
        <f t="array" ref="B733">SUM(1-'Sparkling Model'!D$2:D$38^A733)</f>
        <v>26.11528655</v>
      </c>
      <c r="C733" s="8">
        <f t="array" ref="C733">PRODUCT(1-'Sparkling Model'!D$2:D$38^A733)</f>
        <v>0.0000005638934014</v>
      </c>
    </row>
    <row r="734">
      <c r="A734" s="6">
        <v>732.0</v>
      </c>
      <c r="B734" s="17">
        <f t="array" ref="B734">SUM(1-'Sparkling Model'!D$2:D$38^A734)</f>
        <v>26.13103961</v>
      </c>
      <c r="C734" s="8">
        <f t="array" ref="C734">PRODUCT(1-'Sparkling Model'!D$2:D$38^A734)</f>
        <v>0.000000577843301</v>
      </c>
    </row>
    <row r="735">
      <c r="A735" s="6">
        <v>733.0</v>
      </c>
      <c r="B735" s="17">
        <f t="array" ref="B735">SUM(1-'Sparkling Model'!D$2:D$38^A735)</f>
        <v>26.14676373</v>
      </c>
      <c r="C735" s="8">
        <f t="array" ref="C735">PRODUCT(1-'Sparkling Model'!D$2:D$38^A735)</f>
        <v>0.000000592104112</v>
      </c>
    </row>
    <row r="736">
      <c r="A736" s="6">
        <v>734.0</v>
      </c>
      <c r="B736" s="17">
        <f t="array" ref="B736">SUM(1-'Sparkling Model'!D$2:D$38^A736)</f>
        <v>26.16245897</v>
      </c>
      <c r="C736" s="8">
        <f t="array" ref="C736">PRODUCT(1-'Sparkling Model'!D$2:D$38^A736)</f>
        <v>0.0000006066819518</v>
      </c>
    </row>
    <row r="737">
      <c r="A737" s="6">
        <v>735.0</v>
      </c>
      <c r="B737" s="17">
        <f t="array" ref="B737">SUM(1-'Sparkling Model'!D$2:D$38^A737)</f>
        <v>26.17812539</v>
      </c>
      <c r="C737" s="8">
        <f t="array" ref="C737">PRODUCT(1-'Sparkling Model'!D$2:D$38^A737)</f>
        <v>0.0000006215830404</v>
      </c>
    </row>
    <row r="738">
      <c r="A738" s="6">
        <v>736.0</v>
      </c>
      <c r="B738" s="17">
        <f t="array" ref="B738">SUM(1-'Sparkling Model'!D$2:D$38^A738)</f>
        <v>26.19376305</v>
      </c>
      <c r="C738" s="8">
        <f t="array" ref="C738">PRODUCT(1-'Sparkling Model'!D$2:D$38^A738)</f>
        <v>0.0000006368137025</v>
      </c>
    </row>
    <row r="739">
      <c r="A739" s="6">
        <v>737.0</v>
      </c>
      <c r="B739" s="17">
        <f t="array" ref="B739">SUM(1-'Sparkling Model'!D$2:D$38^A739)</f>
        <v>26.20937201</v>
      </c>
      <c r="C739" s="8">
        <f t="array" ref="C739">PRODUCT(1-'Sparkling Model'!D$2:D$38^A739)</f>
        <v>0.0000006523803684</v>
      </c>
    </row>
    <row r="740">
      <c r="A740" s="6">
        <v>738.0</v>
      </c>
      <c r="B740" s="17">
        <f t="array" ref="B740">SUM(1-'Sparkling Model'!D$2:D$38^A740)</f>
        <v>26.22495234</v>
      </c>
      <c r="C740" s="8">
        <f t="array" ref="C740">PRODUCT(1-'Sparkling Model'!D$2:D$38^A740)</f>
        <v>0.0000006682895754</v>
      </c>
    </row>
    <row r="741">
      <c r="A741" s="6">
        <v>739.0</v>
      </c>
      <c r="B741" s="17">
        <f t="array" ref="B741">SUM(1-'Sparkling Model'!D$2:D$38^A741)</f>
        <v>26.24050409</v>
      </c>
      <c r="C741" s="8">
        <f t="array" ref="C741">PRODUCT(1-'Sparkling Model'!D$2:D$38^A741)</f>
        <v>0.0000006845479698</v>
      </c>
    </row>
    <row r="742">
      <c r="A742" s="6">
        <v>740.0</v>
      </c>
      <c r="B742" s="17">
        <f t="array" ref="B742">SUM(1-'Sparkling Model'!D$2:D$38^A742)</f>
        <v>26.25602733</v>
      </c>
      <c r="C742" s="8">
        <f t="array" ref="C742">PRODUCT(1-'Sparkling Model'!D$2:D$38^A742)</f>
        <v>0.0000007011623076</v>
      </c>
    </row>
    <row r="743">
      <c r="A743" s="6">
        <v>741.0</v>
      </c>
      <c r="B743" s="17">
        <f t="array" ref="B743">SUM(1-'Sparkling Model'!D$2:D$38^A743)</f>
        <v>26.27152212</v>
      </c>
      <c r="C743" s="8">
        <f t="array" ref="C743">PRODUCT(1-'Sparkling Model'!D$2:D$38^A743)</f>
        <v>0.0000007181394565</v>
      </c>
    </row>
    <row r="744">
      <c r="A744" s="6">
        <v>742.0</v>
      </c>
      <c r="B744" s="17">
        <f t="array" ref="B744">SUM(1-'Sparkling Model'!D$2:D$38^A744)</f>
        <v>26.28698852</v>
      </c>
      <c r="C744" s="8">
        <f t="array" ref="C744">PRODUCT(1-'Sparkling Model'!D$2:D$38^A744)</f>
        <v>0.0000007354863971</v>
      </c>
    </row>
    <row r="745">
      <c r="A745" s="6">
        <v>743.0</v>
      </c>
      <c r="B745" s="17">
        <f t="array" ref="B745">SUM(1-'Sparkling Model'!D$2:D$38^A745)</f>
        <v>26.30242659</v>
      </c>
      <c r="C745" s="8">
        <f t="array" ref="C745">PRODUCT(1-'Sparkling Model'!D$2:D$38^A745)</f>
        <v>0.0000007532102247</v>
      </c>
    </row>
    <row r="746">
      <c r="A746" s="6">
        <v>744.0</v>
      </c>
      <c r="B746" s="17">
        <f t="array" ref="B746">SUM(1-'Sparkling Model'!D$2:D$38^A746)</f>
        <v>26.31783639</v>
      </c>
      <c r="C746" s="8">
        <f t="array" ref="C746">PRODUCT(1-'Sparkling Model'!D$2:D$38^A746)</f>
        <v>0.0000007713181504</v>
      </c>
    </row>
    <row r="747">
      <c r="A747" s="6">
        <v>745.0</v>
      </c>
      <c r="B747" s="17">
        <f t="array" ref="B747">SUM(1-'Sparkling Model'!D$2:D$38^A747)</f>
        <v>26.33321799</v>
      </c>
      <c r="C747" s="8">
        <f t="array" ref="C747">PRODUCT(1-'Sparkling Model'!D$2:D$38^A747)</f>
        <v>0.0000007898175029</v>
      </c>
    </row>
    <row r="748">
      <c r="A748" s="6">
        <v>746.0</v>
      </c>
      <c r="B748" s="17">
        <f t="array" ref="B748">SUM(1-'Sparkling Model'!D$2:D$38^A748)</f>
        <v>26.34857143</v>
      </c>
      <c r="C748" s="8">
        <f t="array" ref="C748">PRODUCT(1-'Sparkling Model'!D$2:D$38^A748)</f>
        <v>0.0000008087157301</v>
      </c>
    </row>
    <row r="749">
      <c r="A749" s="6">
        <v>747.0</v>
      </c>
      <c r="B749" s="17">
        <f t="array" ref="B749">SUM(1-'Sparkling Model'!D$2:D$38^A749)</f>
        <v>26.36389679</v>
      </c>
      <c r="C749" s="8">
        <f t="array" ref="C749">PRODUCT(1-'Sparkling Model'!D$2:D$38^A749)</f>
        <v>0.0000008280204003</v>
      </c>
    </row>
    <row r="750">
      <c r="A750" s="6">
        <v>748.0</v>
      </c>
      <c r="B750" s="17">
        <f t="array" ref="B750">SUM(1-'Sparkling Model'!D$2:D$38^A750)</f>
        <v>26.37919412</v>
      </c>
      <c r="C750" s="8">
        <f t="array" ref="C750">PRODUCT(1-'Sparkling Model'!D$2:D$38^A750)</f>
        <v>0.0000008477392042</v>
      </c>
    </row>
    <row r="751">
      <c r="A751" s="6">
        <v>749.0</v>
      </c>
      <c r="B751" s="17">
        <f t="array" ref="B751">SUM(1-'Sparkling Model'!D$2:D$38^A751)</f>
        <v>26.39446348</v>
      </c>
      <c r="C751" s="8">
        <f t="array" ref="C751">PRODUCT(1-'Sparkling Model'!D$2:D$38^A751)</f>
        <v>0.0000008678799561</v>
      </c>
    </row>
    <row r="752">
      <c r="A752" s="6">
        <v>750.0</v>
      </c>
      <c r="B752" s="17">
        <f t="array" ref="B752">SUM(1-'Sparkling Model'!D$2:D$38^A752)</f>
        <v>26.40970494</v>
      </c>
      <c r="C752" s="8">
        <f t="array" ref="C752">PRODUCT(1-'Sparkling Model'!D$2:D$38^A752)</f>
        <v>0.0000008884505957</v>
      </c>
    </row>
    <row r="753">
      <c r="A753" s="6">
        <v>751.0</v>
      </c>
      <c r="B753" s="17">
        <f t="array" ref="B753">SUM(1-'Sparkling Model'!D$2:D$38^A753)</f>
        <v>26.42491855</v>
      </c>
      <c r="C753" s="8">
        <f t="array" ref="C753">PRODUCT(1-'Sparkling Model'!D$2:D$38^A753)</f>
        <v>0.0000009094591897</v>
      </c>
    </row>
    <row r="754">
      <c r="A754" s="6">
        <v>752.0</v>
      </c>
      <c r="B754" s="17">
        <f t="array" ref="B754">SUM(1-'Sparkling Model'!D$2:D$38^A754)</f>
        <v>26.44010436</v>
      </c>
      <c r="C754" s="8">
        <f t="array" ref="C754">PRODUCT(1-'Sparkling Model'!D$2:D$38^A754)</f>
        <v>0.0000009309139334</v>
      </c>
    </row>
    <row r="755">
      <c r="A755" s="6">
        <v>753.0</v>
      </c>
      <c r="B755" s="17">
        <f t="array" ref="B755">SUM(1-'Sparkling Model'!D$2:D$38^A755)</f>
        <v>26.45526245</v>
      </c>
      <c r="C755" s="8">
        <f t="array" ref="C755">PRODUCT(1-'Sparkling Model'!D$2:D$38^A755)</f>
        <v>0.0000009528231522</v>
      </c>
    </row>
    <row r="756">
      <c r="A756" s="6">
        <v>754.0</v>
      </c>
      <c r="B756" s="17">
        <f t="array" ref="B756">SUM(1-'Sparkling Model'!D$2:D$38^A756)</f>
        <v>26.47039287</v>
      </c>
      <c r="C756" s="8">
        <f t="array" ref="C756">PRODUCT(1-'Sparkling Model'!D$2:D$38^A756)</f>
        <v>0.0000009751953035</v>
      </c>
    </row>
    <row r="757">
      <c r="A757" s="6">
        <v>755.0</v>
      </c>
      <c r="B757" s="17">
        <f t="array" ref="B757">SUM(1-'Sparkling Model'!D$2:D$38^A757)</f>
        <v>26.48549568</v>
      </c>
      <c r="C757" s="8">
        <f t="array" ref="C757">PRODUCT(1-'Sparkling Model'!D$2:D$38^A757)</f>
        <v>0.0000009980389781</v>
      </c>
    </row>
    <row r="758">
      <c r="A758" s="6">
        <v>756.0</v>
      </c>
      <c r="B758" s="17">
        <f t="array" ref="B758">SUM(1-'Sparkling Model'!D$2:D$38^A758)</f>
        <v>26.50057094</v>
      </c>
      <c r="C758" s="8">
        <f t="array" ref="C758">PRODUCT(1-'Sparkling Model'!D$2:D$38^A758)</f>
        <v>0.000001021362902</v>
      </c>
    </row>
    <row r="759">
      <c r="A759" s="6">
        <v>757.0</v>
      </c>
      <c r="B759" s="17">
        <f t="array" ref="B759">SUM(1-'Sparkling Model'!D$2:D$38^A759)</f>
        <v>26.51561871</v>
      </c>
      <c r="C759" s="8">
        <f t="array" ref="C759">PRODUCT(1-'Sparkling Model'!D$2:D$38^A759)</f>
        <v>0.000001045175938</v>
      </c>
    </row>
    <row r="760">
      <c r="A760" s="6">
        <v>758.0</v>
      </c>
      <c r="B760" s="17">
        <f t="array" ref="B760">SUM(1-'Sparkling Model'!D$2:D$38^A760)</f>
        <v>26.53063904</v>
      </c>
      <c r="C760" s="8">
        <f t="array" ref="C760">PRODUCT(1-'Sparkling Model'!D$2:D$38^A760)</f>
        <v>0.000001069487089</v>
      </c>
    </row>
    <row r="761">
      <c r="A761" s="6">
        <v>759.0</v>
      </c>
      <c r="B761" s="17">
        <f t="array" ref="B761">SUM(1-'Sparkling Model'!D$2:D$38^A761)</f>
        <v>26.54563199</v>
      </c>
      <c r="C761" s="8">
        <f t="array" ref="C761">PRODUCT(1-'Sparkling Model'!D$2:D$38^A761)</f>
        <v>0.000001094305495</v>
      </c>
    </row>
    <row r="762">
      <c r="A762" s="6">
        <v>760.0</v>
      </c>
      <c r="B762" s="17">
        <f t="array" ref="B762">SUM(1-'Sparkling Model'!D$2:D$38^A762)</f>
        <v>26.56059763</v>
      </c>
      <c r="C762" s="8">
        <f t="array" ref="C762">PRODUCT(1-'Sparkling Model'!D$2:D$38^A762)</f>
        <v>0.00000111964044</v>
      </c>
    </row>
    <row r="763">
      <c r="A763" s="6">
        <v>761.0</v>
      </c>
      <c r="B763" s="17">
        <f t="array" ref="B763">SUM(1-'Sparkling Model'!D$2:D$38^A763)</f>
        <v>26.57553601</v>
      </c>
      <c r="C763" s="8">
        <f t="array" ref="C763">PRODUCT(1-'Sparkling Model'!D$2:D$38^A763)</f>
        <v>0.000001145501354</v>
      </c>
    </row>
    <row r="764">
      <c r="A764" s="6">
        <v>762.0</v>
      </c>
      <c r="B764" s="17">
        <f t="array" ref="B764">SUM(1-'Sparkling Model'!D$2:D$38^A764)</f>
        <v>26.59044719</v>
      </c>
      <c r="C764" s="8">
        <f t="array" ref="C764">PRODUCT(1-'Sparkling Model'!D$2:D$38^A764)</f>
        <v>0.000001171897808</v>
      </c>
    </row>
    <row r="765">
      <c r="A765" s="6">
        <v>763.0</v>
      </c>
      <c r="B765" s="17">
        <f t="array" ref="B765">SUM(1-'Sparkling Model'!D$2:D$38^A765)</f>
        <v>26.60533123</v>
      </c>
      <c r="C765" s="8">
        <f t="array" ref="C765">PRODUCT(1-'Sparkling Model'!D$2:D$38^A765)</f>
        <v>0.000001198839523</v>
      </c>
    </row>
    <row r="766">
      <c r="A766" s="6">
        <v>764.0</v>
      </c>
      <c r="B766" s="17">
        <f t="array" ref="B766">SUM(1-'Sparkling Model'!D$2:D$38^A766)</f>
        <v>26.62018818</v>
      </c>
      <c r="C766" s="8">
        <f t="array" ref="C766">PRODUCT(1-'Sparkling Model'!D$2:D$38^A766)</f>
        <v>0.000001226336369</v>
      </c>
    </row>
    <row r="767">
      <c r="A767" s="6">
        <v>765.0</v>
      </c>
      <c r="B767" s="17">
        <f t="array" ref="B767">SUM(1-'Sparkling Model'!D$2:D$38^A767)</f>
        <v>26.6350181</v>
      </c>
      <c r="C767" s="8">
        <f t="array" ref="C767">PRODUCT(1-'Sparkling Model'!D$2:D$38^A767)</f>
        <v>0.000001254398368</v>
      </c>
    </row>
    <row r="768">
      <c r="A768" s="6">
        <v>766.0</v>
      </c>
      <c r="B768" s="17">
        <f t="array" ref="B768">SUM(1-'Sparkling Model'!D$2:D$38^A768)</f>
        <v>26.64982106</v>
      </c>
      <c r="C768" s="8">
        <f t="array" ref="C768">PRODUCT(1-'Sparkling Model'!D$2:D$38^A768)</f>
        <v>0.000001283035692</v>
      </c>
    </row>
    <row r="769">
      <c r="A769" s="6">
        <v>767.0</v>
      </c>
      <c r="B769" s="17">
        <f t="array" ref="B769">SUM(1-'Sparkling Model'!D$2:D$38^A769)</f>
        <v>26.6645971</v>
      </c>
      <c r="C769" s="8">
        <f t="array" ref="C769">PRODUCT(1-'Sparkling Model'!D$2:D$38^A769)</f>
        <v>0.000001312258669</v>
      </c>
    </row>
    <row r="770">
      <c r="A770" s="6">
        <v>768.0</v>
      </c>
      <c r="B770" s="17">
        <f t="array" ref="B770">SUM(1-'Sparkling Model'!D$2:D$38^A770)</f>
        <v>26.67934628</v>
      </c>
      <c r="C770" s="8">
        <f t="array" ref="C770">PRODUCT(1-'Sparkling Model'!D$2:D$38^A770)</f>
        <v>0.000001342077784</v>
      </c>
    </row>
    <row r="771">
      <c r="A771" s="6">
        <v>769.0</v>
      </c>
      <c r="B771" s="17">
        <f t="array" ref="B771">SUM(1-'Sparkling Model'!D$2:D$38^A771)</f>
        <v>26.69406867</v>
      </c>
      <c r="C771" s="8">
        <f t="array" ref="C771">PRODUCT(1-'Sparkling Model'!D$2:D$38^A771)</f>
        <v>0.00000137250368</v>
      </c>
    </row>
    <row r="772">
      <c r="A772" s="6">
        <v>770.0</v>
      </c>
      <c r="B772" s="17">
        <f t="array" ref="B772">SUM(1-'Sparkling Model'!D$2:D$38^A772)</f>
        <v>26.70876432</v>
      </c>
      <c r="C772" s="8">
        <f t="array" ref="C772">PRODUCT(1-'Sparkling Model'!D$2:D$38^A772)</f>
        <v>0.00000140354716</v>
      </c>
    </row>
    <row r="773">
      <c r="A773" s="6">
        <v>771.0</v>
      </c>
      <c r="B773" s="17">
        <f t="array" ref="B773">SUM(1-'Sparkling Model'!D$2:D$38^A773)</f>
        <v>26.72343329</v>
      </c>
      <c r="C773" s="8">
        <f t="array" ref="C773">PRODUCT(1-'Sparkling Model'!D$2:D$38^A773)</f>
        <v>0.000001435219189</v>
      </c>
    </row>
    <row r="774">
      <c r="A774" s="6">
        <v>772.0</v>
      </c>
      <c r="B774" s="17">
        <f t="array" ref="B774">SUM(1-'Sparkling Model'!D$2:D$38^A774)</f>
        <v>26.73807563</v>
      </c>
      <c r="C774" s="8">
        <f t="array" ref="C774">PRODUCT(1-'Sparkling Model'!D$2:D$38^A774)</f>
        <v>0.000001467530896</v>
      </c>
    </row>
    <row r="775">
      <c r="A775" s="6">
        <v>773.0</v>
      </c>
      <c r="B775" s="17">
        <f t="array" ref="B775">SUM(1-'Sparkling Model'!D$2:D$38^A775)</f>
        <v>26.7526914</v>
      </c>
      <c r="C775" s="8">
        <f t="array" ref="C775">PRODUCT(1-'Sparkling Model'!D$2:D$38^A775)</f>
        <v>0.000001500493576</v>
      </c>
    </row>
    <row r="776">
      <c r="A776" s="6">
        <v>774.0</v>
      </c>
      <c r="B776" s="17">
        <f t="array" ref="B776">SUM(1-'Sparkling Model'!D$2:D$38^A776)</f>
        <v>26.76728065</v>
      </c>
      <c r="C776" s="8">
        <f t="array" ref="C776">PRODUCT(1-'Sparkling Model'!D$2:D$38^A776)</f>
        <v>0.000001534118693</v>
      </c>
    </row>
    <row r="777">
      <c r="A777" s="6">
        <v>775.0</v>
      </c>
      <c r="B777" s="17">
        <f t="array" ref="B777">SUM(1-'Sparkling Model'!D$2:D$38^A777)</f>
        <v>26.78184345</v>
      </c>
      <c r="C777" s="8">
        <f t="array" ref="C777">PRODUCT(1-'Sparkling Model'!D$2:D$38^A777)</f>
        <v>0.000001568417878</v>
      </c>
    </row>
    <row r="778">
      <c r="A778" s="6">
        <v>776.0</v>
      </c>
      <c r="B778" s="17">
        <f t="array" ref="B778">SUM(1-'Sparkling Model'!D$2:D$38^A778)</f>
        <v>26.79637984</v>
      </c>
      <c r="C778" s="8">
        <f t="array" ref="C778">PRODUCT(1-'Sparkling Model'!D$2:D$38^A778)</f>
        <v>0.000001603402936</v>
      </c>
    </row>
    <row r="779">
      <c r="A779" s="6">
        <v>777.0</v>
      </c>
      <c r="B779" s="17">
        <f t="array" ref="B779">SUM(1-'Sparkling Model'!D$2:D$38^A779)</f>
        <v>26.8108899</v>
      </c>
      <c r="C779" s="8">
        <f t="array" ref="C779">PRODUCT(1-'Sparkling Model'!D$2:D$38^A779)</f>
        <v>0.000001639085845</v>
      </c>
    </row>
    <row r="780">
      <c r="A780" s="6">
        <v>778.0</v>
      </c>
      <c r="B780" s="17">
        <f t="array" ref="B780">SUM(1-'Sparkling Model'!D$2:D$38^A780)</f>
        <v>26.82537366</v>
      </c>
      <c r="C780" s="8">
        <f t="array" ref="C780">PRODUCT(1-'Sparkling Model'!D$2:D$38^A780)</f>
        <v>0.00000167547876</v>
      </c>
    </row>
    <row r="781">
      <c r="A781" s="6">
        <v>779.0</v>
      </c>
      <c r="B781" s="17">
        <f t="array" ref="B781">SUM(1-'Sparkling Model'!D$2:D$38^A781)</f>
        <v>26.83983119</v>
      </c>
      <c r="C781" s="8">
        <f t="array" ref="C781">PRODUCT(1-'Sparkling Model'!D$2:D$38^A781)</f>
        <v>0.000001712594012</v>
      </c>
    </row>
    <row r="782">
      <c r="A782" s="6">
        <v>780.0</v>
      </c>
      <c r="B782" s="17">
        <f t="array" ref="B782">SUM(1-'Sparkling Model'!D$2:D$38^A782)</f>
        <v>26.85426254</v>
      </c>
      <c r="C782" s="8">
        <f t="array" ref="C782">PRODUCT(1-'Sparkling Model'!D$2:D$38^A782)</f>
        <v>0.000001750444113</v>
      </c>
    </row>
    <row r="783">
      <c r="A783" s="6">
        <v>781.0</v>
      </c>
      <c r="B783" s="17">
        <f t="array" ref="B783">SUM(1-'Sparkling Model'!D$2:D$38^A783)</f>
        <v>26.86866777</v>
      </c>
      <c r="C783" s="8">
        <f t="array" ref="C783">PRODUCT(1-'Sparkling Model'!D$2:D$38^A783)</f>
        <v>0.000001789041756</v>
      </c>
    </row>
    <row r="784">
      <c r="A784" s="6">
        <v>782.0</v>
      </c>
      <c r="B784" s="17">
        <f t="array" ref="B784">SUM(1-'Sparkling Model'!D$2:D$38^A784)</f>
        <v>26.88304693</v>
      </c>
      <c r="C784" s="8">
        <f t="array" ref="C784">PRODUCT(1-'Sparkling Model'!D$2:D$38^A784)</f>
        <v>0.000001828399818</v>
      </c>
    </row>
    <row r="785">
      <c r="A785" s="6">
        <v>783.0</v>
      </c>
      <c r="B785" s="17">
        <f t="array" ref="B785">SUM(1-'Sparkling Model'!D$2:D$38^A785)</f>
        <v>26.89740008</v>
      </c>
      <c r="C785" s="8">
        <f t="array" ref="C785">PRODUCT(1-'Sparkling Model'!D$2:D$38^A785)</f>
        <v>0.000001868531363</v>
      </c>
    </row>
    <row r="786">
      <c r="A786" s="6">
        <v>784.0</v>
      </c>
      <c r="B786" s="17">
        <f t="array" ref="B786">SUM(1-'Sparkling Model'!D$2:D$38^A786)</f>
        <v>26.91172728</v>
      </c>
      <c r="C786" s="8">
        <f t="array" ref="C786">PRODUCT(1-'Sparkling Model'!D$2:D$38^A786)</f>
        <v>0.000001909449641</v>
      </c>
    </row>
    <row r="787">
      <c r="A787" s="6">
        <v>785.0</v>
      </c>
      <c r="B787" s="17">
        <f t="array" ref="B787">SUM(1-'Sparkling Model'!D$2:D$38^A787)</f>
        <v>26.92602857</v>
      </c>
      <c r="C787" s="8">
        <f t="array" ref="C787">PRODUCT(1-'Sparkling Model'!D$2:D$38^A787)</f>
        <v>0.000001951168094</v>
      </c>
    </row>
    <row r="788">
      <c r="A788" s="6">
        <v>786.0</v>
      </c>
      <c r="B788" s="17">
        <f t="array" ref="B788">SUM(1-'Sparkling Model'!D$2:D$38^A788)</f>
        <v>26.94030402</v>
      </c>
      <c r="C788" s="8">
        <f t="array" ref="C788">PRODUCT(1-'Sparkling Model'!D$2:D$38^A788)</f>
        <v>0.000001993700356</v>
      </c>
    </row>
    <row r="789">
      <c r="A789" s="6">
        <v>787.0</v>
      </c>
      <c r="B789" s="17">
        <f t="array" ref="B789">SUM(1-'Sparkling Model'!D$2:D$38^A789)</f>
        <v>26.95455368</v>
      </c>
      <c r="C789" s="8">
        <f t="array" ref="C789">PRODUCT(1-'Sparkling Model'!D$2:D$38^A789)</f>
        <v>0.000002037060255</v>
      </c>
    </row>
    <row r="790">
      <c r="A790" s="6">
        <v>788.0</v>
      </c>
      <c r="B790" s="17">
        <f t="array" ref="B790">SUM(1-'Sparkling Model'!D$2:D$38^A790)</f>
        <v>26.9687776</v>
      </c>
      <c r="C790" s="8">
        <f t="array" ref="C790">PRODUCT(1-'Sparkling Model'!D$2:D$38^A790)</f>
        <v>0.000002081261815</v>
      </c>
    </row>
    <row r="791">
      <c r="A791" s="6">
        <v>789.0</v>
      </c>
      <c r="B791" s="17">
        <f t="array" ref="B791">SUM(1-'Sparkling Model'!D$2:D$38^A791)</f>
        <v>26.98297583</v>
      </c>
      <c r="C791" s="8">
        <f t="array" ref="C791">PRODUCT(1-'Sparkling Model'!D$2:D$38^A791)</f>
        <v>0.000002126319259</v>
      </c>
    </row>
    <row r="792">
      <c r="A792" s="6">
        <v>790.0</v>
      </c>
      <c r="B792" s="17">
        <f t="array" ref="B792">SUM(1-'Sparkling Model'!D$2:D$38^A792)</f>
        <v>26.99714844</v>
      </c>
      <c r="C792" s="8">
        <f t="array" ref="C792">PRODUCT(1-'Sparkling Model'!D$2:D$38^A792)</f>
        <v>0.000002172247012</v>
      </c>
    </row>
    <row r="793">
      <c r="A793" s="6">
        <v>791.0</v>
      </c>
      <c r="B793" s="17">
        <f t="array" ref="B793">SUM(1-'Sparkling Model'!D$2:D$38^A793)</f>
        <v>27.01129548</v>
      </c>
      <c r="C793" s="8">
        <f t="array" ref="C793">PRODUCT(1-'Sparkling Model'!D$2:D$38^A793)</f>
        <v>0.0000022190597</v>
      </c>
    </row>
    <row r="794">
      <c r="A794" s="6">
        <v>792.0</v>
      </c>
      <c r="B794" s="17">
        <f t="array" ref="B794">SUM(1-'Sparkling Model'!D$2:D$38^A794)</f>
        <v>27.025417</v>
      </c>
      <c r="C794" s="8">
        <f t="array" ref="C794">PRODUCT(1-'Sparkling Model'!D$2:D$38^A794)</f>
        <v>0.000002266772157</v>
      </c>
    </row>
    <row r="795">
      <c r="A795" s="6">
        <v>793.0</v>
      </c>
      <c r="B795" s="17">
        <f t="array" ref="B795">SUM(1-'Sparkling Model'!D$2:D$38^A795)</f>
        <v>27.03951305</v>
      </c>
      <c r="C795" s="8">
        <f t="array" ref="C795">PRODUCT(1-'Sparkling Model'!D$2:D$38^A795)</f>
        <v>0.00000231539942</v>
      </c>
    </row>
    <row r="796">
      <c r="A796" s="6">
        <v>794.0</v>
      </c>
      <c r="B796" s="17">
        <f t="array" ref="B796">SUM(1-'Sparkling Model'!D$2:D$38^A796)</f>
        <v>27.05358369</v>
      </c>
      <c r="C796" s="8">
        <f t="array" ref="C796">PRODUCT(1-'Sparkling Model'!D$2:D$38^A796)</f>
        <v>0.000002364956741</v>
      </c>
    </row>
    <row r="797">
      <c r="A797" s="6">
        <v>795.0</v>
      </c>
      <c r="B797" s="17">
        <f t="array" ref="B797">SUM(1-'Sparkling Model'!D$2:D$38^A797)</f>
        <v>27.06762897</v>
      </c>
      <c r="C797" s="8">
        <f t="array" ref="C797">PRODUCT(1-'Sparkling Model'!D$2:D$38^A797)</f>
        <v>0.000002415459581</v>
      </c>
    </row>
    <row r="798">
      <c r="A798" s="6">
        <v>796.0</v>
      </c>
      <c r="B798" s="17">
        <f t="array" ref="B798">SUM(1-'Sparkling Model'!D$2:D$38^A798)</f>
        <v>27.08164895</v>
      </c>
      <c r="C798" s="8">
        <f t="array" ref="C798">PRODUCT(1-'Sparkling Model'!D$2:D$38^A798)</f>
        <v>0.000002466923614</v>
      </c>
    </row>
    <row r="799">
      <c r="A799" s="6">
        <v>797.0</v>
      </c>
      <c r="B799" s="17">
        <f t="array" ref="B799">SUM(1-'Sparkling Model'!D$2:D$38^A799)</f>
        <v>27.09564368</v>
      </c>
      <c r="C799" s="8">
        <f t="array" ref="C799">PRODUCT(1-'Sparkling Model'!D$2:D$38^A799)</f>
        <v>0.000002519364734</v>
      </c>
    </row>
    <row r="800">
      <c r="A800" s="6">
        <v>798.0</v>
      </c>
      <c r="B800" s="17">
        <f t="array" ref="B800">SUM(1-'Sparkling Model'!D$2:D$38^A800)</f>
        <v>27.10961321</v>
      </c>
      <c r="C800" s="8">
        <f t="array" ref="C800">PRODUCT(1-'Sparkling Model'!D$2:D$38^A800)</f>
        <v>0.00000257279905</v>
      </c>
    </row>
    <row r="801">
      <c r="A801" s="6">
        <v>799.0</v>
      </c>
      <c r="B801" s="17">
        <f t="array" ref="B801">SUM(1-'Sparkling Model'!D$2:D$38^A801)</f>
        <v>27.1235576</v>
      </c>
      <c r="C801" s="8">
        <f t="array" ref="C801">PRODUCT(1-'Sparkling Model'!D$2:D$38^A801)</f>
        <v>0.000002627242895</v>
      </c>
    </row>
    <row r="802">
      <c r="A802" s="6">
        <v>800.0</v>
      </c>
      <c r="B802" s="17">
        <f t="array" ref="B802">SUM(1-'Sparkling Model'!D$2:D$38^A802)</f>
        <v>27.13747689</v>
      </c>
      <c r="C802" s="8">
        <f t="array" ref="C802">PRODUCT(1-'Sparkling Model'!D$2:D$38^A802)</f>
        <v>0.000002682712824</v>
      </c>
    </row>
    <row r="803">
      <c r="A803" s="6">
        <v>801.0</v>
      </c>
      <c r="B803" s="17">
        <f t="array" ref="B803">SUM(1-'Sparkling Model'!D$2:D$38^A803)</f>
        <v>27.15137115</v>
      </c>
      <c r="C803" s="8">
        <f t="array" ref="C803">PRODUCT(1-'Sparkling Model'!D$2:D$38^A803)</f>
        <v>0.000002739225618</v>
      </c>
    </row>
    <row r="804">
      <c r="A804" s="6">
        <v>802.0</v>
      </c>
      <c r="B804" s="17">
        <f t="array" ref="B804">SUM(1-'Sparkling Model'!D$2:D$38^A804)</f>
        <v>27.16524043</v>
      </c>
      <c r="C804" s="8">
        <f t="array" ref="C804">PRODUCT(1-'Sparkling Model'!D$2:D$38^A804)</f>
        <v>0.000002796798286</v>
      </c>
    </row>
    <row r="805">
      <c r="A805" s="6">
        <v>803.0</v>
      </c>
      <c r="B805" s="17">
        <f t="array" ref="B805">SUM(1-'Sparkling Model'!D$2:D$38^A805)</f>
        <v>27.17908477</v>
      </c>
      <c r="C805" s="8">
        <f t="array" ref="C805">PRODUCT(1-'Sparkling Model'!D$2:D$38^A805)</f>
        <v>0.000002855448067</v>
      </c>
    </row>
    <row r="806">
      <c r="A806" s="6">
        <v>804.0</v>
      </c>
      <c r="B806" s="17">
        <f t="array" ref="B806">SUM(1-'Sparkling Model'!D$2:D$38^A806)</f>
        <v>27.19290423</v>
      </c>
      <c r="C806" s="8">
        <f t="array" ref="C806">PRODUCT(1-'Sparkling Model'!D$2:D$38^A806)</f>
        <v>0.000002915192433</v>
      </c>
    </row>
    <row r="807">
      <c r="A807" s="6">
        <v>805.0</v>
      </c>
      <c r="B807" s="17">
        <f t="array" ref="B807">SUM(1-'Sparkling Model'!D$2:D$38^A807)</f>
        <v>27.20669886</v>
      </c>
      <c r="C807" s="8">
        <f t="array" ref="C807">PRODUCT(1-'Sparkling Model'!D$2:D$38^A807)</f>
        <v>0.000002976049092</v>
      </c>
    </row>
    <row r="808">
      <c r="A808" s="6">
        <v>806.0</v>
      </c>
      <c r="B808" s="17">
        <f t="array" ref="B808">SUM(1-'Sparkling Model'!D$2:D$38^A808)</f>
        <v>27.22046872</v>
      </c>
      <c r="C808" s="8">
        <f t="array" ref="C808">PRODUCT(1-'Sparkling Model'!D$2:D$38^A808)</f>
        <v>0.000003038035988</v>
      </c>
    </row>
    <row r="809">
      <c r="A809" s="6">
        <v>807.0</v>
      </c>
      <c r="B809" s="17">
        <f t="array" ref="B809">SUM(1-'Sparkling Model'!D$2:D$38^A809)</f>
        <v>27.23421386</v>
      </c>
      <c r="C809" s="8">
        <f t="array" ref="C809">PRODUCT(1-'Sparkling Model'!D$2:D$38^A809)</f>
        <v>0.000003101171307</v>
      </c>
    </row>
    <row r="810">
      <c r="A810" s="6">
        <v>808.0</v>
      </c>
      <c r="B810" s="17">
        <f t="array" ref="B810">SUM(1-'Sparkling Model'!D$2:D$38^A810)</f>
        <v>27.24793433</v>
      </c>
      <c r="C810" s="8">
        <f t="array" ref="C810">PRODUCT(1-'Sparkling Model'!D$2:D$38^A810)</f>
        <v>0.000003165473476</v>
      </c>
    </row>
    <row r="811">
      <c r="A811" s="6">
        <v>809.0</v>
      </c>
      <c r="B811" s="17">
        <f t="array" ref="B811">SUM(1-'Sparkling Model'!D$2:D$38^A811)</f>
        <v>27.26163018</v>
      </c>
      <c r="C811" s="8">
        <f t="array" ref="C811">PRODUCT(1-'Sparkling Model'!D$2:D$38^A811)</f>
        <v>0.000003230961166</v>
      </c>
    </row>
    <row r="812">
      <c r="A812" s="6">
        <v>810.0</v>
      </c>
      <c r="B812" s="17">
        <f t="array" ref="B812">SUM(1-'Sparkling Model'!D$2:D$38^A812)</f>
        <v>27.27530146</v>
      </c>
      <c r="C812" s="8">
        <f t="array" ref="C812">PRODUCT(1-'Sparkling Model'!D$2:D$38^A812)</f>
        <v>0.000003297653298</v>
      </c>
    </row>
    <row r="813">
      <c r="A813" s="6">
        <v>811.0</v>
      </c>
      <c r="B813" s="17">
        <f t="array" ref="B813">SUM(1-'Sparkling Model'!D$2:D$38^A813)</f>
        <v>27.28894823</v>
      </c>
      <c r="C813" s="8">
        <f t="array" ref="C813">PRODUCT(1-'Sparkling Model'!D$2:D$38^A813)</f>
        <v>0.000003365569041</v>
      </c>
    </row>
    <row r="814">
      <c r="A814" s="6">
        <v>812.0</v>
      </c>
      <c r="B814" s="17">
        <f t="array" ref="B814">SUM(1-'Sparkling Model'!D$2:D$38^A814)</f>
        <v>27.30257053</v>
      </c>
      <c r="C814" s="8">
        <f t="array" ref="C814">PRODUCT(1-'Sparkling Model'!D$2:D$38^A814)</f>
        <v>0.000003434727816</v>
      </c>
    </row>
    <row r="815">
      <c r="A815" s="6">
        <v>813.0</v>
      </c>
      <c r="B815" s="17">
        <f t="array" ref="B815">SUM(1-'Sparkling Model'!D$2:D$38^A815)</f>
        <v>27.31616842</v>
      </c>
      <c r="C815" s="8">
        <f t="array" ref="C815">PRODUCT(1-'Sparkling Model'!D$2:D$38^A815)</f>
        <v>0.000003505149299</v>
      </c>
    </row>
    <row r="816">
      <c r="A816" s="6">
        <v>814.0</v>
      </c>
      <c r="B816" s="17">
        <f t="array" ref="B816">SUM(1-'Sparkling Model'!D$2:D$38^A816)</f>
        <v>27.32974196</v>
      </c>
      <c r="C816" s="8">
        <f t="array" ref="C816">PRODUCT(1-'Sparkling Model'!D$2:D$38^A816)</f>
        <v>0.000003576853425</v>
      </c>
    </row>
    <row r="817">
      <c r="A817" s="6">
        <v>815.0</v>
      </c>
      <c r="B817" s="17">
        <f t="array" ref="B817">SUM(1-'Sparkling Model'!D$2:D$38^A817)</f>
        <v>27.34329118</v>
      </c>
      <c r="C817" s="8">
        <f t="array" ref="C817">PRODUCT(1-'Sparkling Model'!D$2:D$38^A817)</f>
        <v>0.000003649860387</v>
      </c>
    </row>
    <row r="818">
      <c r="A818" s="6">
        <v>816.0</v>
      </c>
      <c r="B818" s="17">
        <f t="array" ref="B818">SUM(1-'Sparkling Model'!D$2:D$38^A818)</f>
        <v>27.35681615</v>
      </c>
      <c r="C818" s="8">
        <f t="array" ref="C818">PRODUCT(1-'Sparkling Model'!D$2:D$38^A818)</f>
        <v>0.000003724190641</v>
      </c>
    </row>
    <row r="819">
      <c r="A819" s="6">
        <v>817.0</v>
      </c>
      <c r="B819" s="17">
        <f t="array" ref="B819">SUM(1-'Sparkling Model'!D$2:D$38^A819)</f>
        <v>27.37031691</v>
      </c>
      <c r="C819" s="8">
        <f t="array" ref="C819">PRODUCT(1-'Sparkling Model'!D$2:D$38^A819)</f>
        <v>0.000003799864907</v>
      </c>
    </row>
    <row r="820">
      <c r="A820" s="6">
        <v>818.0</v>
      </c>
      <c r="B820" s="17">
        <f t="array" ref="B820">SUM(1-'Sparkling Model'!D$2:D$38^A820)</f>
        <v>27.38379351</v>
      </c>
      <c r="C820" s="8">
        <f t="array" ref="C820">PRODUCT(1-'Sparkling Model'!D$2:D$38^A820)</f>
        <v>0.000003876904174</v>
      </c>
    </row>
    <row r="821">
      <c r="A821" s="6">
        <v>819.0</v>
      </c>
      <c r="B821" s="17">
        <f t="array" ref="B821">SUM(1-'Sparkling Model'!D$2:D$38^A821)</f>
        <v>27.39724601</v>
      </c>
      <c r="C821" s="8">
        <f t="array" ref="C821">PRODUCT(1-'Sparkling Model'!D$2:D$38^A821)</f>
        <v>0.000003955329701</v>
      </c>
    </row>
    <row r="822">
      <c r="A822" s="6">
        <v>820.0</v>
      </c>
      <c r="B822" s="17">
        <f t="array" ref="B822">SUM(1-'Sparkling Model'!D$2:D$38^A822)</f>
        <v>27.41067445</v>
      </c>
      <c r="C822" s="8">
        <f t="array" ref="C822">PRODUCT(1-'Sparkling Model'!D$2:D$38^A822)</f>
        <v>0.000004035163019</v>
      </c>
    </row>
    <row r="823">
      <c r="A823" s="6">
        <v>821.0</v>
      </c>
      <c r="B823" s="17">
        <f t="array" ref="B823">SUM(1-'Sparkling Model'!D$2:D$38^A823)</f>
        <v>27.42407889</v>
      </c>
      <c r="C823" s="8">
        <f t="array" ref="C823">PRODUCT(1-'Sparkling Model'!D$2:D$38^A823)</f>
        <v>0.000004116425933</v>
      </c>
    </row>
    <row r="824">
      <c r="A824" s="6">
        <v>822.0</v>
      </c>
      <c r="B824" s="17">
        <f t="array" ref="B824">SUM(1-'Sparkling Model'!D$2:D$38^A824)</f>
        <v>27.43745938</v>
      </c>
      <c r="C824" s="8">
        <f t="array" ref="C824">PRODUCT(1-'Sparkling Model'!D$2:D$38^A824)</f>
        <v>0.000004199140528</v>
      </c>
    </row>
    <row r="825">
      <c r="A825" s="6">
        <v>823.0</v>
      </c>
      <c r="B825" s="17">
        <f t="array" ref="B825">SUM(1-'Sparkling Model'!D$2:D$38^A825)</f>
        <v>27.45081597</v>
      </c>
      <c r="C825" s="8">
        <f t="array" ref="C825">PRODUCT(1-'Sparkling Model'!D$2:D$38^A825)</f>
        <v>0.00000428332917</v>
      </c>
    </row>
    <row r="826">
      <c r="A826" s="6">
        <v>824.0</v>
      </c>
      <c r="B826" s="17">
        <f t="array" ref="B826">SUM(1-'Sparkling Model'!D$2:D$38^A826)</f>
        <v>27.4641487</v>
      </c>
      <c r="C826" s="8">
        <f t="array" ref="C826">PRODUCT(1-'Sparkling Model'!D$2:D$38^A826)</f>
        <v>0.000004369014506</v>
      </c>
    </row>
    <row r="827">
      <c r="A827" s="6">
        <v>825.0</v>
      </c>
      <c r="B827" s="17">
        <f t="array" ref="B827">SUM(1-'Sparkling Model'!D$2:D$38^A827)</f>
        <v>27.47745763</v>
      </c>
      <c r="C827" s="8">
        <f t="array" ref="C827">PRODUCT(1-'Sparkling Model'!D$2:D$38^A827)</f>
        <v>0.000004456219471</v>
      </c>
    </row>
    <row r="828">
      <c r="A828" s="6">
        <v>826.0</v>
      </c>
      <c r="B828" s="17">
        <f t="array" ref="B828">SUM(1-'Sparkling Model'!D$2:D$38^A828)</f>
        <v>27.4907428</v>
      </c>
      <c r="C828" s="8">
        <f t="array" ref="C828">PRODUCT(1-'Sparkling Model'!D$2:D$38^A828)</f>
        <v>0.000004544967286</v>
      </c>
    </row>
    <row r="829">
      <c r="A829" s="6">
        <v>827.0</v>
      </c>
      <c r="B829" s="17">
        <f t="array" ref="B829">SUM(1-'Sparkling Model'!D$2:D$38^A829)</f>
        <v>27.50400428</v>
      </c>
      <c r="C829" s="8">
        <f t="array" ref="C829">PRODUCT(1-'Sparkling Model'!D$2:D$38^A829)</f>
        <v>0.000004635281466</v>
      </c>
    </row>
    <row r="830">
      <c r="A830" s="6">
        <v>828.0</v>
      </c>
      <c r="B830" s="17">
        <f t="array" ref="B830">SUM(1-'Sparkling Model'!D$2:D$38^A830)</f>
        <v>27.5172421</v>
      </c>
      <c r="C830" s="8">
        <f t="array" ref="C830">PRODUCT(1-'Sparkling Model'!D$2:D$38^A830)</f>
        <v>0.000004727185818</v>
      </c>
    </row>
    <row r="831">
      <c r="A831" s="6">
        <v>829.0</v>
      </c>
      <c r="B831" s="17">
        <f t="array" ref="B831">SUM(1-'Sparkling Model'!D$2:D$38^A831)</f>
        <v>27.53045631</v>
      </c>
      <c r="C831" s="8">
        <f t="array" ref="C831">PRODUCT(1-'Sparkling Model'!D$2:D$38^A831)</f>
        <v>0.000004820704447</v>
      </c>
    </row>
    <row r="832">
      <c r="A832" s="6">
        <v>830.0</v>
      </c>
      <c r="B832" s="17">
        <f t="array" ref="B832">SUM(1-'Sparkling Model'!D$2:D$38^A832)</f>
        <v>27.54364697</v>
      </c>
      <c r="C832" s="8">
        <f t="array" ref="C832">PRODUCT(1-'Sparkling Model'!D$2:D$38^A832)</f>
        <v>0.000004915861757</v>
      </c>
    </row>
    <row r="833">
      <c r="A833" s="6">
        <v>831.0</v>
      </c>
      <c r="B833" s="17">
        <f t="array" ref="B833">SUM(1-'Sparkling Model'!D$2:D$38^A833)</f>
        <v>27.55681413</v>
      </c>
      <c r="C833" s="8">
        <f t="array" ref="C833">PRODUCT(1-'Sparkling Model'!D$2:D$38^A833)</f>
        <v>0.000005012682453</v>
      </c>
    </row>
    <row r="834">
      <c r="A834" s="6">
        <v>832.0</v>
      </c>
      <c r="B834" s="17">
        <f t="array" ref="B834">SUM(1-'Sparkling Model'!D$2:D$38^A834)</f>
        <v>27.56995783</v>
      </c>
      <c r="C834" s="8">
        <f t="array" ref="C834">PRODUCT(1-'Sparkling Model'!D$2:D$38^A834)</f>
        <v>0.000005111191546</v>
      </c>
    </row>
    <row r="835">
      <c r="A835" s="6">
        <v>833.0</v>
      </c>
      <c r="B835" s="17">
        <f t="array" ref="B835">SUM(1-'Sparkling Model'!D$2:D$38^A835)</f>
        <v>27.58307813</v>
      </c>
      <c r="C835" s="8">
        <f t="array" ref="C835">PRODUCT(1-'Sparkling Model'!D$2:D$38^A835)</f>
        <v>0.000005211414355</v>
      </c>
    </row>
    <row r="836">
      <c r="A836" s="6">
        <v>834.0</v>
      </c>
      <c r="B836" s="17">
        <f t="array" ref="B836">SUM(1-'Sparkling Model'!D$2:D$38^A836)</f>
        <v>27.59617507</v>
      </c>
      <c r="C836" s="8">
        <f t="array" ref="C836">PRODUCT(1-'Sparkling Model'!D$2:D$38^A836)</f>
        <v>0.000005313376509</v>
      </c>
    </row>
    <row r="837">
      <c r="A837" s="6">
        <v>835.0</v>
      </c>
      <c r="B837" s="17">
        <f t="array" ref="B837">SUM(1-'Sparkling Model'!D$2:D$38^A837)</f>
        <v>27.6092487</v>
      </c>
      <c r="C837" s="8">
        <f t="array" ref="C837">PRODUCT(1-'Sparkling Model'!D$2:D$38^A837)</f>
        <v>0.00000541710395</v>
      </c>
    </row>
    <row r="838">
      <c r="A838" s="6">
        <v>836.0</v>
      </c>
      <c r="B838" s="17">
        <f t="array" ref="B838">SUM(1-'Sparkling Model'!D$2:D$38^A838)</f>
        <v>27.62229907</v>
      </c>
      <c r="C838" s="8">
        <f t="array" ref="C838">PRODUCT(1-'Sparkling Model'!D$2:D$38^A838)</f>
        <v>0.000005522622936</v>
      </c>
    </row>
    <row r="839">
      <c r="A839" s="6">
        <v>837.0</v>
      </c>
      <c r="B839" s="17">
        <f t="array" ref="B839">SUM(1-'Sparkling Model'!D$2:D$38^A839)</f>
        <v>27.63532623</v>
      </c>
      <c r="C839" s="8">
        <f t="array" ref="C839">PRODUCT(1-'Sparkling Model'!D$2:D$38^A839)</f>
        <v>0.000005629960044</v>
      </c>
    </row>
    <row r="840">
      <c r="A840" s="6">
        <v>838.0</v>
      </c>
      <c r="B840" s="17">
        <f t="array" ref="B840">SUM(1-'Sparkling Model'!D$2:D$38^A840)</f>
        <v>27.64833023</v>
      </c>
      <c r="C840" s="8">
        <f t="array" ref="C840">PRODUCT(1-'Sparkling Model'!D$2:D$38^A840)</f>
        <v>0.000005739142174</v>
      </c>
    </row>
    <row r="841">
      <c r="A841" s="6">
        <v>839.0</v>
      </c>
      <c r="B841" s="17">
        <f t="array" ref="B841">SUM(1-'Sparkling Model'!D$2:D$38^A841)</f>
        <v>27.66131111</v>
      </c>
      <c r="C841" s="8">
        <f t="array" ref="C841">PRODUCT(1-'Sparkling Model'!D$2:D$38^A841)</f>
        <v>0.000005850196547</v>
      </c>
    </row>
    <row r="842">
      <c r="A842" s="6">
        <v>840.0</v>
      </c>
      <c r="B842" s="17">
        <f t="array" ref="B842">SUM(1-'Sparkling Model'!D$2:D$38^A842)</f>
        <v>27.67426893</v>
      </c>
      <c r="C842" s="8">
        <f t="array" ref="C842">PRODUCT(1-'Sparkling Model'!D$2:D$38^A842)</f>
        <v>0.000005963150716</v>
      </c>
    </row>
    <row r="843">
      <c r="A843" s="6">
        <v>841.0</v>
      </c>
      <c r="B843" s="17">
        <f t="array" ref="B843">SUM(1-'Sparkling Model'!D$2:D$38^A843)</f>
        <v>27.68720373</v>
      </c>
      <c r="C843" s="8">
        <f t="array" ref="C843">PRODUCT(1-'Sparkling Model'!D$2:D$38^A843)</f>
        <v>0.00000607803256</v>
      </c>
    </row>
    <row r="844">
      <c r="A844" s="6">
        <v>842.0</v>
      </c>
      <c r="B844" s="17">
        <f t="array" ref="B844">SUM(1-'Sparkling Model'!D$2:D$38^A844)</f>
        <v>27.70011556</v>
      </c>
      <c r="C844" s="8">
        <f t="array" ref="C844">PRODUCT(1-'Sparkling Model'!D$2:D$38^A844)</f>
        <v>0.000006194870294</v>
      </c>
    </row>
    <row r="845">
      <c r="A845" s="6">
        <v>843.0</v>
      </c>
      <c r="B845" s="17">
        <f t="array" ref="B845">SUM(1-'Sparkling Model'!D$2:D$38^A845)</f>
        <v>27.71300447</v>
      </c>
      <c r="C845" s="8">
        <f t="array" ref="C845">PRODUCT(1-'Sparkling Model'!D$2:D$38^A845)</f>
        <v>0.000006313692469</v>
      </c>
    </row>
    <row r="846">
      <c r="A846" s="6">
        <v>844.0</v>
      </c>
      <c r="B846" s="17">
        <f t="array" ref="B846">SUM(1-'Sparkling Model'!D$2:D$38^A846)</f>
        <v>27.72587051</v>
      </c>
      <c r="C846" s="8">
        <f t="array" ref="C846">PRODUCT(1-'Sparkling Model'!D$2:D$38^A846)</f>
        <v>0.000006434527972</v>
      </c>
    </row>
    <row r="847">
      <c r="A847" s="6">
        <v>845.0</v>
      </c>
      <c r="B847" s="17">
        <f t="array" ref="B847">SUM(1-'Sparkling Model'!D$2:D$38^A847)</f>
        <v>27.73871372</v>
      </c>
      <c r="C847" s="8">
        <f t="array" ref="C847">PRODUCT(1-'Sparkling Model'!D$2:D$38^A847)</f>
        <v>0.000006557406036</v>
      </c>
    </row>
    <row r="848">
      <c r="A848" s="6">
        <v>846.0</v>
      </c>
      <c r="B848" s="17">
        <f t="array" ref="B848">SUM(1-'Sparkling Model'!D$2:D$38^A848)</f>
        <v>27.75153416</v>
      </c>
      <c r="C848" s="8">
        <f t="array" ref="C848">PRODUCT(1-'Sparkling Model'!D$2:D$38^A848)</f>
        <v>0.000006682356235</v>
      </c>
    </row>
    <row r="849">
      <c r="A849" s="6">
        <v>847.0</v>
      </c>
      <c r="B849" s="17">
        <f t="array" ref="B849">SUM(1-'Sparkling Model'!D$2:D$38^A849)</f>
        <v>27.76433186</v>
      </c>
      <c r="C849" s="8">
        <f t="array" ref="C849">PRODUCT(1-'Sparkling Model'!D$2:D$38^A849)</f>
        <v>0.000006809408494</v>
      </c>
    </row>
    <row r="850">
      <c r="A850" s="6">
        <v>848.0</v>
      </c>
      <c r="B850" s="17">
        <f t="array" ref="B850">SUM(1-'Sparkling Model'!D$2:D$38^A850)</f>
        <v>27.77710688</v>
      </c>
      <c r="C850" s="8">
        <f t="array" ref="C850">PRODUCT(1-'Sparkling Model'!D$2:D$38^A850)</f>
        <v>0.000006938593085</v>
      </c>
    </row>
    <row r="851">
      <c r="A851" s="6">
        <v>849.0</v>
      </c>
      <c r="B851" s="17">
        <f t="array" ref="B851">SUM(1-'Sparkling Model'!D$2:D$38^A851)</f>
        <v>27.78985927</v>
      </c>
      <c r="C851" s="8">
        <f t="array" ref="C851">PRODUCT(1-'Sparkling Model'!D$2:D$38^A851)</f>
        <v>0.000007069940636</v>
      </c>
    </row>
    <row r="852">
      <c r="A852" s="6">
        <v>850.0</v>
      </c>
      <c r="B852" s="17">
        <f t="array" ref="B852">SUM(1-'Sparkling Model'!D$2:D$38^A852)</f>
        <v>27.80258906</v>
      </c>
      <c r="C852" s="8">
        <f t="array" ref="C852">PRODUCT(1-'Sparkling Model'!D$2:D$38^A852)</f>
        <v>0.000007203482133</v>
      </c>
    </row>
    <row r="853">
      <c r="A853" s="6">
        <v>851.0</v>
      </c>
      <c r="B853" s="17">
        <f t="array" ref="B853">SUM(1-'Sparkling Model'!D$2:D$38^A853)</f>
        <v>27.81529632</v>
      </c>
      <c r="C853" s="8">
        <f t="array" ref="C853">PRODUCT(1-'Sparkling Model'!D$2:D$38^A853)</f>
        <v>0.000007339248918</v>
      </c>
    </row>
    <row r="854">
      <c r="A854" s="6">
        <v>852.0</v>
      </c>
      <c r="B854" s="17">
        <f t="array" ref="B854">SUM(1-'Sparkling Model'!D$2:D$38^A854)</f>
        <v>27.82798108</v>
      </c>
      <c r="C854" s="8">
        <f t="array" ref="C854">PRODUCT(1-'Sparkling Model'!D$2:D$38^A854)</f>
        <v>0.000007477272697</v>
      </c>
    </row>
    <row r="855">
      <c r="A855" s="6">
        <v>853.0</v>
      </c>
      <c r="B855" s="17">
        <f t="array" ref="B855">SUM(1-'Sparkling Model'!D$2:D$38^A855)</f>
        <v>27.8406434</v>
      </c>
      <c r="C855" s="8">
        <f t="array" ref="C855">PRODUCT(1-'Sparkling Model'!D$2:D$38^A855)</f>
        <v>0.000007617585543</v>
      </c>
    </row>
    <row r="856">
      <c r="A856" s="6">
        <v>854.0</v>
      </c>
      <c r="B856" s="17">
        <f t="array" ref="B856">SUM(1-'Sparkling Model'!D$2:D$38^A856)</f>
        <v>27.85328331</v>
      </c>
      <c r="C856" s="8">
        <f t="array" ref="C856">PRODUCT(1-'Sparkling Model'!D$2:D$38^A856)</f>
        <v>0.000007760219897</v>
      </c>
    </row>
    <row r="857">
      <c r="A857" s="6">
        <v>855.0</v>
      </c>
      <c r="B857" s="17">
        <f t="array" ref="B857">SUM(1-'Sparkling Model'!D$2:D$38^A857)</f>
        <v>27.86590087</v>
      </c>
      <c r="C857" s="8">
        <f t="array" ref="C857">PRODUCT(1-'Sparkling Model'!D$2:D$38^A857)</f>
        <v>0.000007905208569</v>
      </c>
    </row>
    <row r="858">
      <c r="A858" s="6">
        <v>856.0</v>
      </c>
      <c r="B858" s="17">
        <f t="array" ref="B858">SUM(1-'Sparkling Model'!D$2:D$38^A858)</f>
        <v>27.87849613</v>
      </c>
      <c r="C858" s="8">
        <f t="array" ref="C858">PRODUCT(1-'Sparkling Model'!D$2:D$38^A858)</f>
        <v>0.000008052584747</v>
      </c>
    </row>
    <row r="859">
      <c r="A859" s="6">
        <v>857.0</v>
      </c>
      <c r="B859" s="17">
        <f t="array" ref="B859">SUM(1-'Sparkling Model'!D$2:D$38^A859)</f>
        <v>27.89106912</v>
      </c>
      <c r="C859" s="8">
        <f t="array" ref="C859">PRODUCT(1-'Sparkling Model'!D$2:D$38^A859)</f>
        <v>0.000008202381995</v>
      </c>
    </row>
    <row r="860">
      <c r="A860" s="6">
        <v>858.0</v>
      </c>
      <c r="B860" s="17">
        <f t="array" ref="B860">SUM(1-'Sparkling Model'!D$2:D$38^A860)</f>
        <v>27.9036199</v>
      </c>
      <c r="C860" s="8">
        <f t="array" ref="C860">PRODUCT(1-'Sparkling Model'!D$2:D$38^A860)</f>
        <v>0.000008354634258</v>
      </c>
    </row>
    <row r="861">
      <c r="A861" s="6">
        <v>859.0</v>
      </c>
      <c r="B861" s="17">
        <f t="array" ref="B861">SUM(1-'Sparkling Model'!D$2:D$38^A861)</f>
        <v>27.91614851</v>
      </c>
      <c r="C861" s="8">
        <f t="array" ref="C861">PRODUCT(1-'Sparkling Model'!D$2:D$38^A861)</f>
        <v>0.000008509375865</v>
      </c>
    </row>
    <row r="862">
      <c r="A862" s="6">
        <v>860.0</v>
      </c>
      <c r="B862" s="17">
        <f t="array" ref="B862">SUM(1-'Sparkling Model'!D$2:D$38^A862)</f>
        <v>27.928655</v>
      </c>
      <c r="C862" s="8">
        <f t="array" ref="C862">PRODUCT(1-'Sparkling Model'!D$2:D$38^A862)</f>
        <v>0.000008666641532</v>
      </c>
    </row>
    <row r="863">
      <c r="A863" s="6">
        <v>861.0</v>
      </c>
      <c r="B863" s="17">
        <f t="array" ref="B863">SUM(1-'Sparkling Model'!D$2:D$38^A863)</f>
        <v>27.94113941</v>
      </c>
      <c r="C863" s="8">
        <f t="array" ref="C863">PRODUCT(1-'Sparkling Model'!D$2:D$38^A863)</f>
        <v>0.000008826466365</v>
      </c>
    </row>
    <row r="864">
      <c r="A864" s="6">
        <v>862.0</v>
      </c>
      <c r="B864" s="17">
        <f t="array" ref="B864">SUM(1-'Sparkling Model'!D$2:D$38^A864)</f>
        <v>27.95360179</v>
      </c>
      <c r="C864" s="8">
        <f t="array" ref="C864">PRODUCT(1-'Sparkling Model'!D$2:D$38^A864)</f>
        <v>0.000008988885861</v>
      </c>
    </row>
    <row r="865">
      <c r="A865" s="6">
        <v>863.0</v>
      </c>
      <c r="B865" s="17">
        <f t="array" ref="B865">SUM(1-'Sparkling Model'!D$2:D$38^A865)</f>
        <v>27.96604219</v>
      </c>
      <c r="C865" s="8">
        <f t="array" ref="C865">PRODUCT(1-'Sparkling Model'!D$2:D$38^A865)</f>
        <v>0.000009153935917</v>
      </c>
    </row>
    <row r="866">
      <c r="A866" s="6">
        <v>864.0</v>
      </c>
      <c r="B866" s="17">
        <f t="array" ref="B866">SUM(1-'Sparkling Model'!D$2:D$38^A866)</f>
        <v>27.97846065</v>
      </c>
      <c r="C866" s="8">
        <f t="array" ref="C866">PRODUCT(1-'Sparkling Model'!D$2:D$38^A866)</f>
        <v>0.000009321652826</v>
      </c>
    </row>
    <row r="867">
      <c r="A867" s="6">
        <v>865.0</v>
      </c>
      <c r="B867" s="17">
        <f t="array" ref="B867">SUM(1-'Sparkling Model'!D$2:D$38^A867)</f>
        <v>27.99085722</v>
      </c>
      <c r="C867" s="8">
        <f t="array" ref="C867">PRODUCT(1-'Sparkling Model'!D$2:D$38^A867)</f>
        <v>0.000009492073285</v>
      </c>
    </row>
    <row r="868">
      <c r="A868" s="6">
        <v>866.0</v>
      </c>
      <c r="B868" s="17">
        <f t="array" ref="B868">SUM(1-'Sparkling Model'!D$2:D$38^A868)</f>
        <v>28.00323194</v>
      </c>
      <c r="C868" s="8">
        <f t="array" ref="C868">PRODUCT(1-'Sparkling Model'!D$2:D$38^A868)</f>
        <v>0.000009665234396</v>
      </c>
    </row>
    <row r="869">
      <c r="A869" s="6">
        <v>867.0</v>
      </c>
      <c r="B869" s="17">
        <f t="array" ref="B869">SUM(1-'Sparkling Model'!D$2:D$38^A869)</f>
        <v>28.01558486</v>
      </c>
      <c r="C869" s="8">
        <f t="array" ref="C869">PRODUCT(1-'Sparkling Model'!D$2:D$38^A869)</f>
        <v>0.00000984117367</v>
      </c>
    </row>
    <row r="870">
      <c r="A870" s="6">
        <v>868.0</v>
      </c>
      <c r="B870" s="17">
        <f t="array" ref="B870">SUM(1-'Sparkling Model'!D$2:D$38^A870)</f>
        <v>28.02791602</v>
      </c>
      <c r="C870" s="8">
        <f t="array" ref="C870">PRODUCT(1-'Sparkling Model'!D$2:D$38^A870)</f>
        <v>0.00001001992903</v>
      </c>
    </row>
    <row r="871">
      <c r="A871" s="6">
        <v>869.0</v>
      </c>
      <c r="B871" s="17">
        <f t="array" ref="B871">SUM(1-'Sparkling Model'!D$2:D$38^A871)</f>
        <v>28.04022547</v>
      </c>
      <c r="C871" s="8">
        <f t="array" ref="C871">PRODUCT(1-'Sparkling Model'!D$2:D$38^A871)</f>
        <v>0.00001020153881</v>
      </c>
    </row>
    <row r="872">
      <c r="A872" s="6">
        <v>870.0</v>
      </c>
      <c r="B872" s="17">
        <f t="array" ref="B872">SUM(1-'Sparkling Model'!D$2:D$38^A872)</f>
        <v>28.05251325</v>
      </c>
      <c r="C872" s="8">
        <f t="array" ref="C872">PRODUCT(1-'Sparkling Model'!D$2:D$38^A872)</f>
        <v>0.00001038604177</v>
      </c>
    </row>
    <row r="873">
      <c r="A873" s="6">
        <v>871.0</v>
      </c>
      <c r="B873" s="17">
        <f t="array" ref="B873">SUM(1-'Sparkling Model'!D$2:D$38^A873)</f>
        <v>28.06477941</v>
      </c>
      <c r="C873" s="8">
        <f t="array" ref="C873">PRODUCT(1-'Sparkling Model'!D$2:D$38^A873)</f>
        <v>0.00001057347709</v>
      </c>
    </row>
    <row r="874">
      <c r="A874" s="6">
        <v>872.0</v>
      </c>
      <c r="B874" s="17">
        <f t="array" ref="B874">SUM(1-'Sparkling Model'!D$2:D$38^A874)</f>
        <v>28.07702399</v>
      </c>
      <c r="C874" s="8">
        <f t="array" ref="C874">PRODUCT(1-'Sparkling Model'!D$2:D$38^A874)</f>
        <v>0.00001076388437</v>
      </c>
    </row>
    <row r="875">
      <c r="A875" s="6">
        <v>873.0</v>
      </c>
      <c r="B875" s="17">
        <f t="array" ref="B875">SUM(1-'Sparkling Model'!D$2:D$38^A875)</f>
        <v>28.08924705</v>
      </c>
      <c r="C875" s="8">
        <f t="array" ref="C875">PRODUCT(1-'Sparkling Model'!D$2:D$38^A875)</f>
        <v>0.00001095730363</v>
      </c>
    </row>
    <row r="876">
      <c r="A876" s="6">
        <v>874.0</v>
      </c>
      <c r="B876" s="17">
        <f t="array" ref="B876">SUM(1-'Sparkling Model'!D$2:D$38^A876)</f>
        <v>28.10144861</v>
      </c>
      <c r="C876" s="8">
        <f t="array" ref="C876">PRODUCT(1-'Sparkling Model'!D$2:D$38^A876)</f>
        <v>0.00001115377534</v>
      </c>
    </row>
    <row r="877">
      <c r="A877" s="6">
        <v>875.0</v>
      </c>
      <c r="B877" s="17">
        <f t="array" ref="B877">SUM(1-'Sparkling Model'!D$2:D$38^A877)</f>
        <v>28.11362873</v>
      </c>
      <c r="C877" s="8">
        <f t="array" ref="C877">PRODUCT(1-'Sparkling Model'!D$2:D$38^A877)</f>
        <v>0.00001135334039</v>
      </c>
    </row>
    <row r="878">
      <c r="A878" s="6">
        <v>876.0</v>
      </c>
      <c r="B878" s="17">
        <f t="array" ref="B878">SUM(1-'Sparkling Model'!D$2:D$38^A878)</f>
        <v>28.12578746</v>
      </c>
      <c r="C878" s="8">
        <f t="array" ref="C878">PRODUCT(1-'Sparkling Model'!D$2:D$38^A878)</f>
        <v>0.00001155604012</v>
      </c>
    </row>
    <row r="879">
      <c r="A879" s="6">
        <v>877.0</v>
      </c>
      <c r="B879" s="17">
        <f t="array" ref="B879">SUM(1-'Sparkling Model'!D$2:D$38^A879)</f>
        <v>28.13792483</v>
      </c>
      <c r="C879" s="8">
        <f t="array" ref="C879">PRODUCT(1-'Sparkling Model'!D$2:D$38^A879)</f>
        <v>0.00001176191629</v>
      </c>
    </row>
    <row r="880">
      <c r="A880" s="6">
        <v>878.0</v>
      </c>
      <c r="B880" s="17">
        <f t="array" ref="B880">SUM(1-'Sparkling Model'!D$2:D$38^A880)</f>
        <v>28.15004089</v>
      </c>
      <c r="C880" s="8">
        <f t="array" ref="C880">PRODUCT(1-'Sparkling Model'!D$2:D$38^A880)</f>
        <v>0.00001197101112</v>
      </c>
    </row>
    <row r="881">
      <c r="A881" s="6">
        <v>879.0</v>
      </c>
      <c r="B881" s="17">
        <f t="array" ref="B881">SUM(1-'Sparkling Model'!D$2:D$38^A881)</f>
        <v>28.16213568</v>
      </c>
      <c r="C881" s="8">
        <f t="array" ref="C881">PRODUCT(1-'Sparkling Model'!D$2:D$38^A881)</f>
        <v>0.00001218336728</v>
      </c>
    </row>
    <row r="882">
      <c r="A882" s="6">
        <v>880.0</v>
      </c>
      <c r="B882" s="17">
        <f t="array" ref="B882">SUM(1-'Sparkling Model'!D$2:D$38^A882)</f>
        <v>28.17420926</v>
      </c>
      <c r="C882" s="8">
        <f t="array" ref="C882">PRODUCT(1-'Sparkling Model'!D$2:D$38^A882)</f>
        <v>0.00001239902788</v>
      </c>
    </row>
    <row r="883">
      <c r="A883" s="6">
        <v>881.0</v>
      </c>
      <c r="B883" s="17">
        <f t="array" ref="B883">SUM(1-'Sparkling Model'!D$2:D$38^A883)</f>
        <v>28.18626165</v>
      </c>
      <c r="C883" s="8">
        <f t="array" ref="C883">PRODUCT(1-'Sparkling Model'!D$2:D$38^A883)</f>
        <v>0.00001261803648</v>
      </c>
    </row>
    <row r="884">
      <c r="A884" s="6">
        <v>882.0</v>
      </c>
      <c r="B884" s="17">
        <f t="array" ref="B884">SUM(1-'Sparkling Model'!D$2:D$38^A884)</f>
        <v>28.19829291</v>
      </c>
      <c r="C884" s="8">
        <f t="array" ref="C884">PRODUCT(1-'Sparkling Model'!D$2:D$38^A884)</f>
        <v>0.00001284043712</v>
      </c>
    </row>
    <row r="885">
      <c r="A885" s="6">
        <v>883.0</v>
      </c>
      <c r="B885" s="17">
        <f t="array" ref="B885">SUM(1-'Sparkling Model'!D$2:D$38^A885)</f>
        <v>28.21030308</v>
      </c>
      <c r="C885" s="8">
        <f t="array" ref="C885">PRODUCT(1-'Sparkling Model'!D$2:D$38^A885)</f>
        <v>0.00001306627427</v>
      </c>
    </row>
    <row r="886">
      <c r="A886" s="6">
        <v>884.0</v>
      </c>
      <c r="B886" s="17">
        <f t="array" ref="B886">SUM(1-'Sparkling Model'!D$2:D$38^A886)</f>
        <v>28.22229221</v>
      </c>
      <c r="C886" s="8">
        <f t="array" ref="C886">PRODUCT(1-'Sparkling Model'!D$2:D$38^A886)</f>
        <v>0.00001329559288</v>
      </c>
    </row>
    <row r="887">
      <c r="A887" s="6">
        <v>885.0</v>
      </c>
      <c r="B887" s="17">
        <f t="array" ref="B887">SUM(1-'Sparkling Model'!D$2:D$38^A887)</f>
        <v>28.23426033</v>
      </c>
      <c r="C887" s="8">
        <f t="array" ref="C887">PRODUCT(1-'Sparkling Model'!D$2:D$38^A887)</f>
        <v>0.00001352843836</v>
      </c>
    </row>
    <row r="888">
      <c r="A888" s="6">
        <v>886.0</v>
      </c>
      <c r="B888" s="17">
        <f t="array" ref="B888">SUM(1-'Sparkling Model'!D$2:D$38^A888)</f>
        <v>28.24620749</v>
      </c>
      <c r="C888" s="8">
        <f t="array" ref="C888">PRODUCT(1-'Sparkling Model'!D$2:D$38^A888)</f>
        <v>0.00001376485661</v>
      </c>
    </row>
    <row r="889">
      <c r="A889" s="6">
        <v>887.0</v>
      </c>
      <c r="B889" s="17">
        <f t="array" ref="B889">SUM(1-'Sparkling Model'!D$2:D$38^A889)</f>
        <v>28.25813374</v>
      </c>
      <c r="C889" s="8">
        <f t="array" ref="C889">PRODUCT(1-'Sparkling Model'!D$2:D$38^A889)</f>
        <v>0.00001400489397</v>
      </c>
    </row>
    <row r="890">
      <c r="A890" s="6">
        <v>888.0</v>
      </c>
      <c r="B890" s="17">
        <f t="array" ref="B890">SUM(1-'Sparkling Model'!D$2:D$38^A890)</f>
        <v>28.27003912</v>
      </c>
      <c r="C890" s="8">
        <f t="array" ref="C890">PRODUCT(1-'Sparkling Model'!D$2:D$38^A890)</f>
        <v>0.00001424859728</v>
      </c>
    </row>
    <row r="891">
      <c r="A891" s="6">
        <v>889.0</v>
      </c>
      <c r="B891" s="17">
        <f t="array" ref="B891">SUM(1-'Sparkling Model'!D$2:D$38^A891)</f>
        <v>28.28192366</v>
      </c>
      <c r="C891" s="8">
        <f t="array" ref="C891">PRODUCT(1-'Sparkling Model'!D$2:D$38^A891)</f>
        <v>0.00001449601385</v>
      </c>
    </row>
    <row r="892">
      <c r="A892" s="6">
        <v>890.0</v>
      </c>
      <c r="B892" s="17">
        <f t="array" ref="B892">SUM(1-'Sparkling Model'!D$2:D$38^A892)</f>
        <v>28.29378742</v>
      </c>
      <c r="C892" s="8">
        <f t="array" ref="C892">PRODUCT(1-'Sparkling Model'!D$2:D$38^A892)</f>
        <v>0.00001474719149</v>
      </c>
    </row>
    <row r="893">
      <c r="A893" s="6">
        <v>891.0</v>
      </c>
      <c r="B893" s="17">
        <f t="array" ref="B893">SUM(1-'Sparkling Model'!D$2:D$38^A893)</f>
        <v>28.30563043</v>
      </c>
      <c r="C893" s="8">
        <f t="array" ref="C893">PRODUCT(1-'Sparkling Model'!D$2:D$38^A893)</f>
        <v>0.00001500217847</v>
      </c>
    </row>
    <row r="894">
      <c r="A894" s="6">
        <v>892.0</v>
      </c>
      <c r="B894" s="17">
        <f t="array" ref="B894">SUM(1-'Sparkling Model'!D$2:D$38^A894)</f>
        <v>28.31745274</v>
      </c>
      <c r="C894" s="8">
        <f t="array" ref="C894">PRODUCT(1-'Sparkling Model'!D$2:D$38^A894)</f>
        <v>0.00001526102357</v>
      </c>
    </row>
    <row r="895">
      <c r="A895" s="6">
        <v>893.0</v>
      </c>
      <c r="B895" s="17">
        <f t="array" ref="B895">SUM(1-'Sparkling Model'!D$2:D$38^A895)</f>
        <v>28.32925439</v>
      </c>
      <c r="C895" s="8">
        <f t="array" ref="C895">PRODUCT(1-'Sparkling Model'!D$2:D$38^A895)</f>
        <v>0.00001552377605</v>
      </c>
    </row>
    <row r="896">
      <c r="A896" s="6">
        <v>894.0</v>
      </c>
      <c r="B896" s="17">
        <f t="array" ref="B896">SUM(1-'Sparkling Model'!D$2:D$38^A896)</f>
        <v>28.34103543</v>
      </c>
      <c r="C896" s="8">
        <f t="array" ref="C896">PRODUCT(1-'Sparkling Model'!D$2:D$38^A896)</f>
        <v>0.00001579048568</v>
      </c>
    </row>
    <row r="897">
      <c r="A897" s="6">
        <v>895.0</v>
      </c>
      <c r="B897" s="17">
        <f t="array" ref="B897">SUM(1-'Sparkling Model'!D$2:D$38^A897)</f>
        <v>28.3527959</v>
      </c>
      <c r="C897" s="8">
        <f t="array" ref="C897">PRODUCT(1-'Sparkling Model'!D$2:D$38^A897)</f>
        <v>0.00001606120271</v>
      </c>
    </row>
    <row r="898">
      <c r="A898" s="6">
        <v>896.0</v>
      </c>
      <c r="B898" s="17">
        <f t="array" ref="B898">SUM(1-'Sparkling Model'!D$2:D$38^A898)</f>
        <v>28.36453583</v>
      </c>
      <c r="C898" s="8">
        <f t="array" ref="C898">PRODUCT(1-'Sparkling Model'!D$2:D$38^A898)</f>
        <v>0.00001633597792</v>
      </c>
    </row>
    <row r="899">
      <c r="A899" s="6">
        <v>897.0</v>
      </c>
      <c r="B899" s="17">
        <f t="array" ref="B899">SUM(1-'Sparkling Model'!D$2:D$38^A899)</f>
        <v>28.37625528</v>
      </c>
      <c r="C899" s="8">
        <f t="array" ref="C899">PRODUCT(1-'Sparkling Model'!D$2:D$38^A899)</f>
        <v>0.00001661486258</v>
      </c>
    </row>
    <row r="900">
      <c r="A900" s="6">
        <v>898.0</v>
      </c>
      <c r="B900" s="17">
        <f t="array" ref="B900">SUM(1-'Sparkling Model'!D$2:D$38^A900)</f>
        <v>28.38795428</v>
      </c>
      <c r="C900" s="8">
        <f t="array" ref="C900">PRODUCT(1-'Sparkling Model'!D$2:D$38^A900)</f>
        <v>0.00001689790847</v>
      </c>
    </row>
    <row r="901">
      <c r="A901" s="6">
        <v>899.0</v>
      </c>
      <c r="B901" s="17">
        <f t="array" ref="B901">SUM(1-'Sparkling Model'!D$2:D$38^A901)</f>
        <v>28.39963287</v>
      </c>
      <c r="C901" s="8">
        <f t="array" ref="C901">PRODUCT(1-'Sparkling Model'!D$2:D$38^A901)</f>
        <v>0.00001718516788</v>
      </c>
    </row>
    <row r="902">
      <c r="A902" s="6">
        <v>900.0</v>
      </c>
      <c r="B902" s="17">
        <f t="array" ref="B902">SUM(1-'Sparkling Model'!D$2:D$38^A902)</f>
        <v>28.4112911</v>
      </c>
      <c r="C902" s="8">
        <f t="array" ref="C902">PRODUCT(1-'Sparkling Model'!D$2:D$38^A902)</f>
        <v>0.00001747669362</v>
      </c>
    </row>
    <row r="903">
      <c r="A903" s="6">
        <v>901.0</v>
      </c>
      <c r="B903" s="17">
        <f t="array" ref="B903">SUM(1-'Sparkling Model'!D$2:D$38^A903)</f>
        <v>28.42292902</v>
      </c>
      <c r="C903" s="8">
        <f t="array" ref="C903">PRODUCT(1-'Sparkling Model'!D$2:D$38^A903)</f>
        <v>0.00001777253904</v>
      </c>
    </row>
    <row r="904">
      <c r="A904" s="6">
        <v>902.0</v>
      </c>
      <c r="B904" s="17">
        <f t="array" ref="B904">SUM(1-'Sparkling Model'!D$2:D$38^A904)</f>
        <v>28.43454665</v>
      </c>
      <c r="C904" s="8">
        <f t="array" ref="C904">PRODUCT(1-'Sparkling Model'!D$2:D$38^A904)</f>
        <v>0.00001807275797</v>
      </c>
    </row>
    <row r="905">
      <c r="A905" s="6">
        <v>903.0</v>
      </c>
      <c r="B905" s="17">
        <f t="array" ref="B905">SUM(1-'Sparkling Model'!D$2:D$38^A905)</f>
        <v>28.44614405</v>
      </c>
      <c r="C905" s="8">
        <f t="array" ref="C905">PRODUCT(1-'Sparkling Model'!D$2:D$38^A905)</f>
        <v>0.00001837740482</v>
      </c>
    </row>
    <row r="906">
      <c r="A906" s="6">
        <v>904.0</v>
      </c>
      <c r="B906" s="17">
        <f t="array" ref="B906">SUM(1-'Sparkling Model'!D$2:D$38^A906)</f>
        <v>28.45772125</v>
      </c>
      <c r="C906" s="8">
        <f t="array" ref="C906">PRODUCT(1-'Sparkling Model'!D$2:D$38^A906)</f>
        <v>0.00001868653448</v>
      </c>
    </row>
    <row r="907">
      <c r="A907" s="6">
        <v>905.0</v>
      </c>
      <c r="B907" s="17">
        <f t="array" ref="B907">SUM(1-'Sparkling Model'!D$2:D$38^A907)</f>
        <v>28.4692783</v>
      </c>
      <c r="C907" s="8">
        <f t="array" ref="C907">PRODUCT(1-'Sparkling Model'!D$2:D$38^A907)</f>
        <v>0.0000190002024</v>
      </c>
    </row>
    <row r="908">
      <c r="A908" s="6">
        <v>906.0</v>
      </c>
      <c r="B908" s="17">
        <f t="array" ref="B908">SUM(1-'Sparkling Model'!D$2:D$38^A908)</f>
        <v>28.48081524</v>
      </c>
      <c r="C908" s="8">
        <f t="array" ref="C908">PRODUCT(1-'Sparkling Model'!D$2:D$38^A908)</f>
        <v>0.00001931846456</v>
      </c>
    </row>
    <row r="909">
      <c r="A909" s="6">
        <v>907.0</v>
      </c>
      <c r="B909" s="17">
        <f t="array" ref="B909">SUM(1-'Sparkling Model'!D$2:D$38^A909)</f>
        <v>28.49233211</v>
      </c>
      <c r="C909" s="8">
        <f t="array" ref="C909">PRODUCT(1-'Sparkling Model'!D$2:D$38^A909)</f>
        <v>0.0000196413775</v>
      </c>
    </row>
    <row r="910">
      <c r="A910" s="6">
        <v>908.0</v>
      </c>
      <c r="B910" s="17">
        <f t="array" ref="B910">SUM(1-'Sparkling Model'!D$2:D$38^A910)</f>
        <v>28.50382895</v>
      </c>
      <c r="C910" s="8">
        <f t="array" ref="C910">PRODUCT(1-'Sparkling Model'!D$2:D$38^A910)</f>
        <v>0.00001996899827</v>
      </c>
    </row>
    <row r="911">
      <c r="A911" s="6">
        <v>909.0</v>
      </c>
      <c r="B911" s="17">
        <f t="array" ref="B911">SUM(1-'Sparkling Model'!D$2:D$38^A911)</f>
        <v>28.5153058</v>
      </c>
      <c r="C911" s="8">
        <f t="array" ref="C911">PRODUCT(1-'Sparkling Model'!D$2:D$38^A911)</f>
        <v>0.00002030138448</v>
      </c>
    </row>
    <row r="912">
      <c r="A912" s="6">
        <v>910.0</v>
      </c>
      <c r="B912" s="17">
        <f t="array" ref="B912">SUM(1-'Sparkling Model'!D$2:D$38^A912)</f>
        <v>28.5267627</v>
      </c>
      <c r="C912" s="8">
        <f t="array" ref="C912">PRODUCT(1-'Sparkling Model'!D$2:D$38^A912)</f>
        <v>0.00002063859431</v>
      </c>
    </row>
    <row r="913">
      <c r="A913" s="6">
        <v>911.0</v>
      </c>
      <c r="B913" s="17">
        <f t="array" ref="B913">SUM(1-'Sparkling Model'!D$2:D$38^A913)</f>
        <v>28.5381997</v>
      </c>
      <c r="C913" s="8">
        <f t="array" ref="C913">PRODUCT(1-'Sparkling Model'!D$2:D$38^A913)</f>
        <v>0.00002098068647</v>
      </c>
    </row>
    <row r="914">
      <c r="A914" s="6">
        <v>912.0</v>
      </c>
      <c r="B914" s="17">
        <f t="array" ref="B914">SUM(1-'Sparkling Model'!D$2:D$38^A914)</f>
        <v>28.54961683</v>
      </c>
      <c r="C914" s="8">
        <f t="array" ref="C914">PRODUCT(1-'Sparkling Model'!D$2:D$38^A914)</f>
        <v>0.00002132772022</v>
      </c>
    </row>
    <row r="915">
      <c r="A915" s="6">
        <v>913.0</v>
      </c>
      <c r="B915" s="17">
        <f t="array" ref="B915">SUM(1-'Sparkling Model'!D$2:D$38^A915)</f>
        <v>28.56101414</v>
      </c>
      <c r="C915" s="8">
        <f t="array" ref="C915">PRODUCT(1-'Sparkling Model'!D$2:D$38^A915)</f>
        <v>0.00002167975542</v>
      </c>
    </row>
    <row r="916">
      <c r="A916" s="6">
        <v>914.0</v>
      </c>
      <c r="B916" s="17">
        <f t="array" ref="B916">SUM(1-'Sparkling Model'!D$2:D$38^A916)</f>
        <v>28.57239166</v>
      </c>
      <c r="C916" s="8">
        <f t="array" ref="C916">PRODUCT(1-'Sparkling Model'!D$2:D$38^A916)</f>
        <v>0.00002203685246</v>
      </c>
    </row>
    <row r="917">
      <c r="A917" s="6">
        <v>915.0</v>
      </c>
      <c r="B917" s="17">
        <f t="array" ref="B917">SUM(1-'Sparkling Model'!D$2:D$38^A917)</f>
        <v>28.58374944</v>
      </c>
      <c r="C917" s="8">
        <f t="array" ref="C917">PRODUCT(1-'Sparkling Model'!D$2:D$38^A917)</f>
        <v>0.0000223990723</v>
      </c>
    </row>
    <row r="918">
      <c r="A918" s="6">
        <v>916.0</v>
      </c>
      <c r="B918" s="17">
        <f t="array" ref="B918">SUM(1-'Sparkling Model'!D$2:D$38^A918)</f>
        <v>28.59508752</v>
      </c>
      <c r="C918" s="8">
        <f t="array" ref="C918">PRODUCT(1-'Sparkling Model'!D$2:D$38^A918)</f>
        <v>0.00002276647648</v>
      </c>
    </row>
    <row r="919">
      <c r="A919" s="6">
        <v>917.0</v>
      </c>
      <c r="B919" s="17">
        <f t="array" ref="B919">SUM(1-'Sparkling Model'!D$2:D$38^A919)</f>
        <v>28.60640594</v>
      </c>
      <c r="C919" s="8">
        <f t="array" ref="C919">PRODUCT(1-'Sparkling Model'!D$2:D$38^A919)</f>
        <v>0.00002313912711</v>
      </c>
    </row>
    <row r="920">
      <c r="A920" s="6">
        <v>918.0</v>
      </c>
      <c r="B920" s="17">
        <f t="array" ref="B920">SUM(1-'Sparkling Model'!D$2:D$38^A920)</f>
        <v>28.61770473</v>
      </c>
      <c r="C920" s="8">
        <f t="array" ref="C920">PRODUCT(1-'Sparkling Model'!D$2:D$38^A920)</f>
        <v>0.00002351708689</v>
      </c>
    </row>
    <row r="921">
      <c r="A921" s="6">
        <v>919.0</v>
      </c>
      <c r="B921" s="17">
        <f t="array" ref="B921">SUM(1-'Sparkling Model'!D$2:D$38^A921)</f>
        <v>28.62898394</v>
      </c>
      <c r="C921" s="8">
        <f t="array" ref="C921">PRODUCT(1-'Sparkling Model'!D$2:D$38^A921)</f>
        <v>0.00002390041909</v>
      </c>
    </row>
    <row r="922">
      <c r="A922" s="6">
        <v>920.0</v>
      </c>
      <c r="B922" s="17">
        <f t="array" ref="B922">SUM(1-'Sparkling Model'!D$2:D$38^A922)</f>
        <v>28.64024362</v>
      </c>
      <c r="C922" s="8">
        <f t="array" ref="C922">PRODUCT(1-'Sparkling Model'!D$2:D$38^A922)</f>
        <v>0.00002428918755</v>
      </c>
    </row>
    <row r="923">
      <c r="A923" s="6">
        <v>921.0</v>
      </c>
      <c r="B923" s="17">
        <f t="array" ref="B923">SUM(1-'Sparkling Model'!D$2:D$38^A923)</f>
        <v>28.65148379</v>
      </c>
      <c r="C923" s="8">
        <f t="array" ref="C923">PRODUCT(1-'Sparkling Model'!D$2:D$38^A923)</f>
        <v>0.00002468345673</v>
      </c>
    </row>
    <row r="924">
      <c r="A924" s="6">
        <v>922.0</v>
      </c>
      <c r="B924" s="17">
        <f t="array" ref="B924">SUM(1-'Sparkling Model'!D$2:D$38^A924)</f>
        <v>28.66270449</v>
      </c>
      <c r="C924" s="8">
        <f t="array" ref="C924">PRODUCT(1-'Sparkling Model'!D$2:D$38^A924)</f>
        <v>0.00002508329165</v>
      </c>
    </row>
    <row r="925">
      <c r="A925" s="6">
        <v>923.0</v>
      </c>
      <c r="B925" s="17">
        <f t="array" ref="B925">SUM(1-'Sparkling Model'!D$2:D$38^A925)</f>
        <v>28.67390578</v>
      </c>
      <c r="C925" s="8">
        <f t="array" ref="C925">PRODUCT(1-'Sparkling Model'!D$2:D$38^A925)</f>
        <v>0.00002548875795</v>
      </c>
    </row>
    <row r="926">
      <c r="A926" s="6">
        <v>924.0</v>
      </c>
      <c r="B926" s="17">
        <f t="array" ref="B926">SUM(1-'Sparkling Model'!D$2:D$38^A926)</f>
        <v>28.68508769</v>
      </c>
      <c r="C926" s="8">
        <f t="array" ref="C926">PRODUCT(1-'Sparkling Model'!D$2:D$38^A926)</f>
        <v>0.00002589992186</v>
      </c>
    </row>
    <row r="927">
      <c r="A927" s="6">
        <v>925.0</v>
      </c>
      <c r="B927" s="17">
        <f t="array" ref="B927">SUM(1-'Sparkling Model'!D$2:D$38^A927)</f>
        <v>28.69625025</v>
      </c>
      <c r="C927" s="8">
        <f t="array" ref="C927">PRODUCT(1-'Sparkling Model'!D$2:D$38^A927)</f>
        <v>0.00002631685019</v>
      </c>
    </row>
    <row r="928">
      <c r="A928" s="6">
        <v>926.0</v>
      </c>
      <c r="B928" s="17">
        <f t="array" ref="B928">SUM(1-'Sparkling Model'!D$2:D$38^A928)</f>
        <v>28.70739351</v>
      </c>
      <c r="C928" s="8">
        <f t="array" ref="C928">PRODUCT(1-'Sparkling Model'!D$2:D$38^A928)</f>
        <v>0.00002673961039</v>
      </c>
    </row>
    <row r="929">
      <c r="A929" s="6">
        <v>927.0</v>
      </c>
      <c r="B929" s="17">
        <f t="array" ref="B929">SUM(1-'Sparkling Model'!D$2:D$38^A929)</f>
        <v>28.71851751</v>
      </c>
      <c r="C929" s="8">
        <f t="array" ref="C929">PRODUCT(1-'Sparkling Model'!D$2:D$38^A929)</f>
        <v>0.0000271682705</v>
      </c>
    </row>
    <row r="930">
      <c r="A930" s="6">
        <v>928.0</v>
      </c>
      <c r="B930" s="17">
        <f t="array" ref="B930">SUM(1-'Sparkling Model'!D$2:D$38^A930)</f>
        <v>28.72962228</v>
      </c>
      <c r="C930" s="8">
        <f t="array" ref="C930">PRODUCT(1-'Sparkling Model'!D$2:D$38^A930)</f>
        <v>0.00002760289917</v>
      </c>
    </row>
    <row r="931">
      <c r="A931" s="6">
        <v>929.0</v>
      </c>
      <c r="B931" s="17">
        <f t="array" ref="B931">SUM(1-'Sparkling Model'!D$2:D$38^A931)</f>
        <v>28.74070787</v>
      </c>
      <c r="C931" s="8">
        <f t="array" ref="C931">PRODUCT(1-'Sparkling Model'!D$2:D$38^A931)</f>
        <v>0.00002804356567</v>
      </c>
    </row>
    <row r="932">
      <c r="A932" s="6">
        <v>930.0</v>
      </c>
      <c r="B932" s="17">
        <f t="array" ref="B932">SUM(1-'Sparkling Model'!D$2:D$38^A932)</f>
        <v>28.75177431</v>
      </c>
      <c r="C932" s="8">
        <f t="array" ref="C932">PRODUCT(1-'Sparkling Model'!D$2:D$38^A932)</f>
        <v>0.00002849033988</v>
      </c>
    </row>
    <row r="933">
      <c r="A933" s="6">
        <v>931.0</v>
      </c>
      <c r="B933" s="17">
        <f t="array" ref="B933">SUM(1-'Sparkling Model'!D$2:D$38^A933)</f>
        <v>28.76282165</v>
      </c>
      <c r="C933" s="8">
        <f t="array" ref="C933">PRODUCT(1-'Sparkling Model'!D$2:D$38^A933)</f>
        <v>0.00002894329232</v>
      </c>
    </row>
    <row r="934">
      <c r="A934" s="6">
        <v>932.0</v>
      </c>
      <c r="B934" s="17">
        <f t="array" ref="B934">SUM(1-'Sparkling Model'!D$2:D$38^A934)</f>
        <v>28.77384992</v>
      </c>
      <c r="C934" s="8">
        <f t="array" ref="C934">PRODUCT(1-'Sparkling Model'!D$2:D$38^A934)</f>
        <v>0.00002940249413</v>
      </c>
    </row>
    <row r="935">
      <c r="A935" s="6">
        <v>933.0</v>
      </c>
      <c r="B935" s="17">
        <f t="array" ref="B935">SUM(1-'Sparkling Model'!D$2:D$38^A935)</f>
        <v>28.78485916</v>
      </c>
      <c r="C935" s="8">
        <f t="array" ref="C935">PRODUCT(1-'Sparkling Model'!D$2:D$38^A935)</f>
        <v>0.00002986801705</v>
      </c>
    </row>
    <row r="936">
      <c r="A936" s="6">
        <v>934.0</v>
      </c>
      <c r="B936" s="17">
        <f t="array" ref="B936">SUM(1-'Sparkling Model'!D$2:D$38^A936)</f>
        <v>28.79584942</v>
      </c>
      <c r="C936" s="8">
        <f t="array" ref="C936">PRODUCT(1-'Sparkling Model'!D$2:D$38^A936)</f>
        <v>0.0000303399335</v>
      </c>
    </row>
    <row r="937">
      <c r="A937" s="6">
        <v>935.0</v>
      </c>
      <c r="B937" s="17">
        <f t="array" ref="B937">SUM(1-'Sparkling Model'!D$2:D$38^A937)</f>
        <v>28.80682072</v>
      </c>
      <c r="C937" s="8">
        <f t="array" ref="C937">PRODUCT(1-'Sparkling Model'!D$2:D$38^A937)</f>
        <v>0.0000308183165</v>
      </c>
    </row>
    <row r="938">
      <c r="A938" s="6">
        <v>936.0</v>
      </c>
      <c r="B938" s="17">
        <f t="array" ref="B938">SUM(1-'Sparkling Model'!D$2:D$38^A938)</f>
        <v>28.81777311</v>
      </c>
      <c r="C938" s="8">
        <f t="array" ref="C938">PRODUCT(1-'Sparkling Model'!D$2:D$38^A938)</f>
        <v>0.00003130323972</v>
      </c>
    </row>
    <row r="939">
      <c r="A939" s="6">
        <v>937.0</v>
      </c>
      <c r="B939" s="17">
        <f t="array" ref="B939">SUM(1-'Sparkling Model'!D$2:D$38^A939)</f>
        <v>28.82870663</v>
      </c>
      <c r="C939" s="8">
        <f t="array" ref="C939">PRODUCT(1-'Sparkling Model'!D$2:D$38^A939)</f>
        <v>0.00003179477748</v>
      </c>
    </row>
    <row r="940">
      <c r="A940" s="6">
        <v>938.0</v>
      </c>
      <c r="B940" s="17">
        <f t="array" ref="B940">SUM(1-'Sparkling Model'!D$2:D$38^A940)</f>
        <v>28.83962131</v>
      </c>
      <c r="C940" s="8">
        <f t="array" ref="C940">PRODUCT(1-'Sparkling Model'!D$2:D$38^A940)</f>
        <v>0.00003229300473</v>
      </c>
    </row>
    <row r="941">
      <c r="A941" s="6">
        <v>939.0</v>
      </c>
      <c r="B941" s="17">
        <f t="array" ref="B941">SUM(1-'Sparkling Model'!D$2:D$38^A941)</f>
        <v>28.8505172</v>
      </c>
      <c r="C941" s="8">
        <f t="array" ref="C941">PRODUCT(1-'Sparkling Model'!D$2:D$38^A941)</f>
        <v>0.00003279799707</v>
      </c>
    </row>
    <row r="942">
      <c r="A942" s="6">
        <v>940.0</v>
      </c>
      <c r="B942" s="17">
        <f t="array" ref="B942">SUM(1-'Sparkling Model'!D$2:D$38^A942)</f>
        <v>28.86139433</v>
      </c>
      <c r="C942" s="8">
        <f t="array" ref="C942">PRODUCT(1-'Sparkling Model'!D$2:D$38^A942)</f>
        <v>0.00003330983078</v>
      </c>
    </row>
    <row r="943">
      <c r="A943" s="6">
        <v>941.0</v>
      </c>
      <c r="B943" s="17">
        <f t="array" ref="B943">SUM(1-'Sparkling Model'!D$2:D$38^A943)</f>
        <v>28.87225274</v>
      </c>
      <c r="C943" s="8">
        <f t="array" ref="C943">PRODUCT(1-'Sparkling Model'!D$2:D$38^A943)</f>
        <v>0.00003382858276</v>
      </c>
    </row>
    <row r="944">
      <c r="A944" s="6">
        <v>942.0</v>
      </c>
      <c r="B944" s="17">
        <f t="array" ref="B944">SUM(1-'Sparkling Model'!D$2:D$38^A944)</f>
        <v>28.88309247</v>
      </c>
      <c r="C944" s="8">
        <f t="array" ref="C944">PRODUCT(1-'Sparkling Model'!D$2:D$38^A944)</f>
        <v>0.0000343543306</v>
      </c>
    </row>
    <row r="945">
      <c r="A945" s="6">
        <v>943.0</v>
      </c>
      <c r="B945" s="17">
        <f t="array" ref="B945">SUM(1-'Sparkling Model'!D$2:D$38^A945)</f>
        <v>28.89391355</v>
      </c>
      <c r="C945" s="8">
        <f t="array" ref="C945">PRODUCT(1-'Sparkling Model'!D$2:D$38^A945)</f>
        <v>0.00003488715252</v>
      </c>
    </row>
    <row r="946">
      <c r="A946" s="6">
        <v>944.0</v>
      </c>
      <c r="B946" s="17">
        <f t="array" ref="B946">SUM(1-'Sparkling Model'!D$2:D$38^A946)</f>
        <v>28.90471603</v>
      </c>
      <c r="C946" s="8">
        <f t="array" ref="C946">PRODUCT(1-'Sparkling Model'!D$2:D$38^A946)</f>
        <v>0.00003542712743</v>
      </c>
    </row>
    <row r="947">
      <c r="A947" s="6">
        <v>945.0</v>
      </c>
      <c r="B947" s="17">
        <f t="array" ref="B947">SUM(1-'Sparkling Model'!D$2:D$38^A947)</f>
        <v>28.91549994</v>
      </c>
      <c r="C947" s="8">
        <f t="array" ref="C947">PRODUCT(1-'Sparkling Model'!D$2:D$38^A947)</f>
        <v>0.00003597433491</v>
      </c>
    </row>
    <row r="948">
      <c r="A948" s="6">
        <v>946.0</v>
      </c>
      <c r="B948" s="17">
        <f t="array" ref="B948">SUM(1-'Sparkling Model'!D$2:D$38^A948)</f>
        <v>28.92626533</v>
      </c>
      <c r="C948" s="8">
        <f t="array" ref="C948">PRODUCT(1-'Sparkling Model'!D$2:D$38^A948)</f>
        <v>0.00003652885519</v>
      </c>
    </row>
    <row r="949">
      <c r="A949" s="6">
        <v>947.0</v>
      </c>
      <c r="B949" s="17">
        <f t="array" ref="B949">SUM(1-'Sparkling Model'!D$2:D$38^A949)</f>
        <v>28.93701222</v>
      </c>
      <c r="C949" s="8">
        <f t="array" ref="C949">PRODUCT(1-'Sparkling Model'!D$2:D$38^A949)</f>
        <v>0.00003709076921</v>
      </c>
    </row>
    <row r="950">
      <c r="A950" s="6">
        <v>948.0</v>
      </c>
      <c r="B950" s="17">
        <f t="array" ref="B950">SUM(1-'Sparkling Model'!D$2:D$38^A950)</f>
        <v>28.94774065</v>
      </c>
      <c r="C950" s="8">
        <f t="array" ref="C950">PRODUCT(1-'Sparkling Model'!D$2:D$38^A950)</f>
        <v>0.00003766015856</v>
      </c>
    </row>
    <row r="951">
      <c r="A951" s="6">
        <v>949.0</v>
      </c>
      <c r="B951" s="17">
        <f t="array" ref="B951">SUM(1-'Sparkling Model'!D$2:D$38^A951)</f>
        <v>28.95845067</v>
      </c>
      <c r="C951" s="8">
        <f t="array" ref="C951">PRODUCT(1-'Sparkling Model'!D$2:D$38^A951)</f>
        <v>0.00003823710553</v>
      </c>
    </row>
    <row r="952">
      <c r="A952" s="6">
        <v>950.0</v>
      </c>
      <c r="B952" s="17">
        <f t="array" ref="B952">SUM(1-'Sparkling Model'!D$2:D$38^A952)</f>
        <v>28.96914231</v>
      </c>
      <c r="C952" s="8">
        <f t="array" ref="C952">PRODUCT(1-'Sparkling Model'!D$2:D$38^A952)</f>
        <v>0.00003882169308</v>
      </c>
    </row>
    <row r="953">
      <c r="A953" s="6">
        <v>951.0</v>
      </c>
      <c r="B953" s="17">
        <f t="array" ref="B953">SUM(1-'Sparkling Model'!D$2:D$38^A953)</f>
        <v>28.97981561</v>
      </c>
      <c r="C953" s="8">
        <f t="array" ref="C953">PRODUCT(1-'Sparkling Model'!D$2:D$38^A953)</f>
        <v>0.00003941400488</v>
      </c>
    </row>
    <row r="954">
      <c r="A954" s="6">
        <v>952.0</v>
      </c>
      <c r="B954" s="17">
        <f t="array" ref="B954">SUM(1-'Sparkling Model'!D$2:D$38^A954)</f>
        <v>28.9904706</v>
      </c>
      <c r="C954" s="8">
        <f t="array" ref="C954">PRODUCT(1-'Sparkling Model'!D$2:D$38^A954)</f>
        <v>0.00004001412527</v>
      </c>
    </row>
    <row r="955">
      <c r="A955" s="6">
        <v>953.0</v>
      </c>
      <c r="B955" s="17">
        <f t="array" ref="B955">SUM(1-'Sparkling Model'!D$2:D$38^A955)</f>
        <v>29.00110732</v>
      </c>
      <c r="C955" s="8">
        <f t="array" ref="C955">PRODUCT(1-'Sparkling Model'!D$2:D$38^A955)</f>
        <v>0.00004062213931</v>
      </c>
    </row>
    <row r="956">
      <c r="A956" s="6">
        <v>954.0</v>
      </c>
      <c r="B956" s="17">
        <f t="array" ref="B956">SUM(1-'Sparkling Model'!D$2:D$38^A956)</f>
        <v>29.01172582</v>
      </c>
      <c r="C956" s="8">
        <f t="array" ref="C956">PRODUCT(1-'Sparkling Model'!D$2:D$38^A956)</f>
        <v>0.00004123813274</v>
      </c>
    </row>
    <row r="957">
      <c r="A957" s="6">
        <v>955.0</v>
      </c>
      <c r="B957" s="17">
        <f t="array" ref="B957">SUM(1-'Sparkling Model'!D$2:D$38^A957)</f>
        <v>29.02232612</v>
      </c>
      <c r="C957" s="8">
        <f t="array" ref="C957">PRODUCT(1-'Sparkling Model'!D$2:D$38^A957)</f>
        <v>0.00004186219202</v>
      </c>
    </row>
    <row r="958">
      <c r="A958" s="6">
        <v>956.0</v>
      </c>
      <c r="B958" s="17">
        <f t="array" ref="B958">SUM(1-'Sparkling Model'!D$2:D$38^A958)</f>
        <v>29.03290827</v>
      </c>
      <c r="C958" s="8">
        <f t="array" ref="C958">PRODUCT(1-'Sparkling Model'!D$2:D$38^A958)</f>
        <v>0.00004249440429</v>
      </c>
    </row>
    <row r="959">
      <c r="A959" s="6">
        <v>957.0</v>
      </c>
      <c r="B959" s="17">
        <f t="array" ref="B959">SUM(1-'Sparkling Model'!D$2:D$38^A959)</f>
        <v>29.04347229</v>
      </c>
      <c r="C959" s="8">
        <f t="array" ref="C959">PRODUCT(1-'Sparkling Model'!D$2:D$38^A959)</f>
        <v>0.00004313485743</v>
      </c>
    </row>
    <row r="960">
      <c r="A960" s="6">
        <v>958.0</v>
      </c>
      <c r="B960" s="17">
        <f t="array" ref="B960">SUM(1-'Sparkling Model'!D$2:D$38^A960)</f>
        <v>29.05401823</v>
      </c>
      <c r="C960" s="8">
        <f t="array" ref="C960">PRODUCT(1-'Sparkling Model'!D$2:D$38^A960)</f>
        <v>0.00004378364</v>
      </c>
    </row>
    <row r="961">
      <c r="A961" s="6">
        <v>959.0</v>
      </c>
      <c r="B961" s="17">
        <f t="array" ref="B961">SUM(1-'Sparkling Model'!D$2:D$38^A961)</f>
        <v>29.06454613</v>
      </c>
      <c r="C961" s="8">
        <f t="array" ref="C961">PRODUCT(1-'Sparkling Model'!D$2:D$38^A961)</f>
        <v>0.00004444084132</v>
      </c>
    </row>
    <row r="962">
      <c r="A962" s="6">
        <v>960.0</v>
      </c>
      <c r="B962" s="17">
        <f t="array" ref="B962">SUM(1-'Sparkling Model'!D$2:D$38^A962)</f>
        <v>29.07505602</v>
      </c>
      <c r="C962" s="8">
        <f t="array" ref="C962">PRODUCT(1-'Sparkling Model'!D$2:D$38^A962)</f>
        <v>0.00004510655138</v>
      </c>
    </row>
    <row r="963">
      <c r="A963" s="6">
        <v>961.0</v>
      </c>
      <c r="B963" s="17">
        <f t="array" ref="B963">SUM(1-'Sparkling Model'!D$2:D$38^A963)</f>
        <v>29.08554793</v>
      </c>
      <c r="C963" s="8">
        <f t="array" ref="C963">PRODUCT(1-'Sparkling Model'!D$2:D$38^A963)</f>
        <v>0.00004578086092</v>
      </c>
    </row>
    <row r="964">
      <c r="A964" s="6">
        <v>962.0</v>
      </c>
      <c r="B964" s="17">
        <f t="array" ref="B964">SUM(1-'Sparkling Model'!D$2:D$38^A964)</f>
        <v>29.09602191</v>
      </c>
      <c r="C964" s="8">
        <f t="array" ref="C964">PRODUCT(1-'Sparkling Model'!D$2:D$38^A964)</f>
        <v>0.0000464638614</v>
      </c>
    </row>
    <row r="965">
      <c r="A965" s="6">
        <v>963.0</v>
      </c>
      <c r="B965" s="17">
        <f t="array" ref="B965">SUM(1-'Sparkling Model'!D$2:D$38^A965)</f>
        <v>29.10647799</v>
      </c>
      <c r="C965" s="8">
        <f t="array" ref="C965">PRODUCT(1-'Sparkling Model'!D$2:D$38^A965)</f>
        <v>0.00004715564502</v>
      </c>
    </row>
    <row r="966">
      <c r="A966" s="6">
        <v>964.0</v>
      </c>
      <c r="B966" s="17">
        <f t="array" ref="B966">SUM(1-'Sparkling Model'!D$2:D$38^A966)</f>
        <v>29.1169162</v>
      </c>
      <c r="C966" s="8">
        <f t="array" ref="C966">PRODUCT(1-'Sparkling Model'!D$2:D$38^A966)</f>
        <v>0.00004785630469</v>
      </c>
    </row>
    <row r="967">
      <c r="A967" s="6">
        <v>965.0</v>
      </c>
      <c r="B967" s="17">
        <f t="array" ref="B967">SUM(1-'Sparkling Model'!D$2:D$38^A967)</f>
        <v>29.12733659</v>
      </c>
      <c r="C967" s="8">
        <f t="array" ref="C967">PRODUCT(1-'Sparkling Model'!D$2:D$38^A967)</f>
        <v>0.00004856593407</v>
      </c>
    </row>
    <row r="968">
      <c r="A968" s="6">
        <v>966.0</v>
      </c>
      <c r="B968" s="17">
        <f t="array" ref="B968">SUM(1-'Sparkling Model'!D$2:D$38^A968)</f>
        <v>29.13773918</v>
      </c>
      <c r="C968" s="8">
        <f t="array" ref="C968">PRODUCT(1-'Sparkling Model'!D$2:D$38^A968)</f>
        <v>0.00004928462756</v>
      </c>
    </row>
    <row r="969">
      <c r="A969" s="6">
        <v>967.0</v>
      </c>
      <c r="B969" s="17">
        <f t="array" ref="B969">SUM(1-'Sparkling Model'!D$2:D$38^A969)</f>
        <v>29.14812402</v>
      </c>
      <c r="C969" s="8">
        <f t="array" ref="C969">PRODUCT(1-'Sparkling Model'!D$2:D$38^A969)</f>
        <v>0.00005001248029</v>
      </c>
    </row>
    <row r="970">
      <c r="A970" s="6">
        <v>968.0</v>
      </c>
      <c r="B970" s="17">
        <f t="array" ref="B970">SUM(1-'Sparkling Model'!D$2:D$38^A970)</f>
        <v>29.15849114</v>
      </c>
      <c r="C970" s="8">
        <f t="array" ref="C970">PRODUCT(1-'Sparkling Model'!D$2:D$38^A970)</f>
        <v>0.00005074958815</v>
      </c>
    </row>
    <row r="971">
      <c r="A971" s="6">
        <v>969.0</v>
      </c>
      <c r="B971" s="17">
        <f t="array" ref="B971">SUM(1-'Sparkling Model'!D$2:D$38^A971)</f>
        <v>29.16884057</v>
      </c>
      <c r="C971" s="8">
        <f t="array" ref="C971">PRODUCT(1-'Sparkling Model'!D$2:D$38^A971)</f>
        <v>0.00005149604776</v>
      </c>
    </row>
    <row r="972">
      <c r="A972" s="6">
        <v>970.0</v>
      </c>
      <c r="B972" s="17">
        <f t="array" ref="B972">SUM(1-'Sparkling Model'!D$2:D$38^A972)</f>
        <v>29.17917236</v>
      </c>
      <c r="C972" s="8">
        <f t="array" ref="C972">PRODUCT(1-'Sparkling Model'!D$2:D$38^A972)</f>
        <v>0.00005225195651</v>
      </c>
    </row>
    <row r="973">
      <c r="A973" s="6">
        <v>971.0</v>
      </c>
      <c r="B973" s="17">
        <f t="array" ref="B973">SUM(1-'Sparkling Model'!D$2:D$38^A973)</f>
        <v>29.18948654</v>
      </c>
      <c r="C973" s="8">
        <f t="array" ref="C973">PRODUCT(1-'Sparkling Model'!D$2:D$38^A973)</f>
        <v>0.00005301741253</v>
      </c>
    </row>
    <row r="974">
      <c r="A974" s="6">
        <v>972.0</v>
      </c>
      <c r="B974" s="17">
        <f t="array" ref="B974">SUM(1-'Sparkling Model'!D$2:D$38^A974)</f>
        <v>29.19978313</v>
      </c>
      <c r="C974" s="8">
        <f t="array" ref="C974">PRODUCT(1-'Sparkling Model'!D$2:D$38^A974)</f>
        <v>0.00005379251472</v>
      </c>
    </row>
    <row r="975">
      <c r="A975" s="6">
        <v>973.0</v>
      </c>
      <c r="B975" s="17">
        <f t="array" ref="B975">SUM(1-'Sparkling Model'!D$2:D$38^A975)</f>
        <v>29.21006219</v>
      </c>
      <c r="C975" s="8">
        <f t="array" ref="C975">PRODUCT(1-'Sparkling Model'!D$2:D$38^A975)</f>
        <v>0.00005457736273</v>
      </c>
    </row>
    <row r="976">
      <c r="A976" s="6">
        <v>974.0</v>
      </c>
      <c r="B976" s="17">
        <f t="array" ref="B976">SUM(1-'Sparkling Model'!D$2:D$38^A976)</f>
        <v>29.22032374</v>
      </c>
      <c r="C976" s="8">
        <f t="array" ref="C976">PRODUCT(1-'Sparkling Model'!D$2:D$38^A976)</f>
        <v>0.00005537205698</v>
      </c>
    </row>
    <row r="977">
      <c r="A977" s="6">
        <v>975.0</v>
      </c>
      <c r="B977" s="17">
        <f t="array" ref="B977">SUM(1-'Sparkling Model'!D$2:D$38^A977)</f>
        <v>29.23056783</v>
      </c>
      <c r="C977" s="8">
        <f t="array" ref="C977">PRODUCT(1-'Sparkling Model'!D$2:D$38^A977)</f>
        <v>0.00005617669866</v>
      </c>
    </row>
    <row r="978">
      <c r="A978" s="6">
        <v>976.0</v>
      </c>
      <c r="B978" s="17">
        <f t="array" ref="B978">SUM(1-'Sparkling Model'!D$2:D$38^A978)</f>
        <v>29.24079447</v>
      </c>
      <c r="C978" s="8">
        <f t="array" ref="C978">PRODUCT(1-'Sparkling Model'!D$2:D$38^A978)</f>
        <v>0.00005699138972</v>
      </c>
    </row>
    <row r="979">
      <c r="A979" s="6">
        <v>977.0</v>
      </c>
      <c r="B979" s="17">
        <f t="array" ref="B979">SUM(1-'Sparkling Model'!D$2:D$38^A979)</f>
        <v>29.25100372</v>
      </c>
      <c r="C979" s="8">
        <f t="array" ref="C979">PRODUCT(1-'Sparkling Model'!D$2:D$38^A979)</f>
        <v>0.00005781623289</v>
      </c>
    </row>
    <row r="980">
      <c r="A980" s="6">
        <v>978.0</v>
      </c>
      <c r="B980" s="17">
        <f t="array" ref="B980">SUM(1-'Sparkling Model'!D$2:D$38^A980)</f>
        <v>29.2611956</v>
      </c>
      <c r="C980" s="8">
        <f t="array" ref="C980">PRODUCT(1-'Sparkling Model'!D$2:D$38^A980)</f>
        <v>0.00005865133167</v>
      </c>
    </row>
    <row r="981">
      <c r="A981" s="6">
        <v>979.0</v>
      </c>
      <c r="B981" s="17">
        <f t="array" ref="B981">SUM(1-'Sparkling Model'!D$2:D$38^A981)</f>
        <v>29.27137015</v>
      </c>
      <c r="C981" s="8">
        <f t="array" ref="C981">PRODUCT(1-'Sparkling Model'!D$2:D$38^A981)</f>
        <v>0.00005949679036</v>
      </c>
    </row>
    <row r="982">
      <c r="A982" s="6">
        <v>980.0</v>
      </c>
      <c r="B982" s="17">
        <f t="array" ref="B982">SUM(1-'Sparkling Model'!D$2:D$38^A982)</f>
        <v>29.28152741</v>
      </c>
      <c r="C982" s="8">
        <f t="array" ref="C982">PRODUCT(1-'Sparkling Model'!D$2:D$38^A982)</f>
        <v>0.00006035271403</v>
      </c>
    </row>
    <row r="983">
      <c r="A983" s="6">
        <v>981.0</v>
      </c>
      <c r="B983" s="17">
        <f t="array" ref="B983">SUM(1-'Sparkling Model'!D$2:D$38^A983)</f>
        <v>29.29166741</v>
      </c>
      <c r="C983" s="8">
        <f t="array" ref="C983">PRODUCT(1-'Sparkling Model'!D$2:D$38^A983)</f>
        <v>0.00006121920851</v>
      </c>
    </row>
    <row r="984">
      <c r="A984" s="6">
        <v>982.0</v>
      </c>
      <c r="B984" s="17">
        <f t="array" ref="B984">SUM(1-'Sparkling Model'!D$2:D$38^A984)</f>
        <v>29.30179019</v>
      </c>
      <c r="C984" s="8">
        <f t="array" ref="C984">PRODUCT(1-'Sparkling Model'!D$2:D$38^A984)</f>
        <v>0.00006209638046</v>
      </c>
    </row>
    <row r="985">
      <c r="A985" s="6">
        <v>983.0</v>
      </c>
      <c r="B985" s="17">
        <f t="array" ref="B985">SUM(1-'Sparkling Model'!D$2:D$38^A985)</f>
        <v>29.31189577</v>
      </c>
      <c r="C985" s="8">
        <f t="array" ref="C985">PRODUCT(1-'Sparkling Model'!D$2:D$38^A985)</f>
        <v>0.00006298433731</v>
      </c>
    </row>
    <row r="986">
      <c r="A986" s="6">
        <v>984.0</v>
      </c>
      <c r="B986" s="17">
        <f t="array" ref="B986">SUM(1-'Sparkling Model'!D$2:D$38^A986)</f>
        <v>29.3219842</v>
      </c>
      <c r="C986" s="8">
        <f t="array" ref="C986">PRODUCT(1-'Sparkling Model'!D$2:D$38^A986)</f>
        <v>0.00006388318729</v>
      </c>
    </row>
    <row r="987">
      <c r="A987" s="6">
        <v>985.0</v>
      </c>
      <c r="B987" s="17">
        <f t="array" ref="B987">SUM(1-'Sparkling Model'!D$2:D$38^A987)</f>
        <v>29.33205551</v>
      </c>
      <c r="C987" s="8">
        <f t="array" ref="C987">PRODUCT(1-'Sparkling Model'!D$2:D$38^A987)</f>
        <v>0.00006479303943</v>
      </c>
    </row>
    <row r="988">
      <c r="A988" s="6">
        <v>986.0</v>
      </c>
      <c r="B988" s="17">
        <f t="array" ref="B988">SUM(1-'Sparkling Model'!D$2:D$38^A988)</f>
        <v>29.34210973</v>
      </c>
      <c r="C988" s="8">
        <f t="array" ref="C988">PRODUCT(1-'Sparkling Model'!D$2:D$38^A988)</f>
        <v>0.00006571400355</v>
      </c>
    </row>
    <row r="989">
      <c r="A989" s="6">
        <v>987.0</v>
      </c>
      <c r="B989" s="17">
        <f t="array" ref="B989">SUM(1-'Sparkling Model'!D$2:D$38^A989)</f>
        <v>29.3521469</v>
      </c>
      <c r="C989" s="8">
        <f t="array" ref="C989">PRODUCT(1-'Sparkling Model'!D$2:D$38^A989)</f>
        <v>0.00006664619029</v>
      </c>
    </row>
    <row r="990">
      <c r="A990" s="6">
        <v>988.0</v>
      </c>
      <c r="B990" s="17">
        <f t="array" ref="B990">SUM(1-'Sparkling Model'!D$2:D$38^A990)</f>
        <v>29.36216705</v>
      </c>
      <c r="C990" s="8">
        <f t="array" ref="C990">PRODUCT(1-'Sparkling Model'!D$2:D$38^A990)</f>
        <v>0.00006758971108</v>
      </c>
    </row>
    <row r="991">
      <c r="A991" s="6">
        <v>989.0</v>
      </c>
      <c r="B991" s="17">
        <f t="array" ref="B991">SUM(1-'Sparkling Model'!D$2:D$38^A991)</f>
        <v>29.37217022</v>
      </c>
      <c r="C991" s="8">
        <f t="array" ref="C991">PRODUCT(1-'Sparkling Model'!D$2:D$38^A991)</f>
        <v>0.00006854467817</v>
      </c>
    </row>
    <row r="992">
      <c r="A992" s="6">
        <v>990.0</v>
      </c>
      <c r="B992" s="17">
        <f t="array" ref="B992">SUM(1-'Sparkling Model'!D$2:D$38^A992)</f>
        <v>29.38215643</v>
      </c>
      <c r="C992" s="8">
        <f t="array" ref="C992">PRODUCT(1-'Sparkling Model'!D$2:D$38^A992)</f>
        <v>0.00006951120463</v>
      </c>
    </row>
    <row r="993">
      <c r="A993" s="6">
        <v>991.0</v>
      </c>
      <c r="B993" s="17">
        <f t="array" ref="B993">SUM(1-'Sparkling Model'!D$2:D$38^A993)</f>
        <v>29.39212574</v>
      </c>
      <c r="C993" s="8">
        <f t="array" ref="C993">PRODUCT(1-'Sparkling Model'!D$2:D$38^A993)</f>
        <v>0.00007048940433</v>
      </c>
    </row>
    <row r="994">
      <c r="A994" s="6">
        <v>992.0</v>
      </c>
      <c r="B994" s="17">
        <f t="array" ref="B994">SUM(1-'Sparkling Model'!D$2:D$38^A994)</f>
        <v>29.40207816</v>
      </c>
      <c r="C994" s="8">
        <f t="array" ref="C994">PRODUCT(1-'Sparkling Model'!D$2:D$38^A994)</f>
        <v>0.00007147939196</v>
      </c>
    </row>
    <row r="995">
      <c r="A995" s="6">
        <v>993.0</v>
      </c>
      <c r="B995" s="17">
        <f t="array" ref="B995">SUM(1-'Sparkling Model'!D$2:D$38^A995)</f>
        <v>29.41201374</v>
      </c>
      <c r="C995" s="8">
        <f t="array" ref="C995">PRODUCT(1-'Sparkling Model'!D$2:D$38^A995)</f>
        <v>0.00007248128304</v>
      </c>
    </row>
    <row r="996">
      <c r="A996" s="6">
        <v>994.0</v>
      </c>
      <c r="B996" s="17">
        <f t="array" ref="B996">SUM(1-'Sparkling Model'!D$2:D$38^A996)</f>
        <v>29.4219325</v>
      </c>
      <c r="C996" s="8">
        <f t="array" ref="C996">PRODUCT(1-'Sparkling Model'!D$2:D$38^A996)</f>
        <v>0.00007349519391</v>
      </c>
    </row>
    <row r="997">
      <c r="A997" s="6">
        <v>995.0</v>
      </c>
      <c r="B997" s="17">
        <f t="array" ref="B997">SUM(1-'Sparkling Model'!D$2:D$38^A997)</f>
        <v>29.43183449</v>
      </c>
      <c r="C997" s="8">
        <f t="array" ref="C997">PRODUCT(1-'Sparkling Model'!D$2:D$38^A997)</f>
        <v>0.00007452124175</v>
      </c>
    </row>
    <row r="998">
      <c r="A998" s="6">
        <v>996.0</v>
      </c>
      <c r="B998" s="17">
        <f t="array" ref="B998">SUM(1-'Sparkling Model'!D$2:D$38^A998)</f>
        <v>29.44171972</v>
      </c>
      <c r="C998" s="8">
        <f t="array" ref="C998">PRODUCT(1-'Sparkling Model'!D$2:D$38^A998)</f>
        <v>0.00007555954454</v>
      </c>
    </row>
    <row r="999">
      <c r="A999" s="6">
        <v>997.0</v>
      </c>
      <c r="B999" s="17">
        <f t="array" ref="B999">SUM(1-'Sparkling Model'!D$2:D$38^A999)</f>
        <v>29.45158825</v>
      </c>
      <c r="C999" s="8">
        <f t="array" ref="C999">PRODUCT(1-'Sparkling Model'!D$2:D$38^A999)</f>
        <v>0.00007661022112</v>
      </c>
    </row>
    <row r="1000">
      <c r="A1000" s="6">
        <v>998.0</v>
      </c>
      <c r="B1000" s="17">
        <f t="array" ref="B1000">SUM(1-'Sparkling Model'!D$2:D$38^A1000)</f>
        <v>29.4614401</v>
      </c>
      <c r="C1000" s="8">
        <f t="array" ref="C1000">PRODUCT(1-'Sparkling Model'!D$2:D$38^A1000)</f>
        <v>0.00007767339117</v>
      </c>
    </row>
    <row r="1001">
      <c r="A1001" s="6">
        <v>999.0</v>
      </c>
      <c r="B1001" s="17">
        <f t="array" ref="B1001">SUM(1-'Sparkling Model'!D$2:D$38^A1001)</f>
        <v>29.4712753</v>
      </c>
      <c r="C1001" s="8">
        <f t="array" ref="C1001">PRODUCT(1-'Sparkling Model'!D$2:D$38^A1001)</f>
        <v>0.00007874917517</v>
      </c>
    </row>
    <row r="1002">
      <c r="A1002" s="6">
        <v>1000.0</v>
      </c>
      <c r="B1002" s="17">
        <f t="array" ref="B1002">SUM(1-'Sparkling Model'!D$2:D$38^A1002)</f>
        <v>29.48109389</v>
      </c>
      <c r="C1002" s="8">
        <f t="array" ref="C1002">PRODUCT(1-'Sparkling Model'!D$2:D$38^A1002)</f>
        <v>0.00007983769449</v>
      </c>
    </row>
    <row r="1003">
      <c r="A1003" s="6">
        <v>1001.0</v>
      </c>
      <c r="B1003" s="17">
        <f t="array" ref="B1003">SUM(1-'Sparkling Model'!D$2:D$38^A1003)</f>
        <v>29.49089591</v>
      </c>
      <c r="C1003" s="8">
        <f t="array" ref="C1003">PRODUCT(1-'Sparkling Model'!D$2:D$38^A1003)</f>
        <v>0.00008093907131</v>
      </c>
    </row>
    <row r="1004">
      <c r="A1004" s="6">
        <v>1002.0</v>
      </c>
      <c r="B1004" s="17">
        <f t="array" ref="B1004">SUM(1-'Sparkling Model'!D$2:D$38^A1004)</f>
        <v>29.50068137</v>
      </c>
      <c r="C1004" s="8">
        <f t="array" ref="C1004">PRODUCT(1-'Sparkling Model'!D$2:D$38^A1004)</f>
        <v>0.00008205342867</v>
      </c>
    </row>
    <row r="1005">
      <c r="A1005" s="6">
        <v>1003.0</v>
      </c>
      <c r="B1005" s="17">
        <f t="array" ref="B1005">SUM(1-'Sparkling Model'!D$2:D$38^A1005)</f>
        <v>29.51045033</v>
      </c>
      <c r="C1005" s="8">
        <f t="array" ref="C1005">PRODUCT(1-'Sparkling Model'!D$2:D$38^A1005)</f>
        <v>0.00008318089046</v>
      </c>
    </row>
    <row r="1006">
      <c r="A1006" s="6">
        <v>1004.0</v>
      </c>
      <c r="B1006" s="17">
        <f t="array" ref="B1006">SUM(1-'Sparkling Model'!D$2:D$38^A1006)</f>
        <v>29.52020281</v>
      </c>
      <c r="C1006" s="8">
        <f t="array" ref="C1006">PRODUCT(1-'Sparkling Model'!D$2:D$38^A1006)</f>
        <v>0.00008432158143</v>
      </c>
    </row>
    <row r="1007">
      <c r="A1007" s="6">
        <v>1005.0</v>
      </c>
      <c r="B1007" s="17">
        <f t="array" ref="B1007">SUM(1-'Sparkling Model'!D$2:D$38^A1007)</f>
        <v>29.52993884</v>
      </c>
      <c r="C1007" s="8">
        <f t="array" ref="C1007">PRODUCT(1-'Sparkling Model'!D$2:D$38^A1007)</f>
        <v>0.00008547562716</v>
      </c>
    </row>
    <row r="1008">
      <c r="A1008" s="6">
        <v>1006.0</v>
      </c>
      <c r="B1008" s="17">
        <f t="array" ref="B1008">SUM(1-'Sparkling Model'!D$2:D$38^A1008)</f>
        <v>29.53965846</v>
      </c>
      <c r="C1008" s="8">
        <f t="array" ref="C1008">PRODUCT(1-'Sparkling Model'!D$2:D$38^A1008)</f>
        <v>0.00008664315411</v>
      </c>
    </row>
    <row r="1009">
      <c r="A1009" s="6">
        <v>1007.0</v>
      </c>
      <c r="B1009" s="17">
        <f t="array" ref="B1009">SUM(1-'Sparkling Model'!D$2:D$38^A1009)</f>
        <v>29.5493617</v>
      </c>
      <c r="C1009" s="8">
        <f t="array" ref="C1009">PRODUCT(1-'Sparkling Model'!D$2:D$38^A1009)</f>
        <v>0.0000878242896</v>
      </c>
    </row>
    <row r="1010">
      <c r="A1010" s="6">
        <v>1008.0</v>
      </c>
      <c r="B1010" s="17">
        <f t="array" ref="B1010">SUM(1-'Sparkling Model'!D$2:D$38^A1010)</f>
        <v>29.5590486</v>
      </c>
      <c r="C1010" s="8">
        <f t="array" ref="C1010">PRODUCT(1-'Sparkling Model'!D$2:D$38^A1010)</f>
        <v>0.00008901916181</v>
      </c>
    </row>
    <row r="1011">
      <c r="A1011" s="6">
        <v>1009.0</v>
      </c>
      <c r="B1011" s="17">
        <f t="array" ref="B1011">SUM(1-'Sparkling Model'!D$2:D$38^A1011)</f>
        <v>29.56871918</v>
      </c>
      <c r="C1011" s="8">
        <f t="array" ref="C1011">PRODUCT(1-'Sparkling Model'!D$2:D$38^A1011)</f>
        <v>0.00009022789977</v>
      </c>
    </row>
    <row r="1012">
      <c r="A1012" s="6">
        <v>1010.0</v>
      </c>
      <c r="B1012" s="17">
        <f t="array" ref="B1012">SUM(1-'Sparkling Model'!D$2:D$38^A1012)</f>
        <v>29.57837348</v>
      </c>
      <c r="C1012" s="8">
        <f t="array" ref="C1012">PRODUCT(1-'Sparkling Model'!D$2:D$38^A1012)</f>
        <v>0.00009145063341</v>
      </c>
    </row>
    <row r="1013">
      <c r="A1013" s="6">
        <v>1011.0</v>
      </c>
      <c r="B1013" s="17">
        <f t="array" ref="B1013">SUM(1-'Sparkling Model'!D$2:D$38^A1013)</f>
        <v>29.58801153</v>
      </c>
      <c r="C1013" s="8">
        <f t="array" ref="C1013">PRODUCT(1-'Sparkling Model'!D$2:D$38^A1013)</f>
        <v>0.0000926874935</v>
      </c>
    </row>
    <row r="1014">
      <c r="A1014" s="6">
        <v>1012.0</v>
      </c>
      <c r="B1014" s="17">
        <f t="array" ref="B1014">SUM(1-'Sparkling Model'!D$2:D$38^A1014)</f>
        <v>29.59763336</v>
      </c>
      <c r="C1014" s="8">
        <f t="array" ref="C1014">PRODUCT(1-'Sparkling Model'!D$2:D$38^A1014)</f>
        <v>0.00009393861171</v>
      </c>
    </row>
    <row r="1015">
      <c r="A1015" s="6">
        <v>1013.0</v>
      </c>
      <c r="B1015" s="17">
        <f t="array" ref="B1015">SUM(1-'Sparkling Model'!D$2:D$38^A1015)</f>
        <v>29.60723901</v>
      </c>
      <c r="C1015" s="8">
        <f t="array" ref="C1015">PRODUCT(1-'Sparkling Model'!D$2:D$38^A1015)</f>
        <v>0.00009520412057</v>
      </c>
    </row>
    <row r="1016">
      <c r="A1016" s="6">
        <v>1014.0</v>
      </c>
      <c r="B1016" s="17">
        <f t="array" ref="B1016">SUM(1-'Sparkling Model'!D$2:D$38^A1016)</f>
        <v>29.61682851</v>
      </c>
      <c r="C1016" s="8">
        <f t="array" ref="C1016">PRODUCT(1-'Sparkling Model'!D$2:D$38^A1016)</f>
        <v>0.00009648415349</v>
      </c>
    </row>
    <row r="1017">
      <c r="A1017" s="6">
        <v>1015.0</v>
      </c>
      <c r="B1017" s="17">
        <f t="array" ref="B1017">SUM(1-'Sparkling Model'!D$2:D$38^A1017)</f>
        <v>29.62640189</v>
      </c>
      <c r="C1017" s="8">
        <f t="array" ref="C1017">PRODUCT(1-'Sparkling Model'!D$2:D$38^A1017)</f>
        <v>0.00009777884477</v>
      </c>
    </row>
    <row r="1018">
      <c r="A1018" s="6">
        <v>1016.0</v>
      </c>
      <c r="B1018" s="17">
        <f t="array" ref="B1018">SUM(1-'Sparkling Model'!D$2:D$38^A1018)</f>
        <v>29.63595918</v>
      </c>
      <c r="C1018" s="8">
        <f t="array" ref="C1018">PRODUCT(1-'Sparkling Model'!D$2:D$38^A1018)</f>
        <v>0.00009908832958</v>
      </c>
    </row>
    <row r="1019">
      <c r="A1019" s="6">
        <v>1017.0</v>
      </c>
      <c r="B1019" s="17">
        <f t="array" ref="B1019">SUM(1-'Sparkling Model'!D$2:D$38^A1019)</f>
        <v>29.64550042</v>
      </c>
      <c r="C1019" s="8">
        <f t="array" ref="C1019">PRODUCT(1-'Sparkling Model'!D$2:D$38^A1019)</f>
        <v>0.000100412744</v>
      </c>
    </row>
    <row r="1020">
      <c r="A1020" s="6">
        <v>1018.0</v>
      </c>
      <c r="B1020" s="17">
        <f t="array" ref="B1020">SUM(1-'Sparkling Model'!D$2:D$38^A1020)</f>
        <v>29.65502564</v>
      </c>
      <c r="C1020" s="8">
        <f t="array" ref="C1020">PRODUCT(1-'Sparkling Model'!D$2:D$38^A1020)</f>
        <v>0.000101752225</v>
      </c>
    </row>
    <row r="1021">
      <c r="A1021" s="6">
        <v>1019.0</v>
      </c>
      <c r="B1021" s="17">
        <f t="array" ref="B1021">SUM(1-'Sparkling Model'!D$2:D$38^A1021)</f>
        <v>29.66453486</v>
      </c>
      <c r="C1021" s="8">
        <f t="array" ref="C1021">PRODUCT(1-'Sparkling Model'!D$2:D$38^A1021)</f>
        <v>0.0001031069103</v>
      </c>
    </row>
    <row r="1022">
      <c r="A1022" s="6">
        <v>1020.0</v>
      </c>
      <c r="B1022" s="17">
        <f t="array" ref="B1022">SUM(1-'Sparkling Model'!D$2:D$38^A1022)</f>
        <v>29.67402813</v>
      </c>
      <c r="C1022" s="8">
        <f t="array" ref="C1022">PRODUCT(1-'Sparkling Model'!D$2:D$38^A1022)</f>
        <v>0.0001044769389</v>
      </c>
    </row>
    <row r="1023">
      <c r="A1023" s="6">
        <v>1021.0</v>
      </c>
      <c r="B1023" s="17">
        <f t="array" ref="B1023">SUM(1-'Sparkling Model'!D$2:D$38^A1023)</f>
        <v>29.68350547</v>
      </c>
      <c r="C1023" s="8">
        <f t="array" ref="C1023">PRODUCT(1-'Sparkling Model'!D$2:D$38^A1023)</f>
        <v>0.0001058624502</v>
      </c>
    </row>
    <row r="1024">
      <c r="A1024" s="6">
        <v>1022.0</v>
      </c>
      <c r="B1024" s="17">
        <f t="array" ref="B1024">SUM(1-'Sparkling Model'!D$2:D$38^A1024)</f>
        <v>29.69296691</v>
      </c>
      <c r="C1024" s="8">
        <f t="array" ref="C1024">PRODUCT(1-'Sparkling Model'!D$2:D$38^A1024)</f>
        <v>0.0001072635848</v>
      </c>
    </row>
    <row r="1025">
      <c r="A1025" s="6">
        <v>1023.0</v>
      </c>
      <c r="B1025" s="17">
        <f t="array" ref="B1025">SUM(1-'Sparkling Model'!D$2:D$38^A1025)</f>
        <v>29.70241249</v>
      </c>
      <c r="C1025" s="8">
        <f t="array" ref="C1025">PRODUCT(1-'Sparkling Model'!D$2:D$38^A1025)</f>
        <v>0.0001086804842</v>
      </c>
    </row>
    <row r="1026">
      <c r="A1026" s="6">
        <v>1024.0</v>
      </c>
      <c r="B1026" s="17">
        <f t="array" ref="B1026">SUM(1-'Sparkling Model'!D$2:D$38^A1026)</f>
        <v>29.71184224</v>
      </c>
      <c r="C1026" s="8">
        <f t="array" ref="C1026">PRODUCT(1-'Sparkling Model'!D$2:D$38^A1026)</f>
        <v>0.0001101132906</v>
      </c>
    </row>
    <row r="1027">
      <c r="A1027" s="6">
        <v>1025.0</v>
      </c>
      <c r="B1027" s="17">
        <f t="array" ref="B1027">SUM(1-'Sparkling Model'!D$2:D$38^A1027)</f>
        <v>29.72125619</v>
      </c>
      <c r="C1027" s="8">
        <f t="array" ref="C1027">PRODUCT(1-'Sparkling Model'!D$2:D$38^A1027)</f>
        <v>0.0001115621474</v>
      </c>
    </row>
    <row r="1028">
      <c r="A1028" s="6">
        <v>1026.0</v>
      </c>
      <c r="B1028" s="17">
        <f t="array" ref="B1028">SUM(1-'Sparkling Model'!D$2:D$38^A1028)</f>
        <v>29.73065437</v>
      </c>
      <c r="C1028" s="8">
        <f t="array" ref="C1028">PRODUCT(1-'Sparkling Model'!D$2:D$38^A1028)</f>
        <v>0.0001130271987</v>
      </c>
    </row>
    <row r="1029">
      <c r="A1029" s="6">
        <v>1027.0</v>
      </c>
      <c r="B1029" s="17">
        <f t="array" ref="B1029">SUM(1-'Sparkling Model'!D$2:D$38^A1029)</f>
        <v>29.74003682</v>
      </c>
      <c r="C1029" s="8">
        <f t="array" ref="C1029">PRODUCT(1-'Sparkling Model'!D$2:D$38^A1029)</f>
        <v>0.0001145085896</v>
      </c>
    </row>
    <row r="1030">
      <c r="A1030" s="6">
        <v>1028.0</v>
      </c>
      <c r="B1030" s="17">
        <f t="array" ref="B1030">SUM(1-'Sparkling Model'!D$2:D$38^A1030)</f>
        <v>29.74940355</v>
      </c>
      <c r="C1030" s="8">
        <f t="array" ref="C1030">PRODUCT(1-'Sparkling Model'!D$2:D$38^A1030)</f>
        <v>0.000116006466</v>
      </c>
    </row>
    <row r="1031">
      <c r="A1031" s="6">
        <v>1029.0</v>
      </c>
      <c r="B1031" s="17">
        <f t="array" ref="B1031">SUM(1-'Sparkling Model'!D$2:D$38^A1031)</f>
        <v>29.75875462</v>
      </c>
      <c r="C1031" s="8">
        <f t="array" ref="C1031">PRODUCT(1-'Sparkling Model'!D$2:D$38^A1031)</f>
        <v>0.0001175209748</v>
      </c>
    </row>
    <row r="1032">
      <c r="A1032" s="6">
        <v>1030.0</v>
      </c>
      <c r="B1032" s="17">
        <f t="array" ref="B1032">SUM(1-'Sparkling Model'!D$2:D$38^A1032)</f>
        <v>29.76809004</v>
      </c>
      <c r="C1032" s="8">
        <f t="array" ref="C1032">PRODUCT(1-'Sparkling Model'!D$2:D$38^A1032)</f>
        <v>0.0001190522639</v>
      </c>
    </row>
    <row r="1033">
      <c r="A1033" s="6">
        <v>1031.0</v>
      </c>
      <c r="B1033" s="17">
        <f t="array" ref="B1033">SUM(1-'Sparkling Model'!D$2:D$38^A1033)</f>
        <v>29.77740985</v>
      </c>
      <c r="C1033" s="8">
        <f t="array" ref="C1033">PRODUCT(1-'Sparkling Model'!D$2:D$38^A1033)</f>
        <v>0.0001206004819</v>
      </c>
    </row>
    <row r="1034">
      <c r="A1034" s="6">
        <v>1032.0</v>
      </c>
      <c r="B1034" s="17">
        <f t="array" ref="B1034">SUM(1-'Sparkling Model'!D$2:D$38^A1034)</f>
        <v>29.78671408</v>
      </c>
      <c r="C1034" s="8">
        <f t="array" ref="C1034">PRODUCT(1-'Sparkling Model'!D$2:D$38^A1034)</f>
        <v>0.0001221657786</v>
      </c>
    </row>
    <row r="1035">
      <c r="A1035" s="6">
        <v>1033.0</v>
      </c>
      <c r="B1035" s="17">
        <f t="array" ref="B1035">SUM(1-'Sparkling Model'!D$2:D$38^A1035)</f>
        <v>29.79600275</v>
      </c>
      <c r="C1035" s="8">
        <f t="array" ref="C1035">PRODUCT(1-'Sparkling Model'!D$2:D$38^A1035)</f>
        <v>0.0001237483045</v>
      </c>
    </row>
    <row r="1036">
      <c r="A1036" s="6">
        <v>1034.0</v>
      </c>
      <c r="B1036" s="17">
        <f t="array" ref="B1036">SUM(1-'Sparkling Model'!D$2:D$38^A1036)</f>
        <v>29.80527591</v>
      </c>
      <c r="C1036" s="8">
        <f t="array" ref="C1036">PRODUCT(1-'Sparkling Model'!D$2:D$38^A1036)</f>
        <v>0.0001253482111</v>
      </c>
    </row>
    <row r="1037">
      <c r="A1037" s="6">
        <v>1035.0</v>
      </c>
      <c r="B1037" s="17">
        <f t="array" ref="B1037">SUM(1-'Sparkling Model'!D$2:D$38^A1037)</f>
        <v>29.81453358</v>
      </c>
      <c r="C1037" s="8">
        <f t="array" ref="C1037">PRODUCT(1-'Sparkling Model'!D$2:D$38^A1037)</f>
        <v>0.0001269656508</v>
      </c>
    </row>
    <row r="1038">
      <c r="A1038" s="6">
        <v>1036.0</v>
      </c>
      <c r="B1038" s="17">
        <f t="array" ref="B1038">SUM(1-'Sparkling Model'!D$2:D$38^A1038)</f>
        <v>29.8237758</v>
      </c>
      <c r="C1038" s="8">
        <f t="array" ref="C1038">PRODUCT(1-'Sparkling Model'!D$2:D$38^A1038)</f>
        <v>0.0001286007771</v>
      </c>
    </row>
    <row r="1039">
      <c r="A1039" s="6">
        <v>1037.0</v>
      </c>
      <c r="B1039" s="17">
        <f t="array" ref="B1039">SUM(1-'Sparkling Model'!D$2:D$38^A1039)</f>
        <v>29.83300259</v>
      </c>
      <c r="C1039" s="8">
        <f t="array" ref="C1039">PRODUCT(1-'Sparkling Model'!D$2:D$38^A1039)</f>
        <v>0.0001302537441</v>
      </c>
    </row>
    <row r="1040">
      <c r="A1040" s="6">
        <v>1038.0</v>
      </c>
      <c r="B1040" s="17">
        <f t="array" ref="B1040">SUM(1-'Sparkling Model'!D$2:D$38^A1040)</f>
        <v>29.84221398</v>
      </c>
      <c r="C1040" s="8">
        <f t="array" ref="C1040">PRODUCT(1-'Sparkling Model'!D$2:D$38^A1040)</f>
        <v>0.0001319247072</v>
      </c>
    </row>
    <row r="1041">
      <c r="A1041" s="6">
        <v>1039.0</v>
      </c>
      <c r="B1041" s="17">
        <f t="array" ref="B1041">SUM(1-'Sparkling Model'!D$2:D$38^A1041)</f>
        <v>29.85141</v>
      </c>
      <c r="C1041" s="8">
        <f t="array" ref="C1041">PRODUCT(1-'Sparkling Model'!D$2:D$38^A1041)</f>
        <v>0.0001336138224</v>
      </c>
    </row>
    <row r="1042">
      <c r="A1042" s="6">
        <v>1040.0</v>
      </c>
      <c r="B1042" s="17">
        <f t="array" ref="B1042">SUM(1-'Sparkling Model'!D$2:D$38^A1042)</f>
        <v>29.8605907</v>
      </c>
      <c r="C1042" s="8">
        <f t="array" ref="C1042">PRODUCT(1-'Sparkling Model'!D$2:D$38^A1042)</f>
        <v>0.000135321247</v>
      </c>
    </row>
    <row r="1043">
      <c r="A1043" s="6">
        <v>1041.0</v>
      </c>
      <c r="B1043" s="17">
        <f t="array" ref="B1043">SUM(1-'Sparkling Model'!D$2:D$38^A1043)</f>
        <v>29.86975608</v>
      </c>
      <c r="C1043" s="8">
        <f t="array" ref="C1043">PRODUCT(1-'Sparkling Model'!D$2:D$38^A1043)</f>
        <v>0.0001370471388</v>
      </c>
    </row>
    <row r="1044">
      <c r="A1044" s="6">
        <v>1042.0</v>
      </c>
      <c r="B1044" s="17">
        <f t="array" ref="B1044">SUM(1-'Sparkling Model'!D$2:D$38^A1044)</f>
        <v>29.8789062</v>
      </c>
      <c r="C1044" s="8">
        <f t="array" ref="C1044">PRODUCT(1-'Sparkling Model'!D$2:D$38^A1044)</f>
        <v>0.0001387916571</v>
      </c>
    </row>
    <row r="1045">
      <c r="A1045" s="6">
        <v>1043.0</v>
      </c>
      <c r="B1045" s="17">
        <f t="array" ref="B1045">SUM(1-'Sparkling Model'!D$2:D$38^A1045)</f>
        <v>29.88804107</v>
      </c>
      <c r="C1045" s="8">
        <f t="array" ref="C1045">PRODUCT(1-'Sparkling Model'!D$2:D$38^A1045)</f>
        <v>0.0001405549615</v>
      </c>
    </row>
    <row r="1046">
      <c r="A1046" s="6">
        <v>1044.0</v>
      </c>
      <c r="B1046" s="17">
        <f t="array" ref="B1046">SUM(1-'Sparkling Model'!D$2:D$38^A1046)</f>
        <v>29.89716073</v>
      </c>
      <c r="C1046" s="8">
        <f t="array" ref="C1046">PRODUCT(1-'Sparkling Model'!D$2:D$38^A1046)</f>
        <v>0.0001423372132</v>
      </c>
    </row>
    <row r="1047">
      <c r="A1047" s="6">
        <v>1045.0</v>
      </c>
      <c r="B1047" s="17">
        <f t="array" ref="B1047">SUM(1-'Sparkling Model'!D$2:D$38^A1047)</f>
        <v>29.9062652</v>
      </c>
      <c r="C1047" s="8">
        <f t="array" ref="C1047">PRODUCT(1-'Sparkling Model'!D$2:D$38^A1047)</f>
        <v>0.0001441385738</v>
      </c>
    </row>
    <row r="1048">
      <c r="A1048" s="6">
        <v>1046.0</v>
      </c>
      <c r="B1048" s="17">
        <f t="array" ref="B1048">SUM(1-'Sparkling Model'!D$2:D$38^A1048)</f>
        <v>29.91535452</v>
      </c>
      <c r="C1048" s="8">
        <f t="array" ref="C1048">PRODUCT(1-'Sparkling Model'!D$2:D$38^A1048)</f>
        <v>0.0001459592061</v>
      </c>
    </row>
    <row r="1049">
      <c r="A1049" s="6">
        <v>1047.0</v>
      </c>
      <c r="B1049" s="17">
        <f t="array" ref="B1049">SUM(1-'Sparkling Model'!D$2:D$38^A1049)</f>
        <v>29.92442872</v>
      </c>
      <c r="C1049" s="8">
        <f t="array" ref="C1049">PRODUCT(1-'Sparkling Model'!D$2:D$38^A1049)</f>
        <v>0.0001477992739</v>
      </c>
    </row>
    <row r="1050">
      <c r="A1050" s="6">
        <v>1048.0</v>
      </c>
      <c r="B1050" s="17">
        <f t="array" ref="B1050">SUM(1-'Sparkling Model'!D$2:D$38^A1050)</f>
        <v>29.93348783</v>
      </c>
      <c r="C1050" s="8">
        <f t="array" ref="C1050">PRODUCT(1-'Sparkling Model'!D$2:D$38^A1050)</f>
        <v>0.0001496589419</v>
      </c>
    </row>
    <row r="1051">
      <c r="A1051" s="6">
        <v>1049.0</v>
      </c>
      <c r="B1051" s="17">
        <f t="array" ref="B1051">SUM(1-'Sparkling Model'!D$2:D$38^A1051)</f>
        <v>29.94253187</v>
      </c>
      <c r="C1051" s="8">
        <f t="array" ref="C1051">PRODUCT(1-'Sparkling Model'!D$2:D$38^A1051)</f>
        <v>0.0001515383757</v>
      </c>
    </row>
    <row r="1052">
      <c r="A1052" s="6">
        <v>1050.0</v>
      </c>
      <c r="B1052" s="17">
        <f t="array" ref="B1052">SUM(1-'Sparkling Model'!D$2:D$38^A1052)</f>
        <v>29.95156088</v>
      </c>
      <c r="C1052" s="8">
        <f t="array" ref="C1052">PRODUCT(1-'Sparkling Model'!D$2:D$38^A1052)</f>
        <v>0.000153437742</v>
      </c>
    </row>
    <row r="1053">
      <c r="A1053" s="6">
        <v>1051.0</v>
      </c>
      <c r="B1053" s="17">
        <f t="array" ref="B1053">SUM(1-'Sparkling Model'!D$2:D$38^A1053)</f>
        <v>29.96057489</v>
      </c>
      <c r="C1053" s="8">
        <f t="array" ref="C1053">PRODUCT(1-'Sparkling Model'!D$2:D$38^A1053)</f>
        <v>0.0001553572081</v>
      </c>
    </row>
    <row r="1054">
      <c r="A1054" s="6">
        <v>1052.0</v>
      </c>
      <c r="B1054" s="17">
        <f t="array" ref="B1054">SUM(1-'Sparkling Model'!D$2:D$38^A1054)</f>
        <v>29.96957392</v>
      </c>
      <c r="C1054" s="8">
        <f t="array" ref="C1054">PRODUCT(1-'Sparkling Model'!D$2:D$38^A1054)</f>
        <v>0.0001572969428</v>
      </c>
    </row>
    <row r="1055">
      <c r="A1055" s="6">
        <v>1053.0</v>
      </c>
      <c r="B1055" s="17">
        <f t="array" ref="B1055">SUM(1-'Sparkling Model'!D$2:D$38^A1055)</f>
        <v>29.97855801</v>
      </c>
      <c r="C1055" s="8">
        <f t="array" ref="C1055">PRODUCT(1-'Sparkling Model'!D$2:D$38^A1055)</f>
        <v>0.0001592571155</v>
      </c>
    </row>
    <row r="1056">
      <c r="A1056" s="6">
        <v>1054.0</v>
      </c>
      <c r="B1056" s="17">
        <f t="array" ref="B1056">SUM(1-'Sparkling Model'!D$2:D$38^A1056)</f>
        <v>29.98752718</v>
      </c>
      <c r="C1056" s="8">
        <f t="array" ref="C1056">PRODUCT(1-'Sparkling Model'!D$2:D$38^A1056)</f>
        <v>0.0001612378965</v>
      </c>
    </row>
    <row r="1057">
      <c r="A1057" s="6">
        <v>1055.0</v>
      </c>
      <c r="B1057" s="17">
        <f t="array" ref="B1057">SUM(1-'Sparkling Model'!D$2:D$38^A1057)</f>
        <v>29.99648147</v>
      </c>
      <c r="C1057" s="8">
        <f t="array" ref="C1057">PRODUCT(1-'Sparkling Model'!D$2:D$38^A1057)</f>
        <v>0.0001632394574</v>
      </c>
    </row>
    <row r="1058">
      <c r="A1058" s="6">
        <v>1056.0</v>
      </c>
      <c r="B1058" s="17">
        <f t="array" ref="B1058">SUM(1-'Sparkling Model'!D$2:D$38^A1058)</f>
        <v>30.00542091</v>
      </c>
      <c r="C1058" s="8">
        <f t="array" ref="C1058">PRODUCT(1-'Sparkling Model'!D$2:D$38^A1058)</f>
        <v>0.0001652619705</v>
      </c>
    </row>
    <row r="1059">
      <c r="A1059" s="6">
        <v>1057.0</v>
      </c>
      <c r="B1059" s="17">
        <f t="array" ref="B1059">SUM(1-'Sparkling Model'!D$2:D$38^A1059)</f>
        <v>30.01434552</v>
      </c>
      <c r="C1059" s="8">
        <f t="array" ref="C1059">PRODUCT(1-'Sparkling Model'!D$2:D$38^A1059)</f>
        <v>0.0001673056092</v>
      </c>
    </row>
    <row r="1060">
      <c r="A1060" s="6">
        <v>1058.0</v>
      </c>
      <c r="B1060" s="17">
        <f t="array" ref="B1060">SUM(1-'Sparkling Model'!D$2:D$38^A1060)</f>
        <v>30.02325533</v>
      </c>
      <c r="C1060" s="8">
        <f t="array" ref="C1060">PRODUCT(1-'Sparkling Model'!D$2:D$38^A1060)</f>
        <v>0.0001693705478</v>
      </c>
    </row>
    <row r="1061">
      <c r="A1061" s="6">
        <v>1059.0</v>
      </c>
      <c r="B1061" s="17">
        <f t="array" ref="B1061">SUM(1-'Sparkling Model'!D$2:D$38^A1061)</f>
        <v>30.03215037</v>
      </c>
      <c r="C1061" s="8">
        <f t="array" ref="C1061">PRODUCT(1-'Sparkling Model'!D$2:D$38^A1061)</f>
        <v>0.0001714569616</v>
      </c>
    </row>
    <row r="1062">
      <c r="A1062" s="6">
        <v>1060.0</v>
      </c>
      <c r="B1062" s="17">
        <f t="array" ref="B1062">SUM(1-'Sparkling Model'!D$2:D$38^A1062)</f>
        <v>30.04103068</v>
      </c>
      <c r="C1062" s="8">
        <f t="array" ref="C1062">PRODUCT(1-'Sparkling Model'!D$2:D$38^A1062)</f>
        <v>0.0001735650268</v>
      </c>
    </row>
    <row r="1063">
      <c r="A1063" s="6">
        <v>1061.0</v>
      </c>
      <c r="B1063" s="17">
        <f t="array" ref="B1063">SUM(1-'Sparkling Model'!D$2:D$38^A1063)</f>
        <v>30.04989628</v>
      </c>
      <c r="C1063" s="8">
        <f t="array" ref="C1063">PRODUCT(1-'Sparkling Model'!D$2:D$38^A1063)</f>
        <v>0.0001756949207</v>
      </c>
    </row>
    <row r="1064">
      <c r="A1064" s="6">
        <v>1062.0</v>
      </c>
      <c r="B1064" s="17">
        <f t="array" ref="B1064">SUM(1-'Sparkling Model'!D$2:D$38^A1064)</f>
        <v>30.0587472</v>
      </c>
      <c r="C1064" s="8">
        <f t="array" ref="C1064">PRODUCT(1-'Sparkling Model'!D$2:D$38^A1064)</f>
        <v>0.0001778468216</v>
      </c>
    </row>
    <row r="1065">
      <c r="A1065" s="6">
        <v>1063.0</v>
      </c>
      <c r="B1065" s="17">
        <f t="array" ref="B1065">SUM(1-'Sparkling Model'!D$2:D$38^A1065)</f>
        <v>30.06758346</v>
      </c>
      <c r="C1065" s="8">
        <f t="array" ref="C1065">PRODUCT(1-'Sparkling Model'!D$2:D$38^A1065)</f>
        <v>0.0001800209086</v>
      </c>
    </row>
    <row r="1066">
      <c r="A1066" s="6">
        <v>1064.0</v>
      </c>
      <c r="B1066" s="17">
        <f t="array" ref="B1066">SUM(1-'Sparkling Model'!D$2:D$38^A1066)</f>
        <v>30.07640511</v>
      </c>
      <c r="C1066" s="8">
        <f t="array" ref="C1066">PRODUCT(1-'Sparkling Model'!D$2:D$38^A1066)</f>
        <v>0.0001822173619</v>
      </c>
    </row>
    <row r="1067">
      <c r="A1067" s="6">
        <v>1065.0</v>
      </c>
      <c r="B1067" s="17">
        <f t="array" ref="B1067">SUM(1-'Sparkling Model'!D$2:D$38^A1067)</f>
        <v>30.08521216</v>
      </c>
      <c r="C1067" s="8">
        <f t="array" ref="C1067">PRODUCT(1-'Sparkling Model'!D$2:D$38^A1067)</f>
        <v>0.0001844363627</v>
      </c>
    </row>
    <row r="1068">
      <c r="A1068" s="6">
        <v>1066.0</v>
      </c>
      <c r="B1068" s="17">
        <f t="array" ref="B1068">SUM(1-'Sparkling Model'!D$2:D$38^A1068)</f>
        <v>30.09400465</v>
      </c>
      <c r="C1068" s="8">
        <f t="array" ref="C1068">PRODUCT(1-'Sparkling Model'!D$2:D$38^A1068)</f>
        <v>0.0001866780931</v>
      </c>
    </row>
    <row r="1069">
      <c r="A1069" s="6">
        <v>1067.0</v>
      </c>
      <c r="B1069" s="17">
        <f t="array" ref="B1069">SUM(1-'Sparkling Model'!D$2:D$38^A1069)</f>
        <v>30.1027826</v>
      </c>
      <c r="C1069" s="8">
        <f t="array" ref="C1069">PRODUCT(1-'Sparkling Model'!D$2:D$38^A1069)</f>
        <v>0.0001889427363</v>
      </c>
    </row>
    <row r="1070">
      <c r="A1070" s="6">
        <v>1068.0</v>
      </c>
      <c r="B1070" s="17">
        <f t="array" ref="B1070">SUM(1-'Sparkling Model'!D$2:D$38^A1070)</f>
        <v>30.11154605</v>
      </c>
      <c r="C1070" s="8">
        <f t="array" ref="C1070">PRODUCT(1-'Sparkling Model'!D$2:D$38^A1070)</f>
        <v>0.0001912304763</v>
      </c>
    </row>
    <row r="1071">
      <c r="A1071" s="6">
        <v>1069.0</v>
      </c>
      <c r="B1071" s="17">
        <f t="array" ref="B1071">SUM(1-'Sparkling Model'!D$2:D$38^A1071)</f>
        <v>30.12029501</v>
      </c>
      <c r="C1071" s="8">
        <f t="array" ref="C1071">PRODUCT(1-'Sparkling Model'!D$2:D$38^A1071)</f>
        <v>0.0001935414984</v>
      </c>
    </row>
    <row r="1072">
      <c r="A1072" s="6">
        <v>1070.0</v>
      </c>
      <c r="B1072" s="17">
        <f t="array" ref="B1072">SUM(1-'Sparkling Model'!D$2:D$38^A1072)</f>
        <v>30.12902953</v>
      </c>
      <c r="C1072" s="8">
        <f t="array" ref="C1072">PRODUCT(1-'Sparkling Model'!D$2:D$38^A1072)</f>
        <v>0.0001958759885</v>
      </c>
    </row>
    <row r="1073">
      <c r="A1073" s="6">
        <v>1071.0</v>
      </c>
      <c r="B1073" s="17">
        <f t="array" ref="B1073">SUM(1-'Sparkling Model'!D$2:D$38^A1073)</f>
        <v>30.13774963</v>
      </c>
      <c r="C1073" s="8">
        <f t="array" ref="C1073">PRODUCT(1-'Sparkling Model'!D$2:D$38^A1073)</f>
        <v>0.0001982341338</v>
      </c>
    </row>
    <row r="1074">
      <c r="A1074" s="6">
        <v>1072.0</v>
      </c>
      <c r="B1074" s="17">
        <f t="array" ref="B1074">SUM(1-'Sparkling Model'!D$2:D$38^A1074)</f>
        <v>30.14645533</v>
      </c>
      <c r="C1074" s="8">
        <f t="array" ref="C1074">PRODUCT(1-'Sparkling Model'!D$2:D$38^A1074)</f>
        <v>0.0002006161223</v>
      </c>
    </row>
    <row r="1075">
      <c r="A1075" s="6">
        <v>1073.0</v>
      </c>
      <c r="B1075" s="17">
        <f t="array" ref="B1075">SUM(1-'Sparkling Model'!D$2:D$38^A1075)</f>
        <v>30.15514667</v>
      </c>
      <c r="C1075" s="8">
        <f t="array" ref="C1075">PRODUCT(1-'Sparkling Model'!D$2:D$38^A1075)</f>
        <v>0.0002030221432</v>
      </c>
    </row>
    <row r="1076">
      <c r="A1076" s="6">
        <v>1074.0</v>
      </c>
      <c r="B1076" s="17">
        <f t="array" ref="B1076">SUM(1-'Sparkling Model'!D$2:D$38^A1076)</f>
        <v>30.16382367</v>
      </c>
      <c r="C1076" s="8">
        <f t="array" ref="C1076">PRODUCT(1-'Sparkling Model'!D$2:D$38^A1076)</f>
        <v>0.0002054523864</v>
      </c>
    </row>
    <row r="1077">
      <c r="A1077" s="6">
        <v>1075.0</v>
      </c>
      <c r="B1077" s="17">
        <f t="array" ref="B1077">SUM(1-'Sparkling Model'!D$2:D$38^A1077)</f>
        <v>30.17248637</v>
      </c>
      <c r="C1077" s="8">
        <f t="array" ref="C1077">PRODUCT(1-'Sparkling Model'!D$2:D$38^A1077)</f>
        <v>0.000207907043</v>
      </c>
    </row>
    <row r="1078">
      <c r="A1078" s="6">
        <v>1076.0</v>
      </c>
      <c r="B1078" s="17">
        <f t="array" ref="B1078">SUM(1-'Sparkling Model'!D$2:D$38^A1078)</f>
        <v>30.18113478</v>
      </c>
      <c r="C1078" s="8">
        <f t="array" ref="C1078">PRODUCT(1-'Sparkling Model'!D$2:D$38^A1078)</f>
        <v>0.0002103863051</v>
      </c>
    </row>
    <row r="1079">
      <c r="A1079" s="6">
        <v>1077.0</v>
      </c>
      <c r="B1079" s="17">
        <f t="array" ref="B1079">SUM(1-'Sparkling Model'!D$2:D$38^A1079)</f>
        <v>30.18976894</v>
      </c>
      <c r="C1079" s="8">
        <f t="array" ref="C1079">PRODUCT(1-'Sparkling Model'!D$2:D$38^A1079)</f>
        <v>0.0002128903657</v>
      </c>
    </row>
    <row r="1080">
      <c r="A1080" s="6">
        <v>1078.0</v>
      </c>
      <c r="B1080" s="17">
        <f t="array" ref="B1080">SUM(1-'Sparkling Model'!D$2:D$38^A1080)</f>
        <v>30.19838888</v>
      </c>
      <c r="C1080" s="8">
        <f t="array" ref="C1080">PRODUCT(1-'Sparkling Model'!D$2:D$38^A1080)</f>
        <v>0.0002154194189</v>
      </c>
    </row>
    <row r="1081">
      <c r="A1081" s="6">
        <v>1079.0</v>
      </c>
      <c r="B1081" s="17">
        <f t="array" ref="B1081">SUM(1-'Sparkling Model'!D$2:D$38^A1081)</f>
        <v>30.20699463</v>
      </c>
      <c r="C1081" s="8">
        <f t="array" ref="C1081">PRODUCT(1-'Sparkling Model'!D$2:D$38^A1081)</f>
        <v>0.0002179736597</v>
      </c>
    </row>
    <row r="1082">
      <c r="A1082" s="6">
        <v>1080.0</v>
      </c>
      <c r="B1082" s="17">
        <f t="array" ref="B1082">SUM(1-'Sparkling Model'!D$2:D$38^A1082)</f>
        <v>30.21558621</v>
      </c>
      <c r="C1082" s="8">
        <f t="array" ref="C1082">PRODUCT(1-'Sparkling Model'!D$2:D$38^A1082)</f>
        <v>0.0002205532841</v>
      </c>
    </row>
    <row r="1083">
      <c r="A1083" s="6">
        <v>1081.0</v>
      </c>
      <c r="B1083" s="17">
        <f t="array" ref="B1083">SUM(1-'Sparkling Model'!D$2:D$38^A1083)</f>
        <v>30.22416364</v>
      </c>
      <c r="C1083" s="8">
        <f t="array" ref="C1083">PRODUCT(1-'Sparkling Model'!D$2:D$38^A1083)</f>
        <v>0.0002231584892</v>
      </c>
    </row>
    <row r="1084">
      <c r="A1084" s="6">
        <v>1082.0</v>
      </c>
      <c r="B1084" s="17">
        <f t="array" ref="B1084">SUM(1-'Sparkling Model'!D$2:D$38^A1084)</f>
        <v>30.23272697</v>
      </c>
      <c r="C1084" s="8">
        <f t="array" ref="C1084">PRODUCT(1-'Sparkling Model'!D$2:D$38^A1084)</f>
        <v>0.000225789473</v>
      </c>
    </row>
    <row r="1085">
      <c r="A1085" s="6">
        <v>1083.0</v>
      </c>
      <c r="B1085" s="17">
        <f t="array" ref="B1085">SUM(1-'Sparkling Model'!D$2:D$38^A1085)</f>
        <v>30.24127621</v>
      </c>
      <c r="C1085" s="8">
        <f t="array" ref="C1085">PRODUCT(1-'Sparkling Model'!D$2:D$38^A1085)</f>
        <v>0.0002284464347</v>
      </c>
    </row>
    <row r="1086">
      <c r="A1086" s="6">
        <v>1084.0</v>
      </c>
      <c r="B1086" s="17">
        <f t="array" ref="B1086">SUM(1-'Sparkling Model'!D$2:D$38^A1086)</f>
        <v>30.24981139</v>
      </c>
      <c r="C1086" s="8">
        <f t="array" ref="C1086">PRODUCT(1-'Sparkling Model'!D$2:D$38^A1086)</f>
        <v>0.0002311295741</v>
      </c>
    </row>
    <row r="1087">
      <c r="A1087" s="6">
        <v>1085.0</v>
      </c>
      <c r="B1087" s="17">
        <f t="array" ref="B1087">SUM(1-'Sparkling Model'!D$2:D$38^A1087)</f>
        <v>30.25833255</v>
      </c>
      <c r="C1087" s="8">
        <f t="array" ref="C1087">PRODUCT(1-'Sparkling Model'!D$2:D$38^A1087)</f>
        <v>0.0002338390925</v>
      </c>
    </row>
    <row r="1088">
      <c r="A1088" s="6">
        <v>1086.0</v>
      </c>
      <c r="B1088" s="17">
        <f t="array" ref="B1088">SUM(1-'Sparkling Model'!D$2:D$38^A1088)</f>
        <v>30.2668397</v>
      </c>
      <c r="C1088" s="8">
        <f t="array" ref="C1088">PRODUCT(1-'Sparkling Model'!D$2:D$38^A1088)</f>
        <v>0.0002365751917</v>
      </c>
    </row>
    <row r="1089">
      <c r="A1089" s="6">
        <v>1087.0</v>
      </c>
      <c r="B1089" s="17">
        <f t="array" ref="B1089">SUM(1-'Sparkling Model'!D$2:D$38^A1089)</f>
        <v>30.27533288</v>
      </c>
      <c r="C1089" s="8">
        <f t="array" ref="C1089">PRODUCT(1-'Sparkling Model'!D$2:D$38^A1089)</f>
        <v>0.0002393380751</v>
      </c>
    </row>
    <row r="1090">
      <c r="A1090" s="6">
        <v>1088.0</v>
      </c>
      <c r="B1090" s="17">
        <f t="array" ref="B1090">SUM(1-'Sparkling Model'!D$2:D$38^A1090)</f>
        <v>30.28381211</v>
      </c>
      <c r="C1090" s="8">
        <f t="array" ref="C1090">PRODUCT(1-'Sparkling Model'!D$2:D$38^A1090)</f>
        <v>0.0002421279464</v>
      </c>
    </row>
    <row r="1091">
      <c r="A1091" s="6">
        <v>1089.0</v>
      </c>
      <c r="B1091" s="17">
        <f t="array" ref="B1091">SUM(1-'Sparkling Model'!D$2:D$38^A1091)</f>
        <v>30.29227742</v>
      </c>
      <c r="C1091" s="8">
        <f t="array" ref="C1091">PRODUCT(1-'Sparkling Model'!D$2:D$38^A1091)</f>
        <v>0.000244945011</v>
      </c>
    </row>
    <row r="1092">
      <c r="A1092" s="6">
        <v>1090.0</v>
      </c>
      <c r="B1092" s="17">
        <f t="array" ref="B1092">SUM(1-'Sparkling Model'!D$2:D$38^A1092)</f>
        <v>30.30072885</v>
      </c>
      <c r="C1092" s="8">
        <f t="array" ref="C1092">PRODUCT(1-'Sparkling Model'!D$2:D$38^A1092)</f>
        <v>0.0002477894748</v>
      </c>
    </row>
    <row r="1093">
      <c r="A1093" s="6">
        <v>1091.0</v>
      </c>
      <c r="B1093" s="17">
        <f t="array" ref="B1093">SUM(1-'Sparkling Model'!D$2:D$38^A1093)</f>
        <v>30.3091664</v>
      </c>
      <c r="C1093" s="8">
        <f t="array" ref="C1093">PRODUCT(1-'Sparkling Model'!D$2:D$38^A1093)</f>
        <v>0.000250661545</v>
      </c>
    </row>
    <row r="1094">
      <c r="A1094" s="6">
        <v>1092.0</v>
      </c>
      <c r="B1094" s="17">
        <f t="array" ref="B1094">SUM(1-'Sparkling Model'!D$2:D$38^A1094)</f>
        <v>30.31759012</v>
      </c>
      <c r="C1094" s="8">
        <f t="array" ref="C1094">PRODUCT(1-'Sparkling Model'!D$2:D$38^A1094)</f>
        <v>0.0002535614296</v>
      </c>
    </row>
    <row r="1095">
      <c r="A1095" s="6">
        <v>1093.0</v>
      </c>
      <c r="B1095" s="17">
        <f t="array" ref="B1095">SUM(1-'Sparkling Model'!D$2:D$38^A1095)</f>
        <v>30.32600003</v>
      </c>
      <c r="C1095" s="8">
        <f t="array" ref="C1095">PRODUCT(1-'Sparkling Model'!D$2:D$38^A1095)</f>
        <v>0.0002564893379</v>
      </c>
    </row>
    <row r="1096">
      <c r="A1096" s="6">
        <v>1094.0</v>
      </c>
      <c r="B1096" s="17">
        <f t="array" ref="B1096">SUM(1-'Sparkling Model'!D$2:D$38^A1096)</f>
        <v>30.33439616</v>
      </c>
      <c r="C1096" s="8">
        <f t="array" ref="C1096">PRODUCT(1-'Sparkling Model'!D$2:D$38^A1096)</f>
        <v>0.0002594454798</v>
      </c>
    </row>
    <row r="1097">
      <c r="A1097" s="6">
        <v>1095.0</v>
      </c>
      <c r="B1097" s="17">
        <f t="array" ref="B1097">SUM(1-'Sparkling Model'!D$2:D$38^A1097)</f>
        <v>30.34277853</v>
      </c>
      <c r="C1097" s="8">
        <f t="array" ref="C1097">PRODUCT(1-'Sparkling Model'!D$2:D$38^A1097)</f>
        <v>0.0002624300665</v>
      </c>
    </row>
    <row r="1098">
      <c r="A1098" s="6">
        <v>1096.0</v>
      </c>
      <c r="B1098" s="17">
        <f t="array" ref="B1098">SUM(1-'Sparkling Model'!D$2:D$38^A1098)</f>
        <v>30.35114717</v>
      </c>
      <c r="C1098" s="8">
        <f t="array" ref="C1098">PRODUCT(1-'Sparkling Model'!D$2:D$38^A1098)</f>
        <v>0.0002654433103</v>
      </c>
    </row>
    <row r="1099">
      <c r="A1099" s="6">
        <v>1097.0</v>
      </c>
      <c r="B1099" s="17">
        <f t="array" ref="B1099">SUM(1-'Sparkling Model'!D$2:D$38^A1099)</f>
        <v>30.35950211</v>
      </c>
      <c r="C1099" s="8">
        <f t="array" ref="C1099">PRODUCT(1-'Sparkling Model'!D$2:D$38^A1099)</f>
        <v>0.0002684854242</v>
      </c>
    </row>
    <row r="1100">
      <c r="A1100" s="6">
        <v>1098.0</v>
      </c>
      <c r="B1100" s="17">
        <f t="array" ref="B1100">SUM(1-'Sparkling Model'!D$2:D$38^A1100)</f>
        <v>30.36784337</v>
      </c>
      <c r="C1100" s="8">
        <f t="array" ref="C1100">PRODUCT(1-'Sparkling Model'!D$2:D$38^A1100)</f>
        <v>0.0002715566225</v>
      </c>
    </row>
    <row r="1101">
      <c r="A1101" s="6">
        <v>1099.0</v>
      </c>
      <c r="B1101" s="17">
        <f t="array" ref="B1101">SUM(1-'Sparkling Model'!D$2:D$38^A1101)</f>
        <v>30.37617098</v>
      </c>
      <c r="C1101" s="8">
        <f t="array" ref="C1101">PRODUCT(1-'Sparkling Model'!D$2:D$38^A1101)</f>
        <v>0.0002746571203</v>
      </c>
    </row>
    <row r="1102">
      <c r="A1102" s="6">
        <v>1100.0</v>
      </c>
      <c r="B1102" s="17">
        <f t="array" ref="B1102">SUM(1-'Sparkling Model'!D$2:D$38^A1102)</f>
        <v>30.38448497</v>
      </c>
      <c r="C1102" s="8">
        <f t="array" ref="C1102">PRODUCT(1-'Sparkling Model'!D$2:D$38^A1102)</f>
        <v>0.0002777871339</v>
      </c>
    </row>
    <row r="1103">
      <c r="A1103" s="6">
        <v>1101.0</v>
      </c>
      <c r="B1103" s="17">
        <f t="array" ref="B1103">SUM(1-'Sparkling Model'!D$2:D$38^A1103)</f>
        <v>30.39278537</v>
      </c>
      <c r="C1103" s="8">
        <f t="array" ref="C1103">PRODUCT(1-'Sparkling Model'!D$2:D$38^A1103)</f>
        <v>0.0002809468803</v>
      </c>
    </row>
    <row r="1104">
      <c r="A1104" s="6">
        <v>1102.0</v>
      </c>
      <c r="B1104" s="17">
        <f t="array" ref="B1104">SUM(1-'Sparkling Model'!D$2:D$38^A1104)</f>
        <v>30.4010722</v>
      </c>
      <c r="C1104" s="8">
        <f t="array" ref="C1104">PRODUCT(1-'Sparkling Model'!D$2:D$38^A1104)</f>
        <v>0.000284136578</v>
      </c>
    </row>
    <row r="1105">
      <c r="A1105" s="6">
        <v>1103.0</v>
      </c>
      <c r="B1105" s="17">
        <f t="array" ref="B1105">SUM(1-'Sparkling Model'!D$2:D$38^A1105)</f>
        <v>30.40934548</v>
      </c>
      <c r="C1105" s="8">
        <f t="array" ref="C1105">PRODUCT(1-'Sparkling Model'!D$2:D$38^A1105)</f>
        <v>0.0002873564461</v>
      </c>
    </row>
    <row r="1106">
      <c r="A1106" s="6">
        <v>1104.0</v>
      </c>
      <c r="B1106" s="17">
        <f t="array" ref="B1106">SUM(1-'Sparkling Model'!D$2:D$38^A1106)</f>
        <v>30.41760525</v>
      </c>
      <c r="C1106" s="8">
        <f t="array" ref="C1106">PRODUCT(1-'Sparkling Model'!D$2:D$38^A1106)</f>
        <v>0.0002906067049</v>
      </c>
    </row>
    <row r="1107">
      <c r="A1107" s="6">
        <v>1105.0</v>
      </c>
      <c r="B1107" s="17">
        <f t="array" ref="B1107">SUM(1-'Sparkling Model'!D$2:D$38^A1107)</f>
        <v>30.42585153</v>
      </c>
      <c r="C1107" s="8">
        <f t="array" ref="C1107">PRODUCT(1-'Sparkling Model'!D$2:D$38^A1107)</f>
        <v>0.0002938875757</v>
      </c>
    </row>
    <row r="1108">
      <c r="A1108" s="6">
        <v>1106.0</v>
      </c>
      <c r="B1108" s="17">
        <f t="array" ref="B1108">SUM(1-'Sparkling Model'!D$2:D$38^A1108)</f>
        <v>30.43408435</v>
      </c>
      <c r="C1108" s="8">
        <f t="array" ref="C1108">PRODUCT(1-'Sparkling Model'!D$2:D$38^A1108)</f>
        <v>0.0002971992807</v>
      </c>
    </row>
    <row r="1109">
      <c r="A1109" s="6">
        <v>1107.0</v>
      </c>
      <c r="B1109" s="17">
        <f t="array" ref="B1109">SUM(1-'Sparkling Model'!D$2:D$38^A1109)</f>
        <v>30.44230373</v>
      </c>
      <c r="C1109" s="8">
        <f t="array" ref="C1109">PRODUCT(1-'Sparkling Model'!D$2:D$38^A1109)</f>
        <v>0.0003005420433</v>
      </c>
    </row>
    <row r="1110">
      <c r="A1110" s="6">
        <v>1108.0</v>
      </c>
      <c r="B1110" s="17">
        <f t="array" ref="B1110">SUM(1-'Sparkling Model'!D$2:D$38^A1110)</f>
        <v>30.45050969</v>
      </c>
      <c r="C1110" s="8">
        <f t="array" ref="C1110">PRODUCT(1-'Sparkling Model'!D$2:D$38^A1110)</f>
        <v>0.0003039160878</v>
      </c>
    </row>
    <row r="1111">
      <c r="A1111" s="6">
        <v>1109.0</v>
      </c>
      <c r="B1111" s="17">
        <f t="array" ref="B1111">SUM(1-'Sparkling Model'!D$2:D$38^A1111)</f>
        <v>30.45870228</v>
      </c>
      <c r="C1111" s="8">
        <f t="array" ref="C1111">PRODUCT(1-'Sparkling Model'!D$2:D$38^A1111)</f>
        <v>0.0003073216396</v>
      </c>
    </row>
    <row r="1112">
      <c r="A1112" s="6">
        <v>1110.0</v>
      </c>
      <c r="B1112" s="17">
        <f t="array" ref="B1112">SUM(1-'Sparkling Model'!D$2:D$38^A1112)</f>
        <v>30.4668815</v>
      </c>
      <c r="C1112" s="8">
        <f t="array" ref="C1112">PRODUCT(1-'Sparkling Model'!D$2:D$38^A1112)</f>
        <v>0.000310758925</v>
      </c>
    </row>
    <row r="1113">
      <c r="A1113" s="6">
        <v>1111.0</v>
      </c>
      <c r="B1113" s="17">
        <f t="array" ref="B1113">SUM(1-'Sparkling Model'!D$2:D$38^A1113)</f>
        <v>30.4750474</v>
      </c>
      <c r="C1113" s="8">
        <f t="array" ref="C1113">PRODUCT(1-'Sparkling Model'!D$2:D$38^A1113)</f>
        <v>0.0003142281713</v>
      </c>
    </row>
    <row r="1114">
      <c r="A1114" s="6">
        <v>1112.0</v>
      </c>
      <c r="B1114" s="17">
        <f t="array" ref="B1114">SUM(1-'Sparkling Model'!D$2:D$38^A1114)</f>
        <v>30.48319999</v>
      </c>
      <c r="C1114" s="8">
        <f t="array" ref="C1114">PRODUCT(1-'Sparkling Model'!D$2:D$38^A1114)</f>
        <v>0.000317729607</v>
      </c>
    </row>
    <row r="1115">
      <c r="A1115" s="6">
        <v>1113.0</v>
      </c>
      <c r="B1115" s="17">
        <f t="array" ref="B1115">SUM(1-'Sparkling Model'!D$2:D$38^A1115)</f>
        <v>30.49133929</v>
      </c>
      <c r="C1115" s="8">
        <f t="array" ref="C1115">PRODUCT(1-'Sparkling Model'!D$2:D$38^A1115)</f>
        <v>0.0003212634615</v>
      </c>
    </row>
    <row r="1116">
      <c r="A1116" s="6">
        <v>1114.0</v>
      </c>
      <c r="B1116" s="17">
        <f t="array" ref="B1116">SUM(1-'Sparkling Model'!D$2:D$38^A1116)</f>
        <v>30.49946535</v>
      </c>
      <c r="C1116" s="8">
        <f t="array" ref="C1116">PRODUCT(1-'Sparkling Model'!D$2:D$38^A1116)</f>
        <v>0.0003248299652</v>
      </c>
    </row>
    <row r="1117">
      <c r="A1117" s="6">
        <v>1115.0</v>
      </c>
      <c r="B1117" s="17">
        <f t="array" ref="B1117">SUM(1-'Sparkling Model'!D$2:D$38^A1117)</f>
        <v>30.50757817</v>
      </c>
      <c r="C1117" s="8">
        <f t="array" ref="C1117">PRODUCT(1-'Sparkling Model'!D$2:D$38^A1117)</f>
        <v>0.0003284293495</v>
      </c>
    </row>
    <row r="1118">
      <c r="A1118" s="6">
        <v>1116.0</v>
      </c>
      <c r="B1118" s="17">
        <f t="array" ref="B1118">SUM(1-'Sparkling Model'!D$2:D$38^A1118)</f>
        <v>30.51567779</v>
      </c>
      <c r="C1118" s="8">
        <f t="array" ref="C1118">PRODUCT(1-'Sparkling Model'!D$2:D$38^A1118)</f>
        <v>0.0003320618469</v>
      </c>
    </row>
    <row r="1119">
      <c r="A1119" s="6">
        <v>1117.0</v>
      </c>
      <c r="B1119" s="17">
        <f t="array" ref="B1119">SUM(1-'Sparkling Model'!D$2:D$38^A1119)</f>
        <v>30.52376424</v>
      </c>
      <c r="C1119" s="8">
        <f t="array" ref="C1119">PRODUCT(1-'Sparkling Model'!D$2:D$38^A1119)</f>
        <v>0.0003357276909</v>
      </c>
    </row>
    <row r="1120">
      <c r="A1120" s="6">
        <v>1118.0</v>
      </c>
      <c r="B1120" s="17">
        <f t="array" ref="B1120">SUM(1-'Sparkling Model'!D$2:D$38^A1120)</f>
        <v>30.53183753</v>
      </c>
      <c r="C1120" s="8">
        <f t="array" ref="C1120">PRODUCT(1-'Sparkling Model'!D$2:D$38^A1120)</f>
        <v>0.000339427116</v>
      </c>
    </row>
    <row r="1121">
      <c r="A1121" s="6">
        <v>1119.0</v>
      </c>
      <c r="B1121" s="17">
        <f t="array" ref="B1121">SUM(1-'Sparkling Model'!D$2:D$38^A1121)</f>
        <v>30.5398977</v>
      </c>
      <c r="C1121" s="8">
        <f t="array" ref="C1121">PRODUCT(1-'Sparkling Model'!D$2:D$38^A1121)</f>
        <v>0.0003431603576</v>
      </c>
    </row>
    <row r="1122">
      <c r="A1122" s="6">
        <v>1120.0</v>
      </c>
      <c r="B1122" s="17">
        <f t="array" ref="B1122">SUM(1-'Sparkling Model'!D$2:D$38^A1122)</f>
        <v>30.54794476</v>
      </c>
      <c r="C1122" s="8">
        <f t="array" ref="C1122">PRODUCT(1-'Sparkling Model'!D$2:D$38^A1122)</f>
        <v>0.0003469276524</v>
      </c>
    </row>
    <row r="1123">
      <c r="A1123" s="6">
        <v>1121.0</v>
      </c>
      <c r="B1123" s="17">
        <f t="array" ref="B1123">SUM(1-'Sparkling Model'!D$2:D$38^A1123)</f>
        <v>30.55597876</v>
      </c>
      <c r="C1123" s="8">
        <f t="array" ref="C1123">PRODUCT(1-'Sparkling Model'!D$2:D$38^A1123)</f>
        <v>0.0003507292377</v>
      </c>
    </row>
    <row r="1124">
      <c r="A1124" s="6">
        <v>1122.0</v>
      </c>
      <c r="B1124" s="17">
        <f t="array" ref="B1124">SUM(1-'Sparkling Model'!D$2:D$38^A1124)</f>
        <v>30.5639997</v>
      </c>
      <c r="C1124" s="8">
        <f t="array" ref="C1124">PRODUCT(1-'Sparkling Model'!D$2:D$38^A1124)</f>
        <v>0.0003545653523</v>
      </c>
    </row>
    <row r="1125">
      <c r="A1125" s="6">
        <v>1123.0</v>
      </c>
      <c r="B1125" s="17">
        <f t="array" ref="B1125">SUM(1-'Sparkling Model'!D$2:D$38^A1125)</f>
        <v>30.57200762</v>
      </c>
      <c r="C1125" s="8">
        <f t="array" ref="C1125">PRODUCT(1-'Sparkling Model'!D$2:D$38^A1125)</f>
        <v>0.0003584362356</v>
      </c>
    </row>
    <row r="1126">
      <c r="A1126" s="6">
        <v>1124.0</v>
      </c>
      <c r="B1126" s="17">
        <f t="array" ref="B1126">SUM(1-'Sparkling Model'!D$2:D$38^A1126)</f>
        <v>30.58000254</v>
      </c>
      <c r="C1126" s="8">
        <f t="array" ref="C1126">PRODUCT(1-'Sparkling Model'!D$2:D$38^A1126)</f>
        <v>0.0003623421282</v>
      </c>
    </row>
    <row r="1127">
      <c r="A1127" s="6">
        <v>1125.0</v>
      </c>
      <c r="B1127" s="17">
        <f t="array" ref="B1127">SUM(1-'Sparkling Model'!D$2:D$38^A1127)</f>
        <v>30.58798448</v>
      </c>
      <c r="C1127" s="8">
        <f t="array" ref="C1127">PRODUCT(1-'Sparkling Model'!D$2:D$38^A1127)</f>
        <v>0.0003662832717</v>
      </c>
    </row>
    <row r="1128">
      <c r="A1128" s="6">
        <v>1126.0</v>
      </c>
      <c r="B1128" s="17">
        <f t="array" ref="B1128">SUM(1-'Sparkling Model'!D$2:D$38^A1128)</f>
        <v>30.59595348</v>
      </c>
      <c r="C1128" s="8">
        <f t="array" ref="C1128">PRODUCT(1-'Sparkling Model'!D$2:D$38^A1128)</f>
        <v>0.0003702599088</v>
      </c>
    </row>
    <row r="1129">
      <c r="A1129" s="6">
        <v>1127.0</v>
      </c>
      <c r="B1129" s="17">
        <f t="array" ref="B1129">SUM(1-'Sparkling Model'!D$2:D$38^A1129)</f>
        <v>30.60390956</v>
      </c>
      <c r="C1129" s="8">
        <f t="array" ref="C1129">PRODUCT(1-'Sparkling Model'!D$2:D$38^A1129)</f>
        <v>0.0003742722831</v>
      </c>
    </row>
    <row r="1130">
      <c r="A1130" s="6">
        <v>1128.0</v>
      </c>
      <c r="B1130" s="17">
        <f t="array" ref="B1130">SUM(1-'Sparkling Model'!D$2:D$38^A1130)</f>
        <v>30.61185274</v>
      </c>
      <c r="C1130" s="8">
        <f t="array" ref="C1130">PRODUCT(1-'Sparkling Model'!D$2:D$38^A1130)</f>
        <v>0.0003783206392</v>
      </c>
    </row>
    <row r="1131">
      <c r="A1131" s="6">
        <v>1129.0</v>
      </c>
      <c r="B1131" s="17">
        <f t="array" ref="B1131">SUM(1-'Sparkling Model'!D$2:D$38^A1131)</f>
        <v>30.61978304</v>
      </c>
      <c r="C1131" s="8">
        <f t="array" ref="C1131">PRODUCT(1-'Sparkling Model'!D$2:D$38^A1131)</f>
        <v>0.0003824052227</v>
      </c>
    </row>
    <row r="1132">
      <c r="A1132" s="6">
        <v>1130.0</v>
      </c>
      <c r="B1132" s="17">
        <f t="array" ref="B1132">SUM(1-'Sparkling Model'!D$2:D$38^A1132)</f>
        <v>30.6277005</v>
      </c>
      <c r="C1132" s="8">
        <f t="array" ref="C1132">PRODUCT(1-'Sparkling Model'!D$2:D$38^A1132)</f>
        <v>0.0003865262804</v>
      </c>
    </row>
    <row r="1133">
      <c r="A1133" s="6">
        <v>1131.0</v>
      </c>
      <c r="B1133" s="17">
        <f t="array" ref="B1133">SUM(1-'Sparkling Model'!D$2:D$38^A1133)</f>
        <v>30.63560513</v>
      </c>
      <c r="C1133" s="8">
        <f t="array" ref="C1133">PRODUCT(1-'Sparkling Model'!D$2:D$38^A1133)</f>
        <v>0.0003906840599</v>
      </c>
    </row>
    <row r="1134">
      <c r="A1134" s="6">
        <v>1132.0</v>
      </c>
      <c r="B1134" s="17">
        <f t="array" ref="B1134">SUM(1-'Sparkling Model'!D$2:D$38^A1134)</f>
        <v>30.64349697</v>
      </c>
      <c r="C1134" s="8">
        <f t="array" ref="C1134">PRODUCT(1-'Sparkling Model'!D$2:D$38^A1134)</f>
        <v>0.0003948788098</v>
      </c>
    </row>
    <row r="1135">
      <c r="A1135" s="6">
        <v>1133.0</v>
      </c>
      <c r="B1135" s="17">
        <f t="array" ref="B1135">SUM(1-'Sparkling Model'!D$2:D$38^A1135)</f>
        <v>30.65137603</v>
      </c>
      <c r="C1135" s="8">
        <f t="array" ref="C1135">PRODUCT(1-'Sparkling Model'!D$2:D$38^A1135)</f>
        <v>0.00039911078</v>
      </c>
    </row>
    <row r="1136">
      <c r="A1136" s="6">
        <v>1134.0</v>
      </c>
      <c r="B1136" s="17">
        <f t="array" ref="B1136">SUM(1-'Sparkling Model'!D$2:D$38^A1136)</f>
        <v>30.65924235</v>
      </c>
      <c r="C1136" s="8">
        <f t="array" ref="C1136">PRODUCT(1-'Sparkling Model'!D$2:D$38^A1136)</f>
        <v>0.000403380221</v>
      </c>
    </row>
    <row r="1137">
      <c r="A1137" s="6">
        <v>1135.0</v>
      </c>
      <c r="B1137" s="17">
        <f t="array" ref="B1137">SUM(1-'Sparkling Model'!D$2:D$38^A1137)</f>
        <v>30.66709594</v>
      </c>
      <c r="C1137" s="8">
        <f t="array" ref="C1137">PRODUCT(1-'Sparkling Model'!D$2:D$38^A1137)</f>
        <v>0.0004076873847</v>
      </c>
    </row>
    <row r="1138">
      <c r="A1138" s="6">
        <v>1136.0</v>
      </c>
      <c r="B1138" s="17">
        <f t="array" ref="B1138">SUM(1-'Sparkling Model'!D$2:D$38^A1138)</f>
        <v>30.67493683</v>
      </c>
      <c r="C1138" s="8">
        <f t="array" ref="C1138">PRODUCT(1-'Sparkling Model'!D$2:D$38^A1138)</f>
        <v>0.0004120325236</v>
      </c>
    </row>
    <row r="1139">
      <c r="A1139" s="6">
        <v>1137.0</v>
      </c>
      <c r="B1139" s="17">
        <f t="array" ref="B1139">SUM(1-'Sparkling Model'!D$2:D$38^A1139)</f>
        <v>30.68276505</v>
      </c>
      <c r="C1139" s="8">
        <f t="array" ref="C1139">PRODUCT(1-'Sparkling Model'!D$2:D$38^A1139)</f>
        <v>0.0004164158917</v>
      </c>
    </row>
    <row r="1140">
      <c r="A1140" s="6">
        <v>1138.0</v>
      </c>
      <c r="B1140" s="17">
        <f t="array" ref="B1140">SUM(1-'Sparkling Model'!D$2:D$38^A1140)</f>
        <v>30.69058061</v>
      </c>
      <c r="C1140" s="8">
        <f t="array" ref="C1140">PRODUCT(1-'Sparkling Model'!D$2:D$38^A1140)</f>
        <v>0.0004208377435</v>
      </c>
    </row>
    <row r="1141">
      <c r="A1141" s="6">
        <v>1139.0</v>
      </c>
      <c r="B1141" s="17">
        <f t="array" ref="B1141">SUM(1-'Sparkling Model'!D$2:D$38^A1141)</f>
        <v>30.69838356</v>
      </c>
      <c r="C1141" s="8">
        <f t="array" ref="C1141">PRODUCT(1-'Sparkling Model'!D$2:D$38^A1141)</f>
        <v>0.000425298335</v>
      </c>
    </row>
    <row r="1142">
      <c r="A1142" s="6">
        <v>1140.0</v>
      </c>
      <c r="B1142" s="17">
        <f t="array" ref="B1142">SUM(1-'Sparkling Model'!D$2:D$38^A1142)</f>
        <v>30.7061739</v>
      </c>
      <c r="C1142" s="8">
        <f t="array" ref="C1142">PRODUCT(1-'Sparkling Model'!D$2:D$38^A1142)</f>
        <v>0.0004297979227</v>
      </c>
    </row>
    <row r="1143">
      <c r="A1143" s="6">
        <v>1141.0</v>
      </c>
      <c r="B1143" s="17">
        <f t="array" ref="B1143">SUM(1-'Sparkling Model'!D$2:D$38^A1143)</f>
        <v>30.71395166</v>
      </c>
      <c r="C1143" s="8">
        <f t="array" ref="C1143">PRODUCT(1-'Sparkling Model'!D$2:D$38^A1143)</f>
        <v>0.0004343367645</v>
      </c>
    </row>
    <row r="1144">
      <c r="A1144" s="6">
        <v>1142.0</v>
      </c>
      <c r="B1144" s="17">
        <f t="array" ref="B1144">SUM(1-'Sparkling Model'!D$2:D$38^A1144)</f>
        <v>30.72171687</v>
      </c>
      <c r="C1144" s="8">
        <f t="array" ref="C1144">PRODUCT(1-'Sparkling Model'!D$2:D$38^A1144)</f>
        <v>0.0004389151191</v>
      </c>
    </row>
    <row r="1145">
      <c r="A1145" s="6">
        <v>1143.0</v>
      </c>
      <c r="B1145" s="17">
        <f t="array" ref="B1145">SUM(1-'Sparkling Model'!D$2:D$38^A1145)</f>
        <v>30.72946956</v>
      </c>
      <c r="C1145" s="8">
        <f t="array" ref="C1145">PRODUCT(1-'Sparkling Model'!D$2:D$38^A1145)</f>
        <v>0.0004435332463</v>
      </c>
    </row>
    <row r="1146">
      <c r="A1146" s="6">
        <v>1144.0</v>
      </c>
      <c r="B1146" s="17">
        <f t="array" ref="B1146">SUM(1-'Sparkling Model'!D$2:D$38^A1146)</f>
        <v>30.73720974</v>
      </c>
      <c r="C1146" s="8">
        <f t="array" ref="C1146">PRODUCT(1-'Sparkling Model'!D$2:D$38^A1146)</f>
        <v>0.0004481914069</v>
      </c>
    </row>
    <row r="1147">
      <c r="A1147" s="6">
        <v>1145.0</v>
      </c>
      <c r="B1147" s="17">
        <f t="array" ref="B1147">SUM(1-'Sparkling Model'!D$2:D$38^A1147)</f>
        <v>30.74493744</v>
      </c>
      <c r="C1147" s="8">
        <f t="array" ref="C1147">PRODUCT(1-'Sparkling Model'!D$2:D$38^A1147)</f>
        <v>0.0004528898626</v>
      </c>
    </row>
    <row r="1148">
      <c r="A1148" s="6">
        <v>1146.0</v>
      </c>
      <c r="B1148" s="17">
        <f t="array" ref="B1148">SUM(1-'Sparkling Model'!D$2:D$38^A1148)</f>
        <v>30.75265269</v>
      </c>
      <c r="C1148" s="8">
        <f t="array" ref="C1148">PRODUCT(1-'Sparkling Model'!D$2:D$38^A1148)</f>
        <v>0.0004576288762</v>
      </c>
    </row>
    <row r="1149">
      <c r="A1149" s="6">
        <v>1147.0</v>
      </c>
      <c r="B1149" s="17">
        <f t="array" ref="B1149">SUM(1-'Sparkling Model'!D$2:D$38^A1149)</f>
        <v>30.7603555</v>
      </c>
      <c r="C1149" s="8">
        <f t="array" ref="C1149">PRODUCT(1-'Sparkling Model'!D$2:D$38^A1149)</f>
        <v>0.0004624087115</v>
      </c>
    </row>
    <row r="1150">
      <c r="A1150" s="6">
        <v>1148.0</v>
      </c>
      <c r="B1150" s="17">
        <f t="array" ref="B1150">SUM(1-'Sparkling Model'!D$2:D$38^A1150)</f>
        <v>30.76804591</v>
      </c>
      <c r="C1150" s="8">
        <f t="array" ref="C1150">PRODUCT(1-'Sparkling Model'!D$2:D$38^A1150)</f>
        <v>0.0004672296332</v>
      </c>
    </row>
    <row r="1151">
      <c r="A1151" s="6">
        <v>1149.0</v>
      </c>
      <c r="B1151" s="17">
        <f t="array" ref="B1151">SUM(1-'Sparkling Model'!D$2:D$38^A1151)</f>
        <v>30.77572393</v>
      </c>
      <c r="C1151" s="8">
        <f t="array" ref="C1151">PRODUCT(1-'Sparkling Model'!D$2:D$38^A1151)</f>
        <v>0.0004720919071</v>
      </c>
    </row>
    <row r="1152">
      <c r="A1152" s="6">
        <v>1150.0</v>
      </c>
      <c r="B1152" s="17">
        <f t="array" ref="B1152">SUM(1-'Sparkling Model'!D$2:D$38^A1152)</f>
        <v>30.7833896</v>
      </c>
      <c r="C1152" s="8">
        <f t="array" ref="C1152">PRODUCT(1-'Sparkling Model'!D$2:D$38^A1152)</f>
        <v>0.0004769958</v>
      </c>
    </row>
    <row r="1153">
      <c r="A1153" s="6">
        <v>1151.0</v>
      </c>
      <c r="B1153" s="17">
        <f t="array" ref="B1153">SUM(1-'Sparkling Model'!D$2:D$38^A1153)</f>
        <v>30.79104293</v>
      </c>
      <c r="C1153" s="8">
        <f t="array" ref="C1153">PRODUCT(1-'Sparkling Model'!D$2:D$38^A1153)</f>
        <v>0.0004819415795</v>
      </c>
    </row>
    <row r="1154">
      <c r="A1154" s="6">
        <v>1152.0</v>
      </c>
      <c r="B1154" s="17">
        <f t="array" ref="B1154">SUM(1-'Sparkling Model'!D$2:D$38^A1154)</f>
        <v>30.79868394</v>
      </c>
      <c r="C1154" s="8">
        <f t="array" ref="C1154">PRODUCT(1-'Sparkling Model'!D$2:D$38^A1154)</f>
        <v>0.0004869295145</v>
      </c>
    </row>
    <row r="1155">
      <c r="A1155" s="6">
        <v>1153.0</v>
      </c>
      <c r="B1155" s="17">
        <f t="array" ref="B1155">SUM(1-'Sparkling Model'!D$2:D$38^A1155)</f>
        <v>30.80631267</v>
      </c>
      <c r="C1155" s="8">
        <f t="array" ref="C1155">PRODUCT(1-'Sparkling Model'!D$2:D$38^A1155)</f>
        <v>0.0004919598747</v>
      </c>
    </row>
    <row r="1156">
      <c r="A1156" s="6">
        <v>1154.0</v>
      </c>
      <c r="B1156" s="17">
        <f t="array" ref="B1156">SUM(1-'Sparkling Model'!D$2:D$38^A1156)</f>
        <v>30.81392914</v>
      </c>
      <c r="C1156" s="8">
        <f t="array" ref="C1156">PRODUCT(1-'Sparkling Model'!D$2:D$38^A1156)</f>
        <v>0.0004970329308</v>
      </c>
    </row>
    <row r="1157">
      <c r="A1157" s="6">
        <v>1155.0</v>
      </c>
      <c r="B1157" s="17">
        <f t="array" ref="B1157">SUM(1-'Sparkling Model'!D$2:D$38^A1157)</f>
        <v>30.82153336</v>
      </c>
      <c r="C1157" s="8">
        <f t="array" ref="C1157">PRODUCT(1-'Sparkling Model'!D$2:D$38^A1157)</f>
        <v>0.0005021489545</v>
      </c>
    </row>
    <row r="1158">
      <c r="A1158" s="6">
        <v>1156.0</v>
      </c>
      <c r="B1158" s="17">
        <f t="array" ref="B1158">SUM(1-'Sparkling Model'!D$2:D$38^A1158)</f>
        <v>30.82912537</v>
      </c>
      <c r="C1158" s="8">
        <f t="array" ref="C1158">PRODUCT(1-'Sparkling Model'!D$2:D$38^A1158)</f>
        <v>0.0005073082186</v>
      </c>
    </row>
    <row r="1159">
      <c r="A1159" s="6">
        <v>1157.0</v>
      </c>
      <c r="B1159" s="17">
        <f t="array" ref="B1159">SUM(1-'Sparkling Model'!D$2:D$38^A1159)</f>
        <v>30.83670518</v>
      </c>
      <c r="C1159" s="8">
        <f t="array" ref="C1159">PRODUCT(1-'Sparkling Model'!D$2:D$38^A1159)</f>
        <v>0.0005125109967</v>
      </c>
    </row>
    <row r="1160">
      <c r="A1160" s="6">
        <v>1158.0</v>
      </c>
      <c r="B1160" s="17">
        <f t="array" ref="B1160">SUM(1-'Sparkling Model'!D$2:D$38^A1160)</f>
        <v>30.84427283</v>
      </c>
      <c r="C1160" s="8">
        <f t="array" ref="C1160">PRODUCT(1-'Sparkling Model'!D$2:D$38^A1160)</f>
        <v>0.0005177575636</v>
      </c>
    </row>
    <row r="1161">
      <c r="A1161" s="6">
        <v>1159.0</v>
      </c>
      <c r="B1161" s="17">
        <f t="array" ref="B1161">SUM(1-'Sparkling Model'!D$2:D$38^A1161)</f>
        <v>30.85182832</v>
      </c>
      <c r="C1161" s="8">
        <f t="array" ref="C1161">PRODUCT(1-'Sparkling Model'!D$2:D$38^A1161)</f>
        <v>0.0005230481948</v>
      </c>
    </row>
    <row r="1162">
      <c r="A1162" s="6">
        <v>1160.0</v>
      </c>
      <c r="B1162" s="17">
        <f t="array" ref="B1162">SUM(1-'Sparkling Model'!D$2:D$38^A1162)</f>
        <v>30.8593717</v>
      </c>
      <c r="C1162" s="8">
        <f t="array" ref="C1162">PRODUCT(1-'Sparkling Model'!D$2:D$38^A1162)</f>
        <v>0.000528383167</v>
      </c>
    </row>
    <row r="1163">
      <c r="A1163" s="6">
        <v>1161.0</v>
      </c>
      <c r="B1163" s="17">
        <f t="array" ref="B1163">SUM(1-'Sparkling Model'!D$2:D$38^A1163)</f>
        <v>30.86690297</v>
      </c>
      <c r="C1163" s="8">
        <f t="array" ref="C1163">PRODUCT(1-'Sparkling Model'!D$2:D$38^A1163)</f>
        <v>0.0005337627579</v>
      </c>
    </row>
    <row r="1164">
      <c r="A1164" s="6">
        <v>1162.0</v>
      </c>
      <c r="B1164" s="17">
        <f t="array" ref="B1164">SUM(1-'Sparkling Model'!D$2:D$38^A1164)</f>
        <v>30.87442217</v>
      </c>
      <c r="C1164" s="8">
        <f t="array" ref="C1164">PRODUCT(1-'Sparkling Model'!D$2:D$38^A1164)</f>
        <v>0.0005391872461</v>
      </c>
    </row>
    <row r="1165">
      <c r="A1165" s="6">
        <v>1163.0</v>
      </c>
      <c r="B1165" s="17">
        <f t="array" ref="B1165">SUM(1-'Sparkling Model'!D$2:D$38^A1165)</f>
        <v>30.88192932</v>
      </c>
      <c r="C1165" s="8">
        <f t="array" ref="C1165">PRODUCT(1-'Sparkling Model'!D$2:D$38^A1165)</f>
        <v>0.0005446569111</v>
      </c>
    </row>
    <row r="1166">
      <c r="A1166" s="6">
        <v>1164.0</v>
      </c>
      <c r="B1166" s="17">
        <f t="array" ref="B1166">SUM(1-'Sparkling Model'!D$2:D$38^A1166)</f>
        <v>30.88942443</v>
      </c>
      <c r="C1166" s="8">
        <f t="array" ref="C1166">PRODUCT(1-'Sparkling Model'!D$2:D$38^A1166)</f>
        <v>0.0005501720335</v>
      </c>
    </row>
    <row r="1167">
      <c r="A1167" s="6">
        <v>1165.0</v>
      </c>
      <c r="B1167" s="17">
        <f t="array" ref="B1167">SUM(1-'Sparkling Model'!D$2:D$38^A1167)</f>
        <v>30.89690754</v>
      </c>
      <c r="C1167" s="8">
        <f t="array" ref="C1167">PRODUCT(1-'Sparkling Model'!D$2:D$38^A1167)</f>
        <v>0.0005557328949</v>
      </c>
    </row>
    <row r="1168">
      <c r="A1168" s="6">
        <v>1166.0</v>
      </c>
      <c r="B1168" s="17">
        <f t="array" ref="B1168">SUM(1-'Sparkling Model'!D$2:D$38^A1168)</f>
        <v>30.90437866</v>
      </c>
      <c r="C1168" s="8">
        <f t="array" ref="C1168">PRODUCT(1-'Sparkling Model'!D$2:D$38^A1168)</f>
        <v>0.0005613397777</v>
      </c>
    </row>
    <row r="1169">
      <c r="A1169" s="6">
        <v>1167.0</v>
      </c>
      <c r="B1169" s="17">
        <f t="array" ref="B1169">SUM(1-'Sparkling Model'!D$2:D$38^A1169)</f>
        <v>30.91183783</v>
      </c>
      <c r="C1169" s="8">
        <f t="array" ref="C1169">PRODUCT(1-'Sparkling Model'!D$2:D$38^A1169)</f>
        <v>0.0005669929655</v>
      </c>
    </row>
    <row r="1170">
      <c r="A1170" s="6">
        <v>1168.0</v>
      </c>
      <c r="B1170" s="17">
        <f t="array" ref="B1170">SUM(1-'Sparkling Model'!D$2:D$38^A1170)</f>
        <v>30.91928505</v>
      </c>
      <c r="C1170" s="8">
        <f t="array" ref="C1170">PRODUCT(1-'Sparkling Model'!D$2:D$38^A1170)</f>
        <v>0.0005726927427</v>
      </c>
    </row>
    <row r="1171">
      <c r="A1171" s="6">
        <v>1169.0</v>
      </c>
      <c r="B1171" s="17">
        <f t="array" ref="B1171">SUM(1-'Sparkling Model'!D$2:D$38^A1171)</f>
        <v>30.92672036</v>
      </c>
      <c r="C1171" s="8">
        <f t="array" ref="C1171">PRODUCT(1-'Sparkling Model'!D$2:D$38^A1171)</f>
        <v>0.0005784393947</v>
      </c>
    </row>
    <row r="1172">
      <c r="A1172" s="6">
        <v>1170.0</v>
      </c>
      <c r="B1172" s="17">
        <f t="array" ref="B1172">SUM(1-'Sparkling Model'!D$2:D$38^A1172)</f>
        <v>30.93414378</v>
      </c>
      <c r="C1172" s="8">
        <f t="array" ref="C1172">PRODUCT(1-'Sparkling Model'!D$2:D$38^A1172)</f>
        <v>0.0005842332079</v>
      </c>
    </row>
    <row r="1173">
      <c r="A1173" s="6">
        <v>1171.0</v>
      </c>
      <c r="B1173" s="17">
        <f t="array" ref="B1173">SUM(1-'Sparkling Model'!D$2:D$38^A1173)</f>
        <v>30.94155533</v>
      </c>
      <c r="C1173" s="8">
        <f t="array" ref="C1173">PRODUCT(1-'Sparkling Model'!D$2:D$38^A1173)</f>
        <v>0.0005900744697</v>
      </c>
    </row>
    <row r="1174">
      <c r="A1174" s="6">
        <v>1172.0</v>
      </c>
      <c r="B1174" s="17">
        <f t="array" ref="B1174">SUM(1-'Sparkling Model'!D$2:D$38^A1174)</f>
        <v>30.94895503</v>
      </c>
      <c r="C1174" s="8">
        <f t="array" ref="C1174">PRODUCT(1-'Sparkling Model'!D$2:D$38^A1174)</f>
        <v>0.0005959634684</v>
      </c>
    </row>
    <row r="1175">
      <c r="A1175" s="6">
        <v>1173.0</v>
      </c>
      <c r="B1175" s="17">
        <f t="array" ref="B1175">SUM(1-'Sparkling Model'!D$2:D$38^A1175)</f>
        <v>30.95634291</v>
      </c>
      <c r="C1175" s="8">
        <f t="array" ref="C1175">PRODUCT(1-'Sparkling Model'!D$2:D$38^A1175)</f>
        <v>0.0006019004932</v>
      </c>
    </row>
    <row r="1176">
      <c r="A1176" s="6">
        <v>1174.0</v>
      </c>
      <c r="B1176" s="17">
        <f t="array" ref="B1176">SUM(1-'Sparkling Model'!D$2:D$38^A1176)</f>
        <v>30.96371899</v>
      </c>
      <c r="C1176" s="8">
        <f t="array" ref="C1176">PRODUCT(1-'Sparkling Model'!D$2:D$38^A1176)</f>
        <v>0.0006078858345</v>
      </c>
    </row>
    <row r="1177">
      <c r="A1177" s="6">
        <v>1175.0</v>
      </c>
      <c r="B1177" s="17">
        <f t="array" ref="B1177">SUM(1-'Sparkling Model'!D$2:D$38^A1177)</f>
        <v>30.97108329</v>
      </c>
      <c r="C1177" s="8">
        <f t="array" ref="C1177">PRODUCT(1-'Sparkling Model'!D$2:D$38^A1177)</f>
        <v>0.0006139197833</v>
      </c>
    </row>
    <row r="1178">
      <c r="A1178" s="6">
        <v>1176.0</v>
      </c>
      <c r="B1178" s="17">
        <f t="array" ref="B1178">SUM(1-'Sparkling Model'!D$2:D$38^A1178)</f>
        <v>30.97843584</v>
      </c>
      <c r="C1178" s="8">
        <f t="array" ref="C1178">PRODUCT(1-'Sparkling Model'!D$2:D$38^A1178)</f>
        <v>0.0006200026319</v>
      </c>
    </row>
    <row r="1179">
      <c r="A1179" s="6">
        <v>1177.0</v>
      </c>
      <c r="B1179" s="17">
        <f t="array" ref="B1179">SUM(1-'Sparkling Model'!D$2:D$38^A1179)</f>
        <v>30.98577665</v>
      </c>
      <c r="C1179" s="8">
        <f t="array" ref="C1179">PRODUCT(1-'Sparkling Model'!D$2:D$38^A1179)</f>
        <v>0.0006261346733</v>
      </c>
    </row>
    <row r="1180">
      <c r="A1180" s="6">
        <v>1178.0</v>
      </c>
      <c r="B1180" s="17">
        <f t="array" ref="B1180">SUM(1-'Sparkling Model'!D$2:D$38^A1180)</f>
        <v>30.99310575</v>
      </c>
      <c r="C1180" s="8">
        <f t="array" ref="C1180">PRODUCT(1-'Sparkling Model'!D$2:D$38^A1180)</f>
        <v>0.0006323162017</v>
      </c>
    </row>
    <row r="1181">
      <c r="A1181" s="6">
        <v>1179.0</v>
      </c>
      <c r="B1181" s="17">
        <f t="array" ref="B1181">SUM(1-'Sparkling Model'!D$2:D$38^A1181)</f>
        <v>31.00042316</v>
      </c>
      <c r="C1181" s="8">
        <f t="array" ref="C1181">PRODUCT(1-'Sparkling Model'!D$2:D$38^A1181)</f>
        <v>0.0006385475119</v>
      </c>
    </row>
    <row r="1182">
      <c r="A1182" s="6">
        <v>1180.0</v>
      </c>
      <c r="B1182" s="17">
        <f t="array" ref="B1182">SUM(1-'Sparkling Model'!D$2:D$38^A1182)</f>
        <v>31.00772891</v>
      </c>
      <c r="C1182" s="8">
        <f t="array" ref="C1182">PRODUCT(1-'Sparkling Model'!D$2:D$38^A1182)</f>
        <v>0.0006448289001</v>
      </c>
    </row>
    <row r="1183">
      <c r="A1183" s="6">
        <v>1181.0</v>
      </c>
      <c r="B1183" s="17">
        <f t="array" ref="B1183">SUM(1-'Sparkling Model'!D$2:D$38^A1183)</f>
        <v>31.01502301</v>
      </c>
      <c r="C1183" s="8">
        <f t="array" ref="C1183">PRODUCT(1-'Sparkling Model'!D$2:D$38^A1183)</f>
        <v>0.000651160663</v>
      </c>
    </row>
    <row r="1184">
      <c r="A1184" s="6">
        <v>1182.0</v>
      </c>
      <c r="B1184" s="17">
        <f t="array" ref="B1184">SUM(1-'Sparkling Model'!D$2:D$38^A1184)</f>
        <v>31.0223055</v>
      </c>
      <c r="C1184" s="8">
        <f t="array" ref="C1184">PRODUCT(1-'Sparkling Model'!D$2:D$38^A1184)</f>
        <v>0.0006575430985</v>
      </c>
    </row>
    <row r="1185">
      <c r="A1185" s="6">
        <v>1183.0</v>
      </c>
      <c r="B1185" s="17">
        <f t="array" ref="B1185">SUM(1-'Sparkling Model'!D$2:D$38^A1185)</f>
        <v>31.02957638</v>
      </c>
      <c r="C1185" s="8">
        <f t="array" ref="C1185">PRODUCT(1-'Sparkling Model'!D$2:D$38^A1185)</f>
        <v>0.0006639765053</v>
      </c>
    </row>
    <row r="1186">
      <c r="A1186" s="6">
        <v>1184.0</v>
      </c>
      <c r="B1186" s="17">
        <f t="array" ref="B1186">SUM(1-'Sparkling Model'!D$2:D$38^A1186)</f>
        <v>31.03683569</v>
      </c>
      <c r="C1186" s="8">
        <f t="array" ref="C1186">PRODUCT(1-'Sparkling Model'!D$2:D$38^A1186)</f>
        <v>0.0006704611833</v>
      </c>
    </row>
    <row r="1187">
      <c r="A1187" s="6">
        <v>1185.0</v>
      </c>
      <c r="B1187" s="17">
        <f t="array" ref="B1187">SUM(1-'Sparkling Model'!D$2:D$38^A1187)</f>
        <v>31.04408344</v>
      </c>
      <c r="C1187" s="8">
        <f t="array" ref="C1187">PRODUCT(1-'Sparkling Model'!D$2:D$38^A1187)</f>
        <v>0.0006769974331</v>
      </c>
    </row>
    <row r="1188">
      <c r="A1188" s="6">
        <v>1186.0</v>
      </c>
      <c r="B1188" s="17">
        <f t="array" ref="B1188">SUM(1-'Sparkling Model'!D$2:D$38^A1188)</f>
        <v>31.05131966</v>
      </c>
      <c r="C1188" s="8">
        <f t="array" ref="C1188">PRODUCT(1-'Sparkling Model'!D$2:D$38^A1188)</f>
        <v>0.0006835855563</v>
      </c>
    </row>
    <row r="1189">
      <c r="A1189" s="6">
        <v>1187.0</v>
      </c>
      <c r="B1189" s="17">
        <f t="array" ref="B1189">SUM(1-'Sparkling Model'!D$2:D$38^A1189)</f>
        <v>31.05854437</v>
      </c>
      <c r="C1189" s="8">
        <f t="array" ref="C1189">PRODUCT(1-'Sparkling Model'!D$2:D$38^A1189)</f>
        <v>0.0006902258553</v>
      </c>
    </row>
    <row r="1190">
      <c r="A1190" s="6">
        <v>1188.0</v>
      </c>
      <c r="B1190" s="17">
        <f t="array" ref="B1190">SUM(1-'Sparkling Model'!D$2:D$38^A1190)</f>
        <v>31.06575759</v>
      </c>
      <c r="C1190" s="8">
        <f t="array" ref="C1190">PRODUCT(1-'Sparkling Model'!D$2:D$38^A1190)</f>
        <v>0.0006969186337</v>
      </c>
    </row>
    <row r="1191">
      <c r="A1191" s="6">
        <v>1189.0</v>
      </c>
      <c r="B1191" s="17">
        <f t="array" ref="B1191">SUM(1-'Sparkling Model'!D$2:D$38^A1191)</f>
        <v>31.07295935</v>
      </c>
      <c r="C1191" s="8">
        <f t="array" ref="C1191">PRODUCT(1-'Sparkling Model'!D$2:D$38^A1191)</f>
        <v>0.0007036641958</v>
      </c>
    </row>
    <row r="1192">
      <c r="A1192" s="6">
        <v>1190.0</v>
      </c>
      <c r="B1192" s="17">
        <f t="array" ref="B1192">SUM(1-'Sparkling Model'!D$2:D$38^A1192)</f>
        <v>31.08014966</v>
      </c>
      <c r="C1192" s="8">
        <f t="array" ref="C1192">PRODUCT(1-'Sparkling Model'!D$2:D$38^A1192)</f>
        <v>0.0007104628469</v>
      </c>
    </row>
    <row r="1193">
      <c r="A1193" s="6">
        <v>1191.0</v>
      </c>
      <c r="B1193" s="17">
        <f t="array" ref="B1193">SUM(1-'Sparkling Model'!D$2:D$38^A1193)</f>
        <v>31.08732855</v>
      </c>
      <c r="C1193" s="8">
        <f t="array" ref="C1193">PRODUCT(1-'Sparkling Model'!D$2:D$38^A1193)</f>
        <v>0.0007173148933</v>
      </c>
    </row>
    <row r="1194">
      <c r="A1194" s="6">
        <v>1192.0</v>
      </c>
      <c r="B1194" s="17">
        <f t="array" ref="B1194">SUM(1-'Sparkling Model'!D$2:D$38^A1194)</f>
        <v>31.09449603</v>
      </c>
      <c r="C1194" s="8">
        <f t="array" ref="C1194">PRODUCT(1-'Sparkling Model'!D$2:D$38^A1194)</f>
        <v>0.0007242206422</v>
      </c>
    </row>
    <row r="1195">
      <c r="A1195" s="6">
        <v>1193.0</v>
      </c>
      <c r="B1195" s="17">
        <f t="array" ref="B1195">SUM(1-'Sparkling Model'!D$2:D$38^A1195)</f>
        <v>31.10165214</v>
      </c>
      <c r="C1195" s="8">
        <f t="array" ref="C1195">PRODUCT(1-'Sparkling Model'!D$2:D$38^A1195)</f>
        <v>0.0007311804015</v>
      </c>
    </row>
    <row r="1196">
      <c r="A1196" s="6">
        <v>1194.0</v>
      </c>
      <c r="B1196" s="17">
        <f t="array" ref="B1196">SUM(1-'Sparkling Model'!D$2:D$38^A1196)</f>
        <v>31.10879689</v>
      </c>
      <c r="C1196" s="8">
        <f t="array" ref="C1196">PRODUCT(1-'Sparkling Model'!D$2:D$38^A1196)</f>
        <v>0.0007381944804</v>
      </c>
    </row>
    <row r="1197">
      <c r="A1197" s="6">
        <v>1195.0</v>
      </c>
      <c r="B1197" s="17">
        <f t="array" ref="B1197">SUM(1-'Sparkling Model'!D$2:D$38^A1197)</f>
        <v>31.11593031</v>
      </c>
      <c r="C1197" s="8">
        <f t="array" ref="C1197">PRODUCT(1-'Sparkling Model'!D$2:D$38^A1197)</f>
        <v>0.0007452631886</v>
      </c>
    </row>
    <row r="1198">
      <c r="A1198" s="6">
        <v>1196.0</v>
      </c>
      <c r="B1198" s="17">
        <f t="array" ref="B1198">SUM(1-'Sparkling Model'!D$2:D$38^A1198)</f>
        <v>31.12305241</v>
      </c>
      <c r="C1198" s="8">
        <f t="array" ref="C1198">PRODUCT(1-'Sparkling Model'!D$2:D$38^A1198)</f>
        <v>0.000752386837</v>
      </c>
    </row>
    <row r="1199">
      <c r="A1199" s="6">
        <v>1197.0</v>
      </c>
      <c r="B1199" s="17">
        <f t="array" ref="B1199">SUM(1-'Sparkling Model'!D$2:D$38^A1199)</f>
        <v>31.13016322</v>
      </c>
      <c r="C1199" s="8">
        <f t="array" ref="C1199">PRODUCT(1-'Sparkling Model'!D$2:D$38^A1199)</f>
        <v>0.0007595657373</v>
      </c>
    </row>
    <row r="1200">
      <c r="A1200" s="6">
        <v>1198.0</v>
      </c>
      <c r="B1200" s="17">
        <f t="array" ref="B1200">SUM(1-'Sparkling Model'!D$2:D$38^A1200)</f>
        <v>31.13726275</v>
      </c>
      <c r="C1200" s="8">
        <f t="array" ref="C1200">PRODUCT(1-'Sparkling Model'!D$2:D$38^A1200)</f>
        <v>0.0007668002021</v>
      </c>
    </row>
    <row r="1201">
      <c r="A1201" s="6">
        <v>1199.0</v>
      </c>
      <c r="B1201" s="17">
        <f t="array" ref="B1201">SUM(1-'Sparkling Model'!D$2:D$38^A1201)</f>
        <v>31.14435104</v>
      </c>
      <c r="C1201" s="8">
        <f t="array" ref="C1201">PRODUCT(1-'Sparkling Model'!D$2:D$38^A1201)</f>
        <v>0.000774090545</v>
      </c>
    </row>
    <row r="1202">
      <c r="A1202" s="6">
        <v>1200.0</v>
      </c>
      <c r="B1202" s="17">
        <f t="array" ref="B1202">SUM(1-'Sparkling Model'!D$2:D$38^A1202)</f>
        <v>31.1514281</v>
      </c>
      <c r="C1202" s="8">
        <f t="array" ref="C1202">PRODUCT(1-'Sparkling Model'!D$2:D$38^A1202)</f>
        <v>0.0007814370803</v>
      </c>
    </row>
    <row r="1203">
      <c r="A1203" s="6">
        <v>1201.0</v>
      </c>
      <c r="B1203" s="17">
        <f t="array" ref="B1203">SUM(1-'Sparkling Model'!D$2:D$38^A1203)</f>
        <v>31.15849396</v>
      </c>
      <c r="C1203" s="8">
        <f t="array" ref="C1203">PRODUCT(1-'Sparkling Model'!D$2:D$38^A1203)</f>
        <v>0.0007888401235</v>
      </c>
    </row>
    <row r="1204">
      <c r="A1204" s="6">
        <v>1202.0</v>
      </c>
      <c r="B1204" s="17">
        <f t="array" ref="B1204">SUM(1-'Sparkling Model'!D$2:D$38^A1204)</f>
        <v>31.16554863</v>
      </c>
      <c r="C1204" s="8">
        <f t="array" ref="C1204">PRODUCT(1-'Sparkling Model'!D$2:D$38^A1204)</f>
        <v>0.0007962999907</v>
      </c>
    </row>
    <row r="1205">
      <c r="A1205" s="6">
        <v>1203.0</v>
      </c>
      <c r="B1205" s="17">
        <f t="array" ref="B1205">SUM(1-'Sparkling Model'!D$2:D$38^A1205)</f>
        <v>31.17259213</v>
      </c>
      <c r="C1205" s="8">
        <f t="array" ref="C1205">PRODUCT(1-'Sparkling Model'!D$2:D$38^A1205)</f>
        <v>0.000803816999</v>
      </c>
    </row>
    <row r="1206">
      <c r="A1206" s="6">
        <v>1204.0</v>
      </c>
      <c r="B1206" s="17">
        <f t="array" ref="B1206">SUM(1-'Sparkling Model'!D$2:D$38^A1206)</f>
        <v>31.17962449</v>
      </c>
      <c r="C1206" s="8">
        <f t="array" ref="C1206">PRODUCT(1-'Sparkling Model'!D$2:D$38^A1206)</f>
        <v>0.0008113914665</v>
      </c>
    </row>
    <row r="1207">
      <c r="A1207" s="6">
        <v>1205.0</v>
      </c>
      <c r="B1207" s="17">
        <f t="array" ref="B1207">SUM(1-'Sparkling Model'!D$2:D$38^A1207)</f>
        <v>31.18664573</v>
      </c>
      <c r="C1207" s="8">
        <f t="array" ref="C1207">PRODUCT(1-'Sparkling Model'!D$2:D$38^A1207)</f>
        <v>0.000819023712</v>
      </c>
    </row>
    <row r="1208">
      <c r="A1208" s="6">
        <v>1206.0</v>
      </c>
      <c r="B1208" s="17">
        <f t="array" ref="B1208">SUM(1-'Sparkling Model'!D$2:D$38^A1208)</f>
        <v>31.19365588</v>
      </c>
      <c r="C1208" s="8">
        <f t="array" ref="C1208">PRODUCT(1-'Sparkling Model'!D$2:D$38^A1208)</f>
        <v>0.0008267140552</v>
      </c>
    </row>
    <row r="1209">
      <c r="A1209" s="6">
        <v>1207.0</v>
      </c>
      <c r="B1209" s="17">
        <f t="array" ref="B1209">SUM(1-'Sparkling Model'!D$2:D$38^A1209)</f>
        <v>31.20065494</v>
      </c>
      <c r="C1209" s="8">
        <f t="array" ref="C1209">PRODUCT(1-'Sparkling Model'!D$2:D$38^A1209)</f>
        <v>0.0008344628169</v>
      </c>
    </row>
    <row r="1210">
      <c r="A1210" s="6">
        <v>1208.0</v>
      </c>
      <c r="B1210" s="17">
        <f t="array" ref="B1210">SUM(1-'Sparkling Model'!D$2:D$38^A1210)</f>
        <v>31.20764294</v>
      </c>
      <c r="C1210" s="8">
        <f t="array" ref="C1210">PRODUCT(1-'Sparkling Model'!D$2:D$38^A1210)</f>
        <v>0.0008422703186</v>
      </c>
    </row>
    <row r="1211">
      <c r="A1211" s="6">
        <v>1209.0</v>
      </c>
      <c r="B1211" s="17">
        <f t="array" ref="B1211">SUM(1-'Sparkling Model'!D$2:D$38^A1211)</f>
        <v>31.21461991</v>
      </c>
      <c r="C1211" s="8">
        <f t="array" ref="C1211">PRODUCT(1-'Sparkling Model'!D$2:D$38^A1211)</f>
        <v>0.0008501368827</v>
      </c>
    </row>
    <row r="1212">
      <c r="A1212" s="6">
        <v>1210.0</v>
      </c>
      <c r="B1212" s="17">
        <f t="array" ref="B1212">SUM(1-'Sparkling Model'!D$2:D$38^A1212)</f>
        <v>31.22158586</v>
      </c>
      <c r="C1212" s="8">
        <f t="array" ref="C1212">PRODUCT(1-'Sparkling Model'!D$2:D$38^A1212)</f>
        <v>0.0008580628324</v>
      </c>
    </row>
    <row r="1213">
      <c r="A1213" s="6">
        <v>1211.0</v>
      </c>
      <c r="B1213" s="17">
        <f t="array" ref="B1213">SUM(1-'Sparkling Model'!D$2:D$38^A1213)</f>
        <v>31.22854081</v>
      </c>
      <c r="C1213" s="8">
        <f t="array" ref="C1213">PRODUCT(1-'Sparkling Model'!D$2:D$38^A1213)</f>
        <v>0.0008660484918</v>
      </c>
    </row>
    <row r="1214">
      <c r="A1214" s="6">
        <v>1212.0</v>
      </c>
      <c r="B1214" s="17">
        <f t="array" ref="B1214">SUM(1-'Sparkling Model'!D$2:D$38^A1214)</f>
        <v>31.23548479</v>
      </c>
      <c r="C1214" s="8">
        <f t="array" ref="C1214">PRODUCT(1-'Sparkling Model'!D$2:D$38^A1214)</f>
        <v>0.0008740941861</v>
      </c>
    </row>
    <row r="1215">
      <c r="A1215" s="6">
        <v>1213.0</v>
      </c>
      <c r="B1215" s="17">
        <f t="array" ref="B1215">SUM(1-'Sparkling Model'!D$2:D$38^A1215)</f>
        <v>31.24241782</v>
      </c>
      <c r="C1215" s="8">
        <f t="array" ref="C1215">PRODUCT(1-'Sparkling Model'!D$2:D$38^A1215)</f>
        <v>0.0008822002411</v>
      </c>
    </row>
    <row r="1216">
      <c r="A1216" s="6">
        <v>1214.0</v>
      </c>
      <c r="B1216" s="17">
        <f t="array" ref="B1216">SUM(1-'Sparkling Model'!D$2:D$38^A1216)</f>
        <v>31.24933992</v>
      </c>
      <c r="C1216" s="8">
        <f t="array" ref="C1216">PRODUCT(1-'Sparkling Model'!D$2:D$38^A1216)</f>
        <v>0.0008903669834</v>
      </c>
    </row>
    <row r="1217">
      <c r="A1217" s="6">
        <v>1215.0</v>
      </c>
      <c r="B1217" s="17">
        <f t="array" ref="B1217">SUM(1-'Sparkling Model'!D$2:D$38^A1217)</f>
        <v>31.2562511</v>
      </c>
      <c r="C1217" s="8">
        <f t="array" ref="C1217">PRODUCT(1-'Sparkling Model'!D$2:D$38^A1217)</f>
        <v>0.0008985947408</v>
      </c>
    </row>
    <row r="1218">
      <c r="A1218" s="6">
        <v>1216.0</v>
      </c>
      <c r="B1218" s="17">
        <f t="array" ref="B1218">SUM(1-'Sparkling Model'!D$2:D$38^A1218)</f>
        <v>31.26315139</v>
      </c>
      <c r="C1218" s="8">
        <f t="array" ref="C1218">PRODUCT(1-'Sparkling Model'!D$2:D$38^A1218)</f>
        <v>0.0009068838416</v>
      </c>
    </row>
    <row r="1219">
      <c r="A1219" s="6">
        <v>1217.0</v>
      </c>
      <c r="B1219" s="17">
        <f t="array" ref="B1219">SUM(1-'Sparkling Model'!D$2:D$38^A1219)</f>
        <v>31.27004081</v>
      </c>
      <c r="C1219" s="8">
        <f t="array" ref="C1219">PRODUCT(1-'Sparkling Model'!D$2:D$38^A1219)</f>
        <v>0.0009152346151</v>
      </c>
    </row>
    <row r="1220">
      <c r="A1220" s="6">
        <v>1218.0</v>
      </c>
      <c r="B1220" s="17">
        <f t="array" ref="B1220">SUM(1-'Sparkling Model'!D$2:D$38^A1220)</f>
        <v>31.27691938</v>
      </c>
      <c r="C1220" s="8">
        <f t="array" ref="C1220">PRODUCT(1-'Sparkling Model'!D$2:D$38^A1220)</f>
        <v>0.0009236473915</v>
      </c>
    </row>
    <row r="1221">
      <c r="A1221" s="6">
        <v>1219.0</v>
      </c>
      <c r="B1221" s="17">
        <f t="array" ref="B1221">SUM(1-'Sparkling Model'!D$2:D$38^A1221)</f>
        <v>31.28378713</v>
      </c>
      <c r="C1221" s="8">
        <f t="array" ref="C1221">PRODUCT(1-'Sparkling Model'!D$2:D$38^A1221)</f>
        <v>0.0009321225018</v>
      </c>
    </row>
    <row r="1222">
      <c r="A1222" s="6">
        <v>1220.0</v>
      </c>
      <c r="B1222" s="17">
        <f t="array" ref="B1222">SUM(1-'Sparkling Model'!D$2:D$38^A1222)</f>
        <v>31.29064406</v>
      </c>
      <c r="C1222" s="8">
        <f t="array" ref="C1222">PRODUCT(1-'Sparkling Model'!D$2:D$38^A1222)</f>
        <v>0.0009406602778</v>
      </c>
    </row>
    <row r="1223">
      <c r="A1223" s="6">
        <v>1221.0</v>
      </c>
      <c r="B1223" s="17">
        <f t="array" ref="B1223">SUM(1-'Sparkling Model'!D$2:D$38^A1223)</f>
        <v>31.29749021</v>
      </c>
      <c r="C1223" s="8">
        <f t="array" ref="C1223">PRODUCT(1-'Sparkling Model'!D$2:D$38^A1223)</f>
        <v>0.0009492610521</v>
      </c>
    </row>
    <row r="1224">
      <c r="A1224" s="6">
        <v>1222.0</v>
      </c>
      <c r="B1224" s="17">
        <f t="array" ref="B1224">SUM(1-'Sparkling Model'!D$2:D$38^A1224)</f>
        <v>31.30432558</v>
      </c>
      <c r="C1224" s="8">
        <f t="array" ref="C1224">PRODUCT(1-'Sparkling Model'!D$2:D$38^A1224)</f>
        <v>0.0009579251583</v>
      </c>
    </row>
    <row r="1225">
      <c r="A1225" s="6">
        <v>1223.0</v>
      </c>
      <c r="B1225" s="17">
        <f t="array" ref="B1225">SUM(1-'Sparkling Model'!D$2:D$38^A1225)</f>
        <v>31.31115021</v>
      </c>
      <c r="C1225" s="8">
        <f t="array" ref="C1225">PRODUCT(1-'Sparkling Model'!D$2:D$38^A1225)</f>
        <v>0.0009666529307</v>
      </c>
    </row>
    <row r="1226">
      <c r="A1226" s="6">
        <v>1224.0</v>
      </c>
      <c r="B1226" s="17">
        <f t="array" ref="B1226">SUM(1-'Sparkling Model'!D$2:D$38^A1226)</f>
        <v>31.31796412</v>
      </c>
      <c r="C1226" s="8">
        <f t="array" ref="C1226">PRODUCT(1-'Sparkling Model'!D$2:D$38^A1226)</f>
        <v>0.0009754447045</v>
      </c>
    </row>
    <row r="1227">
      <c r="A1227" s="6">
        <v>1225.0</v>
      </c>
      <c r="B1227" s="17">
        <f t="array" ref="B1227">SUM(1-'Sparkling Model'!D$2:D$38^A1227)</f>
        <v>31.32476731</v>
      </c>
      <c r="C1227" s="8">
        <f t="array" ref="C1227">PRODUCT(1-'Sparkling Model'!D$2:D$38^A1227)</f>
        <v>0.0009843008156</v>
      </c>
    </row>
    <row r="1228">
      <c r="A1228" s="6">
        <v>1226.0</v>
      </c>
      <c r="B1228" s="17">
        <f t="array" ref="B1228">SUM(1-'Sparkling Model'!D$2:D$38^A1228)</f>
        <v>31.33155982</v>
      </c>
      <c r="C1228" s="8">
        <f t="array" ref="C1228">PRODUCT(1-'Sparkling Model'!D$2:D$38^A1228)</f>
        <v>0.0009932216008</v>
      </c>
    </row>
    <row r="1229">
      <c r="A1229" s="6">
        <v>1227.0</v>
      </c>
      <c r="B1229" s="17">
        <f t="array" ref="B1229">SUM(1-'Sparkling Model'!D$2:D$38^A1229)</f>
        <v>31.33834167</v>
      </c>
      <c r="C1229" s="8">
        <f t="array" ref="C1229">PRODUCT(1-'Sparkling Model'!D$2:D$38^A1229)</f>
        <v>0.001002207398</v>
      </c>
    </row>
    <row r="1230">
      <c r="A1230" s="6">
        <v>1228.0</v>
      </c>
      <c r="B1230" s="17">
        <f t="array" ref="B1230">SUM(1-'Sparkling Model'!D$2:D$38^A1230)</f>
        <v>31.34511287</v>
      </c>
      <c r="C1230" s="8">
        <f t="array" ref="C1230">PRODUCT(1-'Sparkling Model'!D$2:D$38^A1230)</f>
        <v>0.001011258545</v>
      </c>
    </row>
    <row r="1231">
      <c r="A1231" s="6">
        <v>1229.0</v>
      </c>
      <c r="B1231" s="17">
        <f t="array" ref="B1231">SUM(1-'Sparkling Model'!D$2:D$38^A1231)</f>
        <v>31.35187344</v>
      </c>
      <c r="C1231" s="8">
        <f t="array" ref="C1231">PRODUCT(1-'Sparkling Model'!D$2:D$38^A1231)</f>
        <v>0.001020375382</v>
      </c>
    </row>
    <row r="1232">
      <c r="A1232" s="6">
        <v>1230.0</v>
      </c>
      <c r="B1232" s="17">
        <f t="array" ref="B1232">SUM(1-'Sparkling Model'!D$2:D$38^A1232)</f>
        <v>31.3586234</v>
      </c>
      <c r="C1232" s="8">
        <f t="array" ref="C1232">PRODUCT(1-'Sparkling Model'!D$2:D$38^A1232)</f>
        <v>0.001029558248</v>
      </c>
    </row>
    <row r="1233">
      <c r="A1233" s="6">
        <v>1231.0</v>
      </c>
      <c r="B1233" s="17">
        <f t="array" ref="B1233">SUM(1-'Sparkling Model'!D$2:D$38^A1233)</f>
        <v>31.36536278</v>
      </c>
      <c r="C1233" s="8">
        <f t="array" ref="C1233">PRODUCT(1-'Sparkling Model'!D$2:D$38^A1233)</f>
        <v>0.001038807484</v>
      </c>
    </row>
    <row r="1234">
      <c r="A1234" s="6">
        <v>1232.0</v>
      </c>
      <c r="B1234" s="17">
        <f t="array" ref="B1234">SUM(1-'Sparkling Model'!D$2:D$38^A1234)</f>
        <v>31.3720916</v>
      </c>
      <c r="C1234" s="8">
        <f t="array" ref="C1234">PRODUCT(1-'Sparkling Model'!D$2:D$38^A1234)</f>
        <v>0.001048123433</v>
      </c>
    </row>
    <row r="1235">
      <c r="A1235" s="6">
        <v>1233.0</v>
      </c>
      <c r="B1235" s="17">
        <f t="array" ref="B1235">SUM(1-'Sparkling Model'!D$2:D$38^A1235)</f>
        <v>31.37880987</v>
      </c>
      <c r="C1235" s="8">
        <f t="array" ref="C1235">PRODUCT(1-'Sparkling Model'!D$2:D$38^A1235)</f>
        <v>0.001057506436</v>
      </c>
    </row>
    <row r="1236">
      <c r="A1236" s="6">
        <v>1234.0</v>
      </c>
      <c r="B1236" s="17">
        <f t="array" ref="B1236">SUM(1-'Sparkling Model'!D$2:D$38^A1236)</f>
        <v>31.38551761</v>
      </c>
      <c r="C1236" s="8">
        <f t="array" ref="C1236">PRODUCT(1-'Sparkling Model'!D$2:D$38^A1236)</f>
        <v>0.001066956837</v>
      </c>
    </row>
    <row r="1237">
      <c r="A1237" s="6">
        <v>1235.0</v>
      </c>
      <c r="B1237" s="17">
        <f t="array" ref="B1237">SUM(1-'Sparkling Model'!D$2:D$38^A1237)</f>
        <v>31.39221485</v>
      </c>
      <c r="C1237" s="8">
        <f t="array" ref="C1237">PRODUCT(1-'Sparkling Model'!D$2:D$38^A1237)</f>
        <v>0.00107647498</v>
      </c>
    </row>
    <row r="1238">
      <c r="A1238" s="6">
        <v>1236.0</v>
      </c>
      <c r="B1238" s="17">
        <f t="array" ref="B1238">SUM(1-'Sparkling Model'!D$2:D$38^A1238)</f>
        <v>31.3989016</v>
      </c>
      <c r="C1238" s="8">
        <f t="array" ref="C1238">PRODUCT(1-'Sparkling Model'!D$2:D$38^A1238)</f>
        <v>0.001086061209</v>
      </c>
    </row>
    <row r="1239">
      <c r="A1239" s="6">
        <v>1237.0</v>
      </c>
      <c r="B1239" s="17">
        <f t="array" ref="B1239">SUM(1-'Sparkling Model'!D$2:D$38^A1239)</f>
        <v>31.40557788</v>
      </c>
      <c r="C1239" s="8">
        <f t="array" ref="C1239">PRODUCT(1-'Sparkling Model'!D$2:D$38^A1239)</f>
        <v>0.001095715871</v>
      </c>
    </row>
    <row r="1240">
      <c r="A1240" s="6">
        <v>1238.0</v>
      </c>
      <c r="B1240" s="17">
        <f t="array" ref="B1240">SUM(1-'Sparkling Model'!D$2:D$38^A1240)</f>
        <v>31.41224372</v>
      </c>
      <c r="C1240" s="8">
        <f t="array" ref="C1240">PRODUCT(1-'Sparkling Model'!D$2:D$38^A1240)</f>
        <v>0.001105439311</v>
      </c>
    </row>
    <row r="1241">
      <c r="A1241" s="6">
        <v>1239.0</v>
      </c>
      <c r="B1241" s="17">
        <f t="array" ref="B1241">SUM(1-'Sparkling Model'!D$2:D$38^A1241)</f>
        <v>31.41889913</v>
      </c>
      <c r="C1241" s="8">
        <f t="array" ref="C1241">PRODUCT(1-'Sparkling Model'!D$2:D$38^A1241)</f>
        <v>0.001115231877</v>
      </c>
    </row>
    <row r="1242">
      <c r="A1242" s="6">
        <v>1240.0</v>
      </c>
      <c r="B1242" s="17">
        <f t="array" ref="B1242">SUM(1-'Sparkling Model'!D$2:D$38^A1242)</f>
        <v>31.42554414</v>
      </c>
      <c r="C1242" s="8">
        <f t="array" ref="C1242">PRODUCT(1-'Sparkling Model'!D$2:D$38^A1242)</f>
        <v>0.001125093916</v>
      </c>
    </row>
    <row r="1243">
      <c r="A1243" s="6">
        <v>1241.0</v>
      </c>
      <c r="B1243" s="17">
        <f t="array" ref="B1243">SUM(1-'Sparkling Model'!D$2:D$38^A1243)</f>
        <v>31.43217875</v>
      </c>
      <c r="C1243" s="8">
        <f t="array" ref="C1243">PRODUCT(1-'Sparkling Model'!D$2:D$38^A1243)</f>
        <v>0.001135025778</v>
      </c>
    </row>
    <row r="1244">
      <c r="A1244" s="6">
        <v>1242.0</v>
      </c>
      <c r="B1244" s="17">
        <f t="array" ref="B1244">SUM(1-'Sparkling Model'!D$2:D$38^A1244)</f>
        <v>31.438803</v>
      </c>
      <c r="C1244" s="8">
        <f t="array" ref="C1244">PRODUCT(1-'Sparkling Model'!D$2:D$38^A1244)</f>
        <v>0.001145027812</v>
      </c>
    </row>
    <row r="1245">
      <c r="A1245" s="6">
        <v>1243.0</v>
      </c>
      <c r="B1245" s="17">
        <f t="array" ref="B1245">SUM(1-'Sparkling Model'!D$2:D$38^A1245)</f>
        <v>31.4454169</v>
      </c>
      <c r="C1245" s="8">
        <f t="array" ref="C1245">PRODUCT(1-'Sparkling Model'!D$2:D$38^A1245)</f>
        <v>0.001155100369</v>
      </c>
    </row>
    <row r="1246">
      <c r="A1246" s="6">
        <v>1244.0</v>
      </c>
      <c r="B1246" s="17">
        <f t="array" ref="B1246">SUM(1-'Sparkling Model'!D$2:D$38^A1246)</f>
        <v>31.45202047</v>
      </c>
      <c r="C1246" s="8">
        <f t="array" ref="C1246">PRODUCT(1-'Sparkling Model'!D$2:D$38^A1246)</f>
        <v>0.001165243798</v>
      </c>
    </row>
    <row r="1247">
      <c r="A1247" s="6">
        <v>1245.0</v>
      </c>
      <c r="B1247" s="17">
        <f t="array" ref="B1247">SUM(1-'Sparkling Model'!D$2:D$38^A1247)</f>
        <v>31.45861373</v>
      </c>
      <c r="C1247" s="8">
        <f t="array" ref="C1247">PRODUCT(1-'Sparkling Model'!D$2:D$38^A1247)</f>
        <v>0.001175458452</v>
      </c>
    </row>
    <row r="1248">
      <c r="A1248" s="6">
        <v>1246.0</v>
      </c>
      <c r="B1248" s="17">
        <f t="array" ref="B1248">SUM(1-'Sparkling Model'!D$2:D$38^A1248)</f>
        <v>31.46519671</v>
      </c>
      <c r="C1248" s="8">
        <f t="array" ref="C1248">PRODUCT(1-'Sparkling Model'!D$2:D$38^A1248)</f>
        <v>0.001185744684</v>
      </c>
    </row>
    <row r="1249">
      <c r="A1249" s="6">
        <v>1247.0</v>
      </c>
      <c r="B1249" s="17">
        <f t="array" ref="B1249">SUM(1-'Sparkling Model'!D$2:D$38^A1249)</f>
        <v>31.47176941</v>
      </c>
      <c r="C1249" s="8">
        <f t="array" ref="C1249">PRODUCT(1-'Sparkling Model'!D$2:D$38^A1249)</f>
        <v>0.001196102846</v>
      </c>
    </row>
    <row r="1250">
      <c r="A1250" s="6">
        <v>1248.0</v>
      </c>
      <c r="B1250" s="17">
        <f t="array" ref="B1250">SUM(1-'Sparkling Model'!D$2:D$38^A1250)</f>
        <v>31.47833186</v>
      </c>
      <c r="C1250" s="8">
        <f t="array" ref="C1250">PRODUCT(1-'Sparkling Model'!D$2:D$38^A1250)</f>
        <v>0.001206533292</v>
      </c>
    </row>
    <row r="1251">
      <c r="A1251" s="6">
        <v>1249.0</v>
      </c>
      <c r="B1251" s="17">
        <f t="array" ref="B1251">SUM(1-'Sparkling Model'!D$2:D$38^A1251)</f>
        <v>31.48488407</v>
      </c>
      <c r="C1251" s="8">
        <f t="array" ref="C1251">PRODUCT(1-'Sparkling Model'!D$2:D$38^A1251)</f>
        <v>0.001217036378</v>
      </c>
    </row>
    <row r="1252">
      <c r="A1252" s="6">
        <v>1250.0</v>
      </c>
      <c r="B1252" s="17">
        <f t="array" ref="B1252">SUM(1-'Sparkling Model'!D$2:D$38^A1252)</f>
        <v>31.49142608</v>
      </c>
      <c r="C1252" s="8">
        <f t="array" ref="C1252">PRODUCT(1-'Sparkling Model'!D$2:D$38^A1252)</f>
        <v>0.001227612459</v>
      </c>
    </row>
    <row r="1253">
      <c r="A1253" s="6">
        <v>1251.0</v>
      </c>
      <c r="B1253" s="17">
        <f t="array" ref="B1253">SUM(1-'Sparkling Model'!D$2:D$38^A1253)</f>
        <v>31.49795789</v>
      </c>
      <c r="C1253" s="8">
        <f t="array" ref="C1253">PRODUCT(1-'Sparkling Model'!D$2:D$38^A1253)</f>
        <v>0.00123826189</v>
      </c>
    </row>
    <row r="1254">
      <c r="A1254" s="6">
        <v>1252.0</v>
      </c>
      <c r="B1254" s="17">
        <f t="array" ref="B1254">SUM(1-'Sparkling Model'!D$2:D$38^A1254)</f>
        <v>31.50447952</v>
      </c>
      <c r="C1254" s="8">
        <f t="array" ref="C1254">PRODUCT(1-'Sparkling Model'!D$2:D$38^A1254)</f>
        <v>0.001248985029</v>
      </c>
    </row>
    <row r="1255">
      <c r="A1255" s="6">
        <v>1253.0</v>
      </c>
      <c r="B1255" s="17">
        <f t="array" ref="B1255">SUM(1-'Sparkling Model'!D$2:D$38^A1255)</f>
        <v>31.510991</v>
      </c>
      <c r="C1255" s="8">
        <f t="array" ref="C1255">PRODUCT(1-'Sparkling Model'!D$2:D$38^A1255)</f>
        <v>0.001259782234</v>
      </c>
    </row>
    <row r="1256">
      <c r="A1256" s="6">
        <v>1254.0</v>
      </c>
      <c r="B1256" s="17">
        <f t="array" ref="B1256">SUM(1-'Sparkling Model'!D$2:D$38^A1256)</f>
        <v>31.51749235</v>
      </c>
      <c r="C1256" s="8">
        <f t="array" ref="C1256">PRODUCT(1-'Sparkling Model'!D$2:D$38^A1256)</f>
        <v>0.001270653862</v>
      </c>
    </row>
    <row r="1257">
      <c r="A1257" s="6">
        <v>1255.0</v>
      </c>
      <c r="B1257" s="17">
        <f t="array" ref="B1257">SUM(1-'Sparkling Model'!D$2:D$38^A1257)</f>
        <v>31.52398358</v>
      </c>
      <c r="C1257" s="8">
        <f t="array" ref="C1257">PRODUCT(1-'Sparkling Model'!D$2:D$38^A1257)</f>
        <v>0.001281600273</v>
      </c>
    </row>
    <row r="1258">
      <c r="A1258" s="6">
        <v>1256.0</v>
      </c>
      <c r="B1258" s="17">
        <f t="array" ref="B1258">SUM(1-'Sparkling Model'!D$2:D$38^A1258)</f>
        <v>31.5304647</v>
      </c>
      <c r="C1258" s="8">
        <f t="array" ref="C1258">PRODUCT(1-'Sparkling Model'!D$2:D$38^A1258)</f>
        <v>0.001292621827</v>
      </c>
    </row>
    <row r="1259">
      <c r="A1259" s="6">
        <v>1257.0</v>
      </c>
      <c r="B1259" s="17">
        <f t="array" ref="B1259">SUM(1-'Sparkling Model'!D$2:D$38^A1259)</f>
        <v>31.53693575</v>
      </c>
      <c r="C1259" s="8">
        <f t="array" ref="C1259">PRODUCT(1-'Sparkling Model'!D$2:D$38^A1259)</f>
        <v>0.001303718883</v>
      </c>
    </row>
    <row r="1260">
      <c r="A1260" s="6">
        <v>1258.0</v>
      </c>
      <c r="B1260" s="17">
        <f t="array" ref="B1260">SUM(1-'Sparkling Model'!D$2:D$38^A1260)</f>
        <v>31.54339674</v>
      </c>
      <c r="C1260" s="8">
        <f t="array" ref="C1260">PRODUCT(1-'Sparkling Model'!D$2:D$38^A1260)</f>
        <v>0.001314891804</v>
      </c>
    </row>
    <row r="1261">
      <c r="A1261" s="6">
        <v>1259.0</v>
      </c>
      <c r="B1261" s="17">
        <f t="array" ref="B1261">SUM(1-'Sparkling Model'!D$2:D$38^A1261)</f>
        <v>31.54984769</v>
      </c>
      <c r="C1261" s="8">
        <f t="array" ref="C1261">PRODUCT(1-'Sparkling Model'!D$2:D$38^A1261)</f>
        <v>0.001326140951</v>
      </c>
    </row>
    <row r="1262">
      <c r="A1262" s="6">
        <v>1260.0</v>
      </c>
      <c r="B1262" s="17">
        <f t="array" ref="B1262">SUM(1-'Sparkling Model'!D$2:D$38^A1262)</f>
        <v>31.55628862</v>
      </c>
      <c r="C1262" s="8">
        <f t="array" ref="C1262">PRODUCT(1-'Sparkling Model'!D$2:D$38^A1262)</f>
        <v>0.001337466686</v>
      </c>
    </row>
    <row r="1263">
      <c r="A1263" s="6">
        <v>1261.0</v>
      </c>
      <c r="B1263" s="17">
        <f t="array" ref="B1263">SUM(1-'Sparkling Model'!D$2:D$38^A1263)</f>
        <v>31.56271954</v>
      </c>
      <c r="C1263" s="8">
        <f t="array" ref="C1263">PRODUCT(1-'Sparkling Model'!D$2:D$38^A1263)</f>
        <v>0.001348869373</v>
      </c>
    </row>
    <row r="1264">
      <c r="A1264" s="6">
        <v>1262.0</v>
      </c>
      <c r="B1264" s="17">
        <f t="array" ref="B1264">SUM(1-'Sparkling Model'!D$2:D$38^A1264)</f>
        <v>31.56914047</v>
      </c>
      <c r="C1264" s="8">
        <f t="array" ref="C1264">PRODUCT(1-'Sparkling Model'!D$2:D$38^A1264)</f>
        <v>0.001360349376</v>
      </c>
    </row>
    <row r="1265">
      <c r="A1265" s="6">
        <v>1263.0</v>
      </c>
      <c r="B1265" s="17">
        <f t="array" ref="B1265">SUM(1-'Sparkling Model'!D$2:D$38^A1265)</f>
        <v>31.57555144</v>
      </c>
      <c r="C1265" s="8">
        <f t="array" ref="C1265">PRODUCT(1-'Sparkling Model'!D$2:D$38^A1265)</f>
        <v>0.001371907059</v>
      </c>
    </row>
    <row r="1266">
      <c r="A1266" s="6">
        <v>1264.0</v>
      </c>
      <c r="B1266" s="17">
        <f t="array" ref="B1266">SUM(1-'Sparkling Model'!D$2:D$38^A1266)</f>
        <v>31.58195247</v>
      </c>
      <c r="C1266" s="8">
        <f t="array" ref="C1266">PRODUCT(1-'Sparkling Model'!D$2:D$38^A1266)</f>
        <v>0.001383542787</v>
      </c>
    </row>
    <row r="1267">
      <c r="A1267" s="6">
        <v>1265.0</v>
      </c>
      <c r="B1267" s="17">
        <f t="array" ref="B1267">SUM(1-'Sparkling Model'!D$2:D$38^A1267)</f>
        <v>31.58834356</v>
      </c>
      <c r="C1267" s="8">
        <f t="array" ref="C1267">PRODUCT(1-'Sparkling Model'!D$2:D$38^A1267)</f>
        <v>0.001395256927</v>
      </c>
    </row>
    <row r="1268">
      <c r="A1268" s="6">
        <v>1266.0</v>
      </c>
      <c r="B1268" s="17">
        <f t="array" ref="B1268">SUM(1-'Sparkling Model'!D$2:D$38^A1268)</f>
        <v>31.59472474</v>
      </c>
      <c r="C1268" s="8">
        <f t="array" ref="C1268">PRODUCT(1-'Sparkling Model'!D$2:D$38^A1268)</f>
        <v>0.001407049846</v>
      </c>
    </row>
    <row r="1269">
      <c r="A1269" s="6">
        <v>1267.0</v>
      </c>
      <c r="B1269" s="17">
        <f t="array" ref="B1269">SUM(1-'Sparkling Model'!D$2:D$38^A1269)</f>
        <v>31.60109603</v>
      </c>
      <c r="C1269" s="8">
        <f t="array" ref="C1269">PRODUCT(1-'Sparkling Model'!D$2:D$38^A1269)</f>
        <v>0.001418921909</v>
      </c>
    </row>
    <row r="1270">
      <c r="A1270" s="6">
        <v>1268.0</v>
      </c>
      <c r="B1270" s="17">
        <f t="array" ref="B1270">SUM(1-'Sparkling Model'!D$2:D$38^A1270)</f>
        <v>31.60745745</v>
      </c>
      <c r="C1270" s="8">
        <f t="array" ref="C1270">PRODUCT(1-'Sparkling Model'!D$2:D$38^A1270)</f>
        <v>0.001430873486</v>
      </c>
    </row>
    <row r="1271">
      <c r="A1271" s="6">
        <v>1269.0</v>
      </c>
      <c r="B1271" s="17">
        <f t="array" ref="B1271">SUM(1-'Sparkling Model'!D$2:D$38^A1271)</f>
        <v>31.61380901</v>
      </c>
      <c r="C1271" s="8">
        <f t="array" ref="C1271">PRODUCT(1-'Sparkling Model'!D$2:D$38^A1271)</f>
        <v>0.001442904945</v>
      </c>
    </row>
    <row r="1272">
      <c r="A1272" s="6">
        <v>1270.0</v>
      </c>
      <c r="B1272" s="17">
        <f t="array" ref="B1272">SUM(1-'Sparkling Model'!D$2:D$38^A1272)</f>
        <v>31.62015074</v>
      </c>
      <c r="C1272" s="8">
        <f t="array" ref="C1272">PRODUCT(1-'Sparkling Model'!D$2:D$38^A1272)</f>
        <v>0.001455016655</v>
      </c>
    </row>
    <row r="1273">
      <c r="A1273" s="6">
        <v>1271.0</v>
      </c>
      <c r="B1273" s="17">
        <f t="array" ref="B1273">SUM(1-'Sparkling Model'!D$2:D$38^A1273)</f>
        <v>31.62648265</v>
      </c>
      <c r="C1273" s="8">
        <f t="array" ref="C1273">PRODUCT(1-'Sparkling Model'!D$2:D$38^A1273)</f>
        <v>0.001467208986</v>
      </c>
    </row>
    <row r="1274">
      <c r="A1274" s="6">
        <v>1272.0</v>
      </c>
      <c r="B1274" s="17">
        <f t="array" ref="B1274">SUM(1-'Sparkling Model'!D$2:D$38^A1274)</f>
        <v>31.63280476</v>
      </c>
      <c r="C1274" s="8">
        <f t="array" ref="C1274">PRODUCT(1-'Sparkling Model'!D$2:D$38^A1274)</f>
        <v>0.001479482308</v>
      </c>
    </row>
    <row r="1275">
      <c r="A1275" s="6">
        <v>1273.0</v>
      </c>
      <c r="B1275" s="17">
        <f t="array" ref="B1275">SUM(1-'Sparkling Model'!D$2:D$38^A1275)</f>
        <v>31.63911708</v>
      </c>
      <c r="C1275" s="8">
        <f t="array" ref="C1275">PRODUCT(1-'Sparkling Model'!D$2:D$38^A1275)</f>
        <v>0.001491836993</v>
      </c>
    </row>
    <row r="1276">
      <c r="A1276" s="6">
        <v>1274.0</v>
      </c>
      <c r="B1276" s="17">
        <f t="array" ref="B1276">SUM(1-'Sparkling Model'!D$2:D$38^A1276)</f>
        <v>31.64541965</v>
      </c>
      <c r="C1276" s="8">
        <f t="array" ref="C1276">PRODUCT(1-'Sparkling Model'!D$2:D$38^A1276)</f>
        <v>0.001504273413</v>
      </c>
    </row>
    <row r="1277">
      <c r="A1277" s="6">
        <v>1275.0</v>
      </c>
      <c r="B1277" s="17">
        <f t="array" ref="B1277">SUM(1-'Sparkling Model'!D$2:D$38^A1277)</f>
        <v>31.65171247</v>
      </c>
      <c r="C1277" s="8">
        <f t="array" ref="C1277">PRODUCT(1-'Sparkling Model'!D$2:D$38^A1277)</f>
        <v>0.00151679194</v>
      </c>
    </row>
    <row r="1278">
      <c r="A1278" s="6">
        <v>1276.0</v>
      </c>
      <c r="B1278" s="17">
        <f t="array" ref="B1278">SUM(1-'Sparkling Model'!D$2:D$38^A1278)</f>
        <v>31.65799556</v>
      </c>
      <c r="C1278" s="8">
        <f t="array" ref="C1278">PRODUCT(1-'Sparkling Model'!D$2:D$38^A1278)</f>
        <v>0.001529392946</v>
      </c>
    </row>
    <row r="1279">
      <c r="A1279" s="6">
        <v>1277.0</v>
      </c>
      <c r="B1279" s="17">
        <f t="array" ref="B1279">SUM(1-'Sparkling Model'!D$2:D$38^A1279)</f>
        <v>31.66426894</v>
      </c>
      <c r="C1279" s="8">
        <f t="array" ref="C1279">PRODUCT(1-'Sparkling Model'!D$2:D$38^A1279)</f>
        <v>0.001542076806</v>
      </c>
    </row>
    <row r="1280">
      <c r="A1280" s="6">
        <v>1278.0</v>
      </c>
      <c r="B1280" s="17">
        <f t="array" ref="B1280">SUM(1-'Sparkling Model'!D$2:D$38^A1280)</f>
        <v>31.67053264</v>
      </c>
      <c r="C1280" s="8">
        <f t="array" ref="C1280">PRODUCT(1-'Sparkling Model'!D$2:D$38^A1280)</f>
        <v>0.001554843894</v>
      </c>
    </row>
    <row r="1281">
      <c r="A1281" s="6">
        <v>1279.0</v>
      </c>
      <c r="B1281" s="17">
        <f t="array" ref="B1281">SUM(1-'Sparkling Model'!D$2:D$38^A1281)</f>
        <v>31.67678666</v>
      </c>
      <c r="C1281" s="8">
        <f t="array" ref="C1281">PRODUCT(1-'Sparkling Model'!D$2:D$38^A1281)</f>
        <v>0.001567694585</v>
      </c>
    </row>
    <row r="1282">
      <c r="A1282" s="6">
        <v>1280.0</v>
      </c>
      <c r="B1282" s="17">
        <f t="array" ref="B1282">SUM(1-'Sparkling Model'!D$2:D$38^A1282)</f>
        <v>31.68303103</v>
      </c>
      <c r="C1282" s="8">
        <f t="array" ref="C1282">PRODUCT(1-'Sparkling Model'!D$2:D$38^A1282)</f>
        <v>0.001580629253</v>
      </c>
    </row>
    <row r="1283">
      <c r="A1283" s="6">
        <v>1281.0</v>
      </c>
      <c r="B1283" s="17">
        <f t="array" ref="B1283">SUM(1-'Sparkling Model'!D$2:D$38^A1283)</f>
        <v>31.68926576</v>
      </c>
      <c r="C1283" s="8">
        <f t="array" ref="C1283">PRODUCT(1-'Sparkling Model'!D$2:D$38^A1283)</f>
        <v>0.001593648276</v>
      </c>
    </row>
    <row r="1284">
      <c r="A1284" s="6">
        <v>1282.0</v>
      </c>
      <c r="B1284" s="17">
        <f t="array" ref="B1284">SUM(1-'Sparkling Model'!D$2:D$38^A1284)</f>
        <v>31.69549087</v>
      </c>
      <c r="C1284" s="8">
        <f t="array" ref="C1284">PRODUCT(1-'Sparkling Model'!D$2:D$38^A1284)</f>
        <v>0.00160675203</v>
      </c>
    </row>
    <row r="1285">
      <c r="A1285" s="6">
        <v>1283.0</v>
      </c>
      <c r="B1285" s="17">
        <f t="array" ref="B1285">SUM(1-'Sparkling Model'!D$2:D$38^A1285)</f>
        <v>31.70170638</v>
      </c>
      <c r="C1285" s="8">
        <f t="array" ref="C1285">PRODUCT(1-'Sparkling Model'!D$2:D$38^A1285)</f>
        <v>0.001619940892</v>
      </c>
    </row>
    <row r="1286">
      <c r="A1286" s="6">
        <v>1284.0</v>
      </c>
      <c r="B1286" s="17">
        <f t="array" ref="B1286">SUM(1-'Sparkling Model'!D$2:D$38^A1286)</f>
        <v>31.70791231</v>
      </c>
      <c r="C1286" s="8">
        <f t="array" ref="C1286">PRODUCT(1-'Sparkling Model'!D$2:D$38^A1286)</f>
        <v>0.00163321524</v>
      </c>
    </row>
    <row r="1287">
      <c r="A1287" s="6">
        <v>1285.0</v>
      </c>
      <c r="B1287" s="17">
        <f t="array" ref="B1287">SUM(1-'Sparkling Model'!D$2:D$38^A1287)</f>
        <v>31.71410868</v>
      </c>
      <c r="C1287" s="8">
        <f t="array" ref="C1287">PRODUCT(1-'Sparkling Model'!D$2:D$38^A1287)</f>
        <v>0.001646575453</v>
      </c>
    </row>
    <row r="1288">
      <c r="A1288" s="6">
        <v>1286.0</v>
      </c>
      <c r="B1288" s="17">
        <f t="array" ref="B1288">SUM(1-'Sparkling Model'!D$2:D$38^A1288)</f>
        <v>31.7202955</v>
      </c>
      <c r="C1288" s="8">
        <f t="array" ref="C1288">PRODUCT(1-'Sparkling Model'!D$2:D$38^A1288)</f>
        <v>0.001660021909</v>
      </c>
    </row>
    <row r="1289">
      <c r="A1289" s="6">
        <v>1287.0</v>
      </c>
      <c r="B1289" s="17">
        <f t="array" ref="B1289">SUM(1-'Sparkling Model'!D$2:D$38^A1289)</f>
        <v>31.72647279</v>
      </c>
      <c r="C1289" s="8">
        <f t="array" ref="C1289">PRODUCT(1-'Sparkling Model'!D$2:D$38^A1289)</f>
        <v>0.001673554988</v>
      </c>
    </row>
    <row r="1290">
      <c r="A1290" s="6">
        <v>1288.0</v>
      </c>
      <c r="B1290" s="17">
        <f t="array" ref="B1290">SUM(1-'Sparkling Model'!D$2:D$38^A1290)</f>
        <v>31.73264057</v>
      </c>
      <c r="C1290" s="8">
        <f t="array" ref="C1290">PRODUCT(1-'Sparkling Model'!D$2:D$38^A1290)</f>
        <v>0.00168717507</v>
      </c>
    </row>
    <row r="1291">
      <c r="A1291" s="6">
        <v>1289.0</v>
      </c>
      <c r="B1291" s="17">
        <f t="array" ref="B1291">SUM(1-'Sparkling Model'!D$2:D$38^A1291)</f>
        <v>31.73879885</v>
      </c>
      <c r="C1291" s="8">
        <f t="array" ref="C1291">PRODUCT(1-'Sparkling Model'!D$2:D$38^A1291)</f>
        <v>0.001700882536</v>
      </c>
    </row>
    <row r="1292">
      <c r="A1292" s="6">
        <v>1290.0</v>
      </c>
      <c r="B1292" s="17">
        <f t="array" ref="B1292">SUM(1-'Sparkling Model'!D$2:D$38^A1292)</f>
        <v>31.74494767</v>
      </c>
      <c r="C1292" s="8">
        <f t="array" ref="C1292">PRODUCT(1-'Sparkling Model'!D$2:D$38^A1292)</f>
        <v>0.001714677768</v>
      </c>
    </row>
    <row r="1293">
      <c r="A1293" s="6">
        <v>1291.0</v>
      </c>
      <c r="B1293" s="17">
        <f t="array" ref="B1293">SUM(1-'Sparkling Model'!D$2:D$38^A1293)</f>
        <v>31.75108702</v>
      </c>
      <c r="C1293" s="8">
        <f t="array" ref="C1293">PRODUCT(1-'Sparkling Model'!D$2:D$38^A1293)</f>
        <v>0.001728561146</v>
      </c>
    </row>
    <row r="1294">
      <c r="A1294" s="6">
        <v>1292.0</v>
      </c>
      <c r="B1294" s="17">
        <f t="array" ref="B1294">SUM(1-'Sparkling Model'!D$2:D$38^A1294)</f>
        <v>31.75721693</v>
      </c>
      <c r="C1294" s="8">
        <f t="array" ref="C1294">PRODUCT(1-'Sparkling Model'!D$2:D$38^A1294)</f>
        <v>0.001742533053</v>
      </c>
    </row>
    <row r="1295">
      <c r="A1295" s="6">
        <v>1293.0</v>
      </c>
      <c r="B1295" s="17">
        <f t="array" ref="B1295">SUM(1-'Sparkling Model'!D$2:D$38^A1295)</f>
        <v>31.76333742</v>
      </c>
      <c r="C1295" s="8">
        <f t="array" ref="C1295">PRODUCT(1-'Sparkling Model'!D$2:D$38^A1295)</f>
        <v>0.001756593873</v>
      </c>
    </row>
    <row r="1296">
      <c r="A1296" s="6">
        <v>1294.0</v>
      </c>
      <c r="B1296" s="17">
        <f t="array" ref="B1296">SUM(1-'Sparkling Model'!D$2:D$38^A1296)</f>
        <v>31.7694485</v>
      </c>
      <c r="C1296" s="8">
        <f t="array" ref="C1296">PRODUCT(1-'Sparkling Model'!D$2:D$38^A1296)</f>
        <v>0.001770743988</v>
      </c>
    </row>
    <row r="1297">
      <c r="A1297" s="6">
        <v>1295.0</v>
      </c>
      <c r="B1297" s="17">
        <f t="array" ref="B1297">SUM(1-'Sparkling Model'!D$2:D$38^A1297)</f>
        <v>31.7755502</v>
      </c>
      <c r="C1297" s="8">
        <f t="array" ref="C1297">PRODUCT(1-'Sparkling Model'!D$2:D$38^A1297)</f>
        <v>0.001784983783</v>
      </c>
    </row>
    <row r="1298">
      <c r="A1298" s="6">
        <v>1296.0</v>
      </c>
      <c r="B1298" s="17">
        <f t="array" ref="B1298">SUM(1-'Sparkling Model'!D$2:D$38^A1298)</f>
        <v>31.78164252</v>
      </c>
      <c r="C1298" s="8">
        <f t="array" ref="C1298">PRODUCT(1-'Sparkling Model'!D$2:D$38^A1298)</f>
        <v>0.001799313641</v>
      </c>
    </row>
    <row r="1299">
      <c r="A1299" s="6">
        <v>1297.0</v>
      </c>
      <c r="B1299" s="17">
        <f t="array" ref="B1299">SUM(1-'Sparkling Model'!D$2:D$38^A1299)</f>
        <v>31.78772549</v>
      </c>
      <c r="C1299" s="8">
        <f t="array" ref="C1299">PRODUCT(1-'Sparkling Model'!D$2:D$38^A1299)</f>
        <v>0.001813733949</v>
      </c>
    </row>
    <row r="1300">
      <c r="A1300" s="6">
        <v>1298.0</v>
      </c>
      <c r="B1300" s="17">
        <f t="array" ref="B1300">SUM(1-'Sparkling Model'!D$2:D$38^A1300)</f>
        <v>31.79379913</v>
      </c>
      <c r="C1300" s="8">
        <f t="array" ref="C1300">PRODUCT(1-'Sparkling Model'!D$2:D$38^A1300)</f>
        <v>0.001828245092</v>
      </c>
    </row>
    <row r="1301">
      <c r="A1301" s="6">
        <v>1299.0</v>
      </c>
      <c r="B1301" s="17">
        <f t="array" ref="B1301">SUM(1-'Sparkling Model'!D$2:D$38^A1301)</f>
        <v>31.79986344</v>
      </c>
      <c r="C1301" s="8">
        <f t="array" ref="C1301">PRODUCT(1-'Sparkling Model'!D$2:D$38^A1301)</f>
        <v>0.001842847455</v>
      </c>
    </row>
    <row r="1302">
      <c r="A1302" s="6">
        <v>1300.0</v>
      </c>
      <c r="B1302" s="17">
        <f t="array" ref="B1302">SUM(1-'Sparkling Model'!D$2:D$38^A1302)</f>
        <v>31.80591846</v>
      </c>
      <c r="C1302" s="8">
        <f t="array" ref="C1302">PRODUCT(1-'Sparkling Model'!D$2:D$38^A1302)</f>
        <v>0.001857541426</v>
      </c>
    </row>
    <row r="1303">
      <c r="A1303" s="6">
        <v>1301.0</v>
      </c>
      <c r="B1303" s="17">
        <f t="array" ref="B1303">SUM(1-'Sparkling Model'!D$2:D$38^A1303)</f>
        <v>31.81196419</v>
      </c>
      <c r="C1303" s="8">
        <f t="array" ref="C1303">PRODUCT(1-'Sparkling Model'!D$2:D$38^A1303)</f>
        <v>0.001872327391</v>
      </c>
    </row>
    <row r="1304">
      <c r="A1304" s="6">
        <v>1302.0</v>
      </c>
      <c r="B1304" s="17">
        <f t="array" ref="B1304">SUM(1-'Sparkling Model'!D$2:D$38^A1304)</f>
        <v>31.81800066</v>
      </c>
      <c r="C1304" s="8">
        <f t="array" ref="C1304">PRODUCT(1-'Sparkling Model'!D$2:D$38^A1304)</f>
        <v>0.001887205738</v>
      </c>
    </row>
    <row r="1305">
      <c r="A1305" s="6">
        <v>1303.0</v>
      </c>
      <c r="B1305" s="17">
        <f t="array" ref="B1305">SUM(1-'Sparkling Model'!D$2:D$38^A1305)</f>
        <v>31.82402788</v>
      </c>
      <c r="C1305" s="8">
        <f t="array" ref="C1305">PRODUCT(1-'Sparkling Model'!D$2:D$38^A1305)</f>
        <v>0.001902176854</v>
      </c>
    </row>
    <row r="1306">
      <c r="A1306" s="6">
        <v>1304.0</v>
      </c>
      <c r="B1306" s="17">
        <f t="array" ref="B1306">SUM(1-'Sparkling Model'!D$2:D$38^A1306)</f>
        <v>31.83004586</v>
      </c>
      <c r="C1306" s="8">
        <f t="array" ref="C1306">PRODUCT(1-'Sparkling Model'!D$2:D$38^A1306)</f>
        <v>0.00191724113</v>
      </c>
    </row>
    <row r="1307">
      <c r="A1307" s="6">
        <v>1305.0</v>
      </c>
      <c r="B1307" s="17">
        <f t="array" ref="B1307">SUM(1-'Sparkling Model'!D$2:D$38^A1307)</f>
        <v>31.83605463</v>
      </c>
      <c r="C1307" s="8">
        <f t="array" ref="C1307">PRODUCT(1-'Sparkling Model'!D$2:D$38^A1307)</f>
        <v>0.001932398952</v>
      </c>
    </row>
    <row r="1308">
      <c r="A1308" s="6">
        <v>1306.0</v>
      </c>
      <c r="B1308" s="17">
        <f t="array" ref="B1308">SUM(1-'Sparkling Model'!D$2:D$38^A1308)</f>
        <v>31.8420542</v>
      </c>
      <c r="C1308" s="8">
        <f t="array" ref="C1308">PRODUCT(1-'Sparkling Model'!D$2:D$38^A1308)</f>
        <v>0.001947650712</v>
      </c>
    </row>
    <row r="1309">
      <c r="A1309" s="6">
        <v>1307.0</v>
      </c>
      <c r="B1309" s="17">
        <f t="array" ref="B1309">SUM(1-'Sparkling Model'!D$2:D$38^A1309)</f>
        <v>31.84804459</v>
      </c>
      <c r="C1309" s="8">
        <f t="array" ref="C1309">PRODUCT(1-'Sparkling Model'!D$2:D$38^A1309)</f>
        <v>0.001962996799</v>
      </c>
    </row>
    <row r="1310">
      <c r="A1310" s="6">
        <v>1308.0</v>
      </c>
      <c r="B1310" s="17">
        <f t="array" ref="B1310">SUM(1-'Sparkling Model'!D$2:D$38^A1310)</f>
        <v>31.85402582</v>
      </c>
      <c r="C1310" s="8">
        <f t="array" ref="C1310">PRODUCT(1-'Sparkling Model'!D$2:D$38^A1310)</f>
        <v>0.001978437603</v>
      </c>
    </row>
    <row r="1311">
      <c r="A1311" s="6">
        <v>1309.0</v>
      </c>
      <c r="B1311" s="17">
        <f t="array" ref="B1311">SUM(1-'Sparkling Model'!D$2:D$38^A1311)</f>
        <v>31.85999789</v>
      </c>
      <c r="C1311" s="8">
        <f t="array" ref="C1311">PRODUCT(1-'Sparkling Model'!D$2:D$38^A1311)</f>
        <v>0.001993973515</v>
      </c>
    </row>
    <row r="1312">
      <c r="A1312" s="6">
        <v>1310.0</v>
      </c>
      <c r="B1312" s="17">
        <f t="array" ref="B1312">SUM(1-'Sparkling Model'!D$2:D$38^A1312)</f>
        <v>31.86596084</v>
      </c>
      <c r="C1312" s="8">
        <f t="array" ref="C1312">PRODUCT(1-'Sparkling Model'!D$2:D$38^A1312)</f>
        <v>0.002009604928</v>
      </c>
    </row>
    <row r="1313">
      <c r="A1313" s="6">
        <v>1311.0</v>
      </c>
      <c r="B1313" s="17">
        <f t="array" ref="B1313">SUM(1-'Sparkling Model'!D$2:D$38^A1313)</f>
        <v>31.87191468</v>
      </c>
      <c r="C1313" s="8">
        <f t="array" ref="C1313">PRODUCT(1-'Sparkling Model'!D$2:D$38^A1313)</f>
        <v>0.002025332231</v>
      </c>
    </row>
    <row r="1314">
      <c r="A1314" s="6">
        <v>1312.0</v>
      </c>
      <c r="B1314" s="17">
        <f t="array" ref="B1314">SUM(1-'Sparkling Model'!D$2:D$38^A1314)</f>
        <v>31.87785942</v>
      </c>
      <c r="C1314" s="8">
        <f t="array" ref="C1314">PRODUCT(1-'Sparkling Model'!D$2:D$38^A1314)</f>
        <v>0.002041155819</v>
      </c>
    </row>
    <row r="1315">
      <c r="A1315" s="6">
        <v>1313.0</v>
      </c>
      <c r="B1315" s="17">
        <f t="array" ref="B1315">SUM(1-'Sparkling Model'!D$2:D$38^A1315)</f>
        <v>31.88379508</v>
      </c>
      <c r="C1315" s="8">
        <f t="array" ref="C1315">PRODUCT(1-'Sparkling Model'!D$2:D$38^A1315)</f>
        <v>0.002057076083</v>
      </c>
    </row>
    <row r="1316">
      <c r="A1316" s="6">
        <v>1314.0</v>
      </c>
      <c r="B1316" s="17">
        <f t="array" ref="B1316">SUM(1-'Sparkling Model'!D$2:D$38^A1316)</f>
        <v>31.88972167</v>
      </c>
      <c r="C1316" s="8">
        <f t="array" ref="C1316">PRODUCT(1-'Sparkling Model'!D$2:D$38^A1316)</f>
        <v>0.002073093417</v>
      </c>
    </row>
    <row r="1317">
      <c r="A1317" s="6">
        <v>1315.0</v>
      </c>
      <c r="B1317" s="17">
        <f t="array" ref="B1317">SUM(1-'Sparkling Model'!D$2:D$38^A1317)</f>
        <v>31.89563923</v>
      </c>
      <c r="C1317" s="8">
        <f t="array" ref="C1317">PRODUCT(1-'Sparkling Model'!D$2:D$38^A1317)</f>
        <v>0.002089208213</v>
      </c>
    </row>
    <row r="1318">
      <c r="A1318" s="6">
        <v>1316.0</v>
      </c>
      <c r="B1318" s="17">
        <f t="array" ref="B1318">SUM(1-'Sparkling Model'!D$2:D$38^A1318)</f>
        <v>31.90154775</v>
      </c>
      <c r="C1318" s="8">
        <f t="array" ref="C1318">PRODUCT(1-'Sparkling Model'!D$2:D$38^A1318)</f>
        <v>0.002105420868</v>
      </c>
    </row>
    <row r="1319">
      <c r="A1319" s="6">
        <v>1317.0</v>
      </c>
      <c r="B1319" s="17">
        <f t="array" ref="B1319">SUM(1-'Sparkling Model'!D$2:D$38^A1319)</f>
        <v>31.90744726</v>
      </c>
      <c r="C1319" s="8">
        <f t="array" ref="C1319">PRODUCT(1-'Sparkling Model'!D$2:D$38^A1319)</f>
        <v>0.002121731774</v>
      </c>
    </row>
    <row r="1320">
      <c r="A1320" s="6">
        <v>1318.0</v>
      </c>
      <c r="B1320" s="17">
        <f t="array" ref="B1320">SUM(1-'Sparkling Model'!D$2:D$38^A1320)</f>
        <v>31.91333777</v>
      </c>
      <c r="C1320" s="8">
        <f t="array" ref="C1320">PRODUCT(1-'Sparkling Model'!D$2:D$38^A1320)</f>
        <v>0.002138141326</v>
      </c>
    </row>
    <row r="1321">
      <c r="A1321" s="6">
        <v>1319.0</v>
      </c>
      <c r="B1321" s="17">
        <f t="array" ref="B1321">SUM(1-'Sparkling Model'!D$2:D$38^A1321)</f>
        <v>31.9192193</v>
      </c>
      <c r="C1321" s="8">
        <f t="array" ref="C1321">PRODUCT(1-'Sparkling Model'!D$2:D$38^A1321)</f>
        <v>0.00215464992</v>
      </c>
    </row>
    <row r="1322">
      <c r="A1322" s="6">
        <v>1320.0</v>
      </c>
      <c r="B1322" s="17">
        <f t="array" ref="B1322">SUM(1-'Sparkling Model'!D$2:D$38^A1322)</f>
        <v>31.92509188</v>
      </c>
      <c r="C1322" s="8">
        <f t="array" ref="C1322">PRODUCT(1-'Sparkling Model'!D$2:D$38^A1322)</f>
        <v>0.002171257952</v>
      </c>
    </row>
    <row r="1323">
      <c r="A1323" s="6">
        <v>1321.0</v>
      </c>
      <c r="B1323" s="17">
        <f t="array" ref="B1323">SUM(1-'Sparkling Model'!D$2:D$38^A1323)</f>
        <v>31.9309555</v>
      </c>
      <c r="C1323" s="8">
        <f t="array" ref="C1323">PRODUCT(1-'Sparkling Model'!D$2:D$38^A1323)</f>
        <v>0.002187965817</v>
      </c>
    </row>
    <row r="1324">
      <c r="A1324" s="6">
        <v>1322.0</v>
      </c>
      <c r="B1324" s="17">
        <f t="array" ref="B1324">SUM(1-'Sparkling Model'!D$2:D$38^A1324)</f>
        <v>31.9368102</v>
      </c>
      <c r="C1324" s="8">
        <f t="array" ref="C1324">PRODUCT(1-'Sparkling Model'!D$2:D$38^A1324)</f>
        <v>0.002204773912</v>
      </c>
    </row>
    <row r="1325">
      <c r="A1325" s="6">
        <v>1323.0</v>
      </c>
      <c r="B1325" s="17">
        <f t="array" ref="B1325">SUM(1-'Sparkling Model'!D$2:D$38^A1325)</f>
        <v>31.94265598</v>
      </c>
      <c r="C1325" s="8">
        <f t="array" ref="C1325">PRODUCT(1-'Sparkling Model'!D$2:D$38^A1325)</f>
        <v>0.002221682634</v>
      </c>
    </row>
    <row r="1326">
      <c r="A1326" s="6">
        <v>1324.0</v>
      </c>
      <c r="B1326" s="17">
        <f t="array" ref="B1326">SUM(1-'Sparkling Model'!D$2:D$38^A1326)</f>
        <v>31.94849286</v>
      </c>
      <c r="C1326" s="8">
        <f t="array" ref="C1326">PRODUCT(1-'Sparkling Model'!D$2:D$38^A1326)</f>
        <v>0.00223869238</v>
      </c>
    </row>
    <row r="1327">
      <c r="A1327" s="6">
        <v>1325.0</v>
      </c>
      <c r="B1327" s="17">
        <f t="array" ref="B1327">SUM(1-'Sparkling Model'!D$2:D$38^A1327)</f>
        <v>31.95432087</v>
      </c>
      <c r="C1327" s="8">
        <f t="array" ref="C1327">PRODUCT(1-'Sparkling Model'!D$2:D$38^A1327)</f>
        <v>0.002255803548</v>
      </c>
    </row>
    <row r="1328">
      <c r="A1328" s="6">
        <v>1326.0</v>
      </c>
      <c r="B1328" s="17">
        <f t="array" ref="B1328">SUM(1-'Sparkling Model'!D$2:D$38^A1328)</f>
        <v>31.96014001</v>
      </c>
      <c r="C1328" s="8">
        <f t="array" ref="C1328">PRODUCT(1-'Sparkling Model'!D$2:D$38^A1328)</f>
        <v>0.002273016535</v>
      </c>
    </row>
    <row r="1329">
      <c r="A1329" s="6">
        <v>1327.0</v>
      </c>
      <c r="B1329" s="17">
        <f t="array" ref="B1329">SUM(1-'Sparkling Model'!D$2:D$38^A1329)</f>
        <v>31.96595031</v>
      </c>
      <c r="C1329" s="8">
        <f t="array" ref="C1329">PRODUCT(1-'Sparkling Model'!D$2:D$38^A1329)</f>
        <v>0.002290331741</v>
      </c>
    </row>
    <row r="1330">
      <c r="A1330" s="6">
        <v>1328.0</v>
      </c>
      <c r="B1330" s="17">
        <f t="array" ref="B1330">SUM(1-'Sparkling Model'!D$2:D$38^A1330)</f>
        <v>31.97175177</v>
      </c>
      <c r="C1330" s="8">
        <f t="array" ref="C1330">PRODUCT(1-'Sparkling Model'!D$2:D$38^A1330)</f>
        <v>0.002307749563</v>
      </c>
    </row>
    <row r="1331">
      <c r="A1331" s="6">
        <v>1329.0</v>
      </c>
      <c r="B1331" s="17">
        <f t="array" ref="B1331">SUM(1-'Sparkling Model'!D$2:D$38^A1331)</f>
        <v>31.97754442</v>
      </c>
      <c r="C1331" s="8">
        <f t="array" ref="C1331">PRODUCT(1-'Sparkling Model'!D$2:D$38^A1331)</f>
        <v>0.002325270401</v>
      </c>
    </row>
    <row r="1332">
      <c r="A1332" s="6">
        <v>1330.0</v>
      </c>
      <c r="B1332" s="17">
        <f t="array" ref="B1332">SUM(1-'Sparkling Model'!D$2:D$38^A1332)</f>
        <v>31.98332826</v>
      </c>
      <c r="C1332" s="8">
        <f t="array" ref="C1332">PRODUCT(1-'Sparkling Model'!D$2:D$38^A1332)</f>
        <v>0.002342894655</v>
      </c>
    </row>
    <row r="1333">
      <c r="A1333" s="6">
        <v>1331.0</v>
      </c>
      <c r="B1333" s="17">
        <f t="array" ref="B1333">SUM(1-'Sparkling Model'!D$2:D$38^A1333)</f>
        <v>31.98910333</v>
      </c>
      <c r="C1333" s="8">
        <f t="array" ref="C1333">PRODUCT(1-'Sparkling Model'!D$2:D$38^A1333)</f>
        <v>0.002360622723</v>
      </c>
    </row>
    <row r="1334">
      <c r="A1334" s="6">
        <v>1332.0</v>
      </c>
      <c r="B1334" s="17">
        <f t="array" ref="B1334">SUM(1-'Sparkling Model'!D$2:D$38^A1334)</f>
        <v>31.99486963</v>
      </c>
      <c r="C1334" s="8">
        <f t="array" ref="C1334">PRODUCT(1-'Sparkling Model'!D$2:D$38^A1334)</f>
        <v>0.002378455007</v>
      </c>
    </row>
    <row r="1335">
      <c r="A1335" s="6">
        <v>1333.0</v>
      </c>
      <c r="B1335" s="17">
        <f t="array" ref="B1335">SUM(1-'Sparkling Model'!D$2:D$38^A1335)</f>
        <v>32.00062718</v>
      </c>
      <c r="C1335" s="8">
        <f t="array" ref="C1335">PRODUCT(1-'Sparkling Model'!D$2:D$38^A1335)</f>
        <v>0.002396391907</v>
      </c>
    </row>
    <row r="1336">
      <c r="A1336" s="6">
        <v>1334.0</v>
      </c>
      <c r="B1336" s="17">
        <f t="array" ref="B1336">SUM(1-'Sparkling Model'!D$2:D$38^A1336)</f>
        <v>32.006376</v>
      </c>
      <c r="C1336" s="8">
        <f t="array" ref="C1336">PRODUCT(1-'Sparkling Model'!D$2:D$38^A1336)</f>
        <v>0.002414433823</v>
      </c>
    </row>
    <row r="1337">
      <c r="A1337" s="6">
        <v>1335.0</v>
      </c>
      <c r="B1337" s="17">
        <f t="array" ref="B1337">SUM(1-'Sparkling Model'!D$2:D$38^A1337)</f>
        <v>32.01211609</v>
      </c>
      <c r="C1337" s="8">
        <f t="array" ref="C1337">PRODUCT(1-'Sparkling Model'!D$2:D$38^A1337)</f>
        <v>0.002432581157</v>
      </c>
    </row>
    <row r="1338">
      <c r="A1338" s="6">
        <v>1336.0</v>
      </c>
      <c r="B1338" s="17">
        <f t="array" ref="B1338">SUM(1-'Sparkling Model'!D$2:D$38^A1338)</f>
        <v>32.01784749</v>
      </c>
      <c r="C1338" s="8">
        <f t="array" ref="C1338">PRODUCT(1-'Sparkling Model'!D$2:D$38^A1338)</f>
        <v>0.002450834309</v>
      </c>
    </row>
    <row r="1339">
      <c r="A1339" s="6">
        <v>1337.0</v>
      </c>
      <c r="B1339" s="17">
        <f t="array" ref="B1339">SUM(1-'Sparkling Model'!D$2:D$38^A1339)</f>
        <v>32.0235702</v>
      </c>
      <c r="C1339" s="8">
        <f t="array" ref="C1339">PRODUCT(1-'Sparkling Model'!D$2:D$38^A1339)</f>
        <v>0.002469193683</v>
      </c>
    </row>
    <row r="1340">
      <c r="A1340" s="6">
        <v>1338.0</v>
      </c>
      <c r="B1340" s="17">
        <f t="array" ref="B1340">SUM(1-'Sparkling Model'!D$2:D$38^A1340)</f>
        <v>32.02928424</v>
      </c>
      <c r="C1340" s="8">
        <f t="array" ref="C1340">PRODUCT(1-'Sparkling Model'!D$2:D$38^A1340)</f>
        <v>0.00248765968</v>
      </c>
    </row>
    <row r="1341">
      <c r="A1341" s="6">
        <v>1339.0</v>
      </c>
      <c r="B1341" s="17">
        <f t="array" ref="B1341">SUM(1-'Sparkling Model'!D$2:D$38^A1341)</f>
        <v>32.03498962</v>
      </c>
      <c r="C1341" s="8">
        <f t="array" ref="C1341">PRODUCT(1-'Sparkling Model'!D$2:D$38^A1341)</f>
        <v>0.002506232702</v>
      </c>
    </row>
    <row r="1342">
      <c r="A1342" s="6">
        <v>1340.0</v>
      </c>
      <c r="B1342" s="17">
        <f t="array" ref="B1342">SUM(1-'Sparkling Model'!D$2:D$38^A1342)</f>
        <v>32.04068637</v>
      </c>
      <c r="C1342" s="8">
        <f t="array" ref="C1342">PRODUCT(1-'Sparkling Model'!D$2:D$38^A1342)</f>
        <v>0.002524913151</v>
      </c>
    </row>
    <row r="1343">
      <c r="A1343" s="6">
        <v>1341.0</v>
      </c>
      <c r="B1343" s="17">
        <f t="array" ref="B1343">SUM(1-'Sparkling Model'!D$2:D$38^A1343)</f>
        <v>32.04637449</v>
      </c>
      <c r="C1343" s="8">
        <f t="array" ref="C1343">PRODUCT(1-'Sparkling Model'!D$2:D$38^A1343)</f>
        <v>0.002543701432</v>
      </c>
    </row>
    <row r="1344">
      <c r="A1344" s="6">
        <v>1342.0</v>
      </c>
      <c r="B1344" s="17">
        <f t="array" ref="B1344">SUM(1-'Sparkling Model'!D$2:D$38^A1344)</f>
        <v>32.05205401</v>
      </c>
      <c r="C1344" s="8">
        <f t="array" ref="C1344">PRODUCT(1-'Sparkling Model'!D$2:D$38^A1344)</f>
        <v>0.002562597948</v>
      </c>
    </row>
    <row r="1345">
      <c r="A1345" s="6">
        <v>1343.0</v>
      </c>
      <c r="B1345" s="17">
        <f t="array" ref="B1345">SUM(1-'Sparkling Model'!D$2:D$38^A1345)</f>
        <v>32.05772493</v>
      </c>
      <c r="C1345" s="8">
        <f t="array" ref="C1345">PRODUCT(1-'Sparkling Model'!D$2:D$38^A1345)</f>
        <v>0.002581603101</v>
      </c>
    </row>
    <row r="1346">
      <c r="A1346" s="6">
        <v>1344.0</v>
      </c>
      <c r="B1346" s="17">
        <f t="array" ref="B1346">SUM(1-'Sparkling Model'!D$2:D$38^A1346)</f>
        <v>32.06338729</v>
      </c>
      <c r="C1346" s="8">
        <f t="array" ref="C1346">PRODUCT(1-'Sparkling Model'!D$2:D$38^A1346)</f>
        <v>0.002600717295</v>
      </c>
    </row>
    <row r="1347">
      <c r="A1347" s="6">
        <v>1345.0</v>
      </c>
      <c r="B1347" s="17">
        <f t="array" ref="B1347">SUM(1-'Sparkling Model'!D$2:D$38^A1347)</f>
        <v>32.06904108</v>
      </c>
      <c r="C1347" s="8">
        <f t="array" ref="C1347">PRODUCT(1-'Sparkling Model'!D$2:D$38^A1347)</f>
        <v>0.002619940936</v>
      </c>
    </row>
    <row r="1348">
      <c r="A1348" s="6">
        <v>1346.0</v>
      </c>
      <c r="B1348" s="17">
        <f t="array" ref="B1348">SUM(1-'Sparkling Model'!D$2:D$38^A1348)</f>
        <v>32.07468633</v>
      </c>
      <c r="C1348" s="8">
        <f t="array" ref="C1348">PRODUCT(1-'Sparkling Model'!D$2:D$38^A1348)</f>
        <v>0.002639274426</v>
      </c>
    </row>
    <row r="1349">
      <c r="A1349" s="6">
        <v>1347.0</v>
      </c>
      <c r="B1349" s="17">
        <f t="array" ref="B1349">SUM(1-'Sparkling Model'!D$2:D$38^A1349)</f>
        <v>32.08032305</v>
      </c>
      <c r="C1349" s="8">
        <f t="array" ref="C1349">PRODUCT(1-'Sparkling Model'!D$2:D$38^A1349)</f>
        <v>0.002658718171</v>
      </c>
    </row>
    <row r="1350">
      <c r="A1350" s="6">
        <v>1348.0</v>
      </c>
      <c r="B1350" s="17">
        <f t="array" ref="B1350">SUM(1-'Sparkling Model'!D$2:D$38^A1350)</f>
        <v>32.08595126</v>
      </c>
      <c r="C1350" s="8">
        <f t="array" ref="C1350">PRODUCT(1-'Sparkling Model'!D$2:D$38^A1350)</f>
        <v>0.002678272576</v>
      </c>
    </row>
    <row r="1351">
      <c r="A1351" s="6">
        <v>1349.0</v>
      </c>
      <c r="B1351" s="17">
        <f t="array" ref="B1351">SUM(1-'Sparkling Model'!D$2:D$38^A1351)</f>
        <v>32.09157097</v>
      </c>
      <c r="C1351" s="8">
        <f t="array" ref="C1351">PRODUCT(1-'Sparkling Model'!D$2:D$38^A1351)</f>
        <v>0.002697938046</v>
      </c>
    </row>
    <row r="1352">
      <c r="A1352" s="6">
        <v>1350.0</v>
      </c>
      <c r="B1352" s="17">
        <f t="array" ref="B1352">SUM(1-'Sparkling Model'!D$2:D$38^A1352)</f>
        <v>32.0971822</v>
      </c>
      <c r="C1352" s="8">
        <f t="array" ref="C1352">PRODUCT(1-'Sparkling Model'!D$2:D$38^A1352)</f>
        <v>0.002717714986</v>
      </c>
    </row>
    <row r="1353">
      <c r="A1353" s="6">
        <v>1351.0</v>
      </c>
      <c r="B1353" s="17">
        <f t="array" ref="B1353">SUM(1-'Sparkling Model'!D$2:D$38^A1353)</f>
        <v>32.10278496</v>
      </c>
      <c r="C1353" s="8">
        <f t="array" ref="C1353">PRODUCT(1-'Sparkling Model'!D$2:D$38^A1353)</f>
        <v>0.002737603802</v>
      </c>
    </row>
    <row r="1354">
      <c r="A1354" s="6">
        <v>1352.0</v>
      </c>
      <c r="B1354" s="17">
        <f t="array" ref="B1354">SUM(1-'Sparkling Model'!D$2:D$38^A1354)</f>
        <v>32.10837928</v>
      </c>
      <c r="C1354" s="8">
        <f t="array" ref="C1354">PRODUCT(1-'Sparkling Model'!D$2:D$38^A1354)</f>
        <v>0.002757604899</v>
      </c>
    </row>
    <row r="1355">
      <c r="A1355" s="6">
        <v>1353.0</v>
      </c>
      <c r="B1355" s="17">
        <f t="array" ref="B1355">SUM(1-'Sparkling Model'!D$2:D$38^A1355)</f>
        <v>32.11396516</v>
      </c>
      <c r="C1355" s="8">
        <f t="array" ref="C1355">PRODUCT(1-'Sparkling Model'!D$2:D$38^A1355)</f>
        <v>0.002777718684</v>
      </c>
    </row>
    <row r="1356">
      <c r="A1356" s="6">
        <v>1354.0</v>
      </c>
      <c r="B1356" s="17">
        <f t="array" ref="B1356">SUM(1-'Sparkling Model'!D$2:D$38^A1356)</f>
        <v>32.11954262</v>
      </c>
      <c r="C1356" s="8">
        <f t="array" ref="C1356">PRODUCT(1-'Sparkling Model'!D$2:D$38^A1356)</f>
        <v>0.002797945563</v>
      </c>
    </row>
    <row r="1357">
      <c r="A1357" s="6">
        <v>1355.0</v>
      </c>
      <c r="B1357" s="17">
        <f t="array" ref="B1357">SUM(1-'Sparkling Model'!D$2:D$38^A1357)</f>
        <v>32.12511167</v>
      </c>
      <c r="C1357" s="8">
        <f t="array" ref="C1357">PRODUCT(1-'Sparkling Model'!D$2:D$38^A1357)</f>
        <v>0.002818285943</v>
      </c>
    </row>
    <row r="1358">
      <c r="A1358" s="6">
        <v>1356.0</v>
      </c>
      <c r="B1358" s="17">
        <f t="array" ref="B1358">SUM(1-'Sparkling Model'!D$2:D$38^A1358)</f>
        <v>32.13067234</v>
      </c>
      <c r="C1358" s="8">
        <f t="array" ref="C1358">PRODUCT(1-'Sparkling Model'!D$2:D$38^A1358)</f>
        <v>0.00283874023</v>
      </c>
    </row>
    <row r="1359">
      <c r="A1359" s="6">
        <v>1357.0</v>
      </c>
      <c r="B1359" s="17">
        <f t="array" ref="B1359">SUM(1-'Sparkling Model'!D$2:D$38^A1359)</f>
        <v>32.13622464</v>
      </c>
      <c r="C1359" s="8">
        <f t="array" ref="C1359">PRODUCT(1-'Sparkling Model'!D$2:D$38^A1359)</f>
        <v>0.002859308832</v>
      </c>
    </row>
    <row r="1360">
      <c r="A1360" s="6">
        <v>1358.0</v>
      </c>
      <c r="B1360" s="17">
        <f t="array" ref="B1360">SUM(1-'Sparkling Model'!D$2:D$38^A1360)</f>
        <v>32.14176858</v>
      </c>
      <c r="C1360" s="8">
        <f t="array" ref="C1360">PRODUCT(1-'Sparkling Model'!D$2:D$38^A1360)</f>
        <v>0.002879992154</v>
      </c>
    </row>
    <row r="1361">
      <c r="A1361" s="6">
        <v>1359.0</v>
      </c>
      <c r="B1361" s="17">
        <f t="array" ref="B1361">SUM(1-'Sparkling Model'!D$2:D$38^A1361)</f>
        <v>32.14730417</v>
      </c>
      <c r="C1361" s="8">
        <f t="array" ref="C1361">PRODUCT(1-'Sparkling Model'!D$2:D$38^A1361)</f>
        <v>0.002900790606</v>
      </c>
    </row>
    <row r="1362">
      <c r="A1362" s="6">
        <v>1360.0</v>
      </c>
      <c r="B1362" s="17">
        <f t="array" ref="B1362">SUM(1-'Sparkling Model'!D$2:D$38^A1362)</f>
        <v>32.15283144</v>
      </c>
      <c r="C1362" s="8">
        <f t="array" ref="C1362">PRODUCT(1-'Sparkling Model'!D$2:D$38^A1362)</f>
        <v>0.002921704594</v>
      </c>
    </row>
    <row r="1363">
      <c r="A1363" s="6">
        <v>1361.0</v>
      </c>
      <c r="B1363" s="17">
        <f t="array" ref="B1363">SUM(1-'Sparkling Model'!D$2:D$38^A1363)</f>
        <v>32.1583504</v>
      </c>
      <c r="C1363" s="8">
        <f t="array" ref="C1363">PRODUCT(1-'Sparkling Model'!D$2:D$38^A1363)</f>
        <v>0.002942734526</v>
      </c>
    </row>
    <row r="1364">
      <c r="A1364" s="6">
        <v>1362.0</v>
      </c>
      <c r="B1364" s="17">
        <f t="array" ref="B1364">SUM(1-'Sparkling Model'!D$2:D$38^A1364)</f>
        <v>32.16386105</v>
      </c>
      <c r="C1364" s="8">
        <f t="array" ref="C1364">PRODUCT(1-'Sparkling Model'!D$2:D$38^A1364)</f>
        <v>0.00296388081</v>
      </c>
    </row>
    <row r="1365">
      <c r="A1365" s="6">
        <v>1363.0</v>
      </c>
      <c r="B1365" s="17">
        <f t="array" ref="B1365">SUM(1-'Sparkling Model'!D$2:D$38^A1365)</f>
        <v>32.16936343</v>
      </c>
      <c r="C1365" s="8">
        <f t="array" ref="C1365">PRODUCT(1-'Sparkling Model'!D$2:D$38^A1365)</f>
        <v>0.002985143854</v>
      </c>
    </row>
    <row r="1366">
      <c r="A1366" s="6">
        <v>1364.0</v>
      </c>
      <c r="B1366" s="17">
        <f t="array" ref="B1366">SUM(1-'Sparkling Model'!D$2:D$38^A1366)</f>
        <v>32.17485754</v>
      </c>
      <c r="C1366" s="8">
        <f t="array" ref="C1366">PRODUCT(1-'Sparkling Model'!D$2:D$38^A1366)</f>
        <v>0.003006524066</v>
      </c>
    </row>
    <row r="1367">
      <c r="A1367" s="6">
        <v>1365.0</v>
      </c>
      <c r="B1367" s="17">
        <f t="array" ref="B1367">SUM(1-'Sparkling Model'!D$2:D$38^A1367)</f>
        <v>32.1803434</v>
      </c>
      <c r="C1367" s="8">
        <f t="array" ref="C1367">PRODUCT(1-'Sparkling Model'!D$2:D$38^A1367)</f>
        <v>0.003028021855</v>
      </c>
    </row>
    <row r="1368">
      <c r="A1368" s="6">
        <v>1366.0</v>
      </c>
      <c r="B1368" s="17">
        <f t="array" ref="B1368">SUM(1-'Sparkling Model'!D$2:D$38^A1368)</f>
        <v>32.18582102</v>
      </c>
      <c r="C1368" s="8">
        <f t="array" ref="C1368">PRODUCT(1-'Sparkling Model'!D$2:D$38^A1368)</f>
        <v>0.003049637629</v>
      </c>
    </row>
    <row r="1369">
      <c r="A1369" s="6">
        <v>1367.0</v>
      </c>
      <c r="B1369" s="17">
        <f t="array" ref="B1369">SUM(1-'Sparkling Model'!D$2:D$38^A1369)</f>
        <v>32.19129043</v>
      </c>
      <c r="C1369" s="8">
        <f t="array" ref="C1369">PRODUCT(1-'Sparkling Model'!D$2:D$38^A1369)</f>
        <v>0.003071371797</v>
      </c>
    </row>
    <row r="1370">
      <c r="A1370" s="6">
        <v>1368.0</v>
      </c>
      <c r="B1370" s="17">
        <f t="array" ref="B1370">SUM(1-'Sparkling Model'!D$2:D$38^A1370)</f>
        <v>32.19675162</v>
      </c>
      <c r="C1370" s="8">
        <f t="array" ref="C1370">PRODUCT(1-'Sparkling Model'!D$2:D$38^A1370)</f>
        <v>0.003093224768</v>
      </c>
    </row>
    <row r="1371">
      <c r="A1371" s="6">
        <v>1369.0</v>
      </c>
      <c r="B1371" s="17">
        <f t="array" ref="B1371">SUM(1-'Sparkling Model'!D$2:D$38^A1371)</f>
        <v>32.20220462</v>
      </c>
      <c r="C1371" s="8">
        <f t="array" ref="C1371">PRODUCT(1-'Sparkling Model'!D$2:D$38^A1371)</f>
        <v>0.00311519695</v>
      </c>
    </row>
    <row r="1372">
      <c r="A1372" s="6">
        <v>1370.0</v>
      </c>
      <c r="B1372" s="17">
        <f t="array" ref="B1372">SUM(1-'Sparkling Model'!D$2:D$38^A1372)</f>
        <v>32.20764945</v>
      </c>
      <c r="C1372" s="8">
        <f t="array" ref="C1372">PRODUCT(1-'Sparkling Model'!D$2:D$38^A1372)</f>
        <v>0.003137288754</v>
      </c>
    </row>
    <row r="1373">
      <c r="A1373" s="6">
        <v>1371.0</v>
      </c>
      <c r="B1373" s="17">
        <f t="array" ref="B1373">SUM(1-'Sparkling Model'!D$2:D$38^A1373)</f>
        <v>32.21308612</v>
      </c>
      <c r="C1373" s="8">
        <f t="array" ref="C1373">PRODUCT(1-'Sparkling Model'!D$2:D$38^A1373)</f>
        <v>0.003159500588</v>
      </c>
    </row>
    <row r="1374">
      <c r="A1374" s="6">
        <v>1372.0</v>
      </c>
      <c r="B1374" s="17">
        <f t="array" ref="B1374">SUM(1-'Sparkling Model'!D$2:D$38^A1374)</f>
        <v>32.21851463</v>
      </c>
      <c r="C1374" s="8">
        <f t="array" ref="C1374">PRODUCT(1-'Sparkling Model'!D$2:D$38^A1374)</f>
        <v>0.003181832861</v>
      </c>
    </row>
    <row r="1375">
      <c r="A1375" s="6">
        <v>1373.0</v>
      </c>
      <c r="B1375" s="17">
        <f t="array" ref="B1375">SUM(1-'Sparkling Model'!D$2:D$38^A1375)</f>
        <v>32.22393502</v>
      </c>
      <c r="C1375" s="8">
        <f t="array" ref="C1375">PRODUCT(1-'Sparkling Model'!D$2:D$38^A1375)</f>
        <v>0.003204285984</v>
      </c>
    </row>
    <row r="1376">
      <c r="A1376" s="6">
        <v>1374.0</v>
      </c>
      <c r="B1376" s="17">
        <f t="array" ref="B1376">SUM(1-'Sparkling Model'!D$2:D$38^A1376)</f>
        <v>32.22934729</v>
      </c>
      <c r="C1376" s="8">
        <f t="array" ref="C1376">PRODUCT(1-'Sparkling Model'!D$2:D$38^A1376)</f>
        <v>0.003226860365</v>
      </c>
    </row>
    <row r="1377">
      <c r="A1377" s="6">
        <v>1375.0</v>
      </c>
      <c r="B1377" s="17">
        <f t="array" ref="B1377">SUM(1-'Sparkling Model'!D$2:D$38^A1377)</f>
        <v>32.23475146</v>
      </c>
      <c r="C1377" s="8">
        <f t="array" ref="C1377">PRODUCT(1-'Sparkling Model'!D$2:D$38^A1377)</f>
        <v>0.003249556414</v>
      </c>
    </row>
    <row r="1378">
      <c r="A1378" s="6">
        <v>1376.0</v>
      </c>
      <c r="B1378" s="17">
        <f t="array" ref="B1378">SUM(1-'Sparkling Model'!D$2:D$38^A1378)</f>
        <v>32.24014753</v>
      </c>
      <c r="C1378" s="8">
        <f t="array" ref="C1378">PRODUCT(1-'Sparkling Model'!D$2:D$38^A1378)</f>
        <v>0.003272374542</v>
      </c>
    </row>
    <row r="1379">
      <c r="A1379" s="6">
        <v>1377.0</v>
      </c>
      <c r="B1379" s="17">
        <f t="array" ref="B1379">SUM(1-'Sparkling Model'!D$2:D$38^A1379)</f>
        <v>32.24553554</v>
      </c>
      <c r="C1379" s="8">
        <f t="array" ref="C1379">PRODUCT(1-'Sparkling Model'!D$2:D$38^A1379)</f>
        <v>0.003295315158</v>
      </c>
    </row>
    <row r="1380">
      <c r="A1380" s="6">
        <v>1378.0</v>
      </c>
      <c r="B1380" s="17">
        <f t="array" ref="B1380">SUM(1-'Sparkling Model'!D$2:D$38^A1380)</f>
        <v>32.25091549</v>
      </c>
      <c r="C1380" s="8">
        <f t="array" ref="C1380">PRODUCT(1-'Sparkling Model'!D$2:D$38^A1380)</f>
        <v>0.003318378673</v>
      </c>
    </row>
    <row r="1381">
      <c r="A1381" s="6">
        <v>1379.0</v>
      </c>
      <c r="B1381" s="17">
        <f t="array" ref="B1381">SUM(1-'Sparkling Model'!D$2:D$38^A1381)</f>
        <v>32.25628739</v>
      </c>
      <c r="C1381" s="8">
        <f t="array" ref="C1381">PRODUCT(1-'Sparkling Model'!D$2:D$38^A1381)</f>
        <v>0.003341565495</v>
      </c>
    </row>
    <row r="1382">
      <c r="A1382" s="6">
        <v>1380.0</v>
      </c>
      <c r="B1382" s="17">
        <f t="array" ref="B1382">SUM(1-'Sparkling Model'!D$2:D$38^A1382)</f>
        <v>32.26165127</v>
      </c>
      <c r="C1382" s="8">
        <f t="array" ref="C1382">PRODUCT(1-'Sparkling Model'!D$2:D$38^A1382)</f>
        <v>0.003364876036</v>
      </c>
    </row>
    <row r="1383">
      <c r="A1383" s="6">
        <v>1381.0</v>
      </c>
      <c r="B1383" s="17">
        <f t="array" ref="B1383">SUM(1-'Sparkling Model'!D$2:D$38^A1383)</f>
        <v>32.26700713</v>
      </c>
      <c r="C1383" s="8">
        <f t="array" ref="C1383">PRODUCT(1-'Sparkling Model'!D$2:D$38^A1383)</f>
        <v>0.003388310706</v>
      </c>
    </row>
    <row r="1384">
      <c r="A1384" s="6">
        <v>1382.0</v>
      </c>
      <c r="B1384" s="17">
        <f t="array" ref="B1384">SUM(1-'Sparkling Model'!D$2:D$38^A1384)</f>
        <v>32.27235499</v>
      </c>
      <c r="C1384" s="8">
        <f t="array" ref="C1384">PRODUCT(1-'Sparkling Model'!D$2:D$38^A1384)</f>
        <v>0.003411869914</v>
      </c>
    </row>
    <row r="1385">
      <c r="A1385" s="6">
        <v>1383.0</v>
      </c>
      <c r="B1385" s="17">
        <f t="array" ref="B1385">SUM(1-'Sparkling Model'!D$2:D$38^A1385)</f>
        <v>32.27769487</v>
      </c>
      <c r="C1385" s="8">
        <f t="array" ref="C1385">PRODUCT(1-'Sparkling Model'!D$2:D$38^A1385)</f>
        <v>0.003435554072</v>
      </c>
    </row>
    <row r="1386">
      <c r="A1386" s="6">
        <v>1384.0</v>
      </c>
      <c r="B1386" s="17">
        <f t="array" ref="B1386">SUM(1-'Sparkling Model'!D$2:D$38^A1386)</f>
        <v>32.28302677</v>
      </c>
      <c r="C1386" s="8">
        <f t="array" ref="C1386">PRODUCT(1-'Sparkling Model'!D$2:D$38^A1386)</f>
        <v>0.00345936359</v>
      </c>
    </row>
    <row r="1387">
      <c r="A1387" s="6">
        <v>1385.0</v>
      </c>
      <c r="B1387" s="17">
        <f t="array" ref="B1387">SUM(1-'Sparkling Model'!D$2:D$38^A1387)</f>
        <v>32.28835072</v>
      </c>
      <c r="C1387" s="8">
        <f t="array" ref="C1387">PRODUCT(1-'Sparkling Model'!D$2:D$38^A1387)</f>
        <v>0.003483298878</v>
      </c>
    </row>
    <row r="1388">
      <c r="A1388" s="6">
        <v>1386.0</v>
      </c>
      <c r="B1388" s="17">
        <f t="array" ref="B1388">SUM(1-'Sparkling Model'!D$2:D$38^A1388)</f>
        <v>32.29366673</v>
      </c>
      <c r="C1388" s="8">
        <f t="array" ref="C1388">PRODUCT(1-'Sparkling Model'!D$2:D$38^A1388)</f>
        <v>0.003507360347</v>
      </c>
    </row>
    <row r="1389">
      <c r="A1389" s="6">
        <v>1387.0</v>
      </c>
      <c r="B1389" s="17">
        <f t="array" ref="B1389">SUM(1-'Sparkling Model'!D$2:D$38^A1389)</f>
        <v>32.2989748</v>
      </c>
      <c r="C1389" s="8">
        <f t="array" ref="C1389">PRODUCT(1-'Sparkling Model'!D$2:D$38^A1389)</f>
        <v>0.003531548407</v>
      </c>
    </row>
    <row r="1390">
      <c r="A1390" s="6">
        <v>1388.0</v>
      </c>
      <c r="B1390" s="17">
        <f t="array" ref="B1390">SUM(1-'Sparkling Model'!D$2:D$38^A1390)</f>
        <v>32.30427497</v>
      </c>
      <c r="C1390" s="8">
        <f t="array" ref="C1390">PRODUCT(1-'Sparkling Model'!D$2:D$38^A1390)</f>
        <v>0.003555863469</v>
      </c>
    </row>
    <row r="1391">
      <c r="A1391" s="6">
        <v>1389.0</v>
      </c>
      <c r="B1391" s="17">
        <f t="array" ref="B1391">SUM(1-'Sparkling Model'!D$2:D$38^A1391)</f>
        <v>32.30956724</v>
      </c>
      <c r="C1391" s="8">
        <f t="array" ref="C1391">PRODUCT(1-'Sparkling Model'!D$2:D$38^A1391)</f>
        <v>0.003580305944</v>
      </c>
    </row>
    <row r="1392">
      <c r="A1392" s="6">
        <v>1390.0</v>
      </c>
      <c r="B1392" s="17">
        <f t="array" ref="B1392">SUM(1-'Sparkling Model'!D$2:D$38^A1392)</f>
        <v>32.31485162</v>
      </c>
      <c r="C1392" s="8">
        <f t="array" ref="C1392">PRODUCT(1-'Sparkling Model'!D$2:D$38^A1392)</f>
        <v>0.003604876242</v>
      </c>
    </row>
    <row r="1393">
      <c r="A1393" s="6">
        <v>1391.0</v>
      </c>
      <c r="B1393" s="17">
        <f t="array" ref="B1393">SUM(1-'Sparkling Model'!D$2:D$38^A1393)</f>
        <v>32.32012813</v>
      </c>
      <c r="C1393" s="8">
        <f t="array" ref="C1393">PRODUCT(1-'Sparkling Model'!D$2:D$38^A1393)</f>
        <v>0.003629574774</v>
      </c>
    </row>
    <row r="1394">
      <c r="A1394" s="6">
        <v>1392.0</v>
      </c>
      <c r="B1394" s="17">
        <f t="array" ref="B1394">SUM(1-'Sparkling Model'!D$2:D$38^A1394)</f>
        <v>32.32539679</v>
      </c>
      <c r="C1394" s="8">
        <f t="array" ref="C1394">PRODUCT(1-'Sparkling Model'!D$2:D$38^A1394)</f>
        <v>0.00365440195</v>
      </c>
    </row>
    <row r="1395">
      <c r="A1395" s="6">
        <v>1393.0</v>
      </c>
      <c r="B1395" s="17">
        <f t="array" ref="B1395">SUM(1-'Sparkling Model'!D$2:D$38^A1395)</f>
        <v>32.3306576</v>
      </c>
      <c r="C1395" s="8">
        <f t="array" ref="C1395">PRODUCT(1-'Sparkling Model'!D$2:D$38^A1395)</f>
        <v>0.003679358182</v>
      </c>
    </row>
    <row r="1396">
      <c r="A1396" s="6">
        <v>1394.0</v>
      </c>
      <c r="B1396" s="17">
        <f t="array" ref="B1396">SUM(1-'Sparkling Model'!D$2:D$38^A1396)</f>
        <v>32.33591059</v>
      </c>
      <c r="C1396" s="8">
        <f t="array" ref="C1396">PRODUCT(1-'Sparkling Model'!D$2:D$38^A1396)</f>
        <v>0.00370444388</v>
      </c>
    </row>
    <row r="1397">
      <c r="A1397" s="6">
        <v>1395.0</v>
      </c>
      <c r="B1397" s="17">
        <f t="array" ref="B1397">SUM(1-'Sparkling Model'!D$2:D$38^A1397)</f>
        <v>32.34115577</v>
      </c>
      <c r="C1397" s="8">
        <f t="array" ref="C1397">PRODUCT(1-'Sparkling Model'!D$2:D$38^A1397)</f>
        <v>0.003729659454</v>
      </c>
    </row>
    <row r="1398">
      <c r="A1398" s="6">
        <v>1396.0</v>
      </c>
      <c r="B1398" s="17">
        <f t="array" ref="B1398">SUM(1-'Sparkling Model'!D$2:D$38^A1398)</f>
        <v>32.34639314</v>
      </c>
      <c r="C1398" s="8">
        <f t="array" ref="C1398">PRODUCT(1-'Sparkling Model'!D$2:D$38^A1398)</f>
        <v>0.003755005315</v>
      </c>
    </row>
    <row r="1399">
      <c r="A1399" s="6">
        <v>1397.0</v>
      </c>
      <c r="B1399" s="17">
        <f t="array" ref="B1399">SUM(1-'Sparkling Model'!D$2:D$38^A1399)</f>
        <v>32.35162273</v>
      </c>
      <c r="C1399" s="8">
        <f t="array" ref="C1399">PRODUCT(1-'Sparkling Model'!D$2:D$38^A1399)</f>
        <v>0.003780481875</v>
      </c>
    </row>
    <row r="1400">
      <c r="A1400" s="6">
        <v>1398.0</v>
      </c>
      <c r="B1400" s="17">
        <f t="array" ref="B1400">SUM(1-'Sparkling Model'!D$2:D$38^A1400)</f>
        <v>32.35684455</v>
      </c>
      <c r="C1400" s="8">
        <f t="array" ref="C1400">PRODUCT(1-'Sparkling Model'!D$2:D$38^A1400)</f>
        <v>0.003806089543</v>
      </c>
    </row>
    <row r="1401">
      <c r="A1401" s="6">
        <v>1399.0</v>
      </c>
      <c r="B1401" s="17">
        <f t="array" ref="B1401">SUM(1-'Sparkling Model'!D$2:D$38^A1401)</f>
        <v>32.36205861</v>
      </c>
      <c r="C1401" s="8">
        <f t="array" ref="C1401">PRODUCT(1-'Sparkling Model'!D$2:D$38^A1401)</f>
        <v>0.00383182873</v>
      </c>
    </row>
    <row r="1402">
      <c r="A1402" s="6">
        <v>1400.0</v>
      </c>
      <c r="B1402" s="17">
        <f t="array" ref="B1402">SUM(1-'Sparkling Model'!D$2:D$38^A1402)</f>
        <v>32.36726493</v>
      </c>
      <c r="C1402" s="8">
        <f t="array" ref="C1402">PRODUCT(1-'Sparkling Model'!D$2:D$38^A1402)</f>
        <v>0.003857699846</v>
      </c>
    </row>
    <row r="1403">
      <c r="A1403" s="6">
        <v>1401.0</v>
      </c>
      <c r="B1403" s="17">
        <f t="array" ref="B1403">SUM(1-'Sparkling Model'!D$2:D$38^A1403)</f>
        <v>32.37246352</v>
      </c>
      <c r="C1403" s="8">
        <f t="array" ref="C1403">PRODUCT(1-'Sparkling Model'!D$2:D$38^A1403)</f>
        <v>0.003883703303</v>
      </c>
    </row>
    <row r="1404">
      <c r="A1404" s="6">
        <v>1402.0</v>
      </c>
      <c r="B1404" s="17">
        <f t="array" ref="B1404">SUM(1-'Sparkling Model'!D$2:D$38^A1404)</f>
        <v>32.3776544</v>
      </c>
      <c r="C1404" s="8">
        <f t="array" ref="C1404">PRODUCT(1-'Sparkling Model'!D$2:D$38^A1404)</f>
        <v>0.003909839511</v>
      </c>
    </row>
    <row r="1405">
      <c r="A1405" s="6">
        <v>1403.0</v>
      </c>
      <c r="B1405" s="17">
        <f t="array" ref="B1405">SUM(1-'Sparkling Model'!D$2:D$38^A1405)</f>
        <v>32.38283757</v>
      </c>
      <c r="C1405" s="8">
        <f t="array" ref="C1405">PRODUCT(1-'Sparkling Model'!D$2:D$38^A1405)</f>
        <v>0.00393610888</v>
      </c>
    </row>
    <row r="1406">
      <c r="A1406" s="6">
        <v>1404.0</v>
      </c>
      <c r="B1406" s="17">
        <f t="array" ref="B1406">SUM(1-'Sparkling Model'!D$2:D$38^A1406)</f>
        <v>32.38801306</v>
      </c>
      <c r="C1406" s="8">
        <f t="array" ref="C1406">PRODUCT(1-'Sparkling Model'!D$2:D$38^A1406)</f>
        <v>0.00396251182</v>
      </c>
    </row>
    <row r="1407">
      <c r="A1407" s="6">
        <v>1405.0</v>
      </c>
      <c r="B1407" s="17">
        <f t="array" ref="B1407">SUM(1-'Sparkling Model'!D$2:D$38^A1407)</f>
        <v>32.39318087</v>
      </c>
      <c r="C1407" s="8">
        <f t="array" ref="C1407">PRODUCT(1-'Sparkling Model'!D$2:D$38^A1407)</f>
        <v>0.003989048742</v>
      </c>
    </row>
    <row r="1408">
      <c r="A1408" s="6">
        <v>1406.0</v>
      </c>
      <c r="B1408" s="17">
        <f t="array" ref="B1408">SUM(1-'Sparkling Model'!D$2:D$38^A1408)</f>
        <v>32.39834103</v>
      </c>
      <c r="C1408" s="8">
        <f t="array" ref="C1408">PRODUCT(1-'Sparkling Model'!D$2:D$38^A1408)</f>
        <v>0.004015720055</v>
      </c>
    </row>
    <row r="1409">
      <c r="A1409" s="6">
        <v>1407.0</v>
      </c>
      <c r="B1409" s="17">
        <f t="array" ref="B1409">SUM(1-'Sparkling Model'!D$2:D$38^A1409)</f>
        <v>32.40349354</v>
      </c>
      <c r="C1409" s="8">
        <f t="array" ref="C1409">PRODUCT(1-'Sparkling Model'!D$2:D$38^A1409)</f>
        <v>0.004042526172</v>
      </c>
    </row>
    <row r="1410">
      <c r="A1410" s="6">
        <v>1408.0</v>
      </c>
      <c r="B1410" s="17">
        <f t="array" ref="B1410">SUM(1-'Sparkling Model'!D$2:D$38^A1410)</f>
        <v>32.40863841</v>
      </c>
      <c r="C1410" s="8">
        <f t="array" ref="C1410">PRODUCT(1-'Sparkling Model'!D$2:D$38^A1410)</f>
        <v>0.0040694675</v>
      </c>
    </row>
    <row r="1411">
      <c r="A1411" s="6">
        <v>1409.0</v>
      </c>
      <c r="B1411" s="17">
        <f t="array" ref="B1411">SUM(1-'Sparkling Model'!D$2:D$38^A1411)</f>
        <v>32.41377567</v>
      </c>
      <c r="C1411" s="8">
        <f t="array" ref="C1411">PRODUCT(1-'Sparkling Model'!D$2:D$38^A1411)</f>
        <v>0.00409654445</v>
      </c>
    </row>
    <row r="1412">
      <c r="A1412" s="6">
        <v>1410.0</v>
      </c>
      <c r="B1412" s="17">
        <f t="array" ref="B1412">SUM(1-'Sparkling Model'!D$2:D$38^A1412)</f>
        <v>32.41890533</v>
      </c>
      <c r="C1412" s="8">
        <f t="array" ref="C1412">PRODUCT(1-'Sparkling Model'!D$2:D$38^A1412)</f>
        <v>0.004123757433</v>
      </c>
    </row>
    <row r="1413">
      <c r="A1413" s="6">
        <v>1411.0</v>
      </c>
      <c r="B1413" s="17">
        <f t="array" ref="B1413">SUM(1-'Sparkling Model'!D$2:D$38^A1413)</f>
        <v>32.42402739</v>
      </c>
      <c r="C1413" s="8">
        <f t="array" ref="C1413">PRODUCT(1-'Sparkling Model'!D$2:D$38^A1413)</f>
        <v>0.004151106858</v>
      </c>
    </row>
    <row r="1414">
      <c r="A1414" s="6">
        <v>1412.0</v>
      </c>
      <c r="B1414" s="17">
        <f t="array" ref="B1414">SUM(1-'Sparkling Model'!D$2:D$38^A1414)</f>
        <v>32.42914188</v>
      </c>
      <c r="C1414" s="8">
        <f t="array" ref="C1414">PRODUCT(1-'Sparkling Model'!D$2:D$38^A1414)</f>
        <v>0.004178593134</v>
      </c>
    </row>
    <row r="1415">
      <c r="A1415" s="6">
        <v>1413.0</v>
      </c>
      <c r="B1415" s="17">
        <f t="array" ref="B1415">SUM(1-'Sparkling Model'!D$2:D$38^A1415)</f>
        <v>32.4342488</v>
      </c>
      <c r="C1415" s="8">
        <f t="array" ref="C1415">PRODUCT(1-'Sparkling Model'!D$2:D$38^A1415)</f>
        <v>0.004206216672</v>
      </c>
    </row>
    <row r="1416">
      <c r="A1416" s="6">
        <v>1414.0</v>
      </c>
      <c r="B1416" s="17">
        <f t="array" ref="B1416">SUM(1-'Sparkling Model'!D$2:D$38^A1416)</f>
        <v>32.43934818</v>
      </c>
      <c r="C1416" s="8">
        <f t="array" ref="C1416">PRODUCT(1-'Sparkling Model'!D$2:D$38^A1416)</f>
        <v>0.004233977881</v>
      </c>
    </row>
    <row r="1417">
      <c r="A1417" s="6">
        <v>1415.0</v>
      </c>
      <c r="B1417" s="17">
        <f t="array" ref="B1417">SUM(1-'Sparkling Model'!D$2:D$38^A1417)</f>
        <v>32.44444002</v>
      </c>
      <c r="C1417" s="8">
        <f t="array" ref="C1417">PRODUCT(1-'Sparkling Model'!D$2:D$38^A1417)</f>
        <v>0.004261877169</v>
      </c>
    </row>
    <row r="1418">
      <c r="A1418" s="6">
        <v>1416.0</v>
      </c>
      <c r="B1418" s="17">
        <f t="array" ref="B1418">SUM(1-'Sparkling Model'!D$2:D$38^A1418)</f>
        <v>32.44952433</v>
      </c>
      <c r="C1418" s="8">
        <f t="array" ref="C1418">PRODUCT(1-'Sparkling Model'!D$2:D$38^A1418)</f>
        <v>0.004289914948</v>
      </c>
    </row>
    <row r="1419">
      <c r="A1419" s="6">
        <v>1417.0</v>
      </c>
      <c r="B1419" s="17">
        <f t="array" ref="B1419">SUM(1-'Sparkling Model'!D$2:D$38^A1419)</f>
        <v>32.45460114</v>
      </c>
      <c r="C1419" s="8">
        <f t="array" ref="C1419">PRODUCT(1-'Sparkling Model'!D$2:D$38^A1419)</f>
        <v>0.004318091624</v>
      </c>
    </row>
    <row r="1420">
      <c r="A1420" s="6">
        <v>1418.0</v>
      </c>
      <c r="B1420" s="17">
        <f t="array" ref="B1420">SUM(1-'Sparkling Model'!D$2:D$38^A1420)</f>
        <v>32.45967045</v>
      </c>
      <c r="C1420" s="8">
        <f t="array" ref="C1420">PRODUCT(1-'Sparkling Model'!D$2:D$38^A1420)</f>
        <v>0.004346407609</v>
      </c>
    </row>
    <row r="1421">
      <c r="A1421" s="6">
        <v>1419.0</v>
      </c>
      <c r="B1421" s="17">
        <f t="array" ref="B1421">SUM(1-'Sparkling Model'!D$2:D$38^A1421)</f>
        <v>32.46473228</v>
      </c>
      <c r="C1421" s="8">
        <f t="array" ref="C1421">PRODUCT(1-'Sparkling Model'!D$2:D$38^A1421)</f>
        <v>0.004374863309</v>
      </c>
    </row>
    <row r="1422">
      <c r="A1422" s="6">
        <v>1420.0</v>
      </c>
      <c r="B1422" s="17">
        <f t="array" ref="B1422">SUM(1-'Sparkling Model'!D$2:D$38^A1422)</f>
        <v>32.46978665</v>
      </c>
      <c r="C1422" s="8">
        <f t="array" ref="C1422">PRODUCT(1-'Sparkling Model'!D$2:D$38^A1422)</f>
        <v>0.004403459135</v>
      </c>
    </row>
    <row r="1423">
      <c r="A1423" s="6">
        <v>1421.0</v>
      </c>
      <c r="B1423" s="17">
        <f t="array" ref="B1423">SUM(1-'Sparkling Model'!D$2:D$38^A1423)</f>
        <v>32.47483355</v>
      </c>
      <c r="C1423" s="8">
        <f t="array" ref="C1423">PRODUCT(1-'Sparkling Model'!D$2:D$38^A1423)</f>
        <v>0.004432195494</v>
      </c>
    </row>
    <row r="1424">
      <c r="A1424" s="6">
        <v>1422.0</v>
      </c>
      <c r="B1424" s="17">
        <f t="array" ref="B1424">SUM(1-'Sparkling Model'!D$2:D$38^A1424)</f>
        <v>32.47987302</v>
      </c>
      <c r="C1424" s="8">
        <f t="array" ref="C1424">PRODUCT(1-'Sparkling Model'!D$2:D$38^A1424)</f>
        <v>0.004461072796</v>
      </c>
    </row>
    <row r="1425">
      <c r="A1425" s="6">
        <v>1423.0</v>
      </c>
      <c r="B1425" s="17">
        <f t="array" ref="B1425">SUM(1-'Sparkling Model'!D$2:D$38^A1425)</f>
        <v>32.48490506</v>
      </c>
      <c r="C1425" s="8">
        <f t="array" ref="C1425">PRODUCT(1-'Sparkling Model'!D$2:D$38^A1425)</f>
        <v>0.004490091448</v>
      </c>
    </row>
    <row r="1426">
      <c r="A1426" s="6">
        <v>1424.0</v>
      </c>
      <c r="B1426" s="17">
        <f t="array" ref="B1426">SUM(1-'Sparkling Model'!D$2:D$38^A1426)</f>
        <v>32.48992968</v>
      </c>
      <c r="C1426" s="8">
        <f t="array" ref="C1426">PRODUCT(1-'Sparkling Model'!D$2:D$38^A1426)</f>
        <v>0.004519251858</v>
      </c>
    </row>
    <row r="1427">
      <c r="A1427" s="6">
        <v>1425.0</v>
      </c>
      <c r="B1427" s="17">
        <f t="array" ref="B1427">SUM(1-'Sparkling Model'!D$2:D$38^A1427)</f>
        <v>32.4949469</v>
      </c>
      <c r="C1427" s="8">
        <f t="array" ref="C1427">PRODUCT(1-'Sparkling Model'!D$2:D$38^A1427)</f>
        <v>0.004548554434</v>
      </c>
    </row>
    <row r="1428">
      <c r="A1428" s="6">
        <v>1426.0</v>
      </c>
      <c r="B1428" s="17">
        <f t="array" ref="B1428">SUM(1-'Sparkling Model'!D$2:D$38^A1428)</f>
        <v>32.49995673</v>
      </c>
      <c r="C1428" s="8">
        <f t="array" ref="C1428">PRODUCT(1-'Sparkling Model'!D$2:D$38^A1428)</f>
        <v>0.004577999584</v>
      </c>
    </row>
    <row r="1429">
      <c r="A1429" s="6">
        <v>1427.0</v>
      </c>
      <c r="B1429" s="17">
        <f t="array" ref="B1429">SUM(1-'Sparkling Model'!D$2:D$38^A1429)</f>
        <v>32.50495919</v>
      </c>
      <c r="C1429" s="8">
        <f t="array" ref="C1429">PRODUCT(1-'Sparkling Model'!D$2:D$38^A1429)</f>
        <v>0.004607587716</v>
      </c>
    </row>
    <row r="1430">
      <c r="A1430" s="6">
        <v>1428.0</v>
      </c>
      <c r="B1430" s="17">
        <f t="array" ref="B1430">SUM(1-'Sparkling Model'!D$2:D$38^A1430)</f>
        <v>32.50995428</v>
      </c>
      <c r="C1430" s="8">
        <f t="array" ref="C1430">PRODUCT(1-'Sparkling Model'!D$2:D$38^A1430)</f>
        <v>0.004637319237</v>
      </c>
    </row>
    <row r="1431">
      <c r="A1431" s="6">
        <v>1429.0</v>
      </c>
      <c r="B1431" s="17">
        <f t="array" ref="B1431">SUM(1-'Sparkling Model'!D$2:D$38^A1431)</f>
        <v>32.51494203</v>
      </c>
      <c r="C1431" s="8">
        <f t="array" ref="C1431">PRODUCT(1-'Sparkling Model'!D$2:D$38^A1431)</f>
        <v>0.004667194553</v>
      </c>
    </row>
    <row r="1432">
      <c r="A1432" s="6">
        <v>1430.0</v>
      </c>
      <c r="B1432" s="17">
        <f t="array" ref="B1432">SUM(1-'Sparkling Model'!D$2:D$38^A1432)</f>
        <v>32.51992244</v>
      </c>
      <c r="C1432" s="8">
        <f t="array" ref="C1432">PRODUCT(1-'Sparkling Model'!D$2:D$38^A1432)</f>
        <v>0.004697214073</v>
      </c>
    </row>
    <row r="1433">
      <c r="A1433" s="6">
        <v>1431.0</v>
      </c>
      <c r="B1433" s="17">
        <f t="array" ref="B1433">SUM(1-'Sparkling Model'!D$2:D$38^A1433)</f>
        <v>32.52489553</v>
      </c>
      <c r="C1433" s="8">
        <f t="array" ref="C1433">PRODUCT(1-'Sparkling Model'!D$2:D$38^A1433)</f>
        <v>0.004727378202</v>
      </c>
    </row>
    <row r="1434">
      <c r="A1434" s="6">
        <v>1432.0</v>
      </c>
      <c r="B1434" s="17">
        <f t="array" ref="B1434">SUM(1-'Sparkling Model'!D$2:D$38^A1434)</f>
        <v>32.52986131</v>
      </c>
      <c r="C1434" s="8">
        <f t="array" ref="C1434">PRODUCT(1-'Sparkling Model'!D$2:D$38^A1434)</f>
        <v>0.004757687347</v>
      </c>
    </row>
    <row r="1435">
      <c r="A1435" s="6">
        <v>1433.0</v>
      </c>
      <c r="B1435" s="17">
        <f t="array" ref="B1435">SUM(1-'Sparkling Model'!D$2:D$38^A1435)</f>
        <v>32.5348198</v>
      </c>
      <c r="C1435" s="8">
        <f t="array" ref="C1435">PRODUCT(1-'Sparkling Model'!D$2:D$38^A1435)</f>
        <v>0.004788141915</v>
      </c>
    </row>
    <row r="1436">
      <c r="A1436" s="6">
        <v>1434.0</v>
      </c>
      <c r="B1436" s="17">
        <f t="array" ref="B1436">SUM(1-'Sparkling Model'!D$2:D$38^A1436)</f>
        <v>32.539771</v>
      </c>
      <c r="C1436" s="8">
        <f t="array" ref="C1436">PRODUCT(1-'Sparkling Model'!D$2:D$38^A1436)</f>
        <v>0.004818742312</v>
      </c>
    </row>
    <row r="1437">
      <c r="A1437" s="6">
        <v>1435.0</v>
      </c>
      <c r="B1437" s="17">
        <f t="array" ref="B1437">SUM(1-'Sparkling Model'!D$2:D$38^A1437)</f>
        <v>32.54471493</v>
      </c>
      <c r="C1437" s="8">
        <f t="array" ref="C1437">PRODUCT(1-'Sparkling Model'!D$2:D$38^A1437)</f>
        <v>0.004849488942</v>
      </c>
    </row>
    <row r="1438">
      <c r="A1438" s="6">
        <v>1436.0</v>
      </c>
      <c r="B1438" s="17">
        <f t="array" ref="B1438">SUM(1-'Sparkling Model'!D$2:D$38^A1438)</f>
        <v>32.5496516</v>
      </c>
      <c r="C1438" s="8">
        <f t="array" ref="C1438">PRODUCT(1-'Sparkling Model'!D$2:D$38^A1438)</f>
        <v>0.004880382213</v>
      </c>
    </row>
    <row r="1439">
      <c r="A1439" s="6">
        <v>1437.0</v>
      </c>
      <c r="B1439" s="17">
        <f t="array" ref="B1439">SUM(1-'Sparkling Model'!D$2:D$38^A1439)</f>
        <v>32.55458103</v>
      </c>
      <c r="C1439" s="8">
        <f t="array" ref="C1439">PRODUCT(1-'Sparkling Model'!D$2:D$38^A1439)</f>
        <v>0.00491142253</v>
      </c>
    </row>
    <row r="1440">
      <c r="A1440" s="6">
        <v>1438.0</v>
      </c>
      <c r="B1440" s="17">
        <f t="array" ref="B1440">SUM(1-'Sparkling Model'!D$2:D$38^A1440)</f>
        <v>32.55950323</v>
      </c>
      <c r="C1440" s="8">
        <f t="array" ref="C1440">PRODUCT(1-'Sparkling Model'!D$2:D$38^A1440)</f>
        <v>0.004942610296</v>
      </c>
    </row>
    <row r="1441">
      <c r="A1441" s="6">
        <v>1439.0</v>
      </c>
      <c r="B1441" s="17">
        <f t="array" ref="B1441">SUM(1-'Sparkling Model'!D$2:D$38^A1441)</f>
        <v>32.56441821</v>
      </c>
      <c r="C1441" s="8">
        <f t="array" ref="C1441">PRODUCT(1-'Sparkling Model'!D$2:D$38^A1441)</f>
        <v>0.004973945919</v>
      </c>
    </row>
    <row r="1442">
      <c r="A1442" s="6">
        <v>1440.0</v>
      </c>
      <c r="B1442" s="17">
        <f t="array" ref="B1442">SUM(1-'Sparkling Model'!D$2:D$38^A1442)</f>
        <v>32.56932599</v>
      </c>
      <c r="C1442" s="8">
        <f t="array" ref="C1442">PRODUCT(1-'Sparkling Model'!D$2:D$38^A1442)</f>
        <v>0.005005429801</v>
      </c>
    </row>
    <row r="1443">
      <c r="A1443" s="6">
        <v>1441.0</v>
      </c>
      <c r="B1443" s="17">
        <f t="array" ref="B1443">SUM(1-'Sparkling Model'!D$2:D$38^A1443)</f>
        <v>32.57422657</v>
      </c>
      <c r="C1443" s="8">
        <f t="array" ref="C1443">PRODUCT(1-'Sparkling Model'!D$2:D$38^A1443)</f>
        <v>0.005037062348</v>
      </c>
    </row>
    <row r="1444">
      <c r="A1444" s="6">
        <v>1442.0</v>
      </c>
      <c r="B1444" s="17">
        <f t="array" ref="B1444">SUM(1-'Sparkling Model'!D$2:D$38^A1444)</f>
        <v>32.57911998</v>
      </c>
      <c r="C1444" s="8">
        <f t="array" ref="C1444">PRODUCT(1-'Sparkling Model'!D$2:D$38^A1444)</f>
        <v>0.005068843963</v>
      </c>
    </row>
    <row r="1445">
      <c r="A1445" s="6">
        <v>1443.0</v>
      </c>
      <c r="B1445" s="17">
        <f t="array" ref="B1445">SUM(1-'Sparkling Model'!D$2:D$38^A1445)</f>
        <v>32.58400622</v>
      </c>
      <c r="C1445" s="8">
        <f t="array" ref="C1445">PRODUCT(1-'Sparkling Model'!D$2:D$38^A1445)</f>
        <v>0.005100775051</v>
      </c>
    </row>
    <row r="1446">
      <c r="A1446" s="6">
        <v>1444.0</v>
      </c>
      <c r="B1446" s="17">
        <f t="array" ref="B1446">SUM(1-'Sparkling Model'!D$2:D$38^A1446)</f>
        <v>32.5888853</v>
      </c>
      <c r="C1446" s="8">
        <f t="array" ref="C1446">PRODUCT(1-'Sparkling Model'!D$2:D$38^A1446)</f>
        <v>0.005132856015</v>
      </c>
    </row>
    <row r="1447">
      <c r="A1447" s="6">
        <v>1445.0</v>
      </c>
      <c r="B1447" s="17">
        <f t="array" ref="B1447">SUM(1-'Sparkling Model'!D$2:D$38^A1447)</f>
        <v>32.59375725</v>
      </c>
      <c r="C1447" s="8">
        <f t="array" ref="C1447">PRODUCT(1-'Sparkling Model'!D$2:D$38^A1447)</f>
        <v>0.005165087258</v>
      </c>
    </row>
    <row r="1448">
      <c r="A1448" s="6">
        <v>1446.0</v>
      </c>
      <c r="B1448" s="17">
        <f t="array" ref="B1448">SUM(1-'Sparkling Model'!D$2:D$38^A1448)</f>
        <v>32.59862206</v>
      </c>
      <c r="C1448" s="8">
        <f t="array" ref="C1448">PRODUCT(1-'Sparkling Model'!D$2:D$38^A1448)</f>
        <v>0.005197469183</v>
      </c>
    </row>
    <row r="1449">
      <c r="A1449" s="6">
        <v>1447.0</v>
      </c>
      <c r="B1449" s="17">
        <f t="array" ref="B1449">SUM(1-'Sparkling Model'!D$2:D$38^A1449)</f>
        <v>32.60347976</v>
      </c>
      <c r="C1449" s="8">
        <f t="array" ref="C1449">PRODUCT(1-'Sparkling Model'!D$2:D$38^A1449)</f>
        <v>0.005230002193</v>
      </c>
    </row>
    <row r="1450">
      <c r="A1450" s="6">
        <v>1448.0</v>
      </c>
      <c r="B1450" s="17">
        <f t="array" ref="B1450">SUM(1-'Sparkling Model'!D$2:D$38^A1450)</f>
        <v>32.60833036</v>
      </c>
      <c r="C1450" s="8">
        <f t="array" ref="C1450">PRODUCT(1-'Sparkling Model'!D$2:D$38^A1450)</f>
        <v>0.00526268669</v>
      </c>
    </row>
    <row r="1451">
      <c r="A1451" s="6">
        <v>1449.0</v>
      </c>
      <c r="B1451" s="17">
        <f t="array" ref="B1451">SUM(1-'Sparkling Model'!D$2:D$38^A1451)</f>
        <v>32.61317387</v>
      </c>
      <c r="C1451" s="8">
        <f t="array" ref="C1451">PRODUCT(1-'Sparkling Model'!D$2:D$38^A1451)</f>
        <v>0.005295523077</v>
      </c>
    </row>
    <row r="1452">
      <c r="A1452" s="6">
        <v>1450.0</v>
      </c>
      <c r="B1452" s="17">
        <f t="array" ref="B1452">SUM(1-'Sparkling Model'!D$2:D$38^A1452)</f>
        <v>32.6180103</v>
      </c>
      <c r="C1452" s="8">
        <f t="array" ref="C1452">PRODUCT(1-'Sparkling Model'!D$2:D$38^A1452)</f>
        <v>0.005328511755</v>
      </c>
    </row>
    <row r="1453">
      <c r="A1453" s="6">
        <v>1451.0</v>
      </c>
      <c r="B1453" s="17">
        <f t="array" ref="B1453">SUM(1-'Sparkling Model'!D$2:D$38^A1453)</f>
        <v>32.62283966</v>
      </c>
      <c r="C1453" s="8">
        <f t="array" ref="C1453">PRODUCT(1-'Sparkling Model'!D$2:D$38^A1453)</f>
        <v>0.005361653126</v>
      </c>
    </row>
    <row r="1454">
      <c r="A1454" s="6">
        <v>1452.0</v>
      </c>
      <c r="B1454" s="17">
        <f t="array" ref="B1454">SUM(1-'Sparkling Model'!D$2:D$38^A1454)</f>
        <v>32.62766197</v>
      </c>
      <c r="C1454" s="8">
        <f t="array" ref="C1454">PRODUCT(1-'Sparkling Model'!D$2:D$38^A1454)</f>
        <v>0.00539494759</v>
      </c>
    </row>
    <row r="1455">
      <c r="A1455" s="6">
        <v>1453.0</v>
      </c>
      <c r="B1455" s="17">
        <f t="array" ref="B1455">SUM(1-'Sparkling Model'!D$2:D$38^A1455)</f>
        <v>32.63247725</v>
      </c>
      <c r="C1455" s="8">
        <f t="array" ref="C1455">PRODUCT(1-'Sparkling Model'!D$2:D$38^A1455)</f>
        <v>0.005428395549</v>
      </c>
    </row>
    <row r="1456">
      <c r="A1456" s="6">
        <v>1454.0</v>
      </c>
      <c r="B1456" s="17">
        <f t="array" ref="B1456">SUM(1-'Sparkling Model'!D$2:D$38^A1456)</f>
        <v>32.63728549</v>
      </c>
      <c r="C1456" s="8">
        <f t="array" ref="C1456">PRODUCT(1-'Sparkling Model'!D$2:D$38^A1456)</f>
        <v>0.005461997403</v>
      </c>
    </row>
    <row r="1457">
      <c r="A1457" s="6">
        <v>1455.0</v>
      </c>
      <c r="B1457" s="17">
        <f t="array" ref="B1457">SUM(1-'Sparkling Model'!D$2:D$38^A1457)</f>
        <v>32.64208673</v>
      </c>
      <c r="C1457" s="8">
        <f t="array" ref="C1457">PRODUCT(1-'Sparkling Model'!D$2:D$38^A1457)</f>
        <v>0.005495753552</v>
      </c>
    </row>
    <row r="1458">
      <c r="A1458" s="6">
        <v>1456.0</v>
      </c>
      <c r="B1458" s="17">
        <f t="array" ref="B1458">SUM(1-'Sparkling Model'!D$2:D$38^A1458)</f>
        <v>32.64688096</v>
      </c>
      <c r="C1458" s="8">
        <f t="array" ref="C1458">PRODUCT(1-'Sparkling Model'!D$2:D$38^A1458)</f>
        <v>0.005529664396</v>
      </c>
    </row>
    <row r="1459">
      <c r="A1459" s="6">
        <v>1457.0</v>
      </c>
      <c r="B1459" s="17">
        <f t="array" ref="B1459">SUM(1-'Sparkling Model'!D$2:D$38^A1459)</f>
        <v>32.6516682</v>
      </c>
      <c r="C1459" s="8">
        <f t="array" ref="C1459">PRODUCT(1-'Sparkling Model'!D$2:D$38^A1459)</f>
        <v>0.005563730335</v>
      </c>
    </row>
    <row r="1460">
      <c r="A1460" s="6">
        <v>1458.0</v>
      </c>
      <c r="B1460" s="17">
        <f t="array" ref="B1460">SUM(1-'Sparkling Model'!D$2:D$38^A1460)</f>
        <v>32.65644846</v>
      </c>
      <c r="C1460" s="8">
        <f t="array" ref="C1460">PRODUCT(1-'Sparkling Model'!D$2:D$38^A1460)</f>
        <v>0.005597951767</v>
      </c>
    </row>
    <row r="1461">
      <c r="A1461" s="6">
        <v>1459.0</v>
      </c>
      <c r="B1461" s="17">
        <f t="array" ref="B1461">SUM(1-'Sparkling Model'!D$2:D$38^A1461)</f>
        <v>32.66122176</v>
      </c>
      <c r="C1461" s="8">
        <f t="array" ref="C1461">PRODUCT(1-'Sparkling Model'!D$2:D$38^A1461)</f>
        <v>0.005632329092</v>
      </c>
    </row>
    <row r="1462">
      <c r="A1462" s="6">
        <v>1460.0</v>
      </c>
      <c r="B1462" s="17">
        <f t="array" ref="B1462">SUM(1-'Sparkling Model'!D$2:D$38^A1462)</f>
        <v>32.6659881</v>
      </c>
      <c r="C1462" s="8">
        <f t="array" ref="C1462">PRODUCT(1-'Sparkling Model'!D$2:D$38^A1462)</f>
        <v>0.005666862707</v>
      </c>
    </row>
    <row r="1463">
      <c r="A1463" s="6">
        <v>1461.0</v>
      </c>
      <c r="B1463" s="17">
        <f t="array" ref="B1463">SUM(1-'Sparkling Model'!D$2:D$38^A1463)</f>
        <v>32.67074751</v>
      </c>
      <c r="C1463" s="8">
        <f t="array" ref="C1463">PRODUCT(1-'Sparkling Model'!D$2:D$38^A1463)</f>
        <v>0.005701553011</v>
      </c>
    </row>
    <row r="1464">
      <c r="A1464" s="6">
        <v>1462.0</v>
      </c>
      <c r="B1464" s="17">
        <f t="array" ref="B1464">SUM(1-'Sparkling Model'!D$2:D$38^A1464)</f>
        <v>32.67549999</v>
      </c>
      <c r="C1464" s="8">
        <f t="array" ref="C1464">PRODUCT(1-'Sparkling Model'!D$2:D$38^A1464)</f>
        <v>0.005736400402</v>
      </c>
    </row>
    <row r="1465">
      <c r="A1465" s="6">
        <v>1463.0</v>
      </c>
      <c r="B1465" s="17">
        <f t="array" ref="B1465">SUM(1-'Sparkling Model'!D$2:D$38^A1465)</f>
        <v>32.68024555</v>
      </c>
      <c r="C1465" s="8">
        <f t="array" ref="C1465">PRODUCT(1-'Sparkling Model'!D$2:D$38^A1465)</f>
        <v>0.005771405277</v>
      </c>
    </row>
    <row r="1466">
      <c r="A1466" s="6">
        <v>1464.0</v>
      </c>
      <c r="B1466" s="17">
        <f t="array" ref="B1466">SUM(1-'Sparkling Model'!D$2:D$38^A1466)</f>
        <v>32.68498421</v>
      </c>
      <c r="C1466" s="8">
        <f t="array" ref="C1466">PRODUCT(1-'Sparkling Model'!D$2:D$38^A1466)</f>
        <v>0.005806568031</v>
      </c>
    </row>
    <row r="1467">
      <c r="A1467" s="6">
        <v>1465.0</v>
      </c>
      <c r="B1467" s="17">
        <f t="array" ref="B1467">SUM(1-'Sparkling Model'!D$2:D$38^A1467)</f>
        <v>32.68971598</v>
      </c>
      <c r="C1467" s="8">
        <f t="array" ref="C1467">PRODUCT(1-'Sparkling Model'!D$2:D$38^A1467)</f>
        <v>0.005841889064</v>
      </c>
    </row>
    <row r="1468">
      <c r="A1468" s="6">
        <v>1466.0</v>
      </c>
      <c r="B1468" s="17">
        <f t="array" ref="B1468">SUM(1-'Sparkling Model'!D$2:D$38^A1468)</f>
        <v>32.69444087</v>
      </c>
      <c r="C1468" s="8">
        <f t="array" ref="C1468">PRODUCT(1-'Sparkling Model'!D$2:D$38^A1468)</f>
        <v>0.005877368769</v>
      </c>
    </row>
    <row r="1469">
      <c r="A1469" s="6">
        <v>1467.0</v>
      </c>
      <c r="B1469" s="17">
        <f t="array" ref="B1469">SUM(1-'Sparkling Model'!D$2:D$38^A1469)</f>
        <v>32.69915889</v>
      </c>
      <c r="C1469" s="8">
        <f t="array" ref="C1469">PRODUCT(1-'Sparkling Model'!D$2:D$38^A1469)</f>
        <v>0.005913007543</v>
      </c>
    </row>
    <row r="1470">
      <c r="A1470" s="6">
        <v>1468.0</v>
      </c>
      <c r="B1470" s="17">
        <f t="array" ref="B1470">SUM(1-'Sparkling Model'!D$2:D$38^A1470)</f>
        <v>32.70387006</v>
      </c>
      <c r="C1470" s="8">
        <f t="array" ref="C1470">PRODUCT(1-'Sparkling Model'!D$2:D$38^A1470)</f>
        <v>0.005948805781</v>
      </c>
    </row>
    <row r="1471">
      <c r="A1471" s="6">
        <v>1469.0</v>
      </c>
      <c r="B1471" s="17">
        <f t="array" ref="B1471">SUM(1-'Sparkling Model'!D$2:D$38^A1471)</f>
        <v>32.70857439</v>
      </c>
      <c r="C1471" s="8">
        <f t="array" ref="C1471">PRODUCT(1-'Sparkling Model'!D$2:D$38^A1471)</f>
        <v>0.005984763879</v>
      </c>
    </row>
    <row r="1472">
      <c r="A1472" s="6">
        <v>1470.0</v>
      </c>
      <c r="B1472" s="17">
        <f t="array" ref="B1472">SUM(1-'Sparkling Model'!D$2:D$38^A1472)</f>
        <v>32.71327189</v>
      </c>
      <c r="C1472" s="8">
        <f t="array" ref="C1472">PRODUCT(1-'Sparkling Model'!D$2:D$38^A1472)</f>
        <v>0.00602088223</v>
      </c>
    </row>
    <row r="1473">
      <c r="A1473" s="6">
        <v>1471.0</v>
      </c>
      <c r="B1473" s="17">
        <f t="array" ref="B1473">SUM(1-'Sparkling Model'!D$2:D$38^A1473)</f>
        <v>32.71796257</v>
      </c>
      <c r="C1473" s="8">
        <f t="array" ref="C1473">PRODUCT(1-'Sparkling Model'!D$2:D$38^A1473)</f>
        <v>0.006057161229</v>
      </c>
    </row>
    <row r="1474">
      <c r="A1474" s="6">
        <v>1472.0</v>
      </c>
      <c r="B1474" s="17">
        <f t="array" ref="B1474">SUM(1-'Sparkling Model'!D$2:D$38^A1474)</f>
        <v>32.72264645</v>
      </c>
      <c r="C1474" s="8">
        <f t="array" ref="C1474">PRODUCT(1-'Sparkling Model'!D$2:D$38^A1474)</f>
        <v>0.006093601269</v>
      </c>
    </row>
    <row r="1475">
      <c r="A1475" s="6">
        <v>1473.0</v>
      </c>
      <c r="B1475" s="17">
        <f t="array" ref="B1475">SUM(1-'Sparkling Model'!D$2:D$38^A1475)</f>
        <v>32.72732353</v>
      </c>
      <c r="C1475" s="8">
        <f t="array" ref="C1475">PRODUCT(1-'Sparkling Model'!D$2:D$38^A1475)</f>
        <v>0.006130202744</v>
      </c>
    </row>
    <row r="1476">
      <c r="A1476" s="6">
        <v>1474.0</v>
      </c>
      <c r="B1476" s="17">
        <f t="array" ref="B1476">SUM(1-'Sparkling Model'!D$2:D$38^A1476)</f>
        <v>32.73199383</v>
      </c>
      <c r="C1476" s="8">
        <f t="array" ref="C1476">PRODUCT(1-'Sparkling Model'!D$2:D$38^A1476)</f>
        <v>0.006166966045</v>
      </c>
    </row>
    <row r="1477">
      <c r="A1477" s="6">
        <v>1475.0</v>
      </c>
      <c r="B1477" s="17">
        <f t="array" ref="B1477">SUM(1-'Sparkling Model'!D$2:D$38^A1477)</f>
        <v>32.73665736</v>
      </c>
      <c r="C1477" s="8">
        <f t="array" ref="C1477">PRODUCT(1-'Sparkling Model'!D$2:D$38^A1477)</f>
        <v>0.006203891567</v>
      </c>
    </row>
    <row r="1478">
      <c r="A1478" s="6">
        <v>1476.0</v>
      </c>
      <c r="B1478" s="17">
        <f t="array" ref="B1478">SUM(1-'Sparkling Model'!D$2:D$38^A1478)</f>
        <v>32.74131413</v>
      </c>
      <c r="C1478" s="8">
        <f t="array" ref="C1478">PRODUCT(1-'Sparkling Model'!D$2:D$38^A1478)</f>
        <v>0.0062409797</v>
      </c>
    </row>
    <row r="1479">
      <c r="A1479" s="6">
        <v>1477.0</v>
      </c>
      <c r="B1479" s="17">
        <f t="array" ref="B1479">SUM(1-'Sparkling Model'!D$2:D$38^A1479)</f>
        <v>32.74596416</v>
      </c>
      <c r="C1479" s="8">
        <f t="array" ref="C1479">PRODUCT(1-'Sparkling Model'!D$2:D$38^A1479)</f>
        <v>0.006278230836</v>
      </c>
    </row>
    <row r="1480">
      <c r="A1480" s="6">
        <v>1478.0</v>
      </c>
      <c r="B1480" s="17">
        <f t="array" ref="B1480">SUM(1-'Sparkling Model'!D$2:D$38^A1480)</f>
        <v>32.75060745</v>
      </c>
      <c r="C1480" s="8">
        <f t="array" ref="C1480">PRODUCT(1-'Sparkling Model'!D$2:D$38^A1480)</f>
        <v>0.006315645366</v>
      </c>
    </row>
    <row r="1481">
      <c r="A1481" s="6">
        <v>1479.0</v>
      </c>
      <c r="B1481" s="17">
        <f t="array" ref="B1481">SUM(1-'Sparkling Model'!D$2:D$38^A1481)</f>
        <v>32.75524402</v>
      </c>
      <c r="C1481" s="8">
        <f t="array" ref="C1481">PRODUCT(1-'Sparkling Model'!D$2:D$38^A1481)</f>
        <v>0.00635322368</v>
      </c>
    </row>
    <row r="1482">
      <c r="A1482" s="6">
        <v>1480.0</v>
      </c>
      <c r="B1482" s="17">
        <f t="array" ref="B1482">SUM(1-'Sparkling Model'!D$2:D$38^A1482)</f>
        <v>32.75987389</v>
      </c>
      <c r="C1482" s="8">
        <f t="array" ref="C1482">PRODUCT(1-'Sparkling Model'!D$2:D$38^A1482)</f>
        <v>0.006390966169</v>
      </c>
    </row>
    <row r="1483">
      <c r="A1483" s="6">
        <v>1481.0</v>
      </c>
      <c r="B1483" s="17">
        <f t="array" ref="B1483">SUM(1-'Sparkling Model'!D$2:D$38^A1483)</f>
        <v>32.76449705</v>
      </c>
      <c r="C1483" s="8">
        <f t="array" ref="C1483">PRODUCT(1-'Sparkling Model'!D$2:D$38^A1483)</f>
        <v>0.006428873221</v>
      </c>
    </row>
    <row r="1484">
      <c r="A1484" s="6">
        <v>1482.0</v>
      </c>
      <c r="B1484" s="17">
        <f t="array" ref="B1484">SUM(1-'Sparkling Model'!D$2:D$38^A1484)</f>
        <v>32.76911353</v>
      </c>
      <c r="C1484" s="8">
        <f t="array" ref="C1484">PRODUCT(1-'Sparkling Model'!D$2:D$38^A1484)</f>
        <v>0.006466945227</v>
      </c>
    </row>
    <row r="1485">
      <c r="A1485" s="6">
        <v>1483.0</v>
      </c>
      <c r="B1485" s="17">
        <f t="array" ref="B1485">SUM(1-'Sparkling Model'!D$2:D$38^A1485)</f>
        <v>32.77372334</v>
      </c>
      <c r="C1485" s="8">
        <f t="array" ref="C1485">PRODUCT(1-'Sparkling Model'!D$2:D$38^A1485)</f>
        <v>0.006505182575</v>
      </c>
    </row>
    <row r="1486">
      <c r="A1486" s="6">
        <v>1484.0</v>
      </c>
      <c r="B1486" s="17">
        <f t="array" ref="B1486">SUM(1-'Sparkling Model'!D$2:D$38^A1486)</f>
        <v>32.77832648</v>
      </c>
      <c r="C1486" s="8">
        <f t="array" ref="C1486">PRODUCT(1-'Sparkling Model'!D$2:D$38^A1486)</f>
        <v>0.006543585653</v>
      </c>
    </row>
    <row r="1487">
      <c r="A1487" s="6">
        <v>1485.0</v>
      </c>
      <c r="B1487" s="17">
        <f t="array" ref="B1487">SUM(1-'Sparkling Model'!D$2:D$38^A1487)</f>
        <v>32.78292297</v>
      </c>
      <c r="C1487" s="8">
        <f t="array" ref="C1487">PRODUCT(1-'Sparkling Model'!D$2:D$38^A1487)</f>
        <v>0.006582154848</v>
      </c>
    </row>
    <row r="1488">
      <c r="A1488" s="6">
        <v>1486.0</v>
      </c>
      <c r="B1488" s="17">
        <f t="array" ref="B1488">SUM(1-'Sparkling Model'!D$2:D$38^A1488)</f>
        <v>32.78751282</v>
      </c>
      <c r="C1488" s="8">
        <f t="array" ref="C1488">PRODUCT(1-'Sparkling Model'!D$2:D$38^A1488)</f>
        <v>0.006620890548</v>
      </c>
    </row>
    <row r="1489">
      <c r="A1489" s="6">
        <v>1487.0</v>
      </c>
      <c r="B1489" s="17">
        <f t="array" ref="B1489">SUM(1-'Sparkling Model'!D$2:D$38^A1489)</f>
        <v>32.79209605</v>
      </c>
      <c r="C1489" s="8">
        <f t="array" ref="C1489">PRODUCT(1-'Sparkling Model'!D$2:D$38^A1489)</f>
        <v>0.00665979314</v>
      </c>
    </row>
    <row r="1490">
      <c r="A1490" s="6">
        <v>1488.0</v>
      </c>
      <c r="B1490" s="17">
        <f t="array" ref="B1490">SUM(1-'Sparkling Model'!D$2:D$38^A1490)</f>
        <v>32.79667266</v>
      </c>
      <c r="C1490" s="8">
        <f t="array" ref="C1490">PRODUCT(1-'Sparkling Model'!D$2:D$38^A1490)</f>
        <v>0.006698863009</v>
      </c>
    </row>
    <row r="1491">
      <c r="A1491" s="6">
        <v>1489.0</v>
      </c>
      <c r="B1491" s="17">
        <f t="array" ref="B1491">SUM(1-'Sparkling Model'!D$2:D$38^A1491)</f>
        <v>32.80124267</v>
      </c>
      <c r="C1491" s="8">
        <f t="array" ref="C1491">PRODUCT(1-'Sparkling Model'!D$2:D$38^A1491)</f>
        <v>0.006738100541</v>
      </c>
    </row>
    <row r="1492">
      <c r="A1492" s="6">
        <v>1490.0</v>
      </c>
      <c r="B1492" s="17">
        <f t="array" ref="B1492">SUM(1-'Sparkling Model'!D$2:D$38^A1492)</f>
        <v>32.80580608</v>
      </c>
      <c r="C1492" s="8">
        <f t="array" ref="C1492">PRODUCT(1-'Sparkling Model'!D$2:D$38^A1492)</f>
        <v>0.006777506122</v>
      </c>
    </row>
    <row r="1493">
      <c r="A1493" s="6">
        <v>1491.0</v>
      </c>
      <c r="B1493" s="17">
        <f t="array" ref="B1493">SUM(1-'Sparkling Model'!D$2:D$38^A1493)</f>
        <v>32.81036291</v>
      </c>
      <c r="C1493" s="8">
        <f t="array" ref="C1493">PRODUCT(1-'Sparkling Model'!D$2:D$38^A1493)</f>
        <v>0.006817080135</v>
      </c>
    </row>
    <row r="1494">
      <c r="A1494" s="6">
        <v>1492.0</v>
      </c>
      <c r="B1494" s="17">
        <f t="array" ref="B1494">SUM(1-'Sparkling Model'!D$2:D$38^A1494)</f>
        <v>32.81491318</v>
      </c>
      <c r="C1494" s="8">
        <f t="array" ref="C1494">PRODUCT(1-'Sparkling Model'!D$2:D$38^A1494)</f>
        <v>0.006856822966</v>
      </c>
    </row>
    <row r="1495">
      <c r="A1495" s="6">
        <v>1493.0</v>
      </c>
      <c r="B1495" s="17">
        <f t="array" ref="B1495">SUM(1-'Sparkling Model'!D$2:D$38^A1495)</f>
        <v>32.81945689</v>
      </c>
      <c r="C1495" s="8">
        <f t="array" ref="C1495">PRODUCT(1-'Sparkling Model'!D$2:D$38^A1495)</f>
        <v>0.006896734997</v>
      </c>
    </row>
    <row r="1496">
      <c r="A1496" s="6">
        <v>1494.0</v>
      </c>
      <c r="B1496" s="17">
        <f t="array" ref="B1496">SUM(1-'Sparkling Model'!D$2:D$38^A1496)</f>
        <v>32.82399405</v>
      </c>
      <c r="C1496" s="8">
        <f t="array" ref="C1496">PRODUCT(1-'Sparkling Model'!D$2:D$38^A1496)</f>
        <v>0.006936816612</v>
      </c>
    </row>
    <row r="1497">
      <c r="A1497" s="6">
        <v>1495.0</v>
      </c>
      <c r="B1497" s="17">
        <f t="array" ref="B1497">SUM(1-'Sparkling Model'!D$2:D$38^A1497)</f>
        <v>32.82852468</v>
      </c>
      <c r="C1497" s="8">
        <f t="array" ref="C1497">PRODUCT(1-'Sparkling Model'!D$2:D$38^A1497)</f>
        <v>0.006977068193</v>
      </c>
    </row>
    <row r="1498">
      <c r="A1498" s="6">
        <v>1496.0</v>
      </c>
      <c r="B1498" s="17">
        <f t="array" ref="B1498">SUM(1-'Sparkling Model'!D$2:D$38^A1498)</f>
        <v>32.83304878</v>
      </c>
      <c r="C1498" s="8">
        <f t="array" ref="C1498">PRODUCT(1-'Sparkling Model'!D$2:D$38^A1498)</f>
        <v>0.007017490122</v>
      </c>
    </row>
    <row r="1499">
      <c r="A1499" s="6">
        <v>1497.0</v>
      </c>
      <c r="B1499" s="17">
        <f t="array" ref="B1499">SUM(1-'Sparkling Model'!D$2:D$38^A1499)</f>
        <v>32.83756638</v>
      </c>
      <c r="C1499" s="8">
        <f t="array" ref="C1499">PRODUCT(1-'Sparkling Model'!D$2:D$38^A1499)</f>
        <v>0.00705808278</v>
      </c>
    </row>
    <row r="1500">
      <c r="A1500" s="6">
        <v>1498.0</v>
      </c>
      <c r="B1500" s="17">
        <f t="array" ref="B1500">SUM(1-'Sparkling Model'!D$2:D$38^A1500)</f>
        <v>32.84207747</v>
      </c>
      <c r="C1500" s="8">
        <f t="array" ref="C1500">PRODUCT(1-'Sparkling Model'!D$2:D$38^A1500)</f>
        <v>0.007098846549</v>
      </c>
    </row>
    <row r="1501">
      <c r="A1501" s="6">
        <v>1499.0</v>
      </c>
      <c r="B1501" s="17">
        <f t="array" ref="B1501">SUM(1-'Sparkling Model'!D$2:D$38^A1501)</f>
        <v>32.84658208</v>
      </c>
      <c r="C1501" s="8">
        <f t="array" ref="C1501">PRODUCT(1-'Sparkling Model'!D$2:D$38^A1501)</f>
        <v>0.007139781808</v>
      </c>
    </row>
    <row r="1502">
      <c r="A1502" s="6">
        <v>1500.0</v>
      </c>
      <c r="B1502" s="17">
        <f t="array" ref="B1502">SUM(1-'Sparkling Model'!D$2:D$38^A1502)</f>
        <v>32.85108021</v>
      </c>
      <c r="C1502" s="8">
        <f t="array" ref="C1502">PRODUCT(1-'Sparkling Model'!D$2:D$38^A1502)</f>
        <v>0.007180888937</v>
      </c>
    </row>
    <row r="1503">
      <c r="A1503" s="6">
        <v>1501.0</v>
      </c>
      <c r="B1503" s="17">
        <f t="array" ref="B1503">SUM(1-'Sparkling Model'!D$2:D$38^A1503)</f>
        <v>32.85557187</v>
      </c>
      <c r="C1503" s="8">
        <f t="array" ref="C1503">PRODUCT(1-'Sparkling Model'!D$2:D$38^A1503)</f>
        <v>0.007222168316</v>
      </c>
    </row>
    <row r="1504">
      <c r="A1504" s="6">
        <v>1502.0</v>
      </c>
      <c r="B1504" s="17">
        <f t="array" ref="B1504">SUM(1-'Sparkling Model'!D$2:D$38^A1504)</f>
        <v>32.86005708</v>
      </c>
      <c r="C1504" s="8">
        <f t="array" ref="C1504">PRODUCT(1-'Sparkling Model'!D$2:D$38^A1504)</f>
        <v>0.007263620323</v>
      </c>
    </row>
    <row r="1505">
      <c r="A1505" s="6">
        <v>1503.0</v>
      </c>
      <c r="B1505" s="17">
        <f t="array" ref="B1505">SUM(1-'Sparkling Model'!D$2:D$38^A1505)</f>
        <v>32.86453585</v>
      </c>
      <c r="C1505" s="8">
        <f t="array" ref="C1505">PRODUCT(1-'Sparkling Model'!D$2:D$38^A1505)</f>
        <v>0.007305245335</v>
      </c>
    </row>
    <row r="1506">
      <c r="A1506" s="6">
        <v>1504.0</v>
      </c>
      <c r="B1506" s="17">
        <f t="array" ref="B1506">SUM(1-'Sparkling Model'!D$2:D$38^A1506)</f>
        <v>32.86900818</v>
      </c>
      <c r="C1506" s="8">
        <f t="array" ref="C1506">PRODUCT(1-'Sparkling Model'!D$2:D$38^A1506)</f>
        <v>0.007347043732</v>
      </c>
    </row>
    <row r="1507">
      <c r="A1507" s="6">
        <v>1505.0</v>
      </c>
      <c r="B1507" s="17">
        <f t="array" ref="B1507">SUM(1-'Sparkling Model'!D$2:D$38^A1507)</f>
        <v>32.8734741</v>
      </c>
      <c r="C1507" s="8">
        <f t="array" ref="C1507">PRODUCT(1-'Sparkling Model'!D$2:D$38^A1507)</f>
        <v>0.007389015888</v>
      </c>
    </row>
    <row r="1508">
      <c r="A1508" s="6">
        <v>1506.0</v>
      </c>
      <c r="B1508" s="17">
        <f t="array" ref="B1508">SUM(1-'Sparkling Model'!D$2:D$38^A1508)</f>
        <v>32.8779336</v>
      </c>
      <c r="C1508" s="8">
        <f t="array" ref="C1508">PRODUCT(1-'Sparkling Model'!D$2:D$38^A1508)</f>
        <v>0.00743116218</v>
      </c>
    </row>
    <row r="1509">
      <c r="A1509" s="6">
        <v>1507.0</v>
      </c>
      <c r="B1509" s="17">
        <f t="array" ref="B1509">SUM(1-'Sparkling Model'!D$2:D$38^A1509)</f>
        <v>32.88238671</v>
      </c>
      <c r="C1509" s="8">
        <f t="array" ref="C1509">PRODUCT(1-'Sparkling Model'!D$2:D$38^A1509)</f>
        <v>0.007473482985</v>
      </c>
    </row>
    <row r="1510">
      <c r="A1510" s="6">
        <v>1508.0</v>
      </c>
      <c r="B1510" s="17">
        <f t="array" ref="B1510">SUM(1-'Sparkling Model'!D$2:D$38^A1510)</f>
        <v>32.88683344</v>
      </c>
      <c r="C1510" s="8">
        <f t="array" ref="C1510">PRODUCT(1-'Sparkling Model'!D$2:D$38^A1510)</f>
        <v>0.007515978677</v>
      </c>
    </row>
    <row r="1511">
      <c r="A1511" s="6">
        <v>1509.0</v>
      </c>
      <c r="B1511" s="17">
        <f t="array" ref="B1511">SUM(1-'Sparkling Model'!D$2:D$38^A1511)</f>
        <v>32.89127379</v>
      </c>
      <c r="C1511" s="8">
        <f t="array" ref="C1511">PRODUCT(1-'Sparkling Model'!D$2:D$38^A1511)</f>
        <v>0.00755864963</v>
      </c>
    </row>
    <row r="1512">
      <c r="A1512" s="6">
        <v>1510.0</v>
      </c>
      <c r="B1512" s="17">
        <f t="array" ref="B1512">SUM(1-'Sparkling Model'!D$2:D$38^A1512)</f>
        <v>32.89570777</v>
      </c>
      <c r="C1512" s="8">
        <f t="array" ref="C1512">PRODUCT(1-'Sparkling Model'!D$2:D$38^A1512)</f>
        <v>0.007601496219</v>
      </c>
    </row>
    <row r="1513">
      <c r="A1513" s="6">
        <v>1511.0</v>
      </c>
      <c r="B1513" s="17">
        <f t="array" ref="B1513">SUM(1-'Sparkling Model'!D$2:D$38^A1513)</f>
        <v>32.9001354</v>
      </c>
      <c r="C1513" s="8">
        <f t="array" ref="C1513">PRODUCT(1-'Sparkling Model'!D$2:D$38^A1513)</f>
        <v>0.007644518816</v>
      </c>
    </row>
    <row r="1514">
      <c r="A1514" s="6">
        <v>1512.0</v>
      </c>
      <c r="B1514" s="17">
        <f t="array" ref="B1514">SUM(1-'Sparkling Model'!D$2:D$38^A1514)</f>
        <v>32.90455669</v>
      </c>
      <c r="C1514" s="8">
        <f t="array" ref="C1514">PRODUCT(1-'Sparkling Model'!D$2:D$38^A1514)</f>
        <v>0.007687717794</v>
      </c>
    </row>
    <row r="1515">
      <c r="A1515" s="6">
        <v>1513.0</v>
      </c>
      <c r="B1515" s="17">
        <f t="array" ref="B1515">SUM(1-'Sparkling Model'!D$2:D$38^A1515)</f>
        <v>32.90897165</v>
      </c>
      <c r="C1515" s="8">
        <f t="array" ref="C1515">PRODUCT(1-'Sparkling Model'!D$2:D$38^A1515)</f>
        <v>0.007731093525</v>
      </c>
    </row>
    <row r="1516">
      <c r="A1516" s="6">
        <v>1514.0</v>
      </c>
      <c r="B1516" s="17">
        <f t="array" ref="B1516">SUM(1-'Sparkling Model'!D$2:D$38^A1516)</f>
        <v>32.91338029</v>
      </c>
      <c r="C1516" s="8">
        <f t="array" ref="C1516">PRODUCT(1-'Sparkling Model'!D$2:D$38^A1516)</f>
        <v>0.007774646381</v>
      </c>
    </row>
    <row r="1517">
      <c r="A1517" s="6">
        <v>1515.0</v>
      </c>
      <c r="B1517" s="17">
        <f t="array" ref="B1517">SUM(1-'Sparkling Model'!D$2:D$38^A1517)</f>
        <v>32.91778262</v>
      </c>
      <c r="C1517" s="8">
        <f t="array" ref="C1517">PRODUCT(1-'Sparkling Model'!D$2:D$38^A1517)</f>
        <v>0.007818376732</v>
      </c>
    </row>
    <row r="1518">
      <c r="A1518" s="6">
        <v>1516.0</v>
      </c>
      <c r="B1518" s="17">
        <f t="array" ref="B1518">SUM(1-'Sparkling Model'!D$2:D$38^A1518)</f>
        <v>32.92217866</v>
      </c>
      <c r="C1518" s="8">
        <f t="array" ref="C1518">PRODUCT(1-'Sparkling Model'!D$2:D$38^A1518)</f>
        <v>0.007862284948</v>
      </c>
    </row>
    <row r="1519">
      <c r="A1519" s="6">
        <v>1517.0</v>
      </c>
      <c r="B1519" s="17">
        <f t="array" ref="B1519">SUM(1-'Sparkling Model'!D$2:D$38^A1519)</f>
        <v>32.92656841</v>
      </c>
      <c r="C1519" s="8">
        <f t="array" ref="C1519">PRODUCT(1-'Sparkling Model'!D$2:D$38^A1519)</f>
        <v>0.007906371399</v>
      </c>
    </row>
    <row r="1520">
      <c r="A1520" s="6">
        <v>1518.0</v>
      </c>
      <c r="B1520" s="17">
        <f t="array" ref="B1520">SUM(1-'Sparkling Model'!D$2:D$38^A1520)</f>
        <v>32.93095188</v>
      </c>
      <c r="C1520" s="8">
        <f t="array" ref="C1520">PRODUCT(1-'Sparkling Model'!D$2:D$38^A1520)</f>
        <v>0.007950636453</v>
      </c>
    </row>
    <row r="1521">
      <c r="A1521" s="6">
        <v>1519.0</v>
      </c>
      <c r="B1521" s="17">
        <f t="array" ref="B1521">SUM(1-'Sparkling Model'!D$2:D$38^A1521)</f>
        <v>32.93532909</v>
      </c>
      <c r="C1521" s="8">
        <f t="array" ref="C1521">PRODUCT(1-'Sparkling Model'!D$2:D$38^A1521)</f>
        <v>0.007995080478</v>
      </c>
    </row>
    <row r="1522">
      <c r="A1522" s="6">
        <v>1520.0</v>
      </c>
      <c r="B1522" s="17">
        <f t="array" ref="B1522">SUM(1-'Sparkling Model'!D$2:D$38^A1522)</f>
        <v>32.93970005</v>
      </c>
      <c r="C1522" s="8">
        <f t="array" ref="C1522">PRODUCT(1-'Sparkling Model'!D$2:D$38^A1522)</f>
        <v>0.008039703843</v>
      </c>
    </row>
    <row r="1523">
      <c r="A1523" s="6">
        <v>1521.0</v>
      </c>
      <c r="B1523" s="17">
        <f t="array" ref="B1523">SUM(1-'Sparkling Model'!D$2:D$38^A1523)</f>
        <v>32.94406476</v>
      </c>
      <c r="C1523" s="8">
        <f t="array" ref="C1523">PRODUCT(1-'Sparkling Model'!D$2:D$38^A1523)</f>
        <v>0.008084506913</v>
      </c>
    </row>
    <row r="1524">
      <c r="A1524" s="6">
        <v>1522.0</v>
      </c>
      <c r="B1524" s="17">
        <f t="array" ref="B1524">SUM(1-'Sparkling Model'!D$2:D$38^A1524)</f>
        <v>32.94842324</v>
      </c>
      <c r="C1524" s="8">
        <f t="array" ref="C1524">PRODUCT(1-'Sparkling Model'!D$2:D$38^A1524)</f>
        <v>0.008129490056</v>
      </c>
    </row>
    <row r="1525">
      <c r="A1525" s="6">
        <v>1523.0</v>
      </c>
      <c r="B1525" s="17">
        <f t="array" ref="B1525">SUM(1-'Sparkling Model'!D$2:D$38^A1525)</f>
        <v>32.9527755</v>
      </c>
      <c r="C1525" s="8">
        <f t="array" ref="C1525">PRODUCT(1-'Sparkling Model'!D$2:D$38^A1525)</f>
        <v>0.008174653635</v>
      </c>
    </row>
    <row r="1526">
      <c r="A1526" s="6">
        <v>1524.0</v>
      </c>
      <c r="B1526" s="17">
        <f t="array" ref="B1526">SUM(1-'Sparkling Model'!D$2:D$38^A1526)</f>
        <v>32.95712156</v>
      </c>
      <c r="C1526" s="8">
        <f t="array" ref="C1526">PRODUCT(1-'Sparkling Model'!D$2:D$38^A1526)</f>
        <v>0.008219998017</v>
      </c>
    </row>
    <row r="1527">
      <c r="A1527" s="6">
        <v>1525.0</v>
      </c>
      <c r="B1527" s="17">
        <f t="array" ref="B1527">SUM(1-'Sparkling Model'!D$2:D$38^A1527)</f>
        <v>32.96146141</v>
      </c>
      <c r="C1527" s="8">
        <f t="array" ref="C1527">PRODUCT(1-'Sparkling Model'!D$2:D$38^A1527)</f>
        <v>0.008265523565</v>
      </c>
    </row>
    <row r="1528">
      <c r="A1528" s="6">
        <v>1526.0</v>
      </c>
      <c r="B1528" s="17">
        <f t="array" ref="B1528">SUM(1-'Sparkling Model'!D$2:D$38^A1528)</f>
        <v>32.96579508</v>
      </c>
      <c r="C1528" s="8">
        <f t="array" ref="C1528">PRODUCT(1-'Sparkling Model'!D$2:D$38^A1528)</f>
        <v>0.008311230643</v>
      </c>
    </row>
    <row r="1529">
      <c r="A1529" s="6">
        <v>1527.0</v>
      </c>
      <c r="B1529" s="17">
        <f t="array" ref="B1529">SUM(1-'Sparkling Model'!D$2:D$38^A1529)</f>
        <v>32.97012257</v>
      </c>
      <c r="C1529" s="8">
        <f t="array" ref="C1529">PRODUCT(1-'Sparkling Model'!D$2:D$38^A1529)</f>
        <v>0.008357119614</v>
      </c>
    </row>
    <row r="1530">
      <c r="A1530" s="6">
        <v>1528.0</v>
      </c>
      <c r="B1530" s="17">
        <f t="array" ref="B1530">SUM(1-'Sparkling Model'!D$2:D$38^A1530)</f>
        <v>32.97444389</v>
      </c>
      <c r="C1530" s="8">
        <f t="array" ref="C1530">PRODUCT(1-'Sparkling Model'!D$2:D$38^A1530)</f>
        <v>0.008403190839</v>
      </c>
    </row>
    <row r="1531">
      <c r="A1531" s="6">
        <v>1529.0</v>
      </c>
      <c r="B1531" s="17">
        <f t="array" ref="B1531">SUM(1-'Sparkling Model'!D$2:D$38^A1531)</f>
        <v>32.97875906</v>
      </c>
      <c r="C1531" s="8">
        <f t="array" ref="C1531">PRODUCT(1-'Sparkling Model'!D$2:D$38^A1531)</f>
        <v>0.00844944468</v>
      </c>
    </row>
    <row r="1532">
      <c r="A1532" s="6">
        <v>1530.0</v>
      </c>
      <c r="B1532" s="17">
        <f t="array" ref="B1532">SUM(1-'Sparkling Model'!D$2:D$38^A1532)</f>
        <v>32.98306808</v>
      </c>
      <c r="C1532" s="8">
        <f t="array" ref="C1532">PRODUCT(1-'Sparkling Model'!D$2:D$38^A1532)</f>
        <v>0.008495881498</v>
      </c>
    </row>
    <row r="1533">
      <c r="A1533" s="6">
        <v>1531.0</v>
      </c>
      <c r="B1533" s="17">
        <f t="array" ref="B1533">SUM(1-'Sparkling Model'!D$2:D$38^A1533)</f>
        <v>32.98737097</v>
      </c>
      <c r="C1533" s="8">
        <f t="array" ref="C1533">PRODUCT(1-'Sparkling Model'!D$2:D$38^A1533)</f>
        <v>0.008542501652</v>
      </c>
    </row>
    <row r="1534">
      <c r="A1534" s="6">
        <v>1532.0</v>
      </c>
      <c r="B1534" s="17">
        <f t="array" ref="B1534">SUM(1-'Sparkling Model'!D$2:D$38^A1534)</f>
        <v>32.99166773</v>
      </c>
      <c r="C1534" s="8">
        <f t="array" ref="C1534">PRODUCT(1-'Sparkling Model'!D$2:D$38^A1534)</f>
        <v>0.008589305502</v>
      </c>
    </row>
    <row r="1535">
      <c r="A1535" s="6">
        <v>1533.0</v>
      </c>
      <c r="B1535" s="17">
        <f t="array" ref="B1535">SUM(1-'Sparkling Model'!D$2:D$38^A1535)</f>
        <v>32.99595839</v>
      </c>
      <c r="C1535" s="8">
        <f t="array" ref="C1535">PRODUCT(1-'Sparkling Model'!D$2:D$38^A1535)</f>
        <v>0.008636293407</v>
      </c>
    </row>
    <row r="1536">
      <c r="A1536" s="6">
        <v>1534.0</v>
      </c>
      <c r="B1536" s="17">
        <f t="array" ref="B1536">SUM(1-'Sparkling Model'!D$2:D$38^A1536)</f>
        <v>33.00024294</v>
      </c>
      <c r="C1536" s="8">
        <f t="array" ref="C1536">PRODUCT(1-'Sparkling Model'!D$2:D$38^A1536)</f>
        <v>0.008683465723</v>
      </c>
    </row>
    <row r="1537">
      <c r="A1537" s="6">
        <v>1535.0</v>
      </c>
      <c r="B1537" s="17">
        <f t="array" ref="B1537">SUM(1-'Sparkling Model'!D$2:D$38^A1537)</f>
        <v>33.0045214</v>
      </c>
      <c r="C1537" s="8">
        <f t="array" ref="C1537">PRODUCT(1-'Sparkling Model'!D$2:D$38^A1537)</f>
        <v>0.00873082281</v>
      </c>
    </row>
    <row r="1538">
      <c r="A1538" s="6">
        <v>1536.0</v>
      </c>
      <c r="B1538" s="17">
        <f t="array" ref="B1538">SUM(1-'Sparkling Model'!D$2:D$38^A1538)</f>
        <v>33.00879378</v>
      </c>
      <c r="C1538" s="8">
        <f t="array" ref="C1538">PRODUCT(1-'Sparkling Model'!D$2:D$38^A1538)</f>
        <v>0.008778365022</v>
      </c>
    </row>
    <row r="1539">
      <c r="A1539" s="6">
        <v>1537.0</v>
      </c>
      <c r="B1539" s="17">
        <f t="array" ref="B1539">SUM(1-'Sparkling Model'!D$2:D$38^A1539)</f>
        <v>33.01306009</v>
      </c>
      <c r="C1539" s="8">
        <f t="array" ref="C1539">PRODUCT(1-'Sparkling Model'!D$2:D$38^A1539)</f>
        <v>0.008826092715</v>
      </c>
    </row>
    <row r="1540">
      <c r="A1540" s="6">
        <v>1538.0</v>
      </c>
      <c r="B1540" s="17">
        <f t="array" ref="B1540">SUM(1-'Sparkling Model'!D$2:D$38^A1540)</f>
        <v>33.01732034</v>
      </c>
      <c r="C1540" s="8">
        <f t="array" ref="C1540">PRODUCT(1-'Sparkling Model'!D$2:D$38^A1540)</f>
        <v>0.008874006244</v>
      </c>
    </row>
    <row r="1541">
      <c r="A1541" s="6">
        <v>1539.0</v>
      </c>
      <c r="B1541" s="17">
        <f t="array" ref="B1541">SUM(1-'Sparkling Model'!D$2:D$38^A1541)</f>
        <v>33.02157454</v>
      </c>
      <c r="C1541" s="8">
        <f t="array" ref="C1541">PRODUCT(1-'Sparkling Model'!D$2:D$38^A1541)</f>
        <v>0.008922105965</v>
      </c>
    </row>
    <row r="1542">
      <c r="A1542" s="6">
        <v>1540.0</v>
      </c>
      <c r="B1542" s="17">
        <f t="array" ref="B1542">SUM(1-'Sparkling Model'!D$2:D$38^A1542)</f>
        <v>33.0258227</v>
      </c>
      <c r="C1542" s="8">
        <f t="array" ref="C1542">PRODUCT(1-'Sparkling Model'!D$2:D$38^A1542)</f>
        <v>0.008970392229</v>
      </c>
    </row>
    <row r="1543">
      <c r="A1543" s="6">
        <v>1541.0</v>
      </c>
      <c r="B1543" s="17">
        <f t="array" ref="B1543">SUM(1-'Sparkling Model'!D$2:D$38^A1543)</f>
        <v>33.03006484</v>
      </c>
      <c r="C1543" s="8">
        <f t="array" ref="C1543">PRODUCT(1-'Sparkling Model'!D$2:D$38^A1543)</f>
        <v>0.009018865389</v>
      </c>
    </row>
    <row r="1544">
      <c r="A1544" s="6">
        <v>1542.0</v>
      </c>
      <c r="B1544" s="17">
        <f t="array" ref="B1544">SUM(1-'Sparkling Model'!D$2:D$38^A1544)</f>
        <v>33.03430095</v>
      </c>
      <c r="C1544" s="8">
        <f t="array" ref="C1544">PRODUCT(1-'Sparkling Model'!D$2:D$38^A1544)</f>
        <v>0.009067525799</v>
      </c>
    </row>
    <row r="1545">
      <c r="A1545" s="6">
        <v>1543.0</v>
      </c>
      <c r="B1545" s="17">
        <f t="array" ref="B1545">SUM(1-'Sparkling Model'!D$2:D$38^A1545)</f>
        <v>33.03853106</v>
      </c>
      <c r="C1545" s="8">
        <f t="array" ref="C1545">PRODUCT(1-'Sparkling Model'!D$2:D$38^A1545)</f>
        <v>0.009116373808</v>
      </c>
    </row>
    <row r="1546">
      <c r="A1546" s="6">
        <v>1544.0</v>
      </c>
      <c r="B1546" s="17">
        <f t="array" ref="B1546">SUM(1-'Sparkling Model'!D$2:D$38^A1546)</f>
        <v>33.04275518</v>
      </c>
      <c r="C1546" s="8">
        <f t="array" ref="C1546">PRODUCT(1-'Sparkling Model'!D$2:D$38^A1546)</f>
        <v>0.009165409767</v>
      </c>
    </row>
    <row r="1547">
      <c r="A1547" s="6">
        <v>1545.0</v>
      </c>
      <c r="B1547" s="17">
        <f t="array" ref="B1547">SUM(1-'Sparkling Model'!D$2:D$38^A1547)</f>
        <v>33.04697331</v>
      </c>
      <c r="C1547" s="8">
        <f t="array" ref="C1547">PRODUCT(1-'Sparkling Model'!D$2:D$38^A1547)</f>
        <v>0.009214634026</v>
      </c>
    </row>
    <row r="1548">
      <c r="A1548" s="6">
        <v>1546.0</v>
      </c>
      <c r="B1548" s="17">
        <f t="array" ref="B1548">SUM(1-'Sparkling Model'!D$2:D$38^A1548)</f>
        <v>33.05118546</v>
      </c>
      <c r="C1548" s="8">
        <f t="array" ref="C1548">PRODUCT(1-'Sparkling Model'!D$2:D$38^A1548)</f>
        <v>0.009264046935</v>
      </c>
    </row>
    <row r="1549">
      <c r="A1549" s="6">
        <v>1547.0</v>
      </c>
      <c r="B1549" s="17">
        <f t="array" ref="B1549">SUM(1-'Sparkling Model'!D$2:D$38^A1549)</f>
        <v>33.05539164</v>
      </c>
      <c r="C1549" s="8">
        <f t="array" ref="C1549">PRODUCT(1-'Sparkling Model'!D$2:D$38^A1549)</f>
        <v>0.00931364884</v>
      </c>
    </row>
    <row r="1550">
      <c r="A1550" s="6">
        <v>1548.0</v>
      </c>
      <c r="B1550" s="17">
        <f t="array" ref="B1550">SUM(1-'Sparkling Model'!D$2:D$38^A1550)</f>
        <v>33.05959188</v>
      </c>
      <c r="C1550" s="8">
        <f t="array" ref="C1550">PRODUCT(1-'Sparkling Model'!D$2:D$38^A1550)</f>
        <v>0.009363440089</v>
      </c>
    </row>
    <row r="1551">
      <c r="A1551" s="6">
        <v>1549.0</v>
      </c>
      <c r="B1551" s="17">
        <f t="array" ref="B1551">SUM(1-'Sparkling Model'!D$2:D$38^A1551)</f>
        <v>33.06378617</v>
      </c>
      <c r="C1551" s="8">
        <f t="array" ref="C1551">PRODUCT(1-'Sparkling Model'!D$2:D$38^A1551)</f>
        <v>0.009413421029</v>
      </c>
    </row>
    <row r="1552">
      <c r="A1552" s="6">
        <v>1550.0</v>
      </c>
      <c r="B1552" s="17">
        <f t="array" ref="B1552">SUM(1-'Sparkling Model'!D$2:D$38^A1552)</f>
        <v>33.06797452</v>
      </c>
      <c r="C1552" s="8">
        <f t="array" ref="C1552">PRODUCT(1-'Sparkling Model'!D$2:D$38^A1552)</f>
        <v>0.009463592007</v>
      </c>
    </row>
    <row r="1553">
      <c r="A1553" s="6">
        <v>1551.0</v>
      </c>
      <c r="B1553" s="17">
        <f t="array" ref="B1553">SUM(1-'Sparkling Model'!D$2:D$38^A1553)</f>
        <v>33.07215695</v>
      </c>
      <c r="C1553" s="8">
        <f t="array" ref="C1553">PRODUCT(1-'Sparkling Model'!D$2:D$38^A1553)</f>
        <v>0.009513953365</v>
      </c>
    </row>
    <row r="1554">
      <c r="A1554" s="6">
        <v>1552.0</v>
      </c>
      <c r="B1554" s="17">
        <f t="array" ref="B1554">SUM(1-'Sparkling Model'!D$2:D$38^A1554)</f>
        <v>33.07633346</v>
      </c>
      <c r="C1554" s="8">
        <f t="array" ref="C1554">PRODUCT(1-'Sparkling Model'!D$2:D$38^A1554)</f>
        <v>0.00956450545</v>
      </c>
    </row>
    <row r="1555">
      <c r="A1555" s="6">
        <v>1553.0</v>
      </c>
      <c r="B1555" s="17">
        <f t="array" ref="B1555">SUM(1-'Sparkling Model'!D$2:D$38^A1555)</f>
        <v>33.08050408</v>
      </c>
      <c r="C1555" s="8">
        <f t="array" ref="C1555">PRODUCT(1-'Sparkling Model'!D$2:D$38^A1555)</f>
        <v>0.009615248605</v>
      </c>
    </row>
    <row r="1556">
      <c r="A1556" s="6">
        <v>1554.0</v>
      </c>
      <c r="B1556" s="17">
        <f t="array" ref="B1556">SUM(1-'Sparkling Model'!D$2:D$38^A1556)</f>
        <v>33.0846688</v>
      </c>
      <c r="C1556" s="8">
        <f t="array" ref="C1556">PRODUCT(1-'Sparkling Model'!D$2:D$38^A1556)</f>
        <v>0.009666183171</v>
      </c>
    </row>
    <row r="1557">
      <c r="A1557" s="6">
        <v>1555.0</v>
      </c>
      <c r="B1557" s="17">
        <f t="array" ref="B1557">SUM(1-'Sparkling Model'!D$2:D$38^A1557)</f>
        <v>33.08882763</v>
      </c>
      <c r="C1557" s="8">
        <f t="array" ref="C1557">PRODUCT(1-'Sparkling Model'!D$2:D$38^A1557)</f>
        <v>0.009717309491</v>
      </c>
    </row>
    <row r="1558">
      <c r="A1558" s="6">
        <v>1556.0</v>
      </c>
      <c r="B1558" s="17">
        <f t="array" ref="B1558">SUM(1-'Sparkling Model'!D$2:D$38^A1558)</f>
        <v>33.0929806</v>
      </c>
      <c r="C1558" s="8">
        <f t="array" ref="C1558">PRODUCT(1-'Sparkling Model'!D$2:D$38^A1558)</f>
        <v>0.009768627907</v>
      </c>
    </row>
    <row r="1559">
      <c r="A1559" s="6">
        <v>1557.0</v>
      </c>
      <c r="B1559" s="17">
        <f t="array" ref="B1559">SUM(1-'Sparkling Model'!D$2:D$38^A1559)</f>
        <v>33.0971277</v>
      </c>
      <c r="C1559" s="8">
        <f t="array" ref="C1559">PRODUCT(1-'Sparkling Model'!D$2:D$38^A1559)</f>
        <v>0.009820138757</v>
      </c>
    </row>
    <row r="1560">
      <c r="A1560" s="6">
        <v>1558.0</v>
      </c>
      <c r="B1560" s="17">
        <f t="array" ref="B1560">SUM(1-'Sparkling Model'!D$2:D$38^A1560)</f>
        <v>33.10126895</v>
      </c>
      <c r="C1560" s="8">
        <f t="array" ref="C1560">PRODUCT(1-'Sparkling Model'!D$2:D$38^A1560)</f>
        <v>0.009871842382</v>
      </c>
    </row>
    <row r="1561">
      <c r="A1561" s="6">
        <v>1559.0</v>
      </c>
      <c r="B1561" s="17">
        <f t="array" ref="B1561">SUM(1-'Sparkling Model'!D$2:D$38^A1561)</f>
        <v>33.10540436</v>
      </c>
      <c r="C1561" s="8">
        <f t="array" ref="C1561">PRODUCT(1-'Sparkling Model'!D$2:D$38^A1561)</f>
        <v>0.00992373912</v>
      </c>
    </row>
    <row r="1562">
      <c r="A1562" s="6">
        <v>1560.0</v>
      </c>
      <c r="B1562" s="17">
        <f t="array" ref="B1562">SUM(1-'Sparkling Model'!D$2:D$38^A1562)</f>
        <v>33.10953393</v>
      </c>
      <c r="C1562" s="8">
        <f t="array" ref="C1562">PRODUCT(1-'Sparkling Model'!D$2:D$38^A1562)</f>
        <v>0.00997582931</v>
      </c>
    </row>
    <row r="1563">
      <c r="A1563" s="6">
        <v>1561.0</v>
      </c>
      <c r="B1563" s="17">
        <f t="array" ref="B1563">SUM(1-'Sparkling Model'!D$2:D$38^A1563)</f>
        <v>33.11365769</v>
      </c>
      <c r="C1563" s="8">
        <f t="array" ref="C1563">PRODUCT(1-'Sparkling Model'!D$2:D$38^A1563)</f>
        <v>0.01002811329</v>
      </c>
    </row>
    <row r="1564">
      <c r="A1564" s="6">
        <v>1562.0</v>
      </c>
      <c r="B1564" s="17">
        <f t="array" ref="B1564">SUM(1-'Sparkling Model'!D$2:D$38^A1564)</f>
        <v>33.11777563</v>
      </c>
      <c r="C1564" s="8">
        <f t="array" ref="C1564">PRODUCT(1-'Sparkling Model'!D$2:D$38^A1564)</f>
        <v>0.01008059139</v>
      </c>
    </row>
    <row r="1565">
      <c r="A1565" s="6">
        <v>1563.0</v>
      </c>
      <c r="B1565" s="17">
        <f t="array" ref="B1565">SUM(1-'Sparkling Model'!D$2:D$38^A1565)</f>
        <v>33.12188777</v>
      </c>
      <c r="C1565" s="8">
        <f t="array" ref="C1565">PRODUCT(1-'Sparkling Model'!D$2:D$38^A1565)</f>
        <v>0.01013326395</v>
      </c>
    </row>
    <row r="1566">
      <c r="A1566" s="6">
        <v>1564.0</v>
      </c>
      <c r="B1566" s="17">
        <f t="array" ref="B1566">SUM(1-'Sparkling Model'!D$2:D$38^A1566)</f>
        <v>33.12599412</v>
      </c>
      <c r="C1566" s="8">
        <f t="array" ref="C1566">PRODUCT(1-'Sparkling Model'!D$2:D$38^A1566)</f>
        <v>0.0101861313</v>
      </c>
    </row>
    <row r="1567">
      <c r="A1567" s="6">
        <v>1565.0</v>
      </c>
      <c r="B1567" s="17">
        <f t="array" ref="B1567">SUM(1-'Sparkling Model'!D$2:D$38^A1567)</f>
        <v>33.13009468</v>
      </c>
      <c r="C1567" s="8">
        <f t="array" ref="C1567">PRODUCT(1-'Sparkling Model'!D$2:D$38^A1567)</f>
        <v>0.01023919378</v>
      </c>
    </row>
    <row r="1568">
      <c r="A1568" s="6">
        <v>1566.0</v>
      </c>
      <c r="B1568" s="17">
        <f t="array" ref="B1568">SUM(1-'Sparkling Model'!D$2:D$38^A1568)</f>
        <v>33.13418948</v>
      </c>
      <c r="C1568" s="8">
        <f t="array" ref="C1568">PRODUCT(1-'Sparkling Model'!D$2:D$38^A1568)</f>
        <v>0.01029245173</v>
      </c>
    </row>
    <row r="1569">
      <c r="A1569" s="6">
        <v>1567.0</v>
      </c>
      <c r="B1569" s="17">
        <f t="array" ref="B1569">SUM(1-'Sparkling Model'!D$2:D$38^A1569)</f>
        <v>33.13827851</v>
      </c>
      <c r="C1569" s="8">
        <f t="array" ref="C1569">PRODUCT(1-'Sparkling Model'!D$2:D$38^A1569)</f>
        <v>0.01034590546</v>
      </c>
    </row>
    <row r="1570">
      <c r="A1570" s="6">
        <v>1568.0</v>
      </c>
      <c r="B1570" s="17">
        <f t="array" ref="B1570">SUM(1-'Sparkling Model'!D$2:D$38^A1570)</f>
        <v>33.14236179</v>
      </c>
      <c r="C1570" s="8">
        <f t="array" ref="C1570">PRODUCT(1-'Sparkling Model'!D$2:D$38^A1570)</f>
        <v>0.01039955532</v>
      </c>
    </row>
    <row r="1571">
      <c r="A1571" s="6">
        <v>1569.0</v>
      </c>
      <c r="B1571" s="17">
        <f t="array" ref="B1571">SUM(1-'Sparkling Model'!D$2:D$38^A1571)</f>
        <v>33.14643933</v>
      </c>
      <c r="C1571" s="8">
        <f t="array" ref="C1571">PRODUCT(1-'Sparkling Model'!D$2:D$38^A1571)</f>
        <v>0.01045340163</v>
      </c>
    </row>
    <row r="1572">
      <c r="A1572" s="6">
        <v>1570.0</v>
      </c>
      <c r="B1572" s="17">
        <f t="array" ref="B1572">SUM(1-'Sparkling Model'!D$2:D$38^A1572)</f>
        <v>33.15051114</v>
      </c>
      <c r="C1572" s="8">
        <f t="array" ref="C1572">PRODUCT(1-'Sparkling Model'!D$2:D$38^A1572)</f>
        <v>0.01050744472</v>
      </c>
    </row>
    <row r="1573">
      <c r="A1573" s="6">
        <v>1571.0</v>
      </c>
      <c r="B1573" s="17">
        <f t="array" ref="B1573">SUM(1-'Sparkling Model'!D$2:D$38^A1573)</f>
        <v>33.15457722</v>
      </c>
      <c r="C1573" s="8">
        <f t="array" ref="C1573">PRODUCT(1-'Sparkling Model'!D$2:D$38^A1573)</f>
        <v>0.01056168493</v>
      </c>
    </row>
    <row r="1574">
      <c r="A1574" s="6">
        <v>1572.0</v>
      </c>
      <c r="B1574" s="17">
        <f t="array" ref="B1574">SUM(1-'Sparkling Model'!D$2:D$38^A1574)</f>
        <v>33.1586376</v>
      </c>
      <c r="C1574" s="8">
        <f t="array" ref="C1574">PRODUCT(1-'Sparkling Model'!D$2:D$38^A1574)</f>
        <v>0.01061612257</v>
      </c>
    </row>
    <row r="1575">
      <c r="A1575" s="6">
        <v>1573.0</v>
      </c>
      <c r="B1575" s="17">
        <f t="array" ref="B1575">SUM(1-'Sparkling Model'!D$2:D$38^A1575)</f>
        <v>33.16269227</v>
      </c>
      <c r="C1575" s="8">
        <f t="array" ref="C1575">PRODUCT(1-'Sparkling Model'!D$2:D$38^A1575)</f>
        <v>0.01067075798</v>
      </c>
    </row>
    <row r="1576">
      <c r="A1576" s="6">
        <v>1574.0</v>
      </c>
      <c r="B1576" s="17">
        <f t="array" ref="B1576">SUM(1-'Sparkling Model'!D$2:D$38^A1576)</f>
        <v>33.16674125</v>
      </c>
      <c r="C1576" s="8">
        <f t="array" ref="C1576">PRODUCT(1-'Sparkling Model'!D$2:D$38^A1576)</f>
        <v>0.01072559148</v>
      </c>
    </row>
    <row r="1577">
      <c r="A1577" s="6">
        <v>1575.0</v>
      </c>
      <c r="B1577" s="17">
        <f t="array" ref="B1577">SUM(1-'Sparkling Model'!D$2:D$38^A1577)</f>
        <v>33.17078454</v>
      </c>
      <c r="C1577" s="8">
        <f t="array" ref="C1577">PRODUCT(1-'Sparkling Model'!D$2:D$38^A1577)</f>
        <v>0.0107806234</v>
      </c>
    </row>
    <row r="1578">
      <c r="A1578" s="6">
        <v>1576.0</v>
      </c>
      <c r="B1578" s="17">
        <f t="array" ref="B1578">SUM(1-'Sparkling Model'!D$2:D$38^A1578)</f>
        <v>33.17482216</v>
      </c>
      <c r="C1578" s="8">
        <f t="array" ref="C1578">PRODUCT(1-'Sparkling Model'!D$2:D$38^A1578)</f>
        <v>0.01083585406</v>
      </c>
    </row>
    <row r="1579">
      <c r="A1579" s="6">
        <v>1577.0</v>
      </c>
      <c r="B1579" s="17">
        <f t="array" ref="B1579">SUM(1-'Sparkling Model'!D$2:D$38^A1579)</f>
        <v>33.17885412</v>
      </c>
      <c r="C1579" s="8">
        <f t="array" ref="C1579">PRODUCT(1-'Sparkling Model'!D$2:D$38^A1579)</f>
        <v>0.01089128378</v>
      </c>
    </row>
    <row r="1580">
      <c r="A1580" s="6">
        <v>1578.0</v>
      </c>
      <c r="B1580" s="17">
        <f t="array" ref="B1580">SUM(1-'Sparkling Model'!D$2:D$38^A1580)</f>
        <v>33.18288043</v>
      </c>
      <c r="C1580" s="8">
        <f t="array" ref="C1580">PRODUCT(1-'Sparkling Model'!D$2:D$38^A1580)</f>
        <v>0.01094691289</v>
      </c>
    </row>
    <row r="1581">
      <c r="A1581" s="6">
        <v>1579.0</v>
      </c>
      <c r="B1581" s="17">
        <f t="array" ref="B1581">SUM(1-'Sparkling Model'!D$2:D$38^A1581)</f>
        <v>33.18690109</v>
      </c>
      <c r="C1581" s="8">
        <f t="array" ref="C1581">PRODUCT(1-'Sparkling Model'!D$2:D$38^A1581)</f>
        <v>0.01100274171</v>
      </c>
    </row>
    <row r="1582">
      <c r="A1582" s="6">
        <v>1580.0</v>
      </c>
      <c r="B1582" s="17">
        <f t="array" ref="B1582">SUM(1-'Sparkling Model'!D$2:D$38^A1582)</f>
        <v>33.19091612</v>
      </c>
      <c r="C1582" s="8">
        <f t="array" ref="C1582">PRODUCT(1-'Sparkling Model'!D$2:D$38^A1582)</f>
        <v>0.01105877056</v>
      </c>
    </row>
    <row r="1583">
      <c r="A1583" s="6">
        <v>1581.0</v>
      </c>
      <c r="B1583" s="17">
        <f t="array" ref="B1583">SUM(1-'Sparkling Model'!D$2:D$38^A1583)</f>
        <v>33.19492553</v>
      </c>
      <c r="C1583" s="8">
        <f t="array" ref="C1583">PRODUCT(1-'Sparkling Model'!D$2:D$38^A1583)</f>
        <v>0.01111499975</v>
      </c>
    </row>
    <row r="1584">
      <c r="A1584" s="6">
        <v>1582.0</v>
      </c>
      <c r="B1584" s="17">
        <f t="array" ref="B1584">SUM(1-'Sparkling Model'!D$2:D$38^A1584)</f>
        <v>33.19892932</v>
      </c>
      <c r="C1584" s="8">
        <f t="array" ref="C1584">PRODUCT(1-'Sparkling Model'!D$2:D$38^A1584)</f>
        <v>0.01117142961</v>
      </c>
    </row>
    <row r="1585">
      <c r="A1585" s="6">
        <v>1583.0</v>
      </c>
      <c r="B1585" s="17">
        <f t="array" ref="B1585">SUM(1-'Sparkling Model'!D$2:D$38^A1585)</f>
        <v>33.20292751</v>
      </c>
      <c r="C1585" s="8">
        <f t="array" ref="C1585">PRODUCT(1-'Sparkling Model'!D$2:D$38^A1585)</f>
        <v>0.01122806046</v>
      </c>
    </row>
    <row r="1586">
      <c r="A1586" s="6">
        <v>1584.0</v>
      </c>
      <c r="B1586" s="17">
        <f t="array" ref="B1586">SUM(1-'Sparkling Model'!D$2:D$38^A1586)</f>
        <v>33.2069201</v>
      </c>
      <c r="C1586" s="8">
        <f t="array" ref="C1586">PRODUCT(1-'Sparkling Model'!D$2:D$38^A1586)</f>
        <v>0.01128489261</v>
      </c>
    </row>
    <row r="1587">
      <c r="A1587" s="6">
        <v>1585.0</v>
      </c>
      <c r="B1587" s="17">
        <f t="array" ref="B1587">SUM(1-'Sparkling Model'!D$2:D$38^A1587)</f>
        <v>33.2109071</v>
      </c>
      <c r="C1587" s="8">
        <f t="array" ref="C1587">PRODUCT(1-'Sparkling Model'!D$2:D$38^A1587)</f>
        <v>0.01134192638</v>
      </c>
    </row>
    <row r="1588">
      <c r="A1588" s="6">
        <v>1586.0</v>
      </c>
      <c r="B1588" s="17">
        <f t="array" ref="B1588">SUM(1-'Sparkling Model'!D$2:D$38^A1588)</f>
        <v>33.21488853</v>
      </c>
      <c r="C1588" s="8">
        <f t="array" ref="C1588">PRODUCT(1-'Sparkling Model'!D$2:D$38^A1588)</f>
        <v>0.01139916208</v>
      </c>
    </row>
    <row r="1589">
      <c r="A1589" s="6">
        <v>1587.0</v>
      </c>
      <c r="B1589" s="17">
        <f t="array" ref="B1589">SUM(1-'Sparkling Model'!D$2:D$38^A1589)</f>
        <v>33.2188644</v>
      </c>
      <c r="C1589" s="8">
        <f t="array" ref="C1589">PRODUCT(1-'Sparkling Model'!D$2:D$38^A1589)</f>
        <v>0.01145660002</v>
      </c>
    </row>
    <row r="1590">
      <c r="A1590" s="6">
        <v>1588.0</v>
      </c>
      <c r="B1590" s="17">
        <f t="array" ref="B1590">SUM(1-'Sparkling Model'!D$2:D$38^A1590)</f>
        <v>33.2228347</v>
      </c>
      <c r="C1590" s="8">
        <f t="array" ref="C1590">PRODUCT(1-'Sparkling Model'!D$2:D$38^A1590)</f>
        <v>0.01151424053</v>
      </c>
    </row>
    <row r="1591">
      <c r="A1591" s="6">
        <v>1589.0</v>
      </c>
      <c r="B1591" s="17">
        <f t="array" ref="B1591">SUM(1-'Sparkling Model'!D$2:D$38^A1591)</f>
        <v>33.22679946</v>
      </c>
      <c r="C1591" s="8">
        <f t="array" ref="C1591">PRODUCT(1-'Sparkling Model'!D$2:D$38^A1591)</f>
        <v>0.01157208392</v>
      </c>
    </row>
    <row r="1592">
      <c r="A1592" s="6">
        <v>1590.0</v>
      </c>
      <c r="B1592" s="17">
        <f t="array" ref="B1592">SUM(1-'Sparkling Model'!D$2:D$38^A1592)</f>
        <v>33.23075868</v>
      </c>
      <c r="C1592" s="8">
        <f t="array" ref="C1592">PRODUCT(1-'Sparkling Model'!D$2:D$38^A1592)</f>
        <v>0.01163013048</v>
      </c>
    </row>
    <row r="1593">
      <c r="A1593" s="6">
        <v>1591.0</v>
      </c>
      <c r="B1593" s="17">
        <f t="array" ref="B1593">SUM(1-'Sparkling Model'!D$2:D$38^A1593)</f>
        <v>33.23471238</v>
      </c>
      <c r="C1593" s="8">
        <f t="array" ref="C1593">PRODUCT(1-'Sparkling Model'!D$2:D$38^A1593)</f>
        <v>0.01168838055</v>
      </c>
    </row>
    <row r="1594">
      <c r="A1594" s="6">
        <v>1592.0</v>
      </c>
      <c r="B1594" s="17">
        <f t="array" ref="B1594">SUM(1-'Sparkling Model'!D$2:D$38^A1594)</f>
        <v>33.23866055</v>
      </c>
      <c r="C1594" s="8">
        <f t="array" ref="C1594">PRODUCT(1-'Sparkling Model'!D$2:D$38^A1594)</f>
        <v>0.01174683441</v>
      </c>
    </row>
    <row r="1595">
      <c r="A1595" s="6">
        <v>1593.0</v>
      </c>
      <c r="B1595" s="17">
        <f t="array" ref="B1595">SUM(1-'Sparkling Model'!D$2:D$38^A1595)</f>
        <v>33.24260322</v>
      </c>
      <c r="C1595" s="8">
        <f t="array" ref="C1595">PRODUCT(1-'Sparkling Model'!D$2:D$38^A1595)</f>
        <v>0.0118054924</v>
      </c>
    </row>
    <row r="1596">
      <c r="A1596" s="6">
        <v>1594.0</v>
      </c>
      <c r="B1596" s="17">
        <f t="array" ref="B1596">SUM(1-'Sparkling Model'!D$2:D$38^A1596)</f>
        <v>33.24654039</v>
      </c>
      <c r="C1596" s="8">
        <f t="array" ref="C1596">PRODUCT(1-'Sparkling Model'!D$2:D$38^A1596)</f>
        <v>0.0118643548</v>
      </c>
    </row>
    <row r="1597">
      <c r="A1597" s="6">
        <v>1595.0</v>
      </c>
      <c r="B1597" s="17">
        <f t="array" ref="B1597">SUM(1-'Sparkling Model'!D$2:D$38^A1597)</f>
        <v>33.25047206</v>
      </c>
      <c r="C1597" s="8">
        <f t="array" ref="C1597">PRODUCT(1-'Sparkling Model'!D$2:D$38^A1597)</f>
        <v>0.01192342193</v>
      </c>
    </row>
    <row r="1598">
      <c r="A1598" s="6">
        <v>1596.0</v>
      </c>
      <c r="B1598" s="17">
        <f t="array" ref="B1598">SUM(1-'Sparkling Model'!D$2:D$38^A1598)</f>
        <v>33.25439826</v>
      </c>
      <c r="C1598" s="8">
        <f t="array" ref="C1598">PRODUCT(1-'Sparkling Model'!D$2:D$38^A1598)</f>
        <v>0.0119826941</v>
      </c>
    </row>
    <row r="1599">
      <c r="A1599" s="6">
        <v>1597.0</v>
      </c>
      <c r="B1599" s="17">
        <f t="array" ref="B1599">SUM(1-'Sparkling Model'!D$2:D$38^A1599)</f>
        <v>33.25831898</v>
      </c>
      <c r="C1599" s="8">
        <f t="array" ref="C1599">PRODUCT(1-'Sparkling Model'!D$2:D$38^A1599)</f>
        <v>0.0120421716</v>
      </c>
    </row>
    <row r="1600">
      <c r="A1600" s="6">
        <v>1598.0</v>
      </c>
      <c r="B1600" s="17">
        <f t="array" ref="B1600">SUM(1-'Sparkling Model'!D$2:D$38^A1600)</f>
        <v>33.26223425</v>
      </c>
      <c r="C1600" s="8">
        <f t="array" ref="C1600">PRODUCT(1-'Sparkling Model'!D$2:D$38^A1600)</f>
        <v>0.01210185475</v>
      </c>
    </row>
    <row r="1601">
      <c r="A1601" s="6">
        <v>1599.0</v>
      </c>
      <c r="B1601" s="17">
        <f t="array" ref="B1601">SUM(1-'Sparkling Model'!D$2:D$38^A1601)</f>
        <v>33.26614406</v>
      </c>
      <c r="C1601" s="8">
        <f t="array" ref="C1601">PRODUCT(1-'Sparkling Model'!D$2:D$38^A1601)</f>
        <v>0.01216174385</v>
      </c>
    </row>
    <row r="1602">
      <c r="A1602" s="6">
        <v>1600.0</v>
      </c>
      <c r="B1602" s="17">
        <f t="array" ref="B1602">SUM(1-'Sparkling Model'!D$2:D$38^A1602)</f>
        <v>33.27004842</v>
      </c>
      <c r="C1602" s="8">
        <f t="array" ref="C1602">PRODUCT(1-'Sparkling Model'!D$2:D$38^A1602)</f>
        <v>0.01222183919</v>
      </c>
    </row>
    <row r="1603">
      <c r="A1603" s="6">
        <v>1601.0</v>
      </c>
      <c r="B1603" s="17">
        <f t="array" ref="B1603">SUM(1-'Sparkling Model'!D$2:D$38^A1603)</f>
        <v>33.27394736</v>
      </c>
      <c r="C1603" s="8">
        <f t="array" ref="C1603">PRODUCT(1-'Sparkling Model'!D$2:D$38^A1603)</f>
        <v>0.01228214108</v>
      </c>
    </row>
    <row r="1604">
      <c r="A1604" s="6">
        <v>1602.0</v>
      </c>
      <c r="B1604" s="17">
        <f t="array" ref="B1604">SUM(1-'Sparkling Model'!D$2:D$38^A1604)</f>
        <v>33.27784086</v>
      </c>
      <c r="C1604" s="8">
        <f t="array" ref="C1604">PRODUCT(1-'Sparkling Model'!D$2:D$38^A1604)</f>
        <v>0.01234264982</v>
      </c>
    </row>
    <row r="1605">
      <c r="A1605" s="6">
        <v>1603.0</v>
      </c>
      <c r="B1605" s="17">
        <f t="array" ref="B1605">SUM(1-'Sparkling Model'!D$2:D$38^A1605)</f>
        <v>33.28172896</v>
      </c>
      <c r="C1605" s="8">
        <f t="array" ref="C1605">PRODUCT(1-'Sparkling Model'!D$2:D$38^A1605)</f>
        <v>0.01240336572</v>
      </c>
    </row>
    <row r="1606">
      <c r="A1606" s="6">
        <v>1604.0</v>
      </c>
      <c r="B1606" s="17">
        <f t="array" ref="B1606">SUM(1-'Sparkling Model'!D$2:D$38^A1606)</f>
        <v>33.28561164</v>
      </c>
      <c r="C1606" s="8">
        <f t="array" ref="C1606">PRODUCT(1-'Sparkling Model'!D$2:D$38^A1606)</f>
        <v>0.01246428905</v>
      </c>
    </row>
    <row r="1607">
      <c r="A1607" s="6">
        <v>1605.0</v>
      </c>
      <c r="B1607" s="17">
        <f t="array" ref="B1607">SUM(1-'Sparkling Model'!D$2:D$38^A1607)</f>
        <v>33.28948893</v>
      </c>
      <c r="C1607" s="8">
        <f t="array" ref="C1607">PRODUCT(1-'Sparkling Model'!D$2:D$38^A1607)</f>
        <v>0.01252542014</v>
      </c>
    </row>
    <row r="1608">
      <c r="A1608" s="6">
        <v>1606.0</v>
      </c>
      <c r="B1608" s="17">
        <f t="array" ref="B1608">SUM(1-'Sparkling Model'!D$2:D$38^A1608)</f>
        <v>33.29336083</v>
      </c>
      <c r="C1608" s="8">
        <f t="array" ref="C1608">PRODUCT(1-'Sparkling Model'!D$2:D$38^A1608)</f>
        <v>0.01258675926</v>
      </c>
    </row>
    <row r="1609">
      <c r="A1609" s="6">
        <v>1607.0</v>
      </c>
      <c r="B1609" s="17">
        <f t="array" ref="B1609">SUM(1-'Sparkling Model'!D$2:D$38^A1609)</f>
        <v>33.29722736</v>
      </c>
      <c r="C1609" s="8">
        <f t="array" ref="C1609">PRODUCT(1-'Sparkling Model'!D$2:D$38^A1609)</f>
        <v>0.01264830672</v>
      </c>
    </row>
    <row r="1610">
      <c r="A1610" s="6">
        <v>1608.0</v>
      </c>
      <c r="B1610" s="17">
        <f t="array" ref="B1610">SUM(1-'Sparkling Model'!D$2:D$38^A1610)</f>
        <v>33.30108851</v>
      </c>
      <c r="C1610" s="8">
        <f t="array" ref="C1610">PRODUCT(1-'Sparkling Model'!D$2:D$38^A1610)</f>
        <v>0.01271006281</v>
      </c>
    </row>
    <row r="1611">
      <c r="A1611" s="6">
        <v>1609.0</v>
      </c>
      <c r="B1611" s="17">
        <f t="array" ref="B1611">SUM(1-'Sparkling Model'!D$2:D$38^A1611)</f>
        <v>33.30494431</v>
      </c>
      <c r="C1611" s="8">
        <f t="array" ref="C1611">PRODUCT(1-'Sparkling Model'!D$2:D$38^A1611)</f>
        <v>0.01277202782</v>
      </c>
    </row>
    <row r="1612">
      <c r="A1612" s="6">
        <v>1610.0</v>
      </c>
      <c r="B1612" s="17">
        <f t="array" ref="B1612">SUM(1-'Sparkling Model'!D$2:D$38^A1612)</f>
        <v>33.30879475</v>
      </c>
      <c r="C1612" s="8">
        <f t="array" ref="C1612">PRODUCT(1-'Sparkling Model'!D$2:D$38^A1612)</f>
        <v>0.01283420205</v>
      </c>
    </row>
    <row r="1613">
      <c r="A1613" s="6">
        <v>1611.0</v>
      </c>
      <c r="B1613" s="17">
        <f t="array" ref="B1613">SUM(1-'Sparkling Model'!D$2:D$38^A1613)</f>
        <v>33.31263985</v>
      </c>
      <c r="C1613" s="8">
        <f t="array" ref="C1613">PRODUCT(1-'Sparkling Model'!D$2:D$38^A1613)</f>
        <v>0.01289658579</v>
      </c>
    </row>
    <row r="1614">
      <c r="A1614" s="6">
        <v>1612.0</v>
      </c>
      <c r="B1614" s="17">
        <f t="array" ref="B1614">SUM(1-'Sparkling Model'!D$2:D$38^A1614)</f>
        <v>33.31647962</v>
      </c>
      <c r="C1614" s="8">
        <f t="array" ref="C1614">PRODUCT(1-'Sparkling Model'!D$2:D$38^A1614)</f>
        <v>0.01295917933</v>
      </c>
    </row>
    <row r="1615">
      <c r="A1615" s="6">
        <v>1613.0</v>
      </c>
      <c r="B1615" s="17">
        <f t="array" ref="B1615">SUM(1-'Sparkling Model'!D$2:D$38^A1615)</f>
        <v>33.32031407</v>
      </c>
      <c r="C1615" s="8">
        <f t="array" ref="C1615">PRODUCT(1-'Sparkling Model'!D$2:D$38^A1615)</f>
        <v>0.01302198295</v>
      </c>
    </row>
    <row r="1616">
      <c r="A1616" s="6">
        <v>1614.0</v>
      </c>
      <c r="B1616" s="17">
        <f t="array" ref="B1616">SUM(1-'Sparkling Model'!D$2:D$38^A1616)</f>
        <v>33.3241432</v>
      </c>
      <c r="C1616" s="8">
        <f t="array" ref="C1616">PRODUCT(1-'Sparkling Model'!D$2:D$38^A1616)</f>
        <v>0.01308499695</v>
      </c>
    </row>
    <row r="1617">
      <c r="A1617" s="6">
        <v>1615.0</v>
      </c>
      <c r="B1617" s="17">
        <f t="array" ref="B1617">SUM(1-'Sparkling Model'!D$2:D$38^A1617)</f>
        <v>33.32796702</v>
      </c>
      <c r="C1617" s="8">
        <f t="array" ref="C1617">PRODUCT(1-'Sparkling Model'!D$2:D$38^A1617)</f>
        <v>0.01314822161</v>
      </c>
    </row>
    <row r="1618">
      <c r="A1618" s="6">
        <v>1616.0</v>
      </c>
      <c r="B1618" s="17">
        <f t="array" ref="B1618">SUM(1-'Sparkling Model'!D$2:D$38^A1618)</f>
        <v>33.33178555</v>
      </c>
      <c r="C1618" s="8">
        <f t="array" ref="C1618">PRODUCT(1-'Sparkling Model'!D$2:D$38^A1618)</f>
        <v>0.01321165722</v>
      </c>
    </row>
    <row r="1619">
      <c r="A1619" s="6">
        <v>1617.0</v>
      </c>
      <c r="B1619" s="17">
        <f t="array" ref="B1619">SUM(1-'Sparkling Model'!D$2:D$38^A1619)</f>
        <v>33.3355988</v>
      </c>
      <c r="C1619" s="8">
        <f t="array" ref="C1619">PRODUCT(1-'Sparkling Model'!D$2:D$38^A1619)</f>
        <v>0.01327530406</v>
      </c>
    </row>
    <row r="1620">
      <c r="A1620" s="6">
        <v>1618.0</v>
      </c>
      <c r="B1620" s="17">
        <f t="array" ref="B1620">SUM(1-'Sparkling Model'!D$2:D$38^A1620)</f>
        <v>33.33940676</v>
      </c>
      <c r="C1620" s="8">
        <f t="array" ref="C1620">PRODUCT(1-'Sparkling Model'!D$2:D$38^A1620)</f>
        <v>0.01333916242</v>
      </c>
    </row>
    <row r="1621">
      <c r="A1621" s="6">
        <v>1619.0</v>
      </c>
      <c r="B1621" s="17">
        <f t="array" ref="B1621">SUM(1-'Sparkling Model'!D$2:D$38^A1621)</f>
        <v>33.34320946</v>
      </c>
      <c r="C1621" s="8">
        <f t="array" ref="C1621">PRODUCT(1-'Sparkling Model'!D$2:D$38^A1621)</f>
        <v>0.01340323259</v>
      </c>
    </row>
    <row r="1622">
      <c r="A1622" s="6">
        <v>1620.0</v>
      </c>
      <c r="B1622" s="17">
        <f t="array" ref="B1622">SUM(1-'Sparkling Model'!D$2:D$38^A1622)</f>
        <v>33.34700689</v>
      </c>
      <c r="C1622" s="8">
        <f t="array" ref="C1622">PRODUCT(1-'Sparkling Model'!D$2:D$38^A1622)</f>
        <v>0.01346751484</v>
      </c>
    </row>
    <row r="1623">
      <c r="A1623" s="6">
        <v>1621.0</v>
      </c>
      <c r="B1623" s="17">
        <f t="array" ref="B1623">SUM(1-'Sparkling Model'!D$2:D$38^A1623)</f>
        <v>33.35079907</v>
      </c>
      <c r="C1623" s="8">
        <f t="array" ref="C1623">PRODUCT(1-'Sparkling Model'!D$2:D$38^A1623)</f>
        <v>0.01353200946</v>
      </c>
    </row>
    <row r="1624">
      <c r="A1624" s="6">
        <v>1622.0</v>
      </c>
      <c r="B1624" s="17">
        <f t="array" ref="B1624">SUM(1-'Sparkling Model'!D$2:D$38^A1624)</f>
        <v>33.35458602</v>
      </c>
      <c r="C1624" s="8">
        <f t="array" ref="C1624">PRODUCT(1-'Sparkling Model'!D$2:D$38^A1624)</f>
        <v>0.01359671672</v>
      </c>
    </row>
    <row r="1625">
      <c r="A1625" s="6">
        <v>1623.0</v>
      </c>
      <c r="B1625" s="17">
        <f t="array" ref="B1625">SUM(1-'Sparkling Model'!D$2:D$38^A1625)</f>
        <v>33.35836772</v>
      </c>
      <c r="C1625" s="8">
        <f t="array" ref="C1625">PRODUCT(1-'Sparkling Model'!D$2:D$38^A1625)</f>
        <v>0.01366163691</v>
      </c>
    </row>
    <row r="1626">
      <c r="A1626" s="6">
        <v>1624.0</v>
      </c>
      <c r="B1626" s="17">
        <f t="array" ref="B1626">SUM(1-'Sparkling Model'!D$2:D$38^A1626)</f>
        <v>33.36214421</v>
      </c>
      <c r="C1626" s="8">
        <f t="array" ref="C1626">PRODUCT(1-'Sparkling Model'!D$2:D$38^A1626)</f>
        <v>0.01372677031</v>
      </c>
    </row>
    <row r="1627">
      <c r="A1627" s="6">
        <v>1625.0</v>
      </c>
      <c r="B1627" s="17">
        <f t="array" ref="B1627">SUM(1-'Sparkling Model'!D$2:D$38^A1627)</f>
        <v>33.36591548</v>
      </c>
      <c r="C1627" s="8">
        <f t="array" ref="C1627">PRODUCT(1-'Sparkling Model'!D$2:D$38^A1627)</f>
        <v>0.01379211718</v>
      </c>
    </row>
    <row r="1628">
      <c r="A1628" s="6">
        <v>1626.0</v>
      </c>
      <c r="B1628" s="17">
        <f t="array" ref="B1628">SUM(1-'Sparkling Model'!D$2:D$38^A1628)</f>
        <v>33.36968154</v>
      </c>
      <c r="C1628" s="8">
        <f t="array" ref="C1628">PRODUCT(1-'Sparkling Model'!D$2:D$38^A1628)</f>
        <v>0.01385767781</v>
      </c>
    </row>
    <row r="1629">
      <c r="A1629" s="6">
        <v>1627.0</v>
      </c>
      <c r="B1629" s="17">
        <f t="array" ref="B1629">SUM(1-'Sparkling Model'!D$2:D$38^A1629)</f>
        <v>33.3734424</v>
      </c>
      <c r="C1629" s="8">
        <f t="array" ref="C1629">PRODUCT(1-'Sparkling Model'!D$2:D$38^A1629)</f>
        <v>0.01392345248</v>
      </c>
    </row>
    <row r="1630">
      <c r="A1630" s="6">
        <v>1628.0</v>
      </c>
      <c r="B1630" s="17">
        <f t="array" ref="B1630">SUM(1-'Sparkling Model'!D$2:D$38^A1630)</f>
        <v>33.37719808</v>
      </c>
      <c r="C1630" s="8">
        <f t="array" ref="C1630">PRODUCT(1-'Sparkling Model'!D$2:D$38^A1630)</f>
        <v>0.01398944145</v>
      </c>
    </row>
    <row r="1631">
      <c r="A1631" s="6">
        <v>1629.0</v>
      </c>
      <c r="B1631" s="17">
        <f t="array" ref="B1631">SUM(1-'Sparkling Model'!D$2:D$38^A1631)</f>
        <v>33.38094857</v>
      </c>
      <c r="C1631" s="8">
        <f t="array" ref="C1631">PRODUCT(1-'Sparkling Model'!D$2:D$38^A1631)</f>
        <v>0.014055645</v>
      </c>
    </row>
    <row r="1632">
      <c r="A1632" s="6">
        <v>1630.0</v>
      </c>
      <c r="B1632" s="17">
        <f t="array" ref="B1632">SUM(1-'Sparkling Model'!D$2:D$38^A1632)</f>
        <v>33.38469389</v>
      </c>
      <c r="C1632" s="8">
        <f t="array" ref="C1632">PRODUCT(1-'Sparkling Model'!D$2:D$38^A1632)</f>
        <v>0.01412206341</v>
      </c>
    </row>
    <row r="1633">
      <c r="A1633" s="6">
        <v>1631.0</v>
      </c>
      <c r="B1633" s="17">
        <f t="array" ref="B1633">SUM(1-'Sparkling Model'!D$2:D$38^A1633)</f>
        <v>33.38843406</v>
      </c>
      <c r="C1633" s="8">
        <f t="array" ref="C1633">PRODUCT(1-'Sparkling Model'!D$2:D$38^A1633)</f>
        <v>0.01418869694</v>
      </c>
    </row>
    <row r="1634">
      <c r="A1634" s="6">
        <v>1632.0</v>
      </c>
      <c r="B1634" s="17">
        <f t="array" ref="B1634">SUM(1-'Sparkling Model'!D$2:D$38^A1634)</f>
        <v>33.39216906</v>
      </c>
      <c r="C1634" s="8">
        <f t="array" ref="C1634">PRODUCT(1-'Sparkling Model'!D$2:D$38^A1634)</f>
        <v>0.01425554586</v>
      </c>
    </row>
    <row r="1635">
      <c r="A1635" s="6">
        <v>1633.0</v>
      </c>
      <c r="B1635" s="17">
        <f t="array" ref="B1635">SUM(1-'Sparkling Model'!D$2:D$38^A1635)</f>
        <v>33.39589892</v>
      </c>
      <c r="C1635" s="8">
        <f t="array" ref="C1635">PRODUCT(1-'Sparkling Model'!D$2:D$38^A1635)</f>
        <v>0.01432261044</v>
      </c>
    </row>
    <row r="1636">
      <c r="A1636" s="6">
        <v>1634.0</v>
      </c>
      <c r="B1636" s="17">
        <f t="array" ref="B1636">SUM(1-'Sparkling Model'!D$2:D$38^A1636)</f>
        <v>33.39962365</v>
      </c>
      <c r="C1636" s="8">
        <f t="array" ref="C1636">PRODUCT(1-'Sparkling Model'!D$2:D$38^A1636)</f>
        <v>0.01438989096</v>
      </c>
    </row>
    <row r="1637">
      <c r="A1637" s="6">
        <v>1635.0</v>
      </c>
      <c r="B1637" s="17">
        <f t="array" ref="B1637">SUM(1-'Sparkling Model'!D$2:D$38^A1637)</f>
        <v>33.40334325</v>
      </c>
      <c r="C1637" s="8">
        <f t="array" ref="C1637">PRODUCT(1-'Sparkling Model'!D$2:D$38^A1637)</f>
        <v>0.01445738767</v>
      </c>
    </row>
    <row r="1638">
      <c r="A1638" s="6">
        <v>1636.0</v>
      </c>
      <c r="B1638" s="17">
        <f t="array" ref="B1638">SUM(1-'Sparkling Model'!D$2:D$38^A1638)</f>
        <v>33.40705773</v>
      </c>
      <c r="C1638" s="8">
        <f t="array" ref="C1638">PRODUCT(1-'Sparkling Model'!D$2:D$38^A1638)</f>
        <v>0.01452510084</v>
      </c>
    </row>
    <row r="1639">
      <c r="A1639" s="6">
        <v>1637.0</v>
      </c>
      <c r="B1639" s="17">
        <f t="array" ref="B1639">SUM(1-'Sparkling Model'!D$2:D$38^A1639)</f>
        <v>33.4107671</v>
      </c>
      <c r="C1639" s="8">
        <f t="array" ref="C1639">PRODUCT(1-'Sparkling Model'!D$2:D$38^A1639)</f>
        <v>0.01459303075</v>
      </c>
    </row>
    <row r="1640">
      <c r="A1640" s="6">
        <v>1638.0</v>
      </c>
      <c r="B1640" s="17">
        <f t="array" ref="B1640">SUM(1-'Sparkling Model'!D$2:D$38^A1640)</f>
        <v>33.41447137</v>
      </c>
      <c r="C1640" s="8">
        <f t="array" ref="C1640">PRODUCT(1-'Sparkling Model'!D$2:D$38^A1640)</f>
        <v>0.01466117764</v>
      </c>
    </row>
    <row r="1641">
      <c r="A1641" s="6">
        <v>1639.0</v>
      </c>
      <c r="B1641" s="17">
        <f t="array" ref="B1641">SUM(1-'Sparkling Model'!D$2:D$38^A1641)</f>
        <v>33.41817054</v>
      </c>
      <c r="C1641" s="8">
        <f t="array" ref="C1641">PRODUCT(1-'Sparkling Model'!D$2:D$38^A1641)</f>
        <v>0.01472954179</v>
      </c>
    </row>
    <row r="1642">
      <c r="A1642" s="6">
        <v>1640.0</v>
      </c>
      <c r="B1642" s="17">
        <f t="array" ref="B1642">SUM(1-'Sparkling Model'!D$2:D$38^A1642)</f>
        <v>33.42186463</v>
      </c>
      <c r="C1642" s="8">
        <f t="array" ref="C1642">PRODUCT(1-'Sparkling Model'!D$2:D$38^A1642)</f>
        <v>0.01479812345</v>
      </c>
    </row>
    <row r="1643">
      <c r="A1643" s="6">
        <v>1641.0</v>
      </c>
      <c r="B1643" s="17">
        <f t="array" ref="B1643">SUM(1-'Sparkling Model'!D$2:D$38^A1643)</f>
        <v>33.42555365</v>
      </c>
      <c r="C1643" s="8">
        <f t="array" ref="C1643">PRODUCT(1-'Sparkling Model'!D$2:D$38^A1643)</f>
        <v>0.01486692289</v>
      </c>
    </row>
    <row r="1644">
      <c r="A1644" s="6">
        <v>1642.0</v>
      </c>
      <c r="B1644" s="17">
        <f t="array" ref="B1644">SUM(1-'Sparkling Model'!D$2:D$38^A1644)</f>
        <v>33.42923759</v>
      </c>
      <c r="C1644" s="8">
        <f t="array" ref="C1644">PRODUCT(1-'Sparkling Model'!D$2:D$38^A1644)</f>
        <v>0.01493594037</v>
      </c>
    </row>
    <row r="1645">
      <c r="A1645" s="6">
        <v>1643.0</v>
      </c>
      <c r="B1645" s="17">
        <f t="array" ref="B1645">SUM(1-'Sparkling Model'!D$2:D$38^A1645)</f>
        <v>33.43291648</v>
      </c>
      <c r="C1645" s="8">
        <f t="array" ref="C1645">PRODUCT(1-'Sparkling Model'!D$2:D$38^A1645)</f>
        <v>0.01500517613</v>
      </c>
    </row>
    <row r="1646">
      <c r="A1646" s="6">
        <v>1644.0</v>
      </c>
      <c r="B1646" s="17">
        <f t="array" ref="B1646">SUM(1-'Sparkling Model'!D$2:D$38^A1646)</f>
        <v>33.43659032</v>
      </c>
      <c r="C1646" s="8">
        <f t="array" ref="C1646">PRODUCT(1-'Sparkling Model'!D$2:D$38^A1646)</f>
        <v>0.01507463046</v>
      </c>
    </row>
    <row r="1647">
      <c r="A1647" s="6">
        <v>1645.0</v>
      </c>
      <c r="B1647" s="17">
        <f t="array" ref="B1647">SUM(1-'Sparkling Model'!D$2:D$38^A1647)</f>
        <v>33.44025912</v>
      </c>
      <c r="C1647" s="8">
        <f t="array" ref="C1647">PRODUCT(1-'Sparkling Model'!D$2:D$38^A1647)</f>
        <v>0.01514430358</v>
      </c>
    </row>
    <row r="1648">
      <c r="A1648" s="6">
        <v>1646.0</v>
      </c>
      <c r="B1648" s="17">
        <f t="array" ref="B1648">SUM(1-'Sparkling Model'!D$2:D$38^A1648)</f>
        <v>33.44392289</v>
      </c>
      <c r="C1648" s="8">
        <f t="array" ref="C1648">PRODUCT(1-'Sparkling Model'!D$2:D$38^A1648)</f>
        <v>0.01521419578</v>
      </c>
    </row>
    <row r="1649">
      <c r="A1649" s="6">
        <v>1647.0</v>
      </c>
      <c r="B1649" s="17">
        <f t="array" ref="B1649">SUM(1-'Sparkling Model'!D$2:D$38^A1649)</f>
        <v>33.44758163</v>
      </c>
      <c r="C1649" s="8">
        <f t="array" ref="C1649">PRODUCT(1-'Sparkling Model'!D$2:D$38^A1649)</f>
        <v>0.01528430728</v>
      </c>
    </row>
    <row r="1650">
      <c r="A1650" s="6">
        <v>1648.0</v>
      </c>
      <c r="B1650" s="17">
        <f t="array" ref="B1650">SUM(1-'Sparkling Model'!D$2:D$38^A1650)</f>
        <v>33.45123536</v>
      </c>
      <c r="C1650" s="8">
        <f t="array" ref="C1650">PRODUCT(1-'Sparkling Model'!D$2:D$38^A1650)</f>
        <v>0.01535463836</v>
      </c>
    </row>
    <row r="1651">
      <c r="A1651" s="6">
        <v>1649.0</v>
      </c>
      <c r="B1651" s="17">
        <f t="array" ref="B1651">SUM(1-'Sparkling Model'!D$2:D$38^A1651)</f>
        <v>33.45488408</v>
      </c>
      <c r="C1651" s="8">
        <f t="array" ref="C1651">PRODUCT(1-'Sparkling Model'!D$2:D$38^A1651)</f>
        <v>0.01542518926</v>
      </c>
    </row>
    <row r="1652">
      <c r="A1652" s="6">
        <v>1650.0</v>
      </c>
      <c r="B1652" s="17">
        <f t="array" ref="B1652">SUM(1-'Sparkling Model'!D$2:D$38^A1652)</f>
        <v>33.4585278</v>
      </c>
      <c r="C1652" s="8">
        <f t="array" ref="C1652">PRODUCT(1-'Sparkling Model'!D$2:D$38^A1652)</f>
        <v>0.01549596024</v>
      </c>
    </row>
    <row r="1653">
      <c r="A1653" s="6">
        <v>1651.0</v>
      </c>
      <c r="B1653" s="17">
        <f t="array" ref="B1653">SUM(1-'Sparkling Model'!D$2:D$38^A1653)</f>
        <v>33.46216653</v>
      </c>
      <c r="C1653" s="8">
        <f t="array" ref="C1653">PRODUCT(1-'Sparkling Model'!D$2:D$38^A1653)</f>
        <v>0.01556695153</v>
      </c>
    </row>
    <row r="1654">
      <c r="A1654" s="6">
        <v>1652.0</v>
      </c>
      <c r="B1654" s="17">
        <f t="array" ref="B1654">SUM(1-'Sparkling Model'!D$2:D$38^A1654)</f>
        <v>33.46580027</v>
      </c>
      <c r="C1654" s="8">
        <f t="array" ref="C1654">PRODUCT(1-'Sparkling Model'!D$2:D$38^A1654)</f>
        <v>0.0156381634</v>
      </c>
    </row>
    <row r="1655">
      <c r="A1655" s="6">
        <v>1653.0</v>
      </c>
      <c r="B1655" s="17">
        <f t="array" ref="B1655">SUM(1-'Sparkling Model'!D$2:D$38^A1655)</f>
        <v>33.46942905</v>
      </c>
      <c r="C1655" s="8">
        <f t="array" ref="C1655">PRODUCT(1-'Sparkling Model'!D$2:D$38^A1655)</f>
        <v>0.01570959609</v>
      </c>
    </row>
    <row r="1656">
      <c r="A1656" s="6">
        <v>1654.0</v>
      </c>
      <c r="B1656" s="17">
        <f t="array" ref="B1656">SUM(1-'Sparkling Model'!D$2:D$38^A1656)</f>
        <v>33.47305286</v>
      </c>
      <c r="C1656" s="8">
        <f t="array" ref="C1656">PRODUCT(1-'Sparkling Model'!D$2:D$38^A1656)</f>
        <v>0.01578124984</v>
      </c>
    </row>
    <row r="1657">
      <c r="A1657" s="6">
        <v>1655.0</v>
      </c>
      <c r="B1657" s="17">
        <f t="array" ref="B1657">SUM(1-'Sparkling Model'!D$2:D$38^A1657)</f>
        <v>33.47667171</v>
      </c>
      <c r="C1657" s="8">
        <f t="array" ref="C1657">PRODUCT(1-'Sparkling Model'!D$2:D$38^A1657)</f>
        <v>0.0158531249</v>
      </c>
    </row>
    <row r="1658">
      <c r="A1658" s="6">
        <v>1656.0</v>
      </c>
      <c r="B1658" s="17">
        <f t="array" ref="B1658">SUM(1-'Sparkling Model'!D$2:D$38^A1658)</f>
        <v>33.48028562</v>
      </c>
      <c r="C1658" s="8">
        <f t="array" ref="C1658">PRODUCT(1-'Sparkling Model'!D$2:D$38^A1658)</f>
        <v>0.01592522152</v>
      </c>
    </row>
    <row r="1659">
      <c r="A1659" s="6">
        <v>1657.0</v>
      </c>
      <c r="B1659" s="17">
        <f t="array" ref="B1659">SUM(1-'Sparkling Model'!D$2:D$38^A1659)</f>
        <v>33.48389458</v>
      </c>
      <c r="C1659" s="8">
        <f t="array" ref="C1659">PRODUCT(1-'Sparkling Model'!D$2:D$38^A1659)</f>
        <v>0.01599753994</v>
      </c>
    </row>
    <row r="1660">
      <c r="A1660" s="6">
        <v>1658.0</v>
      </c>
      <c r="B1660" s="17">
        <f t="array" ref="B1660">SUM(1-'Sparkling Model'!D$2:D$38^A1660)</f>
        <v>33.48749861</v>
      </c>
      <c r="C1660" s="8">
        <f t="array" ref="C1660">PRODUCT(1-'Sparkling Model'!D$2:D$38^A1660)</f>
        <v>0.0160700804</v>
      </c>
    </row>
    <row r="1661">
      <c r="A1661" s="6">
        <v>1659.0</v>
      </c>
      <c r="B1661" s="17">
        <f t="array" ref="B1661">SUM(1-'Sparkling Model'!D$2:D$38^A1661)</f>
        <v>33.49109772</v>
      </c>
      <c r="C1661" s="8">
        <f t="array" ref="C1661">PRODUCT(1-'Sparkling Model'!D$2:D$38^A1661)</f>
        <v>0.01614284314</v>
      </c>
    </row>
    <row r="1662">
      <c r="A1662" s="6">
        <v>1660.0</v>
      </c>
      <c r="B1662" s="17">
        <f t="array" ref="B1662">SUM(1-'Sparkling Model'!D$2:D$38^A1662)</f>
        <v>33.49469192</v>
      </c>
      <c r="C1662" s="8">
        <f t="array" ref="C1662">PRODUCT(1-'Sparkling Model'!D$2:D$38^A1662)</f>
        <v>0.0162158284</v>
      </c>
    </row>
    <row r="1663">
      <c r="A1663" s="6">
        <v>1661.0</v>
      </c>
      <c r="B1663" s="17">
        <f t="array" ref="B1663">SUM(1-'Sparkling Model'!D$2:D$38^A1663)</f>
        <v>33.49828121</v>
      </c>
      <c r="C1663" s="8">
        <f t="array" ref="C1663">PRODUCT(1-'Sparkling Model'!D$2:D$38^A1663)</f>
        <v>0.01628903642</v>
      </c>
    </row>
    <row r="1664">
      <c r="A1664" s="6">
        <v>1662.0</v>
      </c>
      <c r="B1664" s="17">
        <f t="array" ref="B1664">SUM(1-'Sparkling Model'!D$2:D$38^A1664)</f>
        <v>33.5018656</v>
      </c>
      <c r="C1664" s="8">
        <f t="array" ref="C1664">PRODUCT(1-'Sparkling Model'!D$2:D$38^A1664)</f>
        <v>0.01636246744</v>
      </c>
    </row>
    <row r="1665">
      <c r="A1665" s="6">
        <v>1663.0</v>
      </c>
      <c r="B1665" s="17">
        <f t="array" ref="B1665">SUM(1-'Sparkling Model'!D$2:D$38^A1665)</f>
        <v>33.5054451</v>
      </c>
      <c r="C1665" s="8">
        <f t="array" ref="C1665">PRODUCT(1-'Sparkling Model'!D$2:D$38^A1665)</f>
        <v>0.0164361217</v>
      </c>
    </row>
    <row r="1666">
      <c r="A1666" s="6">
        <v>1664.0</v>
      </c>
      <c r="B1666" s="17">
        <f t="array" ref="B1666">SUM(1-'Sparkling Model'!D$2:D$38^A1666)</f>
        <v>33.50901972</v>
      </c>
      <c r="C1666" s="8">
        <f t="array" ref="C1666">PRODUCT(1-'Sparkling Model'!D$2:D$38^A1666)</f>
        <v>0.01650999943</v>
      </c>
    </row>
    <row r="1667">
      <c r="A1667" s="6">
        <v>1665.0</v>
      </c>
      <c r="B1667" s="17">
        <f t="array" ref="B1667">SUM(1-'Sparkling Model'!D$2:D$38^A1667)</f>
        <v>33.51258946</v>
      </c>
      <c r="C1667" s="8">
        <f t="array" ref="C1667">PRODUCT(1-'Sparkling Model'!D$2:D$38^A1667)</f>
        <v>0.01658410086</v>
      </c>
    </row>
    <row r="1668">
      <c r="A1668" s="6">
        <v>1666.0</v>
      </c>
      <c r="B1668" s="17">
        <f t="array" ref="B1668">SUM(1-'Sparkling Model'!D$2:D$38^A1668)</f>
        <v>33.51615434</v>
      </c>
      <c r="C1668" s="8">
        <f t="array" ref="C1668">PRODUCT(1-'Sparkling Model'!D$2:D$38^A1668)</f>
        <v>0.01665842623</v>
      </c>
    </row>
    <row r="1669">
      <c r="A1669" s="6">
        <v>1667.0</v>
      </c>
      <c r="B1669" s="17">
        <f t="array" ref="B1669">SUM(1-'Sparkling Model'!D$2:D$38^A1669)</f>
        <v>33.51971436</v>
      </c>
      <c r="C1669" s="8">
        <f t="array" ref="C1669">PRODUCT(1-'Sparkling Model'!D$2:D$38^A1669)</f>
        <v>0.01673297577</v>
      </c>
    </row>
    <row r="1670">
      <c r="A1670" s="6">
        <v>1668.0</v>
      </c>
      <c r="B1670" s="17">
        <f t="array" ref="B1670">SUM(1-'Sparkling Model'!D$2:D$38^A1670)</f>
        <v>33.52326953</v>
      </c>
      <c r="C1670" s="8">
        <f t="array" ref="C1670">PRODUCT(1-'Sparkling Model'!D$2:D$38^A1670)</f>
        <v>0.01680774971</v>
      </c>
    </row>
    <row r="1671">
      <c r="A1671" s="6">
        <v>1669.0</v>
      </c>
      <c r="B1671" s="17">
        <f t="array" ref="B1671">SUM(1-'Sparkling Model'!D$2:D$38^A1671)</f>
        <v>33.52681986</v>
      </c>
      <c r="C1671" s="8">
        <f t="array" ref="C1671">PRODUCT(1-'Sparkling Model'!D$2:D$38^A1671)</f>
        <v>0.01688274828</v>
      </c>
    </row>
    <row r="1672">
      <c r="A1672" s="6">
        <v>1670.0</v>
      </c>
      <c r="B1672" s="17">
        <f t="array" ref="B1672">SUM(1-'Sparkling Model'!D$2:D$38^A1672)</f>
        <v>33.53036536</v>
      </c>
      <c r="C1672" s="8">
        <f t="array" ref="C1672">PRODUCT(1-'Sparkling Model'!D$2:D$38^A1672)</f>
        <v>0.01695797172</v>
      </c>
    </row>
    <row r="1673">
      <c r="A1673" s="6">
        <v>1671.0</v>
      </c>
      <c r="B1673" s="17">
        <f t="array" ref="B1673">SUM(1-'Sparkling Model'!D$2:D$38^A1673)</f>
        <v>33.53390604</v>
      </c>
      <c r="C1673" s="8">
        <f t="array" ref="C1673">PRODUCT(1-'Sparkling Model'!D$2:D$38^A1673)</f>
        <v>0.01703342024</v>
      </c>
    </row>
    <row r="1674">
      <c r="A1674" s="6">
        <v>1672.0</v>
      </c>
      <c r="B1674" s="17">
        <f t="array" ref="B1674">SUM(1-'Sparkling Model'!D$2:D$38^A1674)</f>
        <v>33.53744189</v>
      </c>
      <c r="C1674" s="8">
        <f t="array" ref="C1674">PRODUCT(1-'Sparkling Model'!D$2:D$38^A1674)</f>
        <v>0.01710909408</v>
      </c>
    </row>
    <row r="1675">
      <c r="A1675" s="6">
        <v>1673.0</v>
      </c>
      <c r="B1675" s="17">
        <f t="array" ref="B1675">SUM(1-'Sparkling Model'!D$2:D$38^A1675)</f>
        <v>33.54097294</v>
      </c>
      <c r="C1675" s="8">
        <f t="array" ref="C1675">PRODUCT(1-'Sparkling Model'!D$2:D$38^A1675)</f>
        <v>0.01718499345</v>
      </c>
    </row>
    <row r="1676">
      <c r="A1676" s="6">
        <v>1674.0</v>
      </c>
      <c r="B1676" s="17">
        <f t="array" ref="B1676">SUM(1-'Sparkling Model'!D$2:D$38^A1676)</f>
        <v>33.54449919</v>
      </c>
      <c r="C1676" s="8">
        <f t="array" ref="C1676">PRODUCT(1-'Sparkling Model'!D$2:D$38^A1676)</f>
        <v>0.0172611186</v>
      </c>
    </row>
    <row r="1677">
      <c r="A1677" s="6">
        <v>1675.0</v>
      </c>
      <c r="B1677" s="17">
        <f t="array" ref="B1677">SUM(1-'Sparkling Model'!D$2:D$38^A1677)</f>
        <v>33.54802065</v>
      </c>
      <c r="C1677" s="8">
        <f t="array" ref="C1677">PRODUCT(1-'Sparkling Model'!D$2:D$38^A1677)</f>
        <v>0.01733746973</v>
      </c>
    </row>
    <row r="1678">
      <c r="A1678" s="6">
        <v>1676.0</v>
      </c>
      <c r="B1678" s="17">
        <f t="array" ref="B1678">SUM(1-'Sparkling Model'!D$2:D$38^A1678)</f>
        <v>33.55153732</v>
      </c>
      <c r="C1678" s="8">
        <f t="array" ref="C1678">PRODUCT(1-'Sparkling Model'!D$2:D$38^A1678)</f>
        <v>0.01741404707</v>
      </c>
    </row>
    <row r="1679">
      <c r="A1679" s="6">
        <v>1677.0</v>
      </c>
      <c r="B1679" s="17">
        <f t="array" ref="B1679">SUM(1-'Sparkling Model'!D$2:D$38^A1679)</f>
        <v>33.55504921</v>
      </c>
      <c r="C1679" s="8">
        <f t="array" ref="C1679">PRODUCT(1-'Sparkling Model'!D$2:D$38^A1679)</f>
        <v>0.01749085084</v>
      </c>
    </row>
    <row r="1680">
      <c r="A1680" s="6">
        <v>1678.0</v>
      </c>
      <c r="B1680" s="17">
        <f t="array" ref="B1680">SUM(1-'Sparkling Model'!D$2:D$38^A1680)</f>
        <v>33.55855634</v>
      </c>
      <c r="C1680" s="8">
        <f t="array" ref="C1680">PRODUCT(1-'Sparkling Model'!D$2:D$38^A1680)</f>
        <v>0.01756788126</v>
      </c>
    </row>
    <row r="1681">
      <c r="A1681" s="6">
        <v>1679.0</v>
      </c>
      <c r="B1681" s="17">
        <f t="array" ref="B1681">SUM(1-'Sparkling Model'!D$2:D$38^A1681)</f>
        <v>33.56205871</v>
      </c>
      <c r="C1681" s="8">
        <f t="array" ref="C1681">PRODUCT(1-'Sparkling Model'!D$2:D$38^A1681)</f>
        <v>0.01764513855</v>
      </c>
    </row>
    <row r="1682">
      <c r="A1682" s="6">
        <v>1680.0</v>
      </c>
      <c r="B1682" s="17">
        <f t="array" ref="B1682">SUM(1-'Sparkling Model'!D$2:D$38^A1682)</f>
        <v>33.56555632</v>
      </c>
      <c r="C1682" s="8">
        <f t="array" ref="C1682">PRODUCT(1-'Sparkling Model'!D$2:D$38^A1682)</f>
        <v>0.01772262293</v>
      </c>
    </row>
    <row r="1683">
      <c r="A1683" s="6">
        <v>1681.0</v>
      </c>
      <c r="B1683" s="17">
        <f t="array" ref="B1683">SUM(1-'Sparkling Model'!D$2:D$38^A1683)</f>
        <v>33.56904919</v>
      </c>
      <c r="C1683" s="8">
        <f t="array" ref="C1683">PRODUCT(1-'Sparkling Model'!D$2:D$38^A1683)</f>
        <v>0.01780033461</v>
      </c>
    </row>
    <row r="1684">
      <c r="A1684" s="6">
        <v>1682.0</v>
      </c>
      <c r="B1684" s="17">
        <f t="array" ref="B1684">SUM(1-'Sparkling Model'!D$2:D$38^A1684)</f>
        <v>33.57253733</v>
      </c>
      <c r="C1684" s="8">
        <f t="array" ref="C1684">PRODUCT(1-'Sparkling Model'!D$2:D$38^A1684)</f>
        <v>0.01787827381</v>
      </c>
    </row>
    <row r="1685">
      <c r="A1685" s="6">
        <v>1683.0</v>
      </c>
      <c r="B1685" s="17">
        <f t="array" ref="B1685">SUM(1-'Sparkling Model'!D$2:D$38^A1685)</f>
        <v>33.57602073</v>
      </c>
      <c r="C1685" s="8">
        <f t="array" ref="C1685">PRODUCT(1-'Sparkling Model'!D$2:D$38^A1685)</f>
        <v>0.01795644074</v>
      </c>
    </row>
    <row r="1686">
      <c r="A1686" s="6">
        <v>1684.0</v>
      </c>
      <c r="B1686" s="17">
        <f t="array" ref="B1686">SUM(1-'Sparkling Model'!D$2:D$38^A1686)</f>
        <v>33.57949942</v>
      </c>
      <c r="C1686" s="8">
        <f t="array" ref="C1686">PRODUCT(1-'Sparkling Model'!D$2:D$38^A1686)</f>
        <v>0.01803483562</v>
      </c>
    </row>
    <row r="1687">
      <c r="A1687" s="6">
        <v>1685.0</v>
      </c>
      <c r="B1687" s="17">
        <f t="array" ref="B1687">SUM(1-'Sparkling Model'!D$2:D$38^A1687)</f>
        <v>33.58297339</v>
      </c>
      <c r="C1687" s="8">
        <f t="array" ref="C1687">PRODUCT(1-'Sparkling Model'!D$2:D$38^A1687)</f>
        <v>0.01811345866</v>
      </c>
    </row>
    <row r="1688">
      <c r="A1688" s="6">
        <v>1686.0</v>
      </c>
      <c r="B1688" s="17">
        <f t="array" ref="B1688">SUM(1-'Sparkling Model'!D$2:D$38^A1688)</f>
        <v>33.58644266</v>
      </c>
      <c r="C1688" s="8">
        <f t="array" ref="C1688">PRODUCT(1-'Sparkling Model'!D$2:D$38^A1688)</f>
        <v>0.01819231007</v>
      </c>
    </row>
    <row r="1689">
      <c r="A1689" s="6">
        <v>1687.0</v>
      </c>
      <c r="B1689" s="17">
        <f t="array" ref="B1689">SUM(1-'Sparkling Model'!D$2:D$38^A1689)</f>
        <v>33.58990723</v>
      </c>
      <c r="C1689" s="8">
        <f t="array" ref="C1689">PRODUCT(1-'Sparkling Model'!D$2:D$38^A1689)</f>
        <v>0.01827139005</v>
      </c>
    </row>
    <row r="1690">
      <c r="A1690" s="6">
        <v>1688.0</v>
      </c>
      <c r="B1690" s="17">
        <f t="array" ref="B1690">SUM(1-'Sparkling Model'!D$2:D$38^A1690)</f>
        <v>33.59336712</v>
      </c>
      <c r="C1690" s="8">
        <f t="array" ref="C1690">PRODUCT(1-'Sparkling Model'!D$2:D$38^A1690)</f>
        <v>0.01835069882</v>
      </c>
    </row>
    <row r="1691">
      <c r="A1691" s="6">
        <v>1689.0</v>
      </c>
      <c r="B1691" s="17">
        <f t="array" ref="B1691">SUM(1-'Sparkling Model'!D$2:D$38^A1691)</f>
        <v>33.59682232</v>
      </c>
      <c r="C1691" s="8">
        <f t="array" ref="C1691">PRODUCT(1-'Sparkling Model'!D$2:D$38^A1691)</f>
        <v>0.01843023659</v>
      </c>
    </row>
    <row r="1692">
      <c r="A1692" s="6">
        <v>1690.0</v>
      </c>
      <c r="B1692" s="17">
        <f t="array" ref="B1692">SUM(1-'Sparkling Model'!D$2:D$38^A1692)</f>
        <v>33.60027285</v>
      </c>
      <c r="C1692" s="8">
        <f t="array" ref="C1692">PRODUCT(1-'Sparkling Model'!D$2:D$38^A1692)</f>
        <v>0.01851000356</v>
      </c>
    </row>
    <row r="1693">
      <c r="A1693" s="6">
        <v>1691.0</v>
      </c>
      <c r="B1693" s="17">
        <f t="array" ref="B1693">SUM(1-'Sparkling Model'!D$2:D$38^A1693)</f>
        <v>33.60371871</v>
      </c>
      <c r="C1693" s="8">
        <f t="array" ref="C1693">PRODUCT(1-'Sparkling Model'!D$2:D$38^A1693)</f>
        <v>0.01858999993</v>
      </c>
    </row>
    <row r="1694">
      <c r="A1694" s="6">
        <v>1692.0</v>
      </c>
      <c r="B1694" s="17">
        <f t="array" ref="B1694">SUM(1-'Sparkling Model'!D$2:D$38^A1694)</f>
        <v>33.60715992</v>
      </c>
      <c r="C1694" s="8">
        <f t="array" ref="C1694">PRODUCT(1-'Sparkling Model'!D$2:D$38^A1694)</f>
        <v>0.01867022591</v>
      </c>
    </row>
    <row r="1695">
      <c r="A1695" s="6">
        <v>1693.0</v>
      </c>
      <c r="B1695" s="17">
        <f t="array" ref="B1695">SUM(1-'Sparkling Model'!D$2:D$38^A1695)</f>
        <v>33.61059647</v>
      </c>
      <c r="C1695" s="8">
        <f t="array" ref="C1695">PRODUCT(1-'Sparkling Model'!D$2:D$38^A1695)</f>
        <v>0.0187506817</v>
      </c>
    </row>
    <row r="1696">
      <c r="A1696" s="6">
        <v>1694.0</v>
      </c>
      <c r="B1696" s="17">
        <f t="array" ref="B1696">SUM(1-'Sparkling Model'!D$2:D$38^A1696)</f>
        <v>33.61402839</v>
      </c>
      <c r="C1696" s="8">
        <f t="array" ref="C1696">PRODUCT(1-'Sparkling Model'!D$2:D$38^A1696)</f>
        <v>0.01883136751</v>
      </c>
    </row>
    <row r="1697">
      <c r="A1697" s="6">
        <v>1695.0</v>
      </c>
      <c r="B1697" s="17">
        <f t="array" ref="B1697">SUM(1-'Sparkling Model'!D$2:D$38^A1697)</f>
        <v>33.61745567</v>
      </c>
      <c r="C1697" s="8">
        <f t="array" ref="C1697">PRODUCT(1-'Sparkling Model'!D$2:D$38^A1697)</f>
        <v>0.01891228353</v>
      </c>
    </row>
    <row r="1698">
      <c r="A1698" s="6">
        <v>1696.0</v>
      </c>
      <c r="B1698" s="17">
        <f t="array" ref="B1698">SUM(1-'Sparkling Model'!D$2:D$38^A1698)</f>
        <v>33.62087832</v>
      </c>
      <c r="C1698" s="8">
        <f t="array" ref="C1698">PRODUCT(1-'Sparkling Model'!D$2:D$38^A1698)</f>
        <v>0.01899342997</v>
      </c>
    </row>
    <row r="1699">
      <c r="A1699" s="6">
        <v>1697.0</v>
      </c>
      <c r="B1699" s="17">
        <f t="array" ref="B1699">SUM(1-'Sparkling Model'!D$2:D$38^A1699)</f>
        <v>33.62429635</v>
      </c>
      <c r="C1699" s="8">
        <f t="array" ref="C1699">PRODUCT(1-'Sparkling Model'!D$2:D$38^A1699)</f>
        <v>0.01907480701</v>
      </c>
    </row>
    <row r="1700">
      <c r="A1700" s="6">
        <v>1698.0</v>
      </c>
      <c r="B1700" s="17">
        <f t="array" ref="B1700">SUM(1-'Sparkling Model'!D$2:D$38^A1700)</f>
        <v>33.62770978</v>
      </c>
      <c r="C1700" s="8">
        <f t="array" ref="C1700">PRODUCT(1-'Sparkling Model'!D$2:D$38^A1700)</f>
        <v>0.01915641486</v>
      </c>
    </row>
    <row r="1701">
      <c r="A1701" s="6">
        <v>1699.0</v>
      </c>
      <c r="B1701" s="17">
        <f t="array" ref="B1701">SUM(1-'Sparkling Model'!D$2:D$38^A1701)</f>
        <v>33.6311186</v>
      </c>
      <c r="C1701" s="8">
        <f t="array" ref="C1701">PRODUCT(1-'Sparkling Model'!D$2:D$38^A1701)</f>
        <v>0.01923825372</v>
      </c>
    </row>
    <row r="1702">
      <c r="A1702" s="6">
        <v>1700.0</v>
      </c>
      <c r="B1702" s="17">
        <f t="array" ref="B1702">SUM(1-'Sparkling Model'!D$2:D$38^A1702)</f>
        <v>33.63452282</v>
      </c>
      <c r="C1702" s="8">
        <f t="array" ref="C1702">PRODUCT(1-'Sparkling Model'!D$2:D$38^A1702)</f>
        <v>0.01932032378</v>
      </c>
    </row>
    <row r="1703">
      <c r="A1703" s="6">
        <v>1701.0</v>
      </c>
      <c r="B1703" s="17">
        <f t="array" ref="B1703">SUM(1-'Sparkling Model'!D$2:D$38^A1703)</f>
        <v>33.63792246</v>
      </c>
      <c r="C1703" s="8">
        <f t="array" ref="C1703">PRODUCT(1-'Sparkling Model'!D$2:D$38^A1703)</f>
        <v>0.01940262523</v>
      </c>
    </row>
    <row r="1704">
      <c r="A1704" s="6">
        <v>1702.0</v>
      </c>
      <c r="B1704" s="17">
        <f t="array" ref="B1704">SUM(1-'Sparkling Model'!D$2:D$38^A1704)</f>
        <v>33.64131751</v>
      </c>
      <c r="C1704" s="8">
        <f t="array" ref="C1704">PRODUCT(1-'Sparkling Model'!D$2:D$38^A1704)</f>
        <v>0.01948515826</v>
      </c>
    </row>
    <row r="1705">
      <c r="A1705" s="6">
        <v>1703.0</v>
      </c>
      <c r="B1705" s="17">
        <f t="array" ref="B1705">SUM(1-'Sparkling Model'!D$2:D$38^A1705)</f>
        <v>33.64470799</v>
      </c>
      <c r="C1705" s="8">
        <f t="array" ref="C1705">PRODUCT(1-'Sparkling Model'!D$2:D$38^A1705)</f>
        <v>0.01956792307</v>
      </c>
    </row>
    <row r="1706">
      <c r="A1706" s="6">
        <v>1704.0</v>
      </c>
      <c r="B1706" s="17">
        <f t="array" ref="B1706">SUM(1-'Sparkling Model'!D$2:D$38^A1706)</f>
        <v>33.64809391</v>
      </c>
      <c r="C1706" s="8">
        <f t="array" ref="C1706">PRODUCT(1-'Sparkling Model'!D$2:D$38^A1706)</f>
        <v>0.01965091985</v>
      </c>
    </row>
    <row r="1707">
      <c r="A1707" s="6">
        <v>1705.0</v>
      </c>
      <c r="B1707" s="17">
        <f t="array" ref="B1707">SUM(1-'Sparkling Model'!D$2:D$38^A1707)</f>
        <v>33.65147527</v>
      </c>
      <c r="C1707" s="8">
        <f t="array" ref="C1707">PRODUCT(1-'Sparkling Model'!D$2:D$38^A1707)</f>
        <v>0.01973414878</v>
      </c>
    </row>
    <row r="1708">
      <c r="A1708" s="6">
        <v>1706.0</v>
      </c>
      <c r="B1708" s="17">
        <f t="array" ref="B1708">SUM(1-'Sparkling Model'!D$2:D$38^A1708)</f>
        <v>33.65485208</v>
      </c>
      <c r="C1708" s="8">
        <f t="array" ref="C1708">PRODUCT(1-'Sparkling Model'!D$2:D$38^A1708)</f>
        <v>0.01981761005</v>
      </c>
    </row>
    <row r="1709">
      <c r="A1709" s="6">
        <v>1707.0</v>
      </c>
      <c r="B1709" s="17">
        <f t="array" ref="B1709">SUM(1-'Sparkling Model'!D$2:D$38^A1709)</f>
        <v>33.65822435</v>
      </c>
      <c r="C1709" s="8">
        <f t="array" ref="C1709">PRODUCT(1-'Sparkling Model'!D$2:D$38^A1709)</f>
        <v>0.01990130385</v>
      </c>
    </row>
    <row r="1710">
      <c r="A1710" s="6">
        <v>1708.0</v>
      </c>
      <c r="B1710" s="17">
        <f t="array" ref="B1710">SUM(1-'Sparkling Model'!D$2:D$38^A1710)</f>
        <v>33.66159208</v>
      </c>
      <c r="C1710" s="8">
        <f t="array" ref="C1710">PRODUCT(1-'Sparkling Model'!D$2:D$38^A1710)</f>
        <v>0.01998523037</v>
      </c>
    </row>
    <row r="1711">
      <c r="A1711" s="6">
        <v>1709.0</v>
      </c>
      <c r="B1711" s="17">
        <f t="array" ref="B1711">SUM(1-'Sparkling Model'!D$2:D$38^A1711)</f>
        <v>33.66495529</v>
      </c>
      <c r="C1711" s="8">
        <f t="array" ref="C1711">PRODUCT(1-'Sparkling Model'!D$2:D$38^A1711)</f>
        <v>0.02006938979</v>
      </c>
    </row>
    <row r="1712">
      <c r="A1712" s="6">
        <v>1710.0</v>
      </c>
      <c r="B1712" s="17">
        <f t="array" ref="B1712">SUM(1-'Sparkling Model'!D$2:D$38^A1712)</f>
        <v>33.66831398</v>
      </c>
      <c r="C1712" s="8">
        <f t="array" ref="C1712">PRODUCT(1-'Sparkling Model'!D$2:D$38^A1712)</f>
        <v>0.02015378228</v>
      </c>
    </row>
    <row r="1713">
      <c r="A1713" s="6">
        <v>1711.0</v>
      </c>
      <c r="B1713" s="17">
        <f t="array" ref="B1713">SUM(1-'Sparkling Model'!D$2:D$38^A1713)</f>
        <v>33.67166815</v>
      </c>
      <c r="C1713" s="8">
        <f t="array" ref="C1713">PRODUCT(1-'Sparkling Model'!D$2:D$38^A1713)</f>
        <v>0.02023840804</v>
      </c>
    </row>
    <row r="1714">
      <c r="A1714" s="6">
        <v>1712.0</v>
      </c>
      <c r="B1714" s="17">
        <f t="array" ref="B1714">SUM(1-'Sparkling Model'!D$2:D$38^A1714)</f>
        <v>33.67501782</v>
      </c>
      <c r="C1714" s="8">
        <f t="array" ref="C1714">PRODUCT(1-'Sparkling Model'!D$2:D$38^A1714)</f>
        <v>0.02032326724</v>
      </c>
    </row>
    <row r="1715">
      <c r="A1715" s="6">
        <v>1713.0</v>
      </c>
      <c r="B1715" s="17">
        <f t="array" ref="B1715">SUM(1-'Sparkling Model'!D$2:D$38^A1715)</f>
        <v>33.67836299</v>
      </c>
      <c r="C1715" s="8">
        <f t="array" ref="C1715">PRODUCT(1-'Sparkling Model'!D$2:D$38^A1715)</f>
        <v>0.02040836007</v>
      </c>
    </row>
    <row r="1716">
      <c r="A1716" s="6">
        <v>1714.0</v>
      </c>
      <c r="B1716" s="17">
        <f t="array" ref="B1716">SUM(1-'Sparkling Model'!D$2:D$38^A1716)</f>
        <v>33.68170368</v>
      </c>
      <c r="C1716" s="8">
        <f t="array" ref="C1716">PRODUCT(1-'Sparkling Model'!D$2:D$38^A1716)</f>
        <v>0.0204936867</v>
      </c>
    </row>
    <row r="1717">
      <c r="A1717" s="6">
        <v>1715.0</v>
      </c>
      <c r="B1717" s="17">
        <f t="array" ref="B1717">SUM(1-'Sparkling Model'!D$2:D$38^A1717)</f>
        <v>33.68503988</v>
      </c>
      <c r="C1717" s="8">
        <f t="array" ref="C1717">PRODUCT(1-'Sparkling Model'!D$2:D$38^A1717)</f>
        <v>0.02057924731</v>
      </c>
    </row>
    <row r="1718">
      <c r="A1718" s="6">
        <v>1716.0</v>
      </c>
      <c r="B1718" s="17">
        <f t="array" ref="B1718">SUM(1-'Sparkling Model'!D$2:D$38^A1718)</f>
        <v>33.6883716</v>
      </c>
      <c r="C1718" s="8">
        <f t="array" ref="C1718">PRODUCT(1-'Sparkling Model'!D$2:D$38^A1718)</f>
        <v>0.02066504207</v>
      </c>
    </row>
    <row r="1719">
      <c r="A1719" s="6">
        <v>1717.0</v>
      </c>
      <c r="B1719" s="17">
        <f t="array" ref="B1719">SUM(1-'Sparkling Model'!D$2:D$38^A1719)</f>
        <v>33.69169886</v>
      </c>
      <c r="C1719" s="8">
        <f t="array" ref="C1719">PRODUCT(1-'Sparkling Model'!D$2:D$38^A1719)</f>
        <v>0.02075107116</v>
      </c>
    </row>
    <row r="1720">
      <c r="A1720" s="6">
        <v>1718.0</v>
      </c>
      <c r="B1720" s="17">
        <f t="array" ref="B1720">SUM(1-'Sparkling Model'!D$2:D$38^A1720)</f>
        <v>33.69502166</v>
      </c>
      <c r="C1720" s="8">
        <f t="array" ref="C1720">PRODUCT(1-'Sparkling Model'!D$2:D$38^A1720)</f>
        <v>0.02083733476</v>
      </c>
    </row>
    <row r="1721">
      <c r="A1721" s="6">
        <v>1719.0</v>
      </c>
      <c r="B1721" s="17">
        <f t="array" ref="B1721">SUM(1-'Sparkling Model'!D$2:D$38^A1721)</f>
        <v>33.69834</v>
      </c>
      <c r="C1721" s="8">
        <f t="array" ref="C1721">PRODUCT(1-'Sparkling Model'!D$2:D$38^A1721)</f>
        <v>0.02092383303</v>
      </c>
    </row>
    <row r="1722">
      <c r="A1722" s="6">
        <v>1720.0</v>
      </c>
      <c r="B1722" s="17">
        <f t="array" ref="B1722">SUM(1-'Sparkling Model'!D$2:D$38^A1722)</f>
        <v>33.7016539</v>
      </c>
      <c r="C1722" s="8">
        <f t="array" ref="C1722">PRODUCT(1-'Sparkling Model'!D$2:D$38^A1722)</f>
        <v>0.02101056615</v>
      </c>
    </row>
    <row r="1723">
      <c r="A1723" s="6">
        <v>1721.0</v>
      </c>
      <c r="B1723" s="17">
        <f t="array" ref="B1723">SUM(1-'Sparkling Model'!D$2:D$38^A1723)</f>
        <v>33.70496337</v>
      </c>
      <c r="C1723" s="8">
        <f t="array" ref="C1723">PRODUCT(1-'Sparkling Model'!D$2:D$38^A1723)</f>
        <v>0.02109753428</v>
      </c>
    </row>
    <row r="1724">
      <c r="A1724" s="6">
        <v>1722.0</v>
      </c>
      <c r="B1724" s="17">
        <f t="array" ref="B1724">SUM(1-'Sparkling Model'!D$2:D$38^A1724)</f>
        <v>33.7082684</v>
      </c>
      <c r="C1724" s="8">
        <f t="array" ref="C1724">PRODUCT(1-'Sparkling Model'!D$2:D$38^A1724)</f>
        <v>0.0211847376</v>
      </c>
    </row>
    <row r="1725">
      <c r="A1725" s="6">
        <v>1723.0</v>
      </c>
      <c r="B1725" s="17">
        <f t="array" ref="B1725">SUM(1-'Sparkling Model'!D$2:D$38^A1725)</f>
        <v>33.71156901</v>
      </c>
      <c r="C1725" s="8">
        <f t="array" ref="C1725">PRODUCT(1-'Sparkling Model'!D$2:D$38^A1725)</f>
        <v>0.02127217628</v>
      </c>
    </row>
    <row r="1726">
      <c r="A1726" s="6">
        <v>1724.0</v>
      </c>
      <c r="B1726" s="17">
        <f t="array" ref="B1726">SUM(1-'Sparkling Model'!D$2:D$38^A1726)</f>
        <v>33.7148652</v>
      </c>
      <c r="C1726" s="8">
        <f t="array" ref="C1726">PRODUCT(1-'Sparkling Model'!D$2:D$38^A1726)</f>
        <v>0.02135985048</v>
      </c>
    </row>
    <row r="1727">
      <c r="A1727" s="6">
        <v>1725.0</v>
      </c>
      <c r="B1727" s="17">
        <f t="array" ref="B1727">SUM(1-'Sparkling Model'!D$2:D$38^A1727)</f>
        <v>33.71815699</v>
      </c>
      <c r="C1727" s="8">
        <f t="array" ref="C1727">PRODUCT(1-'Sparkling Model'!D$2:D$38^A1727)</f>
        <v>0.02144776036</v>
      </c>
    </row>
    <row r="1728">
      <c r="A1728" s="6">
        <v>1726.0</v>
      </c>
      <c r="B1728" s="17">
        <f t="array" ref="B1728">SUM(1-'Sparkling Model'!D$2:D$38^A1728)</f>
        <v>33.72144437</v>
      </c>
      <c r="C1728" s="8">
        <f t="array" ref="C1728">PRODUCT(1-'Sparkling Model'!D$2:D$38^A1728)</f>
        <v>0.02153590609</v>
      </c>
    </row>
    <row r="1729">
      <c r="A1729" s="6">
        <v>1727.0</v>
      </c>
      <c r="B1729" s="17">
        <f t="array" ref="B1729">SUM(1-'Sparkling Model'!D$2:D$38^A1729)</f>
        <v>33.72472736</v>
      </c>
      <c r="C1729" s="8">
        <f t="array" ref="C1729">PRODUCT(1-'Sparkling Model'!D$2:D$38^A1729)</f>
        <v>0.02162428784</v>
      </c>
    </row>
    <row r="1730">
      <c r="A1730" s="6">
        <v>1728.0</v>
      </c>
      <c r="B1730" s="17">
        <f t="array" ref="B1730">SUM(1-'Sparkling Model'!D$2:D$38^A1730)</f>
        <v>33.72800597</v>
      </c>
      <c r="C1730" s="8">
        <f t="array" ref="C1730">PRODUCT(1-'Sparkling Model'!D$2:D$38^A1730)</f>
        <v>0.02171290576</v>
      </c>
    </row>
    <row r="1731">
      <c r="A1731" s="6">
        <v>1729.0</v>
      </c>
      <c r="B1731" s="17">
        <f t="array" ref="B1731">SUM(1-'Sparkling Model'!D$2:D$38^A1731)</f>
        <v>33.73128019</v>
      </c>
      <c r="C1731" s="8">
        <f t="array" ref="C1731">PRODUCT(1-'Sparkling Model'!D$2:D$38^A1731)</f>
        <v>0.02180176002</v>
      </c>
    </row>
    <row r="1732">
      <c r="A1732" s="6">
        <v>1730.0</v>
      </c>
      <c r="B1732" s="17">
        <f t="array" ref="B1732">SUM(1-'Sparkling Model'!D$2:D$38^A1732)</f>
        <v>33.73455005</v>
      </c>
      <c r="C1732" s="8">
        <f t="array" ref="C1732">PRODUCT(1-'Sparkling Model'!D$2:D$38^A1732)</f>
        <v>0.02189085077</v>
      </c>
    </row>
    <row r="1733">
      <c r="A1733" s="6">
        <v>1731.0</v>
      </c>
      <c r="B1733" s="17">
        <f t="array" ref="B1733">SUM(1-'Sparkling Model'!D$2:D$38^A1733)</f>
        <v>33.73781553</v>
      </c>
      <c r="C1733" s="8">
        <f t="array" ref="C1733">PRODUCT(1-'Sparkling Model'!D$2:D$38^A1733)</f>
        <v>0.02198017818</v>
      </c>
    </row>
    <row r="1734">
      <c r="A1734" s="6">
        <v>1732.0</v>
      </c>
      <c r="B1734" s="17">
        <f t="array" ref="B1734">SUM(1-'Sparkling Model'!D$2:D$38^A1734)</f>
        <v>33.74107666</v>
      </c>
      <c r="C1734" s="8">
        <f t="array" ref="C1734">PRODUCT(1-'Sparkling Model'!D$2:D$38^A1734)</f>
        <v>0.02206974239</v>
      </c>
    </row>
    <row r="1735">
      <c r="A1735" s="6">
        <v>1733.0</v>
      </c>
      <c r="B1735" s="17">
        <f t="array" ref="B1735">SUM(1-'Sparkling Model'!D$2:D$38^A1735)</f>
        <v>33.74433344</v>
      </c>
      <c r="C1735" s="8">
        <f t="array" ref="C1735">PRODUCT(1-'Sparkling Model'!D$2:D$38^A1735)</f>
        <v>0.02215954358</v>
      </c>
    </row>
    <row r="1736">
      <c r="A1736" s="6">
        <v>1734.0</v>
      </c>
      <c r="B1736" s="17">
        <f t="array" ref="B1736">SUM(1-'Sparkling Model'!D$2:D$38^A1736)</f>
        <v>33.74758588</v>
      </c>
      <c r="C1736" s="8">
        <f t="array" ref="C1736">PRODUCT(1-'Sparkling Model'!D$2:D$38^A1736)</f>
        <v>0.02224958188</v>
      </c>
    </row>
    <row r="1737">
      <c r="A1737" s="6">
        <v>1735.0</v>
      </c>
      <c r="B1737" s="17">
        <f t="array" ref="B1737">SUM(1-'Sparkling Model'!D$2:D$38^A1737)</f>
        <v>33.75083398</v>
      </c>
      <c r="C1737" s="8">
        <f t="array" ref="C1737">PRODUCT(1-'Sparkling Model'!D$2:D$38^A1737)</f>
        <v>0.02233985746</v>
      </c>
    </row>
    <row r="1738">
      <c r="A1738" s="6">
        <v>1736.0</v>
      </c>
      <c r="B1738" s="17">
        <f t="array" ref="B1738">SUM(1-'Sparkling Model'!D$2:D$38^A1738)</f>
        <v>33.75407776</v>
      </c>
      <c r="C1738" s="8">
        <f t="array" ref="C1738">PRODUCT(1-'Sparkling Model'!D$2:D$38^A1738)</f>
        <v>0.02243037047</v>
      </c>
    </row>
    <row r="1739">
      <c r="A1739" s="6">
        <v>1737.0</v>
      </c>
      <c r="B1739" s="17">
        <f t="array" ref="B1739">SUM(1-'Sparkling Model'!D$2:D$38^A1739)</f>
        <v>33.75731721</v>
      </c>
      <c r="C1739" s="8">
        <f t="array" ref="C1739">PRODUCT(1-'Sparkling Model'!D$2:D$38^A1739)</f>
        <v>0.02252112105</v>
      </c>
    </row>
    <row r="1740">
      <c r="A1740" s="6">
        <v>1738.0</v>
      </c>
      <c r="B1740" s="17">
        <f t="array" ref="B1740">SUM(1-'Sparkling Model'!D$2:D$38^A1740)</f>
        <v>33.76055234</v>
      </c>
      <c r="C1740" s="8">
        <f t="array" ref="C1740">PRODUCT(1-'Sparkling Model'!D$2:D$38^A1740)</f>
        <v>0.02261210937</v>
      </c>
    </row>
    <row r="1741">
      <c r="A1741" s="6">
        <v>1739.0</v>
      </c>
      <c r="B1741" s="17">
        <f t="array" ref="B1741">SUM(1-'Sparkling Model'!D$2:D$38^A1741)</f>
        <v>33.76378317</v>
      </c>
      <c r="C1741" s="8">
        <f t="array" ref="C1741">PRODUCT(1-'Sparkling Model'!D$2:D$38^A1741)</f>
        <v>0.02270333556</v>
      </c>
    </row>
    <row r="1742">
      <c r="A1742" s="6">
        <v>1740.0</v>
      </c>
      <c r="B1742" s="17">
        <f t="array" ref="B1742">SUM(1-'Sparkling Model'!D$2:D$38^A1742)</f>
        <v>33.7670097</v>
      </c>
      <c r="C1742" s="8">
        <f t="array" ref="C1742">PRODUCT(1-'Sparkling Model'!D$2:D$38^A1742)</f>
        <v>0.02279479978</v>
      </c>
    </row>
    <row r="1743">
      <c r="A1743" s="6">
        <v>1741.0</v>
      </c>
      <c r="B1743" s="17">
        <f t="array" ref="B1743">SUM(1-'Sparkling Model'!D$2:D$38^A1743)</f>
        <v>33.77023193</v>
      </c>
      <c r="C1743" s="8">
        <f t="array" ref="C1743">PRODUCT(1-'Sparkling Model'!D$2:D$38^A1743)</f>
        <v>0.02288650217</v>
      </c>
    </row>
    <row r="1744">
      <c r="A1744" s="6">
        <v>1742.0</v>
      </c>
      <c r="B1744" s="17">
        <f t="array" ref="B1744">SUM(1-'Sparkling Model'!D$2:D$38^A1744)</f>
        <v>33.77344988</v>
      </c>
      <c r="C1744" s="8">
        <f t="array" ref="C1744">PRODUCT(1-'Sparkling Model'!D$2:D$38^A1744)</f>
        <v>0.02297844288</v>
      </c>
    </row>
    <row r="1745">
      <c r="A1745" s="6">
        <v>1743.0</v>
      </c>
      <c r="B1745" s="17">
        <f t="array" ref="B1745">SUM(1-'Sparkling Model'!D$2:D$38^A1745)</f>
        <v>33.77666355</v>
      </c>
      <c r="C1745" s="8">
        <f t="array" ref="C1745">PRODUCT(1-'Sparkling Model'!D$2:D$38^A1745)</f>
        <v>0.02307062204</v>
      </c>
    </row>
    <row r="1746">
      <c r="A1746" s="6">
        <v>1744.0</v>
      </c>
      <c r="B1746" s="17">
        <f t="array" ref="B1746">SUM(1-'Sparkling Model'!D$2:D$38^A1746)</f>
        <v>33.77987295</v>
      </c>
      <c r="C1746" s="8">
        <f t="array" ref="C1746">PRODUCT(1-'Sparkling Model'!D$2:D$38^A1746)</f>
        <v>0.02316303982</v>
      </c>
    </row>
    <row r="1747">
      <c r="A1747" s="6">
        <v>1745.0</v>
      </c>
      <c r="B1747" s="17">
        <f t="array" ref="B1747">SUM(1-'Sparkling Model'!D$2:D$38^A1747)</f>
        <v>33.78307809</v>
      </c>
      <c r="C1747" s="8">
        <f t="array" ref="C1747">PRODUCT(1-'Sparkling Model'!D$2:D$38^A1747)</f>
        <v>0.02325569633</v>
      </c>
    </row>
    <row r="1748">
      <c r="A1748" s="6">
        <v>1746.0</v>
      </c>
      <c r="B1748" s="17">
        <f t="array" ref="B1748">SUM(1-'Sparkling Model'!D$2:D$38^A1748)</f>
        <v>33.78627896</v>
      </c>
      <c r="C1748" s="8">
        <f t="array" ref="C1748">PRODUCT(1-'Sparkling Model'!D$2:D$38^A1748)</f>
        <v>0.02334859174</v>
      </c>
    </row>
    <row r="1749">
      <c r="A1749" s="6">
        <v>1747.0</v>
      </c>
      <c r="B1749" s="17">
        <f t="array" ref="B1749">SUM(1-'Sparkling Model'!D$2:D$38^A1749)</f>
        <v>33.78947559</v>
      </c>
      <c r="C1749" s="8">
        <f t="array" ref="C1749">PRODUCT(1-'Sparkling Model'!D$2:D$38^A1749)</f>
        <v>0.02344172617</v>
      </c>
    </row>
    <row r="1750">
      <c r="A1750" s="6">
        <v>1748.0</v>
      </c>
      <c r="B1750" s="17">
        <f t="array" ref="B1750">SUM(1-'Sparkling Model'!D$2:D$38^A1750)</f>
        <v>33.79266797</v>
      </c>
      <c r="C1750" s="8">
        <f t="array" ref="C1750">PRODUCT(1-'Sparkling Model'!D$2:D$38^A1750)</f>
        <v>0.02353509976</v>
      </c>
    </row>
    <row r="1751">
      <c r="A1751" s="6">
        <v>1749.0</v>
      </c>
      <c r="B1751" s="17">
        <f t="array" ref="B1751">SUM(1-'Sparkling Model'!D$2:D$38^A1751)</f>
        <v>33.79585611</v>
      </c>
      <c r="C1751" s="8">
        <f t="array" ref="C1751">PRODUCT(1-'Sparkling Model'!D$2:D$38^A1751)</f>
        <v>0.02362871266</v>
      </c>
    </row>
    <row r="1752">
      <c r="A1752" s="6">
        <v>1750.0</v>
      </c>
      <c r="B1752" s="17">
        <f t="array" ref="B1752">SUM(1-'Sparkling Model'!D$2:D$38^A1752)</f>
        <v>33.79904003</v>
      </c>
      <c r="C1752" s="8">
        <f t="array" ref="C1752">PRODUCT(1-'Sparkling Model'!D$2:D$38^A1752)</f>
        <v>0.02372256499</v>
      </c>
    </row>
    <row r="1753">
      <c r="A1753" s="6">
        <v>1751.0</v>
      </c>
      <c r="B1753" s="17">
        <f t="array" ref="B1753">SUM(1-'Sparkling Model'!D$2:D$38^A1753)</f>
        <v>33.80221972</v>
      </c>
      <c r="C1753" s="8">
        <f t="array" ref="C1753">PRODUCT(1-'Sparkling Model'!D$2:D$38^A1753)</f>
        <v>0.02381665689</v>
      </c>
    </row>
    <row r="1754">
      <c r="A1754" s="6">
        <v>1752.0</v>
      </c>
      <c r="B1754" s="17">
        <f t="array" ref="B1754">SUM(1-'Sparkling Model'!D$2:D$38^A1754)</f>
        <v>33.80539519</v>
      </c>
      <c r="C1754" s="8">
        <f t="array" ref="C1754">PRODUCT(1-'Sparkling Model'!D$2:D$38^A1754)</f>
        <v>0.02391098849</v>
      </c>
    </row>
    <row r="1755">
      <c r="A1755" s="6">
        <v>1753.0</v>
      </c>
      <c r="B1755" s="17">
        <f t="array" ref="B1755">SUM(1-'Sparkling Model'!D$2:D$38^A1755)</f>
        <v>33.80856646</v>
      </c>
      <c r="C1755" s="8">
        <f t="array" ref="C1755">PRODUCT(1-'Sparkling Model'!D$2:D$38^A1755)</f>
        <v>0.02400555994</v>
      </c>
    </row>
    <row r="1756">
      <c r="A1756" s="6">
        <v>1754.0</v>
      </c>
      <c r="B1756" s="17">
        <f t="array" ref="B1756">SUM(1-'Sparkling Model'!D$2:D$38^A1756)</f>
        <v>33.81173352</v>
      </c>
      <c r="C1756" s="8">
        <f t="array" ref="C1756">PRODUCT(1-'Sparkling Model'!D$2:D$38^A1756)</f>
        <v>0.02410037135</v>
      </c>
    </row>
    <row r="1757">
      <c r="A1757" s="6">
        <v>1755.0</v>
      </c>
      <c r="B1757" s="17">
        <f t="array" ref="B1757">SUM(1-'Sparkling Model'!D$2:D$38^A1757)</f>
        <v>33.81489639</v>
      </c>
      <c r="C1757" s="8">
        <f t="array" ref="C1757">PRODUCT(1-'Sparkling Model'!D$2:D$38^A1757)</f>
        <v>0.02419542286</v>
      </c>
    </row>
    <row r="1758">
      <c r="A1758" s="6">
        <v>1756.0</v>
      </c>
      <c r="B1758" s="17">
        <f t="array" ref="B1758">SUM(1-'Sparkling Model'!D$2:D$38^A1758)</f>
        <v>33.81805507</v>
      </c>
      <c r="C1758" s="8">
        <f t="array" ref="C1758">PRODUCT(1-'Sparkling Model'!D$2:D$38^A1758)</f>
        <v>0.02429071459</v>
      </c>
    </row>
    <row r="1759">
      <c r="A1759" s="6">
        <v>1757.0</v>
      </c>
      <c r="B1759" s="17">
        <f t="array" ref="B1759">SUM(1-'Sparkling Model'!D$2:D$38^A1759)</f>
        <v>33.82120957</v>
      </c>
      <c r="C1759" s="8">
        <f t="array" ref="C1759">PRODUCT(1-'Sparkling Model'!D$2:D$38^A1759)</f>
        <v>0.02438624668</v>
      </c>
    </row>
    <row r="1760">
      <c r="A1760" s="6">
        <v>1758.0</v>
      </c>
      <c r="B1760" s="17">
        <f t="array" ref="B1760">SUM(1-'Sparkling Model'!D$2:D$38^A1760)</f>
        <v>33.8243599</v>
      </c>
      <c r="C1760" s="8">
        <f t="array" ref="C1760">PRODUCT(1-'Sparkling Model'!D$2:D$38^A1760)</f>
        <v>0.02448201925</v>
      </c>
    </row>
    <row r="1761">
      <c r="A1761" s="6">
        <v>1759.0</v>
      </c>
      <c r="B1761" s="17">
        <f t="array" ref="B1761">SUM(1-'Sparkling Model'!D$2:D$38^A1761)</f>
        <v>33.82750605</v>
      </c>
      <c r="C1761" s="8">
        <f t="array" ref="C1761">PRODUCT(1-'Sparkling Model'!D$2:D$38^A1761)</f>
        <v>0.02457803243</v>
      </c>
    </row>
    <row r="1762">
      <c r="A1762" s="6">
        <v>1760.0</v>
      </c>
      <c r="B1762" s="17">
        <f t="array" ref="B1762">SUM(1-'Sparkling Model'!D$2:D$38^A1762)</f>
        <v>33.83064805</v>
      </c>
      <c r="C1762" s="8">
        <f t="array" ref="C1762">PRODUCT(1-'Sparkling Model'!D$2:D$38^A1762)</f>
        <v>0.02467428633</v>
      </c>
    </row>
    <row r="1763">
      <c r="A1763" s="6">
        <v>1761.0</v>
      </c>
      <c r="B1763" s="17">
        <f t="array" ref="B1763">SUM(1-'Sparkling Model'!D$2:D$38^A1763)</f>
        <v>33.83378589</v>
      </c>
      <c r="C1763" s="8">
        <f t="array" ref="C1763">PRODUCT(1-'Sparkling Model'!D$2:D$38^A1763)</f>
        <v>0.02477078109</v>
      </c>
    </row>
    <row r="1764">
      <c r="A1764" s="6">
        <v>1762.0</v>
      </c>
      <c r="B1764" s="17">
        <f t="array" ref="B1764">SUM(1-'Sparkling Model'!D$2:D$38^A1764)</f>
        <v>33.83691959</v>
      </c>
      <c r="C1764" s="8">
        <f t="array" ref="C1764">PRODUCT(1-'Sparkling Model'!D$2:D$38^A1764)</f>
        <v>0.02486751681</v>
      </c>
    </row>
    <row r="1765">
      <c r="A1765" s="6">
        <v>1763.0</v>
      </c>
      <c r="B1765" s="17">
        <f t="array" ref="B1765">SUM(1-'Sparkling Model'!D$2:D$38^A1765)</f>
        <v>33.84004914</v>
      </c>
      <c r="C1765" s="8">
        <f t="array" ref="C1765">PRODUCT(1-'Sparkling Model'!D$2:D$38^A1765)</f>
        <v>0.02496449364</v>
      </c>
    </row>
    <row r="1766">
      <c r="A1766" s="6">
        <v>1764.0</v>
      </c>
      <c r="B1766" s="17">
        <f t="array" ref="B1766">SUM(1-'Sparkling Model'!D$2:D$38^A1766)</f>
        <v>33.84317456</v>
      </c>
      <c r="C1766" s="8">
        <f t="array" ref="C1766">PRODUCT(1-'Sparkling Model'!D$2:D$38^A1766)</f>
        <v>0.02506171167</v>
      </c>
    </row>
    <row r="1767">
      <c r="A1767" s="6">
        <v>1765.0</v>
      </c>
      <c r="B1767" s="17">
        <f t="array" ref="B1767">SUM(1-'Sparkling Model'!D$2:D$38^A1767)</f>
        <v>33.84629586</v>
      </c>
      <c r="C1767" s="8">
        <f t="array" ref="C1767">PRODUCT(1-'Sparkling Model'!D$2:D$38^A1767)</f>
        <v>0.02515917104</v>
      </c>
    </row>
    <row r="1768">
      <c r="A1768" s="6">
        <v>1766.0</v>
      </c>
      <c r="B1768" s="17">
        <f t="array" ref="B1768">SUM(1-'Sparkling Model'!D$2:D$38^A1768)</f>
        <v>33.84941303</v>
      </c>
      <c r="C1768" s="8">
        <f t="array" ref="C1768">PRODUCT(1-'Sparkling Model'!D$2:D$38^A1768)</f>
        <v>0.02525687185</v>
      </c>
    </row>
    <row r="1769">
      <c r="A1769" s="6">
        <v>1767.0</v>
      </c>
      <c r="B1769" s="17">
        <f t="array" ref="B1769">SUM(1-'Sparkling Model'!D$2:D$38^A1769)</f>
        <v>33.85252609</v>
      </c>
      <c r="C1769" s="8">
        <f t="array" ref="C1769">PRODUCT(1-'Sparkling Model'!D$2:D$38^A1769)</f>
        <v>0.02535481423</v>
      </c>
    </row>
    <row r="1770">
      <c r="A1770" s="6">
        <v>1768.0</v>
      </c>
      <c r="B1770" s="17">
        <f t="array" ref="B1770">SUM(1-'Sparkling Model'!D$2:D$38^A1770)</f>
        <v>33.85563505</v>
      </c>
      <c r="C1770" s="8">
        <f t="array" ref="C1770">PRODUCT(1-'Sparkling Model'!D$2:D$38^A1770)</f>
        <v>0.02545299828</v>
      </c>
    </row>
    <row r="1771">
      <c r="A1771" s="6">
        <v>1769.0</v>
      </c>
      <c r="B1771" s="17">
        <f t="array" ref="B1771">SUM(1-'Sparkling Model'!D$2:D$38^A1771)</f>
        <v>33.8587399</v>
      </c>
      <c r="C1771" s="8">
        <f t="array" ref="C1771">PRODUCT(1-'Sparkling Model'!D$2:D$38^A1771)</f>
        <v>0.02555142412</v>
      </c>
    </row>
    <row r="1772">
      <c r="A1772" s="6">
        <v>1770.0</v>
      </c>
      <c r="B1772" s="17">
        <f t="array" ref="B1772">SUM(1-'Sparkling Model'!D$2:D$38^A1772)</f>
        <v>33.86184066</v>
      </c>
      <c r="C1772" s="8">
        <f t="array" ref="C1772">PRODUCT(1-'Sparkling Model'!D$2:D$38^A1772)</f>
        <v>0.02565009187</v>
      </c>
    </row>
    <row r="1773">
      <c r="A1773" s="6">
        <v>1771.0</v>
      </c>
      <c r="B1773" s="17">
        <f t="array" ref="B1773">SUM(1-'Sparkling Model'!D$2:D$38^A1773)</f>
        <v>33.86493734</v>
      </c>
      <c r="C1773" s="8">
        <f t="array" ref="C1773">PRODUCT(1-'Sparkling Model'!D$2:D$38^A1773)</f>
        <v>0.02574900163</v>
      </c>
    </row>
    <row r="1774">
      <c r="A1774" s="6">
        <v>1772.0</v>
      </c>
      <c r="B1774" s="17">
        <f t="array" ref="B1774">SUM(1-'Sparkling Model'!D$2:D$38^A1774)</f>
        <v>33.86802993</v>
      </c>
      <c r="C1774" s="8">
        <f t="array" ref="C1774">PRODUCT(1-'Sparkling Model'!D$2:D$38^A1774)</f>
        <v>0.02584815352</v>
      </c>
    </row>
    <row r="1775">
      <c r="A1775" s="6">
        <v>1773.0</v>
      </c>
      <c r="B1775" s="17">
        <f t="array" ref="B1775">SUM(1-'Sparkling Model'!D$2:D$38^A1775)</f>
        <v>33.87111846</v>
      </c>
      <c r="C1775" s="8">
        <f t="array" ref="C1775">PRODUCT(1-'Sparkling Model'!D$2:D$38^A1775)</f>
        <v>0.02594754763</v>
      </c>
    </row>
    <row r="1776">
      <c r="A1776" s="6">
        <v>1774.0</v>
      </c>
      <c r="B1776" s="17">
        <f t="array" ref="B1776">SUM(1-'Sparkling Model'!D$2:D$38^A1776)</f>
        <v>33.87420291</v>
      </c>
      <c r="C1776" s="8">
        <f t="array" ref="C1776">PRODUCT(1-'Sparkling Model'!D$2:D$38^A1776)</f>
        <v>0.02604718409</v>
      </c>
    </row>
    <row r="1777">
      <c r="A1777" s="6">
        <v>1775.0</v>
      </c>
      <c r="B1777" s="17">
        <f t="array" ref="B1777">SUM(1-'Sparkling Model'!D$2:D$38^A1777)</f>
        <v>33.87728331</v>
      </c>
      <c r="C1777" s="8">
        <f t="array" ref="C1777">PRODUCT(1-'Sparkling Model'!D$2:D$38^A1777)</f>
        <v>0.02614706299</v>
      </c>
    </row>
    <row r="1778">
      <c r="A1778" s="6">
        <v>1776.0</v>
      </c>
      <c r="B1778" s="17">
        <f t="array" ref="B1778">SUM(1-'Sparkling Model'!D$2:D$38^A1778)</f>
        <v>33.88035965</v>
      </c>
      <c r="C1778" s="8">
        <f t="array" ref="C1778">PRODUCT(1-'Sparkling Model'!D$2:D$38^A1778)</f>
        <v>0.02624718443</v>
      </c>
    </row>
    <row r="1779">
      <c r="A1779" s="6">
        <v>1777.0</v>
      </c>
      <c r="B1779" s="17">
        <f t="array" ref="B1779">SUM(1-'Sparkling Model'!D$2:D$38^A1779)</f>
        <v>33.88343195</v>
      </c>
      <c r="C1779" s="8">
        <f t="array" ref="C1779">PRODUCT(1-'Sparkling Model'!D$2:D$38^A1779)</f>
        <v>0.02634754854</v>
      </c>
    </row>
    <row r="1780">
      <c r="A1780" s="6">
        <v>1778.0</v>
      </c>
      <c r="B1780" s="17">
        <f t="array" ref="B1780">SUM(1-'Sparkling Model'!D$2:D$38^A1780)</f>
        <v>33.88650021</v>
      </c>
      <c r="C1780" s="8">
        <f t="array" ref="C1780">PRODUCT(1-'Sparkling Model'!D$2:D$38^A1780)</f>
        <v>0.02644815539</v>
      </c>
    </row>
    <row r="1781">
      <c r="A1781" s="6">
        <v>1779.0</v>
      </c>
      <c r="B1781" s="17">
        <f t="array" ref="B1781">SUM(1-'Sparkling Model'!D$2:D$38^A1781)</f>
        <v>33.88956443</v>
      </c>
      <c r="C1781" s="8">
        <f t="array" ref="C1781">PRODUCT(1-'Sparkling Model'!D$2:D$38^A1781)</f>
        <v>0.02654900511</v>
      </c>
    </row>
    <row r="1782">
      <c r="A1782" s="6">
        <v>1780.0</v>
      </c>
      <c r="B1782" s="17">
        <f t="array" ref="B1782">SUM(1-'Sparkling Model'!D$2:D$38^A1782)</f>
        <v>33.89262463</v>
      </c>
      <c r="C1782" s="8">
        <f t="array" ref="C1782">PRODUCT(1-'Sparkling Model'!D$2:D$38^A1782)</f>
        <v>0.02665009778</v>
      </c>
    </row>
    <row r="1783">
      <c r="A1783" s="6">
        <v>1781.0</v>
      </c>
      <c r="B1783" s="17">
        <f t="array" ref="B1783">SUM(1-'Sparkling Model'!D$2:D$38^A1783)</f>
        <v>33.8956808</v>
      </c>
      <c r="C1783" s="8">
        <f t="array" ref="C1783">PRODUCT(1-'Sparkling Model'!D$2:D$38^A1783)</f>
        <v>0.02675143351</v>
      </c>
    </row>
    <row r="1784">
      <c r="A1784" s="6">
        <v>1782.0</v>
      </c>
      <c r="B1784" s="17">
        <f t="array" ref="B1784">SUM(1-'Sparkling Model'!D$2:D$38^A1784)</f>
        <v>33.89873297</v>
      </c>
      <c r="C1784" s="8">
        <f t="array" ref="C1784">PRODUCT(1-'Sparkling Model'!D$2:D$38^A1784)</f>
        <v>0.0268530124</v>
      </c>
    </row>
    <row r="1785">
      <c r="A1785" s="6">
        <v>1783.0</v>
      </c>
      <c r="B1785" s="17">
        <f t="array" ref="B1785">SUM(1-'Sparkling Model'!D$2:D$38^A1785)</f>
        <v>33.90178112</v>
      </c>
      <c r="C1785" s="8">
        <f t="array" ref="C1785">PRODUCT(1-'Sparkling Model'!D$2:D$38^A1785)</f>
        <v>0.02695483453</v>
      </c>
    </row>
    <row r="1786">
      <c r="A1786" s="6">
        <v>1784.0</v>
      </c>
      <c r="B1786" s="17">
        <f t="array" ref="B1786">SUM(1-'Sparkling Model'!D$2:D$38^A1786)</f>
        <v>33.90482528</v>
      </c>
      <c r="C1786" s="8">
        <f t="array" ref="C1786">PRODUCT(1-'Sparkling Model'!D$2:D$38^A1786)</f>
        <v>0.02705690001</v>
      </c>
    </row>
    <row r="1787">
      <c r="A1787" s="6">
        <v>1785.0</v>
      </c>
      <c r="B1787" s="17">
        <f t="array" ref="B1787">SUM(1-'Sparkling Model'!D$2:D$38^A1787)</f>
        <v>33.90786544</v>
      </c>
      <c r="C1787" s="8">
        <f t="array" ref="C1787">PRODUCT(1-'Sparkling Model'!D$2:D$38^A1787)</f>
        <v>0.02715920893</v>
      </c>
    </row>
    <row r="1788">
      <c r="A1788" s="6">
        <v>1786.0</v>
      </c>
      <c r="B1788" s="17">
        <f t="array" ref="B1788">SUM(1-'Sparkling Model'!D$2:D$38^A1788)</f>
        <v>33.91090162</v>
      </c>
      <c r="C1788" s="8">
        <f t="array" ref="C1788">PRODUCT(1-'Sparkling Model'!D$2:D$38^A1788)</f>
        <v>0.02726176138</v>
      </c>
    </row>
    <row r="1789">
      <c r="A1789" s="6">
        <v>1787.0</v>
      </c>
      <c r="B1789" s="17">
        <f t="array" ref="B1789">SUM(1-'Sparkling Model'!D$2:D$38^A1789)</f>
        <v>33.91393381</v>
      </c>
      <c r="C1789" s="8">
        <f t="array" ref="C1789">PRODUCT(1-'Sparkling Model'!D$2:D$38^A1789)</f>
        <v>0.02736455746</v>
      </c>
    </row>
    <row r="1790">
      <c r="A1790" s="6">
        <v>1788.0</v>
      </c>
      <c r="B1790" s="17">
        <f t="array" ref="B1790">SUM(1-'Sparkling Model'!D$2:D$38^A1790)</f>
        <v>33.91696203</v>
      </c>
      <c r="C1790" s="8">
        <f t="array" ref="C1790">PRODUCT(1-'Sparkling Model'!D$2:D$38^A1790)</f>
        <v>0.02746759726</v>
      </c>
    </row>
    <row r="1791">
      <c r="A1791" s="6">
        <v>1789.0</v>
      </c>
      <c r="B1791" s="17">
        <f t="array" ref="B1791">SUM(1-'Sparkling Model'!D$2:D$38^A1791)</f>
        <v>33.91998628</v>
      </c>
      <c r="C1791" s="8">
        <f t="array" ref="C1791">PRODUCT(1-'Sparkling Model'!D$2:D$38^A1791)</f>
        <v>0.02757088086</v>
      </c>
    </row>
    <row r="1792">
      <c r="A1792" s="6">
        <v>1790.0</v>
      </c>
      <c r="B1792" s="17">
        <f t="array" ref="B1792">SUM(1-'Sparkling Model'!D$2:D$38^A1792)</f>
        <v>33.92300657</v>
      </c>
      <c r="C1792" s="8">
        <f t="array" ref="C1792">PRODUCT(1-'Sparkling Model'!D$2:D$38^A1792)</f>
        <v>0.02767440835</v>
      </c>
    </row>
    <row r="1793">
      <c r="A1793" s="6">
        <v>1791.0</v>
      </c>
      <c r="B1793" s="17">
        <f t="array" ref="B1793">SUM(1-'Sparkling Model'!D$2:D$38^A1793)</f>
        <v>33.92602291</v>
      </c>
      <c r="C1793" s="8">
        <f t="array" ref="C1793">PRODUCT(1-'Sparkling Model'!D$2:D$38^A1793)</f>
        <v>0.02777817982</v>
      </c>
    </row>
    <row r="1794">
      <c r="A1794" s="6">
        <v>1792.0</v>
      </c>
      <c r="B1794" s="17">
        <f t="array" ref="B1794">SUM(1-'Sparkling Model'!D$2:D$38^A1794)</f>
        <v>33.92903529</v>
      </c>
      <c r="C1794" s="8">
        <f t="array" ref="C1794">PRODUCT(1-'Sparkling Model'!D$2:D$38^A1794)</f>
        <v>0.02788219536</v>
      </c>
    </row>
    <row r="1795">
      <c r="A1795" s="6">
        <v>1793.0</v>
      </c>
      <c r="B1795" s="17">
        <f t="array" ref="B1795">SUM(1-'Sparkling Model'!D$2:D$38^A1795)</f>
        <v>33.93204374</v>
      </c>
      <c r="C1795" s="8">
        <f t="array" ref="C1795">PRODUCT(1-'Sparkling Model'!D$2:D$38^A1795)</f>
        <v>0.02798645506</v>
      </c>
    </row>
    <row r="1796">
      <c r="A1796" s="6">
        <v>1794.0</v>
      </c>
      <c r="B1796" s="17">
        <f t="array" ref="B1796">SUM(1-'Sparkling Model'!D$2:D$38^A1796)</f>
        <v>33.93504825</v>
      </c>
      <c r="C1796" s="8">
        <f t="array" ref="C1796">PRODUCT(1-'Sparkling Model'!D$2:D$38^A1796)</f>
        <v>0.02809095898</v>
      </c>
    </row>
    <row r="1797">
      <c r="A1797" s="6">
        <v>1795.0</v>
      </c>
      <c r="B1797" s="17">
        <f t="array" ref="B1797">SUM(1-'Sparkling Model'!D$2:D$38^A1797)</f>
        <v>33.93804883</v>
      </c>
      <c r="C1797" s="8">
        <f t="array" ref="C1797">PRODUCT(1-'Sparkling Model'!D$2:D$38^A1797)</f>
        <v>0.02819570723</v>
      </c>
    </row>
    <row r="1798">
      <c r="A1798" s="6">
        <v>1796.0</v>
      </c>
      <c r="B1798" s="17">
        <f t="array" ref="B1798">SUM(1-'Sparkling Model'!D$2:D$38^A1798)</f>
        <v>33.94104548</v>
      </c>
      <c r="C1798" s="8">
        <f t="array" ref="C1798">PRODUCT(1-'Sparkling Model'!D$2:D$38^A1798)</f>
        <v>0.02830069987</v>
      </c>
    </row>
    <row r="1799">
      <c r="A1799" s="6">
        <v>1797.0</v>
      </c>
      <c r="B1799" s="17">
        <f t="array" ref="B1799">SUM(1-'Sparkling Model'!D$2:D$38^A1799)</f>
        <v>33.94403822</v>
      </c>
      <c r="C1799" s="8">
        <f t="array" ref="C1799">PRODUCT(1-'Sparkling Model'!D$2:D$38^A1799)</f>
        <v>0.02840593699</v>
      </c>
    </row>
    <row r="1800">
      <c r="A1800" s="6">
        <v>1798.0</v>
      </c>
      <c r="B1800" s="17">
        <f t="array" ref="B1800">SUM(1-'Sparkling Model'!D$2:D$38^A1800)</f>
        <v>33.94702705</v>
      </c>
      <c r="C1800" s="8">
        <f t="array" ref="C1800">PRODUCT(1-'Sparkling Model'!D$2:D$38^A1800)</f>
        <v>0.02851141867</v>
      </c>
    </row>
    <row r="1801">
      <c r="A1801" s="6">
        <v>1799.0</v>
      </c>
      <c r="B1801" s="17">
        <f t="array" ref="B1801">SUM(1-'Sparkling Model'!D$2:D$38^A1801)</f>
        <v>33.95001198</v>
      </c>
      <c r="C1801" s="8">
        <f t="array" ref="C1801">PRODUCT(1-'Sparkling Model'!D$2:D$38^A1801)</f>
        <v>0.02861714498</v>
      </c>
    </row>
    <row r="1802">
      <c r="A1802" s="6">
        <v>1800.0</v>
      </c>
      <c r="B1802" s="17">
        <f t="array" ref="B1802">SUM(1-'Sparkling Model'!D$2:D$38^A1802)</f>
        <v>33.95299301</v>
      </c>
      <c r="C1802" s="8">
        <f t="array" ref="C1802">PRODUCT(1-'Sparkling Model'!D$2:D$38^A1802)</f>
        <v>0.02872311601</v>
      </c>
    </row>
    <row r="1803">
      <c r="A1803" s="6">
        <v>1801.0</v>
      </c>
      <c r="B1803" s="17">
        <f t="array" ref="B1803">SUM(1-'Sparkling Model'!D$2:D$38^A1803)</f>
        <v>33.95597014</v>
      </c>
      <c r="C1803" s="8">
        <f t="array" ref="C1803">PRODUCT(1-'Sparkling Model'!D$2:D$38^A1803)</f>
        <v>0.02882933182</v>
      </c>
    </row>
    <row r="1804">
      <c r="A1804" s="6">
        <v>1802.0</v>
      </c>
      <c r="B1804" s="17">
        <f t="array" ref="B1804">SUM(1-'Sparkling Model'!D$2:D$38^A1804)</f>
        <v>33.9589434</v>
      </c>
      <c r="C1804" s="8">
        <f t="array" ref="C1804">PRODUCT(1-'Sparkling Model'!D$2:D$38^A1804)</f>
        <v>0.02893579249</v>
      </c>
    </row>
    <row r="1805">
      <c r="A1805" s="6">
        <v>1803.0</v>
      </c>
      <c r="B1805" s="17">
        <f t="array" ref="B1805">SUM(1-'Sparkling Model'!D$2:D$38^A1805)</f>
        <v>33.96191277</v>
      </c>
      <c r="C1805" s="8">
        <f t="array" ref="C1805">PRODUCT(1-'Sparkling Model'!D$2:D$38^A1805)</f>
        <v>0.0290424981</v>
      </c>
    </row>
    <row r="1806">
      <c r="A1806" s="6">
        <v>1804.0</v>
      </c>
      <c r="B1806" s="17">
        <f t="array" ref="B1806">SUM(1-'Sparkling Model'!D$2:D$38^A1806)</f>
        <v>33.96487827</v>
      </c>
      <c r="C1806" s="8">
        <f t="array" ref="C1806">PRODUCT(1-'Sparkling Model'!D$2:D$38^A1806)</f>
        <v>0.02914944871</v>
      </c>
    </row>
    <row r="1807">
      <c r="A1807" s="6">
        <v>1805.0</v>
      </c>
      <c r="B1807" s="17">
        <f t="array" ref="B1807">SUM(1-'Sparkling Model'!D$2:D$38^A1807)</f>
        <v>33.96783991</v>
      </c>
      <c r="C1807" s="8">
        <f t="array" ref="C1807">PRODUCT(1-'Sparkling Model'!D$2:D$38^A1807)</f>
        <v>0.0292566444</v>
      </c>
    </row>
    <row r="1808">
      <c r="A1808" s="6">
        <v>1806.0</v>
      </c>
      <c r="B1808" s="17">
        <f t="array" ref="B1808">SUM(1-'Sparkling Model'!D$2:D$38^A1808)</f>
        <v>33.97079768</v>
      </c>
      <c r="C1808" s="8">
        <f t="array" ref="C1808">PRODUCT(1-'Sparkling Model'!D$2:D$38^A1808)</f>
        <v>0.02936408523</v>
      </c>
    </row>
    <row r="1809">
      <c r="A1809" s="6">
        <v>1807.0</v>
      </c>
      <c r="B1809" s="17">
        <f t="array" ref="B1809">SUM(1-'Sparkling Model'!D$2:D$38^A1809)</f>
        <v>33.97375161</v>
      </c>
      <c r="C1809" s="8">
        <f t="array" ref="C1809">PRODUCT(1-'Sparkling Model'!D$2:D$38^A1809)</f>
        <v>0.02947177128</v>
      </c>
    </row>
    <row r="1810">
      <c r="A1810" s="6">
        <v>1808.0</v>
      </c>
      <c r="B1810" s="17">
        <f t="array" ref="B1810">SUM(1-'Sparkling Model'!D$2:D$38^A1810)</f>
        <v>33.97670168</v>
      </c>
      <c r="C1810" s="8">
        <f t="array" ref="C1810">PRODUCT(1-'Sparkling Model'!D$2:D$38^A1810)</f>
        <v>0.02957970261</v>
      </c>
    </row>
    <row r="1811">
      <c r="A1811" s="6">
        <v>1809.0</v>
      </c>
      <c r="B1811" s="17">
        <f t="array" ref="B1811">SUM(1-'Sparkling Model'!D$2:D$38^A1811)</f>
        <v>33.97964792</v>
      </c>
      <c r="C1811" s="8">
        <f t="array" ref="C1811">PRODUCT(1-'Sparkling Model'!D$2:D$38^A1811)</f>
        <v>0.02968787929</v>
      </c>
    </row>
    <row r="1812">
      <c r="A1812" s="6">
        <v>1810.0</v>
      </c>
      <c r="B1812" s="17">
        <f t="array" ref="B1812">SUM(1-'Sparkling Model'!D$2:D$38^A1812)</f>
        <v>33.98259032</v>
      </c>
      <c r="C1812" s="8">
        <f t="array" ref="C1812">PRODUCT(1-'Sparkling Model'!D$2:D$38^A1812)</f>
        <v>0.02979630137</v>
      </c>
    </row>
    <row r="1813">
      <c r="A1813" s="6">
        <v>1811.0</v>
      </c>
      <c r="B1813" s="17">
        <f t="array" ref="B1813">SUM(1-'Sparkling Model'!D$2:D$38^A1813)</f>
        <v>33.98552889</v>
      </c>
      <c r="C1813" s="8">
        <f t="array" ref="C1813">PRODUCT(1-'Sparkling Model'!D$2:D$38^A1813)</f>
        <v>0.02990496894</v>
      </c>
    </row>
    <row r="1814">
      <c r="A1814" s="6">
        <v>1812.0</v>
      </c>
      <c r="B1814" s="17">
        <f t="array" ref="B1814">SUM(1-'Sparkling Model'!D$2:D$38^A1814)</f>
        <v>33.98846364</v>
      </c>
      <c r="C1814" s="8">
        <f t="array" ref="C1814">PRODUCT(1-'Sparkling Model'!D$2:D$38^A1814)</f>
        <v>0.03001388204</v>
      </c>
    </row>
    <row r="1815">
      <c r="A1815" s="6">
        <v>1813.0</v>
      </c>
      <c r="B1815" s="17">
        <f t="array" ref="B1815">SUM(1-'Sparkling Model'!D$2:D$38^A1815)</f>
        <v>33.99139457</v>
      </c>
      <c r="C1815" s="8">
        <f t="array" ref="C1815">PRODUCT(1-'Sparkling Model'!D$2:D$38^A1815)</f>
        <v>0.03012304074</v>
      </c>
    </row>
    <row r="1816">
      <c r="A1816" s="6">
        <v>1814.0</v>
      </c>
      <c r="B1816" s="17">
        <f t="array" ref="B1816">SUM(1-'Sparkling Model'!D$2:D$38^A1816)</f>
        <v>33.9943217</v>
      </c>
      <c r="C1816" s="8">
        <f t="array" ref="C1816">PRODUCT(1-'Sparkling Model'!D$2:D$38^A1816)</f>
        <v>0.0302324451</v>
      </c>
    </row>
    <row r="1817">
      <c r="A1817" s="6">
        <v>1815.0</v>
      </c>
      <c r="B1817" s="17">
        <f t="array" ref="B1817">SUM(1-'Sparkling Model'!D$2:D$38^A1817)</f>
        <v>33.99724502</v>
      </c>
      <c r="C1817" s="8">
        <f t="array" ref="C1817">PRODUCT(1-'Sparkling Model'!D$2:D$38^A1817)</f>
        <v>0.03034209517</v>
      </c>
    </row>
    <row r="1818">
      <c r="A1818" s="6">
        <v>1816.0</v>
      </c>
      <c r="B1818" s="17">
        <f t="array" ref="B1818">SUM(1-'Sparkling Model'!D$2:D$38^A1818)</f>
        <v>34.00016454</v>
      </c>
      <c r="C1818" s="8">
        <f t="array" ref="C1818">PRODUCT(1-'Sparkling Model'!D$2:D$38^A1818)</f>
        <v>0.03045199103</v>
      </c>
    </row>
    <row r="1819">
      <c r="A1819" s="6">
        <v>1817.0</v>
      </c>
      <c r="B1819" s="17">
        <f t="array" ref="B1819">SUM(1-'Sparkling Model'!D$2:D$38^A1819)</f>
        <v>34.00308027</v>
      </c>
      <c r="C1819" s="8">
        <f t="array" ref="C1819">PRODUCT(1-'Sparkling Model'!D$2:D$38^A1819)</f>
        <v>0.03056213271</v>
      </c>
    </row>
    <row r="1820">
      <c r="A1820" s="6">
        <v>1818.0</v>
      </c>
      <c r="B1820" s="17">
        <f t="array" ref="B1820">SUM(1-'Sparkling Model'!D$2:D$38^A1820)</f>
        <v>34.00599221</v>
      </c>
      <c r="C1820" s="8">
        <f t="array" ref="C1820">PRODUCT(1-'Sparkling Model'!D$2:D$38^A1820)</f>
        <v>0.03067252028</v>
      </c>
    </row>
    <row r="1821">
      <c r="A1821" s="6">
        <v>1819.0</v>
      </c>
      <c r="B1821" s="17">
        <f t="array" ref="B1821">SUM(1-'Sparkling Model'!D$2:D$38^A1821)</f>
        <v>34.00890038</v>
      </c>
      <c r="C1821" s="8">
        <f t="array" ref="C1821">PRODUCT(1-'Sparkling Model'!D$2:D$38^A1821)</f>
        <v>0.0307831538</v>
      </c>
    </row>
    <row r="1822">
      <c r="A1822" s="6">
        <v>1820.0</v>
      </c>
      <c r="B1822" s="17">
        <f t="array" ref="B1822">SUM(1-'Sparkling Model'!D$2:D$38^A1822)</f>
        <v>34.01180477</v>
      </c>
      <c r="C1822" s="8">
        <f t="array" ref="C1822">PRODUCT(1-'Sparkling Model'!D$2:D$38^A1822)</f>
        <v>0.03089403331</v>
      </c>
    </row>
    <row r="1823">
      <c r="A1823" s="6">
        <v>1821.0</v>
      </c>
      <c r="B1823" s="17">
        <f t="array" ref="B1823">SUM(1-'Sparkling Model'!D$2:D$38^A1823)</f>
        <v>34.0147054</v>
      </c>
      <c r="C1823" s="8">
        <f t="array" ref="C1823">PRODUCT(1-'Sparkling Model'!D$2:D$38^A1823)</f>
        <v>0.03100515887</v>
      </c>
    </row>
    <row r="1824">
      <c r="A1824" s="6">
        <v>1822.0</v>
      </c>
      <c r="B1824" s="17">
        <f t="array" ref="B1824">SUM(1-'Sparkling Model'!D$2:D$38^A1824)</f>
        <v>34.01760226</v>
      </c>
      <c r="C1824" s="8">
        <f t="array" ref="C1824">PRODUCT(1-'Sparkling Model'!D$2:D$38^A1824)</f>
        <v>0.03111653052</v>
      </c>
    </row>
    <row r="1825">
      <c r="A1825" s="6">
        <v>1823.0</v>
      </c>
      <c r="B1825" s="17">
        <f t="array" ref="B1825">SUM(1-'Sparkling Model'!D$2:D$38^A1825)</f>
        <v>34.02049537</v>
      </c>
      <c r="C1825" s="8">
        <f t="array" ref="C1825">PRODUCT(1-'Sparkling Model'!D$2:D$38^A1825)</f>
        <v>0.03122814832</v>
      </c>
    </row>
    <row r="1826">
      <c r="A1826" s="6">
        <v>1824.0</v>
      </c>
      <c r="B1826" s="17">
        <f t="array" ref="B1826">SUM(1-'Sparkling Model'!D$2:D$38^A1826)</f>
        <v>34.02338473</v>
      </c>
      <c r="C1826" s="8">
        <f t="array" ref="C1826">PRODUCT(1-'Sparkling Model'!D$2:D$38^A1826)</f>
        <v>0.03134001232</v>
      </c>
    </row>
    <row r="1827">
      <c r="A1827" s="6">
        <v>1825.0</v>
      </c>
      <c r="B1827" s="17">
        <f t="array" ref="B1827">SUM(1-'Sparkling Model'!D$2:D$38^A1827)</f>
        <v>34.02627035</v>
      </c>
      <c r="C1827" s="8">
        <f t="array" ref="C1827">PRODUCT(1-'Sparkling Model'!D$2:D$38^A1827)</f>
        <v>0.03145212256</v>
      </c>
    </row>
    <row r="1828">
      <c r="A1828" s="6">
        <v>1826.0</v>
      </c>
      <c r="B1828" s="17">
        <f t="array" ref="B1828">SUM(1-'Sparkling Model'!D$2:D$38^A1828)</f>
        <v>34.02915224</v>
      </c>
      <c r="C1828" s="8">
        <f t="array" ref="C1828">PRODUCT(1-'Sparkling Model'!D$2:D$38^A1828)</f>
        <v>0.03156447909</v>
      </c>
    </row>
    <row r="1829">
      <c r="A1829" s="6">
        <v>1827.0</v>
      </c>
      <c r="B1829" s="17">
        <f t="array" ref="B1829">SUM(1-'Sparkling Model'!D$2:D$38^A1829)</f>
        <v>34.03203039</v>
      </c>
      <c r="C1829" s="8">
        <f t="array" ref="C1829">PRODUCT(1-'Sparkling Model'!D$2:D$38^A1829)</f>
        <v>0.03167708195</v>
      </c>
    </row>
    <row r="1830">
      <c r="A1830" s="6">
        <v>1828.0</v>
      </c>
      <c r="B1830" s="17">
        <f t="array" ref="B1830">SUM(1-'Sparkling Model'!D$2:D$38^A1830)</f>
        <v>34.03490481</v>
      </c>
      <c r="C1830" s="8">
        <f t="array" ref="C1830">PRODUCT(1-'Sparkling Model'!D$2:D$38^A1830)</f>
        <v>0.03178993119</v>
      </c>
    </row>
    <row r="1831">
      <c r="A1831" s="6">
        <v>1829.0</v>
      </c>
      <c r="B1831" s="17">
        <f t="array" ref="B1831">SUM(1-'Sparkling Model'!D$2:D$38^A1831)</f>
        <v>34.03777552</v>
      </c>
      <c r="C1831" s="8">
        <f t="array" ref="C1831">PRODUCT(1-'Sparkling Model'!D$2:D$38^A1831)</f>
        <v>0.03190302685</v>
      </c>
    </row>
    <row r="1832">
      <c r="A1832" s="6">
        <v>1830.0</v>
      </c>
      <c r="B1832" s="17">
        <f t="array" ref="B1832">SUM(1-'Sparkling Model'!D$2:D$38^A1832)</f>
        <v>34.04064252</v>
      </c>
      <c r="C1832" s="8">
        <f t="array" ref="C1832">PRODUCT(1-'Sparkling Model'!D$2:D$38^A1832)</f>
        <v>0.03201636898</v>
      </c>
    </row>
    <row r="1833">
      <c r="A1833" s="6">
        <v>1831.0</v>
      </c>
      <c r="B1833" s="17">
        <f t="array" ref="B1833">SUM(1-'Sparkling Model'!D$2:D$38^A1833)</f>
        <v>34.04350581</v>
      </c>
      <c r="C1833" s="8">
        <f t="array" ref="C1833">PRODUCT(1-'Sparkling Model'!D$2:D$38^A1833)</f>
        <v>0.0321299576</v>
      </c>
    </row>
    <row r="1834">
      <c r="A1834" s="6">
        <v>1832.0</v>
      </c>
      <c r="B1834" s="17">
        <f t="array" ref="B1834">SUM(1-'Sparkling Model'!D$2:D$38^A1834)</f>
        <v>34.04636539</v>
      </c>
      <c r="C1834" s="8">
        <f t="array" ref="C1834">PRODUCT(1-'Sparkling Model'!D$2:D$38^A1834)</f>
        <v>0.03224379277</v>
      </c>
    </row>
    <row r="1835">
      <c r="A1835" s="6">
        <v>1833.0</v>
      </c>
      <c r="B1835" s="17">
        <f t="array" ref="B1835">SUM(1-'Sparkling Model'!D$2:D$38^A1835)</f>
        <v>34.04922129</v>
      </c>
      <c r="C1835" s="8">
        <f t="array" ref="C1835">PRODUCT(1-'Sparkling Model'!D$2:D$38^A1835)</f>
        <v>0.03235787452</v>
      </c>
    </row>
    <row r="1836">
      <c r="A1836" s="6">
        <v>1834.0</v>
      </c>
      <c r="B1836" s="17">
        <f t="array" ref="B1836">SUM(1-'Sparkling Model'!D$2:D$38^A1836)</f>
        <v>34.05207349</v>
      </c>
      <c r="C1836" s="8">
        <f t="array" ref="C1836">PRODUCT(1-'Sparkling Model'!D$2:D$38^A1836)</f>
        <v>0.03247220288</v>
      </c>
    </row>
    <row r="1837">
      <c r="A1837" s="6">
        <v>1835.0</v>
      </c>
      <c r="B1837" s="17">
        <f t="array" ref="B1837">SUM(1-'Sparkling Model'!D$2:D$38^A1837)</f>
        <v>34.05492201</v>
      </c>
      <c r="C1837" s="8">
        <f t="array" ref="C1837">PRODUCT(1-'Sparkling Model'!D$2:D$38^A1837)</f>
        <v>0.0325867779</v>
      </c>
    </row>
    <row r="1838">
      <c r="A1838" s="6">
        <v>1836.0</v>
      </c>
      <c r="B1838" s="17">
        <f t="array" ref="B1838">SUM(1-'Sparkling Model'!D$2:D$38^A1838)</f>
        <v>34.05776686</v>
      </c>
      <c r="C1838" s="8">
        <f t="array" ref="C1838">PRODUCT(1-'Sparkling Model'!D$2:D$38^A1838)</f>
        <v>0.0327015996</v>
      </c>
    </row>
    <row r="1839">
      <c r="A1839" s="6">
        <v>1837.0</v>
      </c>
      <c r="B1839" s="17">
        <f t="array" ref="B1839">SUM(1-'Sparkling Model'!D$2:D$38^A1839)</f>
        <v>34.06060803</v>
      </c>
      <c r="C1839" s="8">
        <f t="array" ref="C1839">PRODUCT(1-'Sparkling Model'!D$2:D$38^A1839)</f>
        <v>0.03281666803</v>
      </c>
    </row>
    <row r="1840">
      <c r="A1840" s="6">
        <v>1838.0</v>
      </c>
      <c r="B1840" s="17">
        <f t="array" ref="B1840">SUM(1-'Sparkling Model'!D$2:D$38^A1840)</f>
        <v>34.06344554</v>
      </c>
      <c r="C1840" s="8">
        <f t="array" ref="C1840">PRODUCT(1-'Sparkling Model'!D$2:D$38^A1840)</f>
        <v>0.0329319832</v>
      </c>
    </row>
    <row r="1841">
      <c r="A1841" s="6">
        <v>1839.0</v>
      </c>
      <c r="B1841" s="17">
        <f t="array" ref="B1841">SUM(1-'Sparkling Model'!D$2:D$38^A1841)</f>
        <v>34.06627939</v>
      </c>
      <c r="C1841" s="8">
        <f t="array" ref="C1841">PRODUCT(1-'Sparkling Model'!D$2:D$38^A1841)</f>
        <v>0.03304754516</v>
      </c>
    </row>
    <row r="1842">
      <c r="A1842" s="6">
        <v>1840.0</v>
      </c>
      <c r="B1842" s="17">
        <f t="array" ref="B1842">SUM(1-'Sparkling Model'!D$2:D$38^A1842)</f>
        <v>34.06910959</v>
      </c>
      <c r="C1842" s="8">
        <f t="array" ref="C1842">PRODUCT(1-'Sparkling Model'!D$2:D$38^A1842)</f>
        <v>0.03316335394</v>
      </c>
    </row>
    <row r="1843">
      <c r="A1843" s="6">
        <v>1841.0</v>
      </c>
      <c r="B1843" s="17">
        <f t="array" ref="B1843">SUM(1-'Sparkling Model'!D$2:D$38^A1843)</f>
        <v>34.07193614</v>
      </c>
      <c r="C1843" s="8">
        <f t="array" ref="C1843">PRODUCT(1-'Sparkling Model'!D$2:D$38^A1843)</f>
        <v>0.03327940955</v>
      </c>
    </row>
    <row r="1844">
      <c r="A1844" s="6">
        <v>1842.0</v>
      </c>
      <c r="B1844" s="17">
        <f t="array" ref="B1844">SUM(1-'Sparkling Model'!D$2:D$38^A1844)</f>
        <v>34.07475904</v>
      </c>
      <c r="C1844" s="8">
        <f t="array" ref="C1844">PRODUCT(1-'Sparkling Model'!D$2:D$38^A1844)</f>
        <v>0.03339571204</v>
      </c>
    </row>
    <row r="1845">
      <c r="A1845" s="6">
        <v>1843.0</v>
      </c>
      <c r="B1845" s="17">
        <f t="array" ref="B1845">SUM(1-'Sparkling Model'!D$2:D$38^A1845)</f>
        <v>34.07757831</v>
      </c>
      <c r="C1845" s="8">
        <f t="array" ref="C1845">PRODUCT(1-'Sparkling Model'!D$2:D$38^A1845)</f>
        <v>0.03351226142</v>
      </c>
    </row>
    <row r="1846">
      <c r="A1846" s="6">
        <v>1844.0</v>
      </c>
      <c r="B1846" s="17">
        <f t="array" ref="B1846">SUM(1-'Sparkling Model'!D$2:D$38^A1846)</f>
        <v>34.08039396</v>
      </c>
      <c r="C1846" s="8">
        <f t="array" ref="C1846">PRODUCT(1-'Sparkling Model'!D$2:D$38^A1846)</f>
        <v>0.03362905773</v>
      </c>
    </row>
    <row r="1847">
      <c r="A1847" s="6">
        <v>1845.0</v>
      </c>
      <c r="B1847" s="17">
        <f t="array" ref="B1847">SUM(1-'Sparkling Model'!D$2:D$38^A1847)</f>
        <v>34.08320597</v>
      </c>
      <c r="C1847" s="8">
        <f t="array" ref="C1847">PRODUCT(1-'Sparkling Model'!D$2:D$38^A1847)</f>
        <v>0.03374610098</v>
      </c>
    </row>
    <row r="1848">
      <c r="A1848" s="6">
        <v>1846.0</v>
      </c>
      <c r="B1848" s="17">
        <f t="array" ref="B1848">SUM(1-'Sparkling Model'!D$2:D$38^A1848)</f>
        <v>34.08601437</v>
      </c>
      <c r="C1848" s="8">
        <f t="array" ref="C1848">PRODUCT(1-'Sparkling Model'!D$2:D$38^A1848)</f>
        <v>0.03386339121</v>
      </c>
    </row>
    <row r="1849">
      <c r="A1849" s="6">
        <v>1847.0</v>
      </c>
      <c r="B1849" s="17">
        <f t="array" ref="B1849">SUM(1-'Sparkling Model'!D$2:D$38^A1849)</f>
        <v>34.08881916</v>
      </c>
      <c r="C1849" s="8">
        <f t="array" ref="C1849">PRODUCT(1-'Sparkling Model'!D$2:D$38^A1849)</f>
        <v>0.03398092842</v>
      </c>
    </row>
    <row r="1850">
      <c r="A1850" s="6">
        <v>1848.0</v>
      </c>
      <c r="B1850" s="17">
        <f t="array" ref="B1850">SUM(1-'Sparkling Model'!D$2:D$38^A1850)</f>
        <v>34.09162034</v>
      </c>
      <c r="C1850" s="8">
        <f t="array" ref="C1850">PRODUCT(1-'Sparkling Model'!D$2:D$38^A1850)</f>
        <v>0.03409871265</v>
      </c>
    </row>
    <row r="1851">
      <c r="A1851" s="6">
        <v>1849.0</v>
      </c>
      <c r="B1851" s="17">
        <f t="array" ref="B1851">SUM(1-'Sparkling Model'!D$2:D$38^A1851)</f>
        <v>34.09441792</v>
      </c>
      <c r="C1851" s="8">
        <f t="array" ref="C1851">PRODUCT(1-'Sparkling Model'!D$2:D$38^A1851)</f>
        <v>0.03421674391</v>
      </c>
    </row>
    <row r="1852">
      <c r="A1852" s="6">
        <v>1850.0</v>
      </c>
      <c r="B1852" s="17">
        <f t="array" ref="B1852">SUM(1-'Sparkling Model'!D$2:D$38^A1852)</f>
        <v>34.0972119</v>
      </c>
      <c r="C1852" s="8">
        <f t="array" ref="C1852">PRODUCT(1-'Sparkling Model'!D$2:D$38^A1852)</f>
        <v>0.03433502223</v>
      </c>
    </row>
    <row r="1853">
      <c r="A1853" s="6">
        <v>1851.0</v>
      </c>
      <c r="B1853" s="17">
        <f t="array" ref="B1853">SUM(1-'Sparkling Model'!D$2:D$38^A1853)</f>
        <v>34.1000023</v>
      </c>
      <c r="C1853" s="8">
        <f t="array" ref="C1853">PRODUCT(1-'Sparkling Model'!D$2:D$38^A1853)</f>
        <v>0.03445354761</v>
      </c>
    </row>
    <row r="1854">
      <c r="A1854" s="6">
        <v>1852.0</v>
      </c>
      <c r="B1854" s="17">
        <f t="array" ref="B1854">SUM(1-'Sparkling Model'!D$2:D$38^A1854)</f>
        <v>34.10278911</v>
      </c>
      <c r="C1854" s="8">
        <f t="array" ref="C1854">PRODUCT(1-'Sparkling Model'!D$2:D$38^A1854)</f>
        <v>0.03457232008</v>
      </c>
    </row>
    <row r="1855">
      <c r="A1855" s="6">
        <v>1853.0</v>
      </c>
      <c r="B1855" s="17">
        <f t="array" ref="B1855">SUM(1-'Sparkling Model'!D$2:D$38^A1855)</f>
        <v>34.10557234</v>
      </c>
      <c r="C1855" s="8">
        <f t="array" ref="C1855">PRODUCT(1-'Sparkling Model'!D$2:D$38^A1855)</f>
        <v>0.03469133964</v>
      </c>
    </row>
    <row r="1856">
      <c r="A1856" s="6">
        <v>1854.0</v>
      </c>
      <c r="B1856" s="17">
        <f t="array" ref="B1856">SUM(1-'Sparkling Model'!D$2:D$38^A1856)</f>
        <v>34.10835201</v>
      </c>
      <c r="C1856" s="8">
        <f t="array" ref="C1856">PRODUCT(1-'Sparkling Model'!D$2:D$38^A1856)</f>
        <v>0.03481060633</v>
      </c>
    </row>
    <row r="1857">
      <c r="A1857" s="6">
        <v>1855.0</v>
      </c>
      <c r="B1857" s="17">
        <f t="array" ref="B1857">SUM(1-'Sparkling Model'!D$2:D$38^A1857)</f>
        <v>34.1111281</v>
      </c>
      <c r="C1857" s="8">
        <f t="array" ref="C1857">PRODUCT(1-'Sparkling Model'!D$2:D$38^A1857)</f>
        <v>0.03493012014</v>
      </c>
    </row>
    <row r="1858">
      <c r="A1858" s="6">
        <v>1856.0</v>
      </c>
      <c r="B1858" s="17">
        <f t="array" ref="B1858">SUM(1-'Sparkling Model'!D$2:D$38^A1858)</f>
        <v>34.11390063</v>
      </c>
      <c r="C1858" s="8">
        <f t="array" ref="C1858">PRODUCT(1-'Sparkling Model'!D$2:D$38^A1858)</f>
        <v>0.03504988109</v>
      </c>
    </row>
    <row r="1859">
      <c r="A1859" s="6">
        <v>1857.0</v>
      </c>
      <c r="B1859" s="17">
        <f t="array" ref="B1859">SUM(1-'Sparkling Model'!D$2:D$38^A1859)</f>
        <v>34.11666961</v>
      </c>
      <c r="C1859" s="8">
        <f t="array" ref="C1859">PRODUCT(1-'Sparkling Model'!D$2:D$38^A1859)</f>
        <v>0.03516988919</v>
      </c>
    </row>
    <row r="1860">
      <c r="A1860" s="6">
        <v>1858.0</v>
      </c>
      <c r="B1860" s="17">
        <f t="array" ref="B1860">SUM(1-'Sparkling Model'!D$2:D$38^A1860)</f>
        <v>34.11943504</v>
      </c>
      <c r="C1860" s="8">
        <f t="array" ref="C1860">PRODUCT(1-'Sparkling Model'!D$2:D$38^A1860)</f>
        <v>0.03529014445</v>
      </c>
    </row>
    <row r="1861">
      <c r="A1861" s="6">
        <v>1859.0</v>
      </c>
      <c r="B1861" s="17">
        <f t="array" ref="B1861">SUM(1-'Sparkling Model'!D$2:D$38^A1861)</f>
        <v>34.12219693</v>
      </c>
      <c r="C1861" s="8">
        <f t="array" ref="C1861">PRODUCT(1-'Sparkling Model'!D$2:D$38^A1861)</f>
        <v>0.03541064688</v>
      </c>
    </row>
    <row r="1862">
      <c r="A1862" s="6">
        <v>1860.0</v>
      </c>
      <c r="B1862" s="17">
        <f t="array" ref="B1862">SUM(1-'Sparkling Model'!D$2:D$38^A1862)</f>
        <v>34.12495528</v>
      </c>
      <c r="C1862" s="8">
        <f t="array" ref="C1862">PRODUCT(1-'Sparkling Model'!D$2:D$38^A1862)</f>
        <v>0.03553139648</v>
      </c>
    </row>
    <row r="1863">
      <c r="A1863" s="6">
        <v>1861.0</v>
      </c>
      <c r="B1863" s="17">
        <f t="array" ref="B1863">SUM(1-'Sparkling Model'!D$2:D$38^A1863)</f>
        <v>34.1277101</v>
      </c>
      <c r="C1863" s="8">
        <f t="array" ref="C1863">PRODUCT(1-'Sparkling Model'!D$2:D$38^A1863)</f>
        <v>0.03565239327</v>
      </c>
    </row>
    <row r="1864">
      <c r="A1864" s="6">
        <v>1862.0</v>
      </c>
      <c r="B1864" s="17">
        <f t="array" ref="B1864">SUM(1-'Sparkling Model'!D$2:D$38^A1864)</f>
        <v>34.13046138</v>
      </c>
      <c r="C1864" s="8">
        <f t="array" ref="C1864">PRODUCT(1-'Sparkling Model'!D$2:D$38^A1864)</f>
        <v>0.03577363724</v>
      </c>
    </row>
    <row r="1865">
      <c r="A1865" s="6">
        <v>1863.0</v>
      </c>
      <c r="B1865" s="17">
        <f t="array" ref="B1865">SUM(1-'Sparkling Model'!D$2:D$38^A1865)</f>
        <v>34.13320915</v>
      </c>
      <c r="C1865" s="8">
        <f t="array" ref="C1865">PRODUCT(1-'Sparkling Model'!D$2:D$38^A1865)</f>
        <v>0.03589512841</v>
      </c>
    </row>
    <row r="1866">
      <c r="A1866" s="6">
        <v>1864.0</v>
      </c>
      <c r="B1866" s="17">
        <f t="array" ref="B1866">SUM(1-'Sparkling Model'!D$2:D$38^A1866)</f>
        <v>34.13595341</v>
      </c>
      <c r="C1866" s="8">
        <f t="array" ref="C1866">PRODUCT(1-'Sparkling Model'!D$2:D$38^A1866)</f>
        <v>0.03601686677</v>
      </c>
    </row>
    <row r="1867">
      <c r="A1867" s="6">
        <v>1865.0</v>
      </c>
      <c r="B1867" s="17">
        <f t="array" ref="B1867">SUM(1-'Sparkling Model'!D$2:D$38^A1867)</f>
        <v>34.13869415</v>
      </c>
      <c r="C1867" s="8">
        <f t="array" ref="C1867">PRODUCT(1-'Sparkling Model'!D$2:D$38^A1867)</f>
        <v>0.03613885233</v>
      </c>
    </row>
    <row r="1868">
      <c r="A1868" s="6">
        <v>1866.0</v>
      </c>
      <c r="B1868" s="17">
        <f t="array" ref="B1868">SUM(1-'Sparkling Model'!D$2:D$38^A1868)</f>
        <v>34.14143139</v>
      </c>
      <c r="C1868" s="8">
        <f t="array" ref="C1868">PRODUCT(1-'Sparkling Model'!D$2:D$38^A1868)</f>
        <v>0.03626108508</v>
      </c>
    </row>
    <row r="1869">
      <c r="A1869" s="6">
        <v>1867.0</v>
      </c>
      <c r="B1869" s="17">
        <f t="array" ref="B1869">SUM(1-'Sparkling Model'!D$2:D$38^A1869)</f>
        <v>34.14416513</v>
      </c>
      <c r="C1869" s="8">
        <f t="array" ref="C1869">PRODUCT(1-'Sparkling Model'!D$2:D$38^A1869)</f>
        <v>0.03638356503</v>
      </c>
    </row>
    <row r="1870">
      <c r="A1870" s="6">
        <v>1868.0</v>
      </c>
      <c r="B1870" s="17">
        <f t="array" ref="B1870">SUM(1-'Sparkling Model'!D$2:D$38^A1870)</f>
        <v>34.14689538</v>
      </c>
      <c r="C1870" s="8">
        <f t="array" ref="C1870">PRODUCT(1-'Sparkling Model'!D$2:D$38^A1870)</f>
        <v>0.03650629218</v>
      </c>
    </row>
    <row r="1871">
      <c r="A1871" s="6">
        <v>1869.0</v>
      </c>
      <c r="B1871" s="17">
        <f t="array" ref="B1871">SUM(1-'Sparkling Model'!D$2:D$38^A1871)</f>
        <v>34.14962214</v>
      </c>
      <c r="C1871" s="8">
        <f t="array" ref="C1871">PRODUCT(1-'Sparkling Model'!D$2:D$38^A1871)</f>
        <v>0.03662926651</v>
      </c>
    </row>
    <row r="1872">
      <c r="A1872" s="6">
        <v>1870.0</v>
      </c>
      <c r="B1872" s="17">
        <f t="array" ref="B1872">SUM(1-'Sparkling Model'!D$2:D$38^A1872)</f>
        <v>34.15234542</v>
      </c>
      <c r="C1872" s="8">
        <f t="array" ref="C1872">PRODUCT(1-'Sparkling Model'!D$2:D$38^A1872)</f>
        <v>0.03675248804</v>
      </c>
    </row>
    <row r="1873">
      <c r="A1873" s="6">
        <v>1871.0</v>
      </c>
      <c r="B1873" s="17">
        <f t="array" ref="B1873">SUM(1-'Sparkling Model'!D$2:D$38^A1873)</f>
        <v>34.15506522</v>
      </c>
      <c r="C1873" s="8">
        <f t="array" ref="C1873">PRODUCT(1-'Sparkling Model'!D$2:D$38^A1873)</f>
        <v>0.03687595675</v>
      </c>
    </row>
    <row r="1874">
      <c r="A1874" s="6">
        <v>1872.0</v>
      </c>
      <c r="B1874" s="17">
        <f t="array" ref="B1874">SUM(1-'Sparkling Model'!D$2:D$38^A1874)</f>
        <v>34.15778155</v>
      </c>
      <c r="C1874" s="8">
        <f t="array" ref="C1874">PRODUCT(1-'Sparkling Model'!D$2:D$38^A1874)</f>
        <v>0.03699967264</v>
      </c>
    </row>
    <row r="1875">
      <c r="A1875" s="6">
        <v>1873.0</v>
      </c>
      <c r="B1875" s="17">
        <f t="array" ref="B1875">SUM(1-'Sparkling Model'!D$2:D$38^A1875)</f>
        <v>34.16049442</v>
      </c>
      <c r="C1875" s="8">
        <f t="array" ref="C1875">PRODUCT(1-'Sparkling Model'!D$2:D$38^A1875)</f>
        <v>0.0371236357</v>
      </c>
    </row>
    <row r="1876">
      <c r="A1876" s="6">
        <v>1874.0</v>
      </c>
      <c r="B1876" s="17">
        <f t="array" ref="B1876">SUM(1-'Sparkling Model'!D$2:D$38^A1876)</f>
        <v>34.16320382</v>
      </c>
      <c r="C1876" s="8">
        <f t="array" ref="C1876">PRODUCT(1-'Sparkling Model'!D$2:D$38^A1876)</f>
        <v>0.03724784592</v>
      </c>
    </row>
    <row r="1877">
      <c r="A1877" s="6">
        <v>1875.0</v>
      </c>
      <c r="B1877" s="17">
        <f t="array" ref="B1877">SUM(1-'Sparkling Model'!D$2:D$38^A1877)</f>
        <v>34.16590977</v>
      </c>
      <c r="C1877" s="8">
        <f t="array" ref="C1877">PRODUCT(1-'Sparkling Model'!D$2:D$38^A1877)</f>
        <v>0.0373723033</v>
      </c>
    </row>
    <row r="1878">
      <c r="A1878" s="6">
        <v>1876.0</v>
      </c>
      <c r="B1878" s="17">
        <f t="array" ref="B1878">SUM(1-'Sparkling Model'!D$2:D$38^A1878)</f>
        <v>34.16861228</v>
      </c>
      <c r="C1878" s="8">
        <f t="array" ref="C1878">PRODUCT(1-'Sparkling Model'!D$2:D$38^A1878)</f>
        <v>0.03749700782</v>
      </c>
    </row>
    <row r="1879">
      <c r="A1879" s="6">
        <v>1877.0</v>
      </c>
      <c r="B1879" s="17">
        <f t="array" ref="B1879">SUM(1-'Sparkling Model'!D$2:D$38^A1879)</f>
        <v>34.17131134</v>
      </c>
      <c r="C1879" s="8">
        <f t="array" ref="C1879">PRODUCT(1-'Sparkling Model'!D$2:D$38^A1879)</f>
        <v>0.03762195947</v>
      </c>
    </row>
    <row r="1880">
      <c r="A1880" s="6">
        <v>1878.0</v>
      </c>
      <c r="B1880" s="17">
        <f t="array" ref="B1880">SUM(1-'Sparkling Model'!D$2:D$38^A1880)</f>
        <v>34.17400696</v>
      </c>
      <c r="C1880" s="8">
        <f t="array" ref="C1880">PRODUCT(1-'Sparkling Model'!D$2:D$38^A1880)</f>
        <v>0.03774715824</v>
      </c>
    </row>
    <row r="1881">
      <c r="A1881" s="6">
        <v>1879.0</v>
      </c>
      <c r="B1881" s="17">
        <f t="array" ref="B1881">SUM(1-'Sparkling Model'!D$2:D$38^A1881)</f>
        <v>34.17669915</v>
      </c>
      <c r="C1881" s="8">
        <f t="array" ref="C1881">PRODUCT(1-'Sparkling Model'!D$2:D$38^A1881)</f>
        <v>0.03787260412</v>
      </c>
    </row>
    <row r="1882">
      <c r="A1882" s="6">
        <v>1880.0</v>
      </c>
      <c r="B1882" s="17">
        <f t="array" ref="B1882">SUM(1-'Sparkling Model'!D$2:D$38^A1882)</f>
        <v>34.17938791</v>
      </c>
      <c r="C1882" s="8">
        <f t="array" ref="C1882">PRODUCT(1-'Sparkling Model'!D$2:D$38^A1882)</f>
        <v>0.03799829709</v>
      </c>
    </row>
    <row r="1883">
      <c r="A1883" s="6">
        <v>1881.0</v>
      </c>
      <c r="B1883" s="17">
        <f t="array" ref="B1883">SUM(1-'Sparkling Model'!D$2:D$38^A1883)</f>
        <v>34.18207325</v>
      </c>
      <c r="C1883" s="8">
        <f t="array" ref="C1883">PRODUCT(1-'Sparkling Model'!D$2:D$38^A1883)</f>
        <v>0.03812423713</v>
      </c>
    </row>
    <row r="1884">
      <c r="A1884" s="6">
        <v>1882.0</v>
      </c>
      <c r="B1884" s="17">
        <f t="array" ref="B1884">SUM(1-'Sparkling Model'!D$2:D$38^A1884)</f>
        <v>34.18475518</v>
      </c>
      <c r="C1884" s="8">
        <f t="array" ref="C1884">PRODUCT(1-'Sparkling Model'!D$2:D$38^A1884)</f>
        <v>0.03825042423</v>
      </c>
    </row>
    <row r="1885">
      <c r="A1885" s="6">
        <v>1883.0</v>
      </c>
      <c r="B1885" s="17">
        <f t="array" ref="B1885">SUM(1-'Sparkling Model'!D$2:D$38^A1885)</f>
        <v>34.1874337</v>
      </c>
      <c r="C1885" s="8">
        <f t="array" ref="C1885">PRODUCT(1-'Sparkling Model'!D$2:D$38^A1885)</f>
        <v>0.03837685837</v>
      </c>
    </row>
    <row r="1886">
      <c r="A1886" s="6">
        <v>1884.0</v>
      </c>
      <c r="B1886" s="17">
        <f t="array" ref="B1886">SUM(1-'Sparkling Model'!D$2:D$38^A1886)</f>
        <v>34.19010881</v>
      </c>
      <c r="C1886" s="8">
        <f t="array" ref="C1886">PRODUCT(1-'Sparkling Model'!D$2:D$38^A1886)</f>
        <v>0.03850353954</v>
      </c>
    </row>
    <row r="1887">
      <c r="A1887" s="6">
        <v>1885.0</v>
      </c>
      <c r="B1887" s="17">
        <f t="array" ref="B1887">SUM(1-'Sparkling Model'!D$2:D$38^A1887)</f>
        <v>34.19278052</v>
      </c>
      <c r="C1887" s="8">
        <f t="array" ref="C1887">PRODUCT(1-'Sparkling Model'!D$2:D$38^A1887)</f>
        <v>0.0386304677</v>
      </c>
    </row>
    <row r="1888">
      <c r="A1888" s="6">
        <v>1886.0</v>
      </c>
      <c r="B1888" s="17">
        <f t="array" ref="B1888">SUM(1-'Sparkling Model'!D$2:D$38^A1888)</f>
        <v>34.19544883</v>
      </c>
      <c r="C1888" s="8">
        <f t="array" ref="C1888">PRODUCT(1-'Sparkling Model'!D$2:D$38^A1888)</f>
        <v>0.03875764285</v>
      </c>
    </row>
    <row r="1889">
      <c r="A1889" s="6">
        <v>1887.0</v>
      </c>
      <c r="B1889" s="17">
        <f t="array" ref="B1889">SUM(1-'Sparkling Model'!D$2:D$38^A1889)</f>
        <v>34.19811376</v>
      </c>
      <c r="C1889" s="8">
        <f t="array" ref="C1889">PRODUCT(1-'Sparkling Model'!D$2:D$38^A1889)</f>
        <v>0.03888506495</v>
      </c>
    </row>
    <row r="1890">
      <c r="A1890" s="6">
        <v>1888.0</v>
      </c>
      <c r="B1890" s="17">
        <f t="array" ref="B1890">SUM(1-'Sparkling Model'!D$2:D$38^A1890)</f>
        <v>34.20077531</v>
      </c>
      <c r="C1890" s="8">
        <f t="array" ref="C1890">PRODUCT(1-'Sparkling Model'!D$2:D$38^A1890)</f>
        <v>0.03901273399</v>
      </c>
    </row>
    <row r="1891">
      <c r="A1891" s="6">
        <v>1889.0</v>
      </c>
      <c r="B1891" s="17">
        <f t="array" ref="B1891">SUM(1-'Sparkling Model'!D$2:D$38^A1891)</f>
        <v>34.20343347</v>
      </c>
      <c r="C1891" s="8">
        <f t="array" ref="C1891">PRODUCT(1-'Sparkling Model'!D$2:D$38^A1891)</f>
        <v>0.03914064994</v>
      </c>
    </row>
    <row r="1892">
      <c r="A1892" s="6">
        <v>1890.0</v>
      </c>
      <c r="B1892" s="17">
        <f t="array" ref="B1892">SUM(1-'Sparkling Model'!D$2:D$38^A1892)</f>
        <v>34.20608827</v>
      </c>
      <c r="C1892" s="8">
        <f t="array" ref="C1892">PRODUCT(1-'Sparkling Model'!D$2:D$38^A1892)</f>
        <v>0.03926881278</v>
      </c>
    </row>
    <row r="1893">
      <c r="A1893" s="6">
        <v>1891.0</v>
      </c>
      <c r="B1893" s="17">
        <f t="array" ref="B1893">SUM(1-'Sparkling Model'!D$2:D$38^A1893)</f>
        <v>34.20873969</v>
      </c>
      <c r="C1893" s="8">
        <f t="array" ref="C1893">PRODUCT(1-'Sparkling Model'!D$2:D$38^A1893)</f>
        <v>0.03939722247</v>
      </c>
    </row>
    <row r="1894">
      <c r="A1894" s="6">
        <v>1892.0</v>
      </c>
      <c r="B1894" s="17">
        <f t="array" ref="B1894">SUM(1-'Sparkling Model'!D$2:D$38^A1894)</f>
        <v>34.21138775</v>
      </c>
      <c r="C1894" s="8">
        <f t="array" ref="C1894">PRODUCT(1-'Sparkling Model'!D$2:D$38^A1894)</f>
        <v>0.03952587899</v>
      </c>
    </row>
    <row r="1895">
      <c r="A1895" s="6">
        <v>1893.0</v>
      </c>
      <c r="B1895" s="17">
        <f t="array" ref="B1895">SUM(1-'Sparkling Model'!D$2:D$38^A1895)</f>
        <v>34.21403246</v>
      </c>
      <c r="C1895" s="8">
        <f t="array" ref="C1895">PRODUCT(1-'Sparkling Model'!D$2:D$38^A1895)</f>
        <v>0.03965478231</v>
      </c>
    </row>
    <row r="1896">
      <c r="A1896" s="6">
        <v>1894.0</v>
      </c>
      <c r="B1896" s="17">
        <f t="array" ref="B1896">SUM(1-'Sparkling Model'!D$2:D$38^A1896)</f>
        <v>34.21667382</v>
      </c>
      <c r="C1896" s="8">
        <f t="array" ref="C1896">PRODUCT(1-'Sparkling Model'!D$2:D$38^A1896)</f>
        <v>0.03978393241</v>
      </c>
    </row>
    <row r="1897">
      <c r="A1897" s="6">
        <v>1895.0</v>
      </c>
      <c r="B1897" s="17">
        <f t="array" ref="B1897">SUM(1-'Sparkling Model'!D$2:D$38^A1897)</f>
        <v>34.21931183</v>
      </c>
      <c r="C1897" s="8">
        <f t="array" ref="C1897">PRODUCT(1-'Sparkling Model'!D$2:D$38^A1897)</f>
        <v>0.03991332925</v>
      </c>
    </row>
    <row r="1898">
      <c r="A1898" s="6">
        <v>1896.0</v>
      </c>
      <c r="B1898" s="17">
        <f t="array" ref="B1898">SUM(1-'Sparkling Model'!D$2:D$38^A1898)</f>
        <v>34.2219465</v>
      </c>
      <c r="C1898" s="8">
        <f t="array" ref="C1898">PRODUCT(1-'Sparkling Model'!D$2:D$38^A1898)</f>
        <v>0.04004297279</v>
      </c>
    </row>
    <row r="1899">
      <c r="A1899" s="6">
        <v>1897.0</v>
      </c>
      <c r="B1899" s="17">
        <f t="array" ref="B1899">SUM(1-'Sparkling Model'!D$2:D$38^A1899)</f>
        <v>34.22457783</v>
      </c>
      <c r="C1899" s="8">
        <f t="array" ref="C1899">PRODUCT(1-'Sparkling Model'!D$2:D$38^A1899)</f>
        <v>0.04017286302</v>
      </c>
    </row>
    <row r="1900">
      <c r="A1900" s="6">
        <v>1898.0</v>
      </c>
      <c r="B1900" s="17">
        <f t="array" ref="B1900">SUM(1-'Sparkling Model'!D$2:D$38^A1900)</f>
        <v>34.22720583</v>
      </c>
      <c r="C1900" s="8">
        <f t="array" ref="C1900">PRODUCT(1-'Sparkling Model'!D$2:D$38^A1900)</f>
        <v>0.04030299988</v>
      </c>
    </row>
    <row r="1901">
      <c r="A1901" s="6">
        <v>1899.0</v>
      </c>
      <c r="B1901" s="17">
        <f t="array" ref="B1901">SUM(1-'Sparkling Model'!D$2:D$38^A1901)</f>
        <v>34.22983051</v>
      </c>
      <c r="C1901" s="8">
        <f t="array" ref="C1901">PRODUCT(1-'Sparkling Model'!D$2:D$38^A1901)</f>
        <v>0.04043338335</v>
      </c>
    </row>
    <row r="1902">
      <c r="A1902" s="6">
        <v>1900.0</v>
      </c>
      <c r="B1902" s="17">
        <f t="array" ref="B1902">SUM(1-'Sparkling Model'!D$2:D$38^A1902)</f>
        <v>34.23245187</v>
      </c>
      <c r="C1902" s="8">
        <f t="array" ref="C1902">PRODUCT(1-'Sparkling Model'!D$2:D$38^A1902)</f>
        <v>0.0405640134</v>
      </c>
    </row>
    <row r="1903">
      <c r="A1903" s="6">
        <v>1901.0</v>
      </c>
      <c r="B1903" s="17">
        <f t="array" ref="B1903">SUM(1-'Sparkling Model'!D$2:D$38^A1903)</f>
        <v>34.23506991</v>
      </c>
      <c r="C1903" s="8">
        <f t="array" ref="C1903">PRODUCT(1-'Sparkling Model'!D$2:D$38^A1903)</f>
        <v>0.04069488997</v>
      </c>
    </row>
    <row r="1904">
      <c r="A1904" s="6">
        <v>1902.0</v>
      </c>
      <c r="B1904" s="17">
        <f t="array" ref="B1904">SUM(1-'Sparkling Model'!D$2:D$38^A1904)</f>
        <v>34.23768464</v>
      </c>
      <c r="C1904" s="8">
        <f t="array" ref="C1904">PRODUCT(1-'Sparkling Model'!D$2:D$38^A1904)</f>
        <v>0.04082601305</v>
      </c>
    </row>
    <row r="1905">
      <c r="A1905" s="6">
        <v>1903.0</v>
      </c>
      <c r="B1905" s="17">
        <f t="array" ref="B1905">SUM(1-'Sparkling Model'!D$2:D$38^A1905)</f>
        <v>34.24029607</v>
      </c>
      <c r="C1905" s="8">
        <f t="array" ref="C1905">PRODUCT(1-'Sparkling Model'!D$2:D$38^A1905)</f>
        <v>0.04095738258</v>
      </c>
    </row>
    <row r="1906">
      <c r="A1906" s="6">
        <v>1904.0</v>
      </c>
      <c r="B1906" s="17">
        <f t="array" ref="B1906">SUM(1-'Sparkling Model'!D$2:D$38^A1906)</f>
        <v>34.24290421</v>
      </c>
      <c r="C1906" s="8">
        <f t="array" ref="C1906">PRODUCT(1-'Sparkling Model'!D$2:D$38^A1906)</f>
        <v>0.04108899852</v>
      </c>
    </row>
    <row r="1907">
      <c r="A1907" s="6">
        <v>1905.0</v>
      </c>
      <c r="B1907" s="17">
        <f t="array" ref="B1907">SUM(1-'Sparkling Model'!D$2:D$38^A1907)</f>
        <v>34.24550904</v>
      </c>
      <c r="C1907" s="8">
        <f t="array" ref="C1907">PRODUCT(1-'Sparkling Model'!D$2:D$38^A1907)</f>
        <v>0.04122086084</v>
      </c>
    </row>
    <row r="1908">
      <c r="A1908" s="6">
        <v>1906.0</v>
      </c>
      <c r="B1908" s="17">
        <f t="array" ref="B1908">SUM(1-'Sparkling Model'!D$2:D$38^A1908)</f>
        <v>34.24811059</v>
      </c>
      <c r="C1908" s="8">
        <f t="array" ref="C1908">PRODUCT(1-'Sparkling Model'!D$2:D$38^A1908)</f>
        <v>0.04135296949</v>
      </c>
    </row>
    <row r="1909">
      <c r="A1909" s="6">
        <v>1907.0</v>
      </c>
      <c r="B1909" s="17">
        <f t="array" ref="B1909">SUM(1-'Sparkling Model'!D$2:D$38^A1909)</f>
        <v>34.25070886</v>
      </c>
      <c r="C1909" s="8">
        <f t="array" ref="C1909">PRODUCT(1-'Sparkling Model'!D$2:D$38^A1909)</f>
        <v>0.04148532443</v>
      </c>
    </row>
    <row r="1910">
      <c r="A1910" s="6">
        <v>1908.0</v>
      </c>
      <c r="B1910" s="17">
        <f t="array" ref="B1910">SUM(1-'Sparkling Model'!D$2:D$38^A1910)</f>
        <v>34.25330385</v>
      </c>
      <c r="C1910" s="8">
        <f t="array" ref="C1910">PRODUCT(1-'Sparkling Model'!D$2:D$38^A1910)</f>
        <v>0.04161792561</v>
      </c>
    </row>
    <row r="1911">
      <c r="A1911" s="6">
        <v>1909.0</v>
      </c>
      <c r="B1911" s="17">
        <f t="array" ref="B1911">SUM(1-'Sparkling Model'!D$2:D$38^A1911)</f>
        <v>34.25589556</v>
      </c>
      <c r="C1911" s="8">
        <f t="array" ref="C1911">PRODUCT(1-'Sparkling Model'!D$2:D$38^A1911)</f>
        <v>0.04175077299</v>
      </c>
    </row>
    <row r="1912">
      <c r="A1912" s="6">
        <v>1910.0</v>
      </c>
      <c r="B1912" s="17">
        <f t="array" ref="B1912">SUM(1-'Sparkling Model'!D$2:D$38^A1912)</f>
        <v>34.25848401</v>
      </c>
      <c r="C1912" s="8">
        <f t="array" ref="C1912">PRODUCT(1-'Sparkling Model'!D$2:D$38^A1912)</f>
        <v>0.04188386652</v>
      </c>
    </row>
    <row r="1913">
      <c r="A1913" s="6">
        <v>1911.0</v>
      </c>
      <c r="B1913" s="17">
        <f t="array" ref="B1913">SUM(1-'Sparkling Model'!D$2:D$38^A1913)</f>
        <v>34.2610692</v>
      </c>
      <c r="C1913" s="8">
        <f t="array" ref="C1913">PRODUCT(1-'Sparkling Model'!D$2:D$38^A1913)</f>
        <v>0.04201720616</v>
      </c>
    </row>
    <row r="1914">
      <c r="A1914" s="6">
        <v>1912.0</v>
      </c>
      <c r="B1914" s="17">
        <f t="array" ref="B1914">SUM(1-'Sparkling Model'!D$2:D$38^A1914)</f>
        <v>34.26365112</v>
      </c>
      <c r="C1914" s="8">
        <f t="array" ref="C1914">PRODUCT(1-'Sparkling Model'!D$2:D$38^A1914)</f>
        <v>0.04215079185</v>
      </c>
    </row>
    <row r="1915">
      <c r="A1915" s="6">
        <v>1913.0</v>
      </c>
      <c r="B1915" s="17">
        <f t="array" ref="B1915">SUM(1-'Sparkling Model'!D$2:D$38^A1915)</f>
        <v>34.2662298</v>
      </c>
      <c r="C1915" s="8">
        <f t="array" ref="C1915">PRODUCT(1-'Sparkling Model'!D$2:D$38^A1915)</f>
        <v>0.04228462355</v>
      </c>
    </row>
    <row r="1916">
      <c r="A1916" s="6">
        <v>1914.0</v>
      </c>
      <c r="B1916" s="17">
        <f t="array" ref="B1916">SUM(1-'Sparkling Model'!D$2:D$38^A1916)</f>
        <v>34.26880523</v>
      </c>
      <c r="C1916" s="8">
        <f t="array" ref="C1916">PRODUCT(1-'Sparkling Model'!D$2:D$38^A1916)</f>
        <v>0.0424187012</v>
      </c>
    </row>
    <row r="1917">
      <c r="A1917" s="6">
        <v>1915.0</v>
      </c>
      <c r="B1917" s="17">
        <f t="array" ref="B1917">SUM(1-'Sparkling Model'!D$2:D$38^A1917)</f>
        <v>34.27137742</v>
      </c>
      <c r="C1917" s="8">
        <f t="array" ref="C1917">PRODUCT(1-'Sparkling Model'!D$2:D$38^A1917)</f>
        <v>0.04255302475</v>
      </c>
    </row>
    <row r="1918">
      <c r="A1918" s="6">
        <v>1916.0</v>
      </c>
      <c r="B1918" s="17">
        <f t="array" ref="B1918">SUM(1-'Sparkling Model'!D$2:D$38^A1918)</f>
        <v>34.27394636</v>
      </c>
      <c r="C1918" s="8">
        <f t="array" ref="C1918">PRODUCT(1-'Sparkling Model'!D$2:D$38^A1918)</f>
        <v>0.04268759416</v>
      </c>
    </row>
    <row r="1919">
      <c r="A1919" s="6">
        <v>1917.0</v>
      </c>
      <c r="B1919" s="17">
        <f t="array" ref="B1919">SUM(1-'Sparkling Model'!D$2:D$38^A1919)</f>
        <v>34.27651208</v>
      </c>
      <c r="C1919" s="8">
        <f t="array" ref="C1919">PRODUCT(1-'Sparkling Model'!D$2:D$38^A1919)</f>
        <v>0.04282240936</v>
      </c>
    </row>
    <row r="1920">
      <c r="A1920" s="6">
        <v>1918.0</v>
      </c>
      <c r="B1920" s="17">
        <f t="array" ref="B1920">SUM(1-'Sparkling Model'!D$2:D$38^A1920)</f>
        <v>34.27907457</v>
      </c>
      <c r="C1920" s="8">
        <f t="array" ref="C1920">PRODUCT(1-'Sparkling Model'!D$2:D$38^A1920)</f>
        <v>0.0429574703</v>
      </c>
    </row>
    <row r="1921">
      <c r="A1921" s="6">
        <v>1919.0</v>
      </c>
      <c r="B1921" s="17">
        <f t="array" ref="B1921">SUM(1-'Sparkling Model'!D$2:D$38^A1921)</f>
        <v>34.28163384</v>
      </c>
      <c r="C1921" s="8">
        <f t="array" ref="C1921">PRODUCT(1-'Sparkling Model'!D$2:D$38^A1921)</f>
        <v>0.04309277693</v>
      </c>
    </row>
    <row r="1922">
      <c r="A1922" s="6">
        <v>1920.0</v>
      </c>
      <c r="B1922" s="17">
        <f t="array" ref="B1922">SUM(1-'Sparkling Model'!D$2:D$38^A1922)</f>
        <v>34.2841899</v>
      </c>
      <c r="C1922" s="8">
        <f t="array" ref="C1922">PRODUCT(1-'Sparkling Model'!D$2:D$38^A1922)</f>
        <v>0.04322832918</v>
      </c>
    </row>
    <row r="1923">
      <c r="A1923" s="6">
        <v>1921.0</v>
      </c>
      <c r="B1923" s="17">
        <f t="array" ref="B1923">SUM(1-'Sparkling Model'!D$2:D$38^A1923)</f>
        <v>34.28674274</v>
      </c>
      <c r="C1923" s="8">
        <f t="array" ref="C1923">PRODUCT(1-'Sparkling Model'!D$2:D$38^A1923)</f>
        <v>0.04336412701</v>
      </c>
    </row>
    <row r="1924">
      <c r="A1924" s="6">
        <v>1922.0</v>
      </c>
      <c r="B1924" s="17">
        <f t="array" ref="B1924">SUM(1-'Sparkling Model'!D$2:D$38^A1924)</f>
        <v>34.28929237</v>
      </c>
      <c r="C1924" s="8">
        <f t="array" ref="C1924">PRODUCT(1-'Sparkling Model'!D$2:D$38^A1924)</f>
        <v>0.04350017034</v>
      </c>
    </row>
    <row r="1925">
      <c r="A1925" s="6">
        <v>1923.0</v>
      </c>
      <c r="B1925" s="17">
        <f t="array" ref="B1925">SUM(1-'Sparkling Model'!D$2:D$38^A1925)</f>
        <v>34.29183881</v>
      </c>
      <c r="C1925" s="8">
        <f t="array" ref="C1925">PRODUCT(1-'Sparkling Model'!D$2:D$38^A1925)</f>
        <v>0.04363645913</v>
      </c>
    </row>
    <row r="1926">
      <c r="A1926" s="6">
        <v>1924.0</v>
      </c>
      <c r="B1926" s="17">
        <f t="array" ref="B1926">SUM(1-'Sparkling Model'!D$2:D$38^A1926)</f>
        <v>34.29438204</v>
      </c>
      <c r="C1926" s="8">
        <f t="array" ref="C1926">PRODUCT(1-'Sparkling Model'!D$2:D$38^A1926)</f>
        <v>0.04377299331</v>
      </c>
    </row>
    <row r="1927">
      <c r="A1927" s="6">
        <v>1925.0</v>
      </c>
      <c r="B1927" s="17">
        <f t="array" ref="B1927">SUM(1-'Sparkling Model'!D$2:D$38^A1927)</f>
        <v>34.29692209</v>
      </c>
      <c r="C1927" s="8">
        <f t="array" ref="C1927">PRODUCT(1-'Sparkling Model'!D$2:D$38^A1927)</f>
        <v>0.04390977282</v>
      </c>
    </row>
    <row r="1928">
      <c r="A1928" s="6">
        <v>1926.0</v>
      </c>
      <c r="B1928" s="17">
        <f t="array" ref="B1928">SUM(1-'Sparkling Model'!D$2:D$38^A1928)</f>
        <v>34.29945895</v>
      </c>
      <c r="C1928" s="8">
        <f t="array" ref="C1928">PRODUCT(1-'Sparkling Model'!D$2:D$38^A1928)</f>
        <v>0.04404679759</v>
      </c>
    </row>
    <row r="1929">
      <c r="A1929" s="6">
        <v>1927.0</v>
      </c>
      <c r="B1929" s="17">
        <f t="array" ref="B1929">SUM(1-'Sparkling Model'!D$2:D$38^A1929)</f>
        <v>34.30199263</v>
      </c>
      <c r="C1929" s="8">
        <f t="array" ref="C1929">PRODUCT(1-'Sparkling Model'!D$2:D$38^A1929)</f>
        <v>0.04418406756</v>
      </c>
    </row>
    <row r="1930">
      <c r="A1930" s="6">
        <v>1928.0</v>
      </c>
      <c r="B1930" s="17">
        <f t="array" ref="B1930">SUM(1-'Sparkling Model'!D$2:D$38^A1930)</f>
        <v>34.30452313</v>
      </c>
      <c r="C1930" s="8">
        <f t="array" ref="C1930">PRODUCT(1-'Sparkling Model'!D$2:D$38^A1930)</f>
        <v>0.04432158267</v>
      </c>
    </row>
    <row r="1931">
      <c r="A1931" s="6">
        <v>1929.0</v>
      </c>
      <c r="B1931" s="17">
        <f t="array" ref="B1931">SUM(1-'Sparkling Model'!D$2:D$38^A1931)</f>
        <v>34.30705046</v>
      </c>
      <c r="C1931" s="8">
        <f t="array" ref="C1931">PRODUCT(1-'Sparkling Model'!D$2:D$38^A1931)</f>
        <v>0.04445934285</v>
      </c>
    </row>
    <row r="1932">
      <c r="A1932" s="6">
        <v>1930.0</v>
      </c>
      <c r="B1932" s="17">
        <f t="array" ref="B1932">SUM(1-'Sparkling Model'!D$2:D$38^A1932)</f>
        <v>34.30957463</v>
      </c>
      <c r="C1932" s="8">
        <f t="array" ref="C1932">PRODUCT(1-'Sparkling Model'!D$2:D$38^A1932)</f>
        <v>0.04459734803</v>
      </c>
    </row>
    <row r="1933">
      <c r="A1933" s="6">
        <v>1931.0</v>
      </c>
      <c r="B1933" s="17">
        <f t="array" ref="B1933">SUM(1-'Sparkling Model'!D$2:D$38^A1933)</f>
        <v>34.31209563</v>
      </c>
      <c r="C1933" s="8">
        <f t="array" ref="C1933">PRODUCT(1-'Sparkling Model'!D$2:D$38^A1933)</f>
        <v>0.04473559814</v>
      </c>
    </row>
    <row r="1934">
      <c r="A1934" s="6">
        <v>1932.0</v>
      </c>
      <c r="B1934" s="17">
        <f t="array" ref="B1934">SUM(1-'Sparkling Model'!D$2:D$38^A1934)</f>
        <v>34.31461348</v>
      </c>
      <c r="C1934" s="8">
        <f t="array" ref="C1934">PRODUCT(1-'Sparkling Model'!D$2:D$38^A1934)</f>
        <v>0.04487409313</v>
      </c>
    </row>
    <row r="1935">
      <c r="A1935" s="6">
        <v>1933.0</v>
      </c>
      <c r="B1935" s="17">
        <f t="array" ref="B1935">SUM(1-'Sparkling Model'!D$2:D$38^A1935)</f>
        <v>34.31712817</v>
      </c>
      <c r="C1935" s="8">
        <f t="array" ref="C1935">PRODUCT(1-'Sparkling Model'!D$2:D$38^A1935)</f>
        <v>0.0450128329</v>
      </c>
    </row>
    <row r="1936">
      <c r="A1936" s="6">
        <v>1934.0</v>
      </c>
      <c r="B1936" s="17">
        <f t="array" ref="B1936">SUM(1-'Sparkling Model'!D$2:D$38^A1936)</f>
        <v>34.31963972</v>
      </c>
      <c r="C1936" s="8">
        <f t="array" ref="C1936">PRODUCT(1-'Sparkling Model'!D$2:D$38^A1936)</f>
        <v>0.04515181741</v>
      </c>
    </row>
    <row r="1937">
      <c r="A1937" s="6">
        <v>1935.0</v>
      </c>
      <c r="B1937" s="17">
        <f t="array" ref="B1937">SUM(1-'Sparkling Model'!D$2:D$38^A1937)</f>
        <v>34.32214813</v>
      </c>
      <c r="C1937" s="8">
        <f t="array" ref="C1937">PRODUCT(1-'Sparkling Model'!D$2:D$38^A1937)</f>
        <v>0.04529104656</v>
      </c>
    </row>
    <row r="1938">
      <c r="A1938" s="6">
        <v>1936.0</v>
      </c>
      <c r="B1938" s="17">
        <f t="array" ref="B1938">SUM(1-'Sparkling Model'!D$2:D$38^A1938)</f>
        <v>34.3246534</v>
      </c>
      <c r="C1938" s="8">
        <f t="array" ref="C1938">PRODUCT(1-'Sparkling Model'!D$2:D$38^A1938)</f>
        <v>0.0454305203</v>
      </c>
    </row>
    <row r="1939">
      <c r="A1939" s="6">
        <v>1937.0</v>
      </c>
      <c r="B1939" s="17">
        <f t="array" ref="B1939">SUM(1-'Sparkling Model'!D$2:D$38^A1939)</f>
        <v>34.32715553</v>
      </c>
      <c r="C1939" s="8">
        <f t="array" ref="C1939">PRODUCT(1-'Sparkling Model'!D$2:D$38^A1939)</f>
        <v>0.04557023854</v>
      </c>
    </row>
    <row r="1940">
      <c r="A1940" s="6">
        <v>1938.0</v>
      </c>
      <c r="B1940" s="17">
        <f t="array" ref="B1940">SUM(1-'Sparkling Model'!D$2:D$38^A1940)</f>
        <v>34.32965455</v>
      </c>
      <c r="C1940" s="8">
        <f t="array" ref="C1940">PRODUCT(1-'Sparkling Model'!D$2:D$38^A1940)</f>
        <v>0.04571020121</v>
      </c>
    </row>
    <row r="1941">
      <c r="A1941" s="6">
        <v>1939.0</v>
      </c>
      <c r="B1941" s="17">
        <f t="array" ref="B1941">SUM(1-'Sparkling Model'!D$2:D$38^A1941)</f>
        <v>34.33215044</v>
      </c>
      <c r="C1941" s="8">
        <f t="array" ref="C1941">PRODUCT(1-'Sparkling Model'!D$2:D$38^A1941)</f>
        <v>0.04585040823</v>
      </c>
    </row>
    <row r="1942">
      <c r="A1942" s="6">
        <v>1940.0</v>
      </c>
      <c r="B1942" s="17">
        <f t="array" ref="B1942">SUM(1-'Sparkling Model'!D$2:D$38^A1942)</f>
        <v>34.33464321</v>
      </c>
      <c r="C1942" s="8">
        <f t="array" ref="C1942">PRODUCT(1-'Sparkling Model'!D$2:D$38^A1942)</f>
        <v>0.04599085953</v>
      </c>
    </row>
    <row r="1943">
      <c r="A1943" s="6">
        <v>1941.0</v>
      </c>
      <c r="B1943" s="17">
        <f t="array" ref="B1943">SUM(1-'Sparkling Model'!D$2:D$38^A1943)</f>
        <v>34.33713287</v>
      </c>
      <c r="C1943" s="8">
        <f t="array" ref="C1943">PRODUCT(1-'Sparkling Model'!D$2:D$38^A1943)</f>
        <v>0.04613155504</v>
      </c>
    </row>
    <row r="1944">
      <c r="A1944" s="6">
        <v>1942.0</v>
      </c>
      <c r="B1944" s="17">
        <f t="array" ref="B1944">SUM(1-'Sparkling Model'!D$2:D$38^A1944)</f>
        <v>34.33961942</v>
      </c>
      <c r="C1944" s="8">
        <f t="array" ref="C1944">PRODUCT(1-'Sparkling Model'!D$2:D$38^A1944)</f>
        <v>0.04627249466</v>
      </c>
    </row>
    <row r="1945">
      <c r="A1945" s="6">
        <v>1943.0</v>
      </c>
      <c r="B1945" s="17">
        <f t="array" ref="B1945">SUM(1-'Sparkling Model'!D$2:D$38^A1945)</f>
        <v>34.34210287</v>
      </c>
      <c r="C1945" s="8">
        <f t="array" ref="C1945">PRODUCT(1-'Sparkling Model'!D$2:D$38^A1945)</f>
        <v>0.04641367832</v>
      </c>
    </row>
    <row r="1946">
      <c r="A1946" s="6">
        <v>1944.0</v>
      </c>
      <c r="B1946" s="17">
        <f t="array" ref="B1946">SUM(1-'Sparkling Model'!D$2:D$38^A1946)</f>
        <v>34.34458322</v>
      </c>
      <c r="C1946" s="8">
        <f t="array" ref="C1946">PRODUCT(1-'Sparkling Model'!D$2:D$38^A1946)</f>
        <v>0.04655510594</v>
      </c>
    </row>
    <row r="1947">
      <c r="A1947" s="6">
        <v>1945.0</v>
      </c>
      <c r="B1947" s="17">
        <f t="array" ref="B1947">SUM(1-'Sparkling Model'!D$2:D$38^A1947)</f>
        <v>34.34706048</v>
      </c>
      <c r="C1947" s="8">
        <f t="array" ref="C1947">PRODUCT(1-'Sparkling Model'!D$2:D$38^A1947)</f>
        <v>0.04669677744</v>
      </c>
    </row>
    <row r="1948">
      <c r="A1948" s="6">
        <v>1946.0</v>
      </c>
      <c r="B1948" s="17">
        <f t="array" ref="B1948">SUM(1-'Sparkling Model'!D$2:D$38^A1948)</f>
        <v>34.34953466</v>
      </c>
      <c r="C1948" s="8">
        <f t="array" ref="C1948">PRODUCT(1-'Sparkling Model'!D$2:D$38^A1948)</f>
        <v>0.04683869274</v>
      </c>
    </row>
    <row r="1949">
      <c r="A1949" s="6">
        <v>1947.0</v>
      </c>
      <c r="B1949" s="17">
        <f t="array" ref="B1949">SUM(1-'Sparkling Model'!D$2:D$38^A1949)</f>
        <v>34.35200575</v>
      </c>
      <c r="C1949" s="8">
        <f t="array" ref="C1949">PRODUCT(1-'Sparkling Model'!D$2:D$38^A1949)</f>
        <v>0.04698085174</v>
      </c>
    </row>
    <row r="1950">
      <c r="A1950" s="6">
        <v>1948.0</v>
      </c>
      <c r="B1950" s="17">
        <f t="array" ref="B1950">SUM(1-'Sparkling Model'!D$2:D$38^A1950)</f>
        <v>34.35447376</v>
      </c>
      <c r="C1950" s="8">
        <f t="array" ref="C1950">PRODUCT(1-'Sparkling Model'!D$2:D$38^A1950)</f>
        <v>0.04712325438</v>
      </c>
    </row>
    <row r="1951">
      <c r="A1951" s="6">
        <v>1949.0</v>
      </c>
      <c r="B1951" s="17">
        <f t="array" ref="B1951">SUM(1-'Sparkling Model'!D$2:D$38^A1951)</f>
        <v>34.35693869</v>
      </c>
      <c r="C1951" s="8">
        <f t="array" ref="C1951">PRODUCT(1-'Sparkling Model'!D$2:D$38^A1951)</f>
        <v>0.04726590055</v>
      </c>
    </row>
    <row r="1952">
      <c r="A1952" s="6">
        <v>1950.0</v>
      </c>
      <c r="B1952" s="17">
        <f t="array" ref="B1952">SUM(1-'Sparkling Model'!D$2:D$38^A1952)</f>
        <v>34.35940056</v>
      </c>
      <c r="C1952" s="8">
        <f t="array" ref="C1952">PRODUCT(1-'Sparkling Model'!D$2:D$38^A1952)</f>
        <v>0.04740879017</v>
      </c>
    </row>
    <row r="1953">
      <c r="A1953" s="6">
        <v>1951.0</v>
      </c>
      <c r="B1953" s="17">
        <f t="array" ref="B1953">SUM(1-'Sparkling Model'!D$2:D$38^A1953)</f>
        <v>34.36185937</v>
      </c>
      <c r="C1953" s="8">
        <f t="array" ref="C1953">PRODUCT(1-'Sparkling Model'!D$2:D$38^A1953)</f>
        <v>0.04755192317</v>
      </c>
    </row>
    <row r="1954">
      <c r="A1954" s="6">
        <v>1952.0</v>
      </c>
      <c r="B1954" s="17">
        <f t="array" ref="B1954">SUM(1-'Sparkling Model'!D$2:D$38^A1954)</f>
        <v>34.36431511</v>
      </c>
      <c r="C1954" s="8">
        <f t="array" ref="C1954">PRODUCT(1-'Sparkling Model'!D$2:D$38^A1954)</f>
        <v>0.04769529944</v>
      </c>
    </row>
    <row r="1955">
      <c r="A1955" s="6">
        <v>1953.0</v>
      </c>
      <c r="B1955" s="17">
        <f t="array" ref="B1955">SUM(1-'Sparkling Model'!D$2:D$38^A1955)</f>
        <v>34.3667678</v>
      </c>
      <c r="C1955" s="8">
        <f t="array" ref="C1955">PRODUCT(1-'Sparkling Model'!D$2:D$38^A1955)</f>
        <v>0.04783891889</v>
      </c>
    </row>
    <row r="1956">
      <c r="A1956" s="6">
        <v>1954.0</v>
      </c>
      <c r="B1956" s="17">
        <f t="array" ref="B1956">SUM(1-'Sparkling Model'!D$2:D$38^A1956)</f>
        <v>34.36921744</v>
      </c>
      <c r="C1956" s="8">
        <f t="array" ref="C1956">PRODUCT(1-'Sparkling Model'!D$2:D$38^A1956)</f>
        <v>0.04798278145</v>
      </c>
    </row>
    <row r="1957">
      <c r="A1957" s="6">
        <v>1955.0</v>
      </c>
      <c r="B1957" s="17">
        <f t="array" ref="B1957">SUM(1-'Sparkling Model'!D$2:D$38^A1957)</f>
        <v>34.37166404</v>
      </c>
      <c r="C1957" s="8">
        <f t="array" ref="C1957">PRODUCT(1-'Sparkling Model'!D$2:D$38^A1957)</f>
        <v>0.04812688701</v>
      </c>
    </row>
    <row r="1958">
      <c r="A1958" s="6">
        <v>1956.0</v>
      </c>
      <c r="B1958" s="17">
        <f t="array" ref="B1958">SUM(1-'Sparkling Model'!D$2:D$38^A1958)</f>
        <v>34.3741076</v>
      </c>
      <c r="C1958" s="8">
        <f t="array" ref="C1958">PRODUCT(1-'Sparkling Model'!D$2:D$38^A1958)</f>
        <v>0.04827123548</v>
      </c>
    </row>
    <row r="1959">
      <c r="A1959" s="6">
        <v>1957.0</v>
      </c>
      <c r="B1959" s="17">
        <f t="array" ref="B1959">SUM(1-'Sparkling Model'!D$2:D$38^A1959)</f>
        <v>34.37654812</v>
      </c>
      <c r="C1959" s="8">
        <f t="array" ref="C1959">PRODUCT(1-'Sparkling Model'!D$2:D$38^A1959)</f>
        <v>0.04841582677</v>
      </c>
    </row>
    <row r="1960">
      <c r="A1960" s="6">
        <v>1958.0</v>
      </c>
      <c r="B1960" s="17">
        <f t="array" ref="B1960">SUM(1-'Sparkling Model'!D$2:D$38^A1960)</f>
        <v>34.37898561</v>
      </c>
      <c r="C1960" s="8">
        <f t="array" ref="C1960">PRODUCT(1-'Sparkling Model'!D$2:D$38^A1960)</f>
        <v>0.04856066079</v>
      </c>
    </row>
    <row r="1961">
      <c r="A1961" s="6">
        <v>1959.0</v>
      </c>
      <c r="B1961" s="17">
        <f t="array" ref="B1961">SUM(1-'Sparkling Model'!D$2:D$38^A1961)</f>
        <v>34.38142007</v>
      </c>
      <c r="C1961" s="8">
        <f t="array" ref="C1961">PRODUCT(1-'Sparkling Model'!D$2:D$38^A1961)</f>
        <v>0.04870573744</v>
      </c>
    </row>
    <row r="1962">
      <c r="A1962" s="6">
        <v>1960.0</v>
      </c>
      <c r="B1962" s="17">
        <f t="array" ref="B1962">SUM(1-'Sparkling Model'!D$2:D$38^A1962)</f>
        <v>34.38385152</v>
      </c>
      <c r="C1962" s="8">
        <f t="array" ref="C1962">PRODUCT(1-'Sparkling Model'!D$2:D$38^A1962)</f>
        <v>0.04885105662</v>
      </c>
    </row>
    <row r="1963">
      <c r="A1963" s="6">
        <v>1961.0</v>
      </c>
      <c r="B1963" s="17">
        <f t="array" ref="B1963">SUM(1-'Sparkling Model'!D$2:D$38^A1963)</f>
        <v>34.38627994</v>
      </c>
      <c r="C1963" s="8">
        <f t="array" ref="C1963">PRODUCT(1-'Sparkling Model'!D$2:D$38^A1963)</f>
        <v>0.04899661824</v>
      </c>
    </row>
    <row r="1964">
      <c r="A1964" s="6">
        <v>1962.0</v>
      </c>
      <c r="B1964" s="17">
        <f t="array" ref="B1964">SUM(1-'Sparkling Model'!D$2:D$38^A1964)</f>
        <v>34.38870536</v>
      </c>
      <c r="C1964" s="8">
        <f t="array" ref="C1964">PRODUCT(1-'Sparkling Model'!D$2:D$38^A1964)</f>
        <v>0.0491424222</v>
      </c>
    </row>
    <row r="1965">
      <c r="A1965" s="6">
        <v>1963.0</v>
      </c>
      <c r="B1965" s="17">
        <f t="array" ref="B1965">SUM(1-'Sparkling Model'!D$2:D$38^A1965)</f>
        <v>34.39112776</v>
      </c>
      <c r="C1965" s="8">
        <f t="array" ref="C1965">PRODUCT(1-'Sparkling Model'!D$2:D$38^A1965)</f>
        <v>0.04928846839</v>
      </c>
    </row>
    <row r="1966">
      <c r="A1966" s="6">
        <v>1964.0</v>
      </c>
      <c r="B1966" s="17">
        <f t="array" ref="B1966">SUM(1-'Sparkling Model'!D$2:D$38^A1966)</f>
        <v>34.39354717</v>
      </c>
      <c r="C1966" s="8">
        <f t="array" ref="C1966">PRODUCT(1-'Sparkling Model'!D$2:D$38^A1966)</f>
        <v>0.04943475673</v>
      </c>
    </row>
    <row r="1967">
      <c r="A1967" s="6">
        <v>1965.0</v>
      </c>
      <c r="B1967" s="17">
        <f t="array" ref="B1967">SUM(1-'Sparkling Model'!D$2:D$38^A1967)</f>
        <v>34.39596358</v>
      </c>
      <c r="C1967" s="8">
        <f t="array" ref="C1967">PRODUCT(1-'Sparkling Model'!D$2:D$38^A1967)</f>
        <v>0.0495812871</v>
      </c>
    </row>
    <row r="1968">
      <c r="A1968" s="6">
        <v>1966.0</v>
      </c>
      <c r="B1968" s="17">
        <f t="array" ref="B1968">SUM(1-'Sparkling Model'!D$2:D$38^A1968)</f>
        <v>34.39837699</v>
      </c>
      <c r="C1968" s="8">
        <f t="array" ref="C1968">PRODUCT(1-'Sparkling Model'!D$2:D$38^A1968)</f>
        <v>0.04972805941</v>
      </c>
    </row>
    <row r="1969">
      <c r="A1969" s="6">
        <v>1967.0</v>
      </c>
      <c r="B1969" s="17">
        <f t="array" ref="B1969">SUM(1-'Sparkling Model'!D$2:D$38^A1969)</f>
        <v>34.40078742</v>
      </c>
      <c r="C1969" s="8">
        <f t="array" ref="C1969">PRODUCT(1-'Sparkling Model'!D$2:D$38^A1969)</f>
        <v>0.04987507356</v>
      </c>
    </row>
    <row r="1970">
      <c r="A1970" s="6">
        <v>1968.0</v>
      </c>
      <c r="B1970" s="17">
        <f t="array" ref="B1970">SUM(1-'Sparkling Model'!D$2:D$38^A1970)</f>
        <v>34.40319486</v>
      </c>
      <c r="C1970" s="8">
        <f t="array" ref="C1970">PRODUCT(1-'Sparkling Model'!D$2:D$38^A1970)</f>
        <v>0.05002232943</v>
      </c>
    </row>
    <row r="1971">
      <c r="A1971" s="6">
        <v>1969.0</v>
      </c>
      <c r="B1971" s="17">
        <f t="array" ref="B1971">SUM(1-'Sparkling Model'!D$2:D$38^A1971)</f>
        <v>34.40559932</v>
      </c>
      <c r="C1971" s="8">
        <f t="array" ref="C1971">PRODUCT(1-'Sparkling Model'!D$2:D$38^A1971)</f>
        <v>0.05016982693</v>
      </c>
    </row>
    <row r="1972">
      <c r="A1972" s="6">
        <v>1970.0</v>
      </c>
      <c r="B1972" s="17">
        <f t="array" ref="B1972">SUM(1-'Sparkling Model'!D$2:D$38^A1972)</f>
        <v>34.40800081</v>
      </c>
      <c r="C1972" s="8">
        <f t="array" ref="C1972">PRODUCT(1-'Sparkling Model'!D$2:D$38^A1972)</f>
        <v>0.05031756595</v>
      </c>
    </row>
    <row r="1973">
      <c r="A1973" s="6">
        <v>1971.0</v>
      </c>
      <c r="B1973" s="17">
        <f t="array" ref="B1973">SUM(1-'Sparkling Model'!D$2:D$38^A1973)</f>
        <v>34.41039933</v>
      </c>
      <c r="C1973" s="8">
        <f t="array" ref="C1973">PRODUCT(1-'Sparkling Model'!D$2:D$38^A1973)</f>
        <v>0.05046554638</v>
      </c>
    </row>
    <row r="1974">
      <c r="A1974" s="6">
        <v>1972.0</v>
      </c>
      <c r="B1974" s="17">
        <f t="array" ref="B1974">SUM(1-'Sparkling Model'!D$2:D$38^A1974)</f>
        <v>34.41279488</v>
      </c>
      <c r="C1974" s="8">
        <f t="array" ref="C1974">PRODUCT(1-'Sparkling Model'!D$2:D$38^A1974)</f>
        <v>0.05061376812</v>
      </c>
    </row>
    <row r="1975">
      <c r="A1975" s="6">
        <v>1973.0</v>
      </c>
      <c r="B1975" s="17">
        <f t="array" ref="B1975">SUM(1-'Sparkling Model'!D$2:D$38^A1975)</f>
        <v>34.41518747</v>
      </c>
      <c r="C1975" s="8">
        <f t="array" ref="C1975">PRODUCT(1-'Sparkling Model'!D$2:D$38^A1975)</f>
        <v>0.05076223106</v>
      </c>
    </row>
    <row r="1976">
      <c r="A1976" s="6">
        <v>1974.0</v>
      </c>
      <c r="B1976" s="17">
        <f t="array" ref="B1976">SUM(1-'Sparkling Model'!D$2:D$38^A1976)</f>
        <v>34.41757711</v>
      </c>
      <c r="C1976" s="8">
        <f t="array" ref="C1976">PRODUCT(1-'Sparkling Model'!D$2:D$38^A1976)</f>
        <v>0.05091093508</v>
      </c>
    </row>
    <row r="1977">
      <c r="A1977" s="6">
        <v>1975.0</v>
      </c>
      <c r="B1977" s="17">
        <f t="array" ref="B1977">SUM(1-'Sparkling Model'!D$2:D$38^A1977)</f>
        <v>34.41996379</v>
      </c>
      <c r="C1977" s="8">
        <f t="array" ref="C1977">PRODUCT(1-'Sparkling Model'!D$2:D$38^A1977)</f>
        <v>0.05105988009</v>
      </c>
    </row>
    <row r="1978">
      <c r="A1978" s="6">
        <v>1976.0</v>
      </c>
      <c r="B1978" s="17">
        <f t="array" ref="B1978">SUM(1-'Sparkling Model'!D$2:D$38^A1978)</f>
        <v>34.42234753</v>
      </c>
      <c r="C1978" s="8">
        <f t="array" ref="C1978">PRODUCT(1-'Sparkling Model'!D$2:D$38^A1978)</f>
        <v>0.05120906596</v>
      </c>
    </row>
    <row r="1979">
      <c r="A1979" s="6">
        <v>1977.0</v>
      </c>
      <c r="B1979" s="17">
        <f t="array" ref="B1979">SUM(1-'Sparkling Model'!D$2:D$38^A1979)</f>
        <v>34.42472833</v>
      </c>
      <c r="C1979" s="8">
        <f t="array" ref="C1979">PRODUCT(1-'Sparkling Model'!D$2:D$38^A1979)</f>
        <v>0.05135849258</v>
      </c>
    </row>
    <row r="1980">
      <c r="A1980" s="6">
        <v>1978.0</v>
      </c>
      <c r="B1980" s="17">
        <f t="array" ref="B1980">SUM(1-'Sparkling Model'!D$2:D$38^A1980)</f>
        <v>34.42710618</v>
      </c>
      <c r="C1980" s="8">
        <f t="array" ref="C1980">PRODUCT(1-'Sparkling Model'!D$2:D$38^A1980)</f>
        <v>0.05150815985</v>
      </c>
    </row>
    <row r="1981">
      <c r="A1981" s="6">
        <v>1979.0</v>
      </c>
      <c r="B1981" s="17">
        <f t="array" ref="B1981">SUM(1-'Sparkling Model'!D$2:D$38^A1981)</f>
        <v>34.42948111</v>
      </c>
      <c r="C1981" s="8">
        <f t="array" ref="C1981">PRODUCT(1-'Sparkling Model'!D$2:D$38^A1981)</f>
        <v>0.05165806764</v>
      </c>
    </row>
    <row r="1982">
      <c r="A1982" s="6">
        <v>1980.0</v>
      </c>
      <c r="B1982" s="17">
        <f t="array" ref="B1982">SUM(1-'Sparkling Model'!D$2:D$38^A1982)</f>
        <v>34.4318531</v>
      </c>
      <c r="C1982" s="8">
        <f t="array" ref="C1982">PRODUCT(1-'Sparkling Model'!D$2:D$38^A1982)</f>
        <v>0.05180821585</v>
      </c>
    </row>
    <row r="1983">
      <c r="A1983" s="6">
        <v>1981.0</v>
      </c>
      <c r="B1983" s="17">
        <f t="array" ref="B1983">SUM(1-'Sparkling Model'!D$2:D$38^A1983)</f>
        <v>34.43422217</v>
      </c>
      <c r="C1983" s="8">
        <f t="array" ref="C1983">PRODUCT(1-'Sparkling Model'!D$2:D$38^A1983)</f>
        <v>0.05195860436</v>
      </c>
    </row>
    <row r="1984">
      <c r="A1984" s="6">
        <v>1982.0</v>
      </c>
      <c r="B1984" s="17">
        <f t="array" ref="B1984">SUM(1-'Sparkling Model'!D$2:D$38^A1984)</f>
        <v>34.43658832</v>
      </c>
      <c r="C1984" s="8">
        <f t="array" ref="C1984">PRODUCT(1-'Sparkling Model'!D$2:D$38^A1984)</f>
        <v>0.05210923305</v>
      </c>
    </row>
    <row r="1985">
      <c r="A1985" s="6">
        <v>1983.0</v>
      </c>
      <c r="B1985" s="17">
        <f t="array" ref="B1985">SUM(1-'Sparkling Model'!D$2:D$38^A1985)</f>
        <v>34.43895156</v>
      </c>
      <c r="C1985" s="8">
        <f t="array" ref="C1985">PRODUCT(1-'Sparkling Model'!D$2:D$38^A1985)</f>
        <v>0.05226010181</v>
      </c>
    </row>
    <row r="1986">
      <c r="A1986" s="6">
        <v>1984.0</v>
      </c>
      <c r="B1986" s="17">
        <f t="array" ref="B1986">SUM(1-'Sparkling Model'!D$2:D$38^A1986)</f>
        <v>34.44131188</v>
      </c>
      <c r="C1986" s="8">
        <f t="array" ref="C1986">PRODUCT(1-'Sparkling Model'!D$2:D$38^A1986)</f>
        <v>0.05241121051</v>
      </c>
    </row>
    <row r="1987">
      <c r="A1987" s="6">
        <v>1985.0</v>
      </c>
      <c r="B1987" s="17">
        <f t="array" ref="B1987">SUM(1-'Sparkling Model'!D$2:D$38^A1987)</f>
        <v>34.4436693</v>
      </c>
      <c r="C1987" s="8">
        <f t="array" ref="C1987">PRODUCT(1-'Sparkling Model'!D$2:D$38^A1987)</f>
        <v>0.05256255903</v>
      </c>
    </row>
    <row r="1988">
      <c r="A1988" s="6">
        <v>1986.0</v>
      </c>
      <c r="B1988" s="17">
        <f t="array" ref="B1988">SUM(1-'Sparkling Model'!D$2:D$38^A1988)</f>
        <v>34.44602382</v>
      </c>
      <c r="C1988" s="8">
        <f t="array" ref="C1988">PRODUCT(1-'Sparkling Model'!D$2:D$38^A1988)</f>
        <v>0.05271414727</v>
      </c>
    </row>
    <row r="1989">
      <c r="A1989" s="6">
        <v>1987.0</v>
      </c>
      <c r="B1989" s="17">
        <f t="array" ref="B1989">SUM(1-'Sparkling Model'!D$2:D$38^A1989)</f>
        <v>34.44837544</v>
      </c>
      <c r="C1989" s="8">
        <f t="array" ref="C1989">PRODUCT(1-'Sparkling Model'!D$2:D$38^A1989)</f>
        <v>0.05286597509</v>
      </c>
    </row>
    <row r="1990">
      <c r="A1990" s="6">
        <v>1988.0</v>
      </c>
      <c r="B1990" s="17">
        <f t="array" ref="B1990">SUM(1-'Sparkling Model'!D$2:D$38^A1990)</f>
        <v>34.45072417</v>
      </c>
      <c r="C1990" s="8">
        <f t="array" ref="C1990">PRODUCT(1-'Sparkling Model'!D$2:D$38^A1990)</f>
        <v>0.05301804237</v>
      </c>
    </row>
    <row r="1991">
      <c r="A1991" s="6">
        <v>1989.0</v>
      </c>
      <c r="B1991" s="17">
        <f t="array" ref="B1991">SUM(1-'Sparkling Model'!D$2:D$38^A1991)</f>
        <v>34.45307001</v>
      </c>
      <c r="C1991" s="8">
        <f t="array" ref="C1991">PRODUCT(1-'Sparkling Model'!D$2:D$38^A1991)</f>
        <v>0.053170349</v>
      </c>
    </row>
    <row r="1992">
      <c r="A1992" s="6">
        <v>1990.0</v>
      </c>
      <c r="B1992" s="17">
        <f t="array" ref="B1992">SUM(1-'Sparkling Model'!D$2:D$38^A1992)</f>
        <v>34.45541296</v>
      </c>
      <c r="C1992" s="8">
        <f t="array" ref="C1992">PRODUCT(1-'Sparkling Model'!D$2:D$38^A1992)</f>
        <v>0.05332289484</v>
      </c>
    </row>
    <row r="1993">
      <c r="A1993" s="6">
        <v>1991.0</v>
      </c>
      <c r="B1993" s="17">
        <f t="array" ref="B1993">SUM(1-'Sparkling Model'!D$2:D$38^A1993)</f>
        <v>34.45775304</v>
      </c>
      <c r="C1993" s="8">
        <f t="array" ref="C1993">PRODUCT(1-'Sparkling Model'!D$2:D$38^A1993)</f>
        <v>0.05347567978</v>
      </c>
    </row>
    <row r="1994">
      <c r="A1994" s="6">
        <v>1992.0</v>
      </c>
      <c r="B1994" s="17">
        <f t="array" ref="B1994">SUM(1-'Sparkling Model'!D$2:D$38^A1994)</f>
        <v>34.46009024</v>
      </c>
      <c r="C1994" s="8">
        <f t="array" ref="C1994">PRODUCT(1-'Sparkling Model'!D$2:D$38^A1994)</f>
        <v>0.05362870369</v>
      </c>
    </row>
    <row r="1995">
      <c r="A1995" s="6">
        <v>1993.0</v>
      </c>
      <c r="B1995" s="17">
        <f t="array" ref="B1995">SUM(1-'Sparkling Model'!D$2:D$38^A1995)</f>
        <v>34.46242457</v>
      </c>
      <c r="C1995" s="8">
        <f t="array" ref="C1995">PRODUCT(1-'Sparkling Model'!D$2:D$38^A1995)</f>
        <v>0.05378196643</v>
      </c>
    </row>
    <row r="1996">
      <c r="A1996" s="6">
        <v>1994.0</v>
      </c>
      <c r="B1996" s="17">
        <f t="array" ref="B1996">SUM(1-'Sparkling Model'!D$2:D$38^A1996)</f>
        <v>34.46475603</v>
      </c>
      <c r="C1996" s="8">
        <f t="array" ref="C1996">PRODUCT(1-'Sparkling Model'!D$2:D$38^A1996)</f>
        <v>0.0539354679</v>
      </c>
    </row>
    <row r="1997">
      <c r="A1997" s="6">
        <v>1995.0</v>
      </c>
      <c r="B1997" s="17">
        <f t="array" ref="B1997">SUM(1-'Sparkling Model'!D$2:D$38^A1997)</f>
        <v>34.46708464</v>
      </c>
      <c r="C1997" s="8">
        <f t="array" ref="C1997">PRODUCT(1-'Sparkling Model'!D$2:D$38^A1997)</f>
        <v>0.05408920795</v>
      </c>
    </row>
    <row r="1998">
      <c r="A1998" s="6">
        <v>1996.0</v>
      </c>
      <c r="B1998" s="17">
        <f t="array" ref="B1998">SUM(1-'Sparkling Model'!D$2:D$38^A1998)</f>
        <v>34.46941038</v>
      </c>
      <c r="C1998" s="8">
        <f t="array" ref="C1998">PRODUCT(1-'Sparkling Model'!D$2:D$38^A1998)</f>
        <v>0.05424318646</v>
      </c>
    </row>
    <row r="1999">
      <c r="A1999" s="6">
        <v>1997.0</v>
      </c>
      <c r="B1999" s="17">
        <f t="array" ref="B1999">SUM(1-'Sparkling Model'!D$2:D$38^A1999)</f>
        <v>34.47173327</v>
      </c>
      <c r="C1999" s="8">
        <f t="array" ref="C1999">PRODUCT(1-'Sparkling Model'!D$2:D$38^A1999)</f>
        <v>0.0543974033</v>
      </c>
    </row>
    <row r="2000">
      <c r="A2000" s="6">
        <v>1998.0</v>
      </c>
      <c r="B2000" s="17">
        <f t="array" ref="B2000">SUM(1-'Sparkling Model'!D$2:D$38^A2000)</f>
        <v>34.47405332</v>
      </c>
      <c r="C2000" s="8">
        <f t="array" ref="C2000">PRODUCT(1-'Sparkling Model'!D$2:D$38^A2000)</f>
        <v>0.05455185833</v>
      </c>
    </row>
    <row r="2001">
      <c r="A2001" s="6">
        <v>1999.0</v>
      </c>
      <c r="B2001" s="17">
        <f t="array" ref="B2001">SUM(1-'Sparkling Model'!D$2:D$38^A2001)</f>
        <v>34.47637052</v>
      </c>
      <c r="C2001" s="8">
        <f t="array" ref="C2001">PRODUCT(1-'Sparkling Model'!D$2:D$38^A2001)</f>
        <v>0.05470655143</v>
      </c>
    </row>
    <row r="2002">
      <c r="A2002" s="6">
        <v>2000.0</v>
      </c>
      <c r="B2002" s="17">
        <f t="array" ref="B2002">SUM(1-'Sparkling Model'!D$2:D$38^A2002)</f>
        <v>34.47868488</v>
      </c>
      <c r="C2002" s="8">
        <f t="array" ref="C2002">PRODUCT(1-'Sparkling Model'!D$2:D$38^A2002)</f>
        <v>0.05486148247</v>
      </c>
    </row>
    <row r="2003">
      <c r="A2003" s="6">
        <v>2001.0</v>
      </c>
      <c r="B2003" s="17">
        <f t="array" ref="B2003">SUM(1-'Sparkling Model'!D$2:D$38^A2003)</f>
        <v>34.4809964</v>
      </c>
      <c r="C2003" s="8">
        <f t="array" ref="C2003">PRODUCT(1-'Sparkling Model'!D$2:D$38^A2003)</f>
        <v>0.05501665131</v>
      </c>
    </row>
    <row r="2004">
      <c r="A2004" s="6">
        <v>2002.0</v>
      </c>
      <c r="B2004" s="17">
        <f t="array" ref="B2004">SUM(1-'Sparkling Model'!D$2:D$38^A2004)</f>
        <v>34.4833051</v>
      </c>
      <c r="C2004" s="8">
        <f t="array" ref="C2004">PRODUCT(1-'Sparkling Model'!D$2:D$38^A2004)</f>
        <v>0.05517205782</v>
      </c>
    </row>
    <row r="2005">
      <c r="A2005" s="6">
        <v>2003.0</v>
      </c>
      <c r="B2005" s="17">
        <f t="array" ref="B2005">SUM(1-'Sparkling Model'!D$2:D$38^A2005)</f>
        <v>34.48561097</v>
      </c>
      <c r="C2005" s="8">
        <f t="array" ref="C2005">PRODUCT(1-'Sparkling Model'!D$2:D$38^A2005)</f>
        <v>0.05532770186</v>
      </c>
    </row>
    <row r="2006">
      <c r="A2006" s="6">
        <v>2004.0</v>
      </c>
      <c r="B2006" s="17">
        <f t="array" ref="B2006">SUM(1-'Sparkling Model'!D$2:D$38^A2006)</f>
        <v>34.48791401</v>
      </c>
      <c r="C2006" s="8">
        <f t="array" ref="C2006">PRODUCT(1-'Sparkling Model'!D$2:D$38^A2006)</f>
        <v>0.05548358329</v>
      </c>
    </row>
    <row r="2007">
      <c r="A2007" s="6">
        <v>2005.0</v>
      </c>
      <c r="B2007" s="17">
        <f t="array" ref="B2007">SUM(1-'Sparkling Model'!D$2:D$38^A2007)</f>
        <v>34.49021424</v>
      </c>
      <c r="C2007" s="8">
        <f t="array" ref="C2007">PRODUCT(1-'Sparkling Model'!D$2:D$38^A2007)</f>
        <v>0.05563970199</v>
      </c>
    </row>
    <row r="2008">
      <c r="A2008" s="6">
        <v>2006.0</v>
      </c>
      <c r="B2008" s="17">
        <f t="array" ref="B2008">SUM(1-'Sparkling Model'!D$2:D$38^A2008)</f>
        <v>34.49251165</v>
      </c>
      <c r="C2008" s="8">
        <f t="array" ref="C2008">PRODUCT(1-'Sparkling Model'!D$2:D$38^A2008)</f>
        <v>0.05579605781</v>
      </c>
    </row>
    <row r="2009">
      <c r="A2009" s="6">
        <v>2007.0</v>
      </c>
      <c r="B2009" s="17">
        <f t="array" ref="B2009">SUM(1-'Sparkling Model'!D$2:D$38^A2009)</f>
        <v>34.49480626</v>
      </c>
      <c r="C2009" s="8">
        <f t="array" ref="C2009">PRODUCT(1-'Sparkling Model'!D$2:D$38^A2009)</f>
        <v>0.05595265062</v>
      </c>
    </row>
    <row r="2010">
      <c r="A2010" s="6">
        <v>2008.0</v>
      </c>
      <c r="B2010" s="17">
        <f t="array" ref="B2010">SUM(1-'Sparkling Model'!D$2:D$38^A2010)</f>
        <v>34.49709806</v>
      </c>
      <c r="C2010" s="8">
        <f t="array" ref="C2010">PRODUCT(1-'Sparkling Model'!D$2:D$38^A2010)</f>
        <v>0.05610948028</v>
      </c>
    </row>
    <row r="2011">
      <c r="A2011" s="6">
        <v>2009.0</v>
      </c>
      <c r="B2011" s="17">
        <f t="array" ref="B2011">SUM(1-'Sparkling Model'!D$2:D$38^A2011)</f>
        <v>34.49938706</v>
      </c>
      <c r="C2011" s="8">
        <f t="array" ref="C2011">PRODUCT(1-'Sparkling Model'!D$2:D$38^A2011)</f>
        <v>0.05626654664</v>
      </c>
    </row>
    <row r="2012">
      <c r="A2012" s="6">
        <v>2010.0</v>
      </c>
      <c r="B2012" s="17">
        <f t="array" ref="B2012">SUM(1-'Sparkling Model'!D$2:D$38^A2012)</f>
        <v>34.50167326</v>
      </c>
      <c r="C2012" s="8">
        <f t="array" ref="C2012">PRODUCT(1-'Sparkling Model'!D$2:D$38^A2012)</f>
        <v>0.05642384956</v>
      </c>
    </row>
    <row r="2013">
      <c r="A2013" s="6">
        <v>2011.0</v>
      </c>
      <c r="B2013" s="17">
        <f t="array" ref="B2013">SUM(1-'Sparkling Model'!D$2:D$38^A2013)</f>
        <v>34.50395667</v>
      </c>
      <c r="C2013" s="8">
        <f t="array" ref="C2013">PRODUCT(1-'Sparkling Model'!D$2:D$38^A2013)</f>
        <v>0.05658138891</v>
      </c>
    </row>
    <row r="2014">
      <c r="A2014" s="6">
        <v>2012.0</v>
      </c>
      <c r="B2014" s="17">
        <f t="array" ref="B2014">SUM(1-'Sparkling Model'!D$2:D$38^A2014)</f>
        <v>34.5062373</v>
      </c>
      <c r="C2014" s="8">
        <f t="array" ref="C2014">PRODUCT(1-'Sparkling Model'!D$2:D$38^A2014)</f>
        <v>0.05673916455</v>
      </c>
    </row>
    <row r="2015">
      <c r="A2015" s="6">
        <v>2013.0</v>
      </c>
      <c r="B2015" s="17">
        <f t="array" ref="B2015">SUM(1-'Sparkling Model'!D$2:D$38^A2015)</f>
        <v>34.50851514</v>
      </c>
      <c r="C2015" s="8">
        <f t="array" ref="C2015">PRODUCT(1-'Sparkling Model'!D$2:D$38^A2015)</f>
        <v>0.05689717632</v>
      </c>
    </row>
    <row r="2016">
      <c r="A2016" s="6">
        <v>2014.0</v>
      </c>
      <c r="B2016" s="17">
        <f t="array" ref="B2016">SUM(1-'Sparkling Model'!D$2:D$38^A2016)</f>
        <v>34.5107902</v>
      </c>
      <c r="C2016" s="8">
        <f t="array" ref="C2016">PRODUCT(1-'Sparkling Model'!D$2:D$38^A2016)</f>
        <v>0.05705542408</v>
      </c>
    </row>
    <row r="2017">
      <c r="A2017" s="6">
        <v>2015.0</v>
      </c>
      <c r="B2017" s="17">
        <f t="array" ref="B2017">SUM(1-'Sparkling Model'!D$2:D$38^A2017)</f>
        <v>34.51306249</v>
      </c>
      <c r="C2017" s="8">
        <f t="array" ref="C2017">PRODUCT(1-'Sparkling Model'!D$2:D$38^A2017)</f>
        <v>0.0572139077</v>
      </c>
    </row>
    <row r="2018">
      <c r="A2018" s="6">
        <v>2016.0</v>
      </c>
      <c r="B2018" s="17">
        <f t="array" ref="B2018">SUM(1-'Sparkling Model'!D$2:D$38^A2018)</f>
        <v>34.515332</v>
      </c>
      <c r="C2018" s="8">
        <f t="array" ref="C2018">PRODUCT(1-'Sparkling Model'!D$2:D$38^A2018)</f>
        <v>0.05737262702</v>
      </c>
    </row>
    <row r="2019">
      <c r="A2019" s="6">
        <v>2017.0</v>
      </c>
      <c r="B2019" s="17">
        <f t="array" ref="B2019">SUM(1-'Sparkling Model'!D$2:D$38^A2019)</f>
        <v>34.51759875</v>
      </c>
      <c r="C2019" s="8">
        <f t="array" ref="C2019">PRODUCT(1-'Sparkling Model'!D$2:D$38^A2019)</f>
        <v>0.05753158191</v>
      </c>
    </row>
    <row r="2020">
      <c r="A2020" s="6">
        <v>2018.0</v>
      </c>
      <c r="B2020" s="17">
        <f t="array" ref="B2020">SUM(1-'Sparkling Model'!D$2:D$38^A2020)</f>
        <v>34.51986274</v>
      </c>
      <c r="C2020" s="8">
        <f t="array" ref="C2020">PRODUCT(1-'Sparkling Model'!D$2:D$38^A2020)</f>
        <v>0.0576907722</v>
      </c>
    </row>
    <row r="2021">
      <c r="A2021" s="6">
        <v>2019.0</v>
      </c>
      <c r="B2021" s="17">
        <f t="array" ref="B2021">SUM(1-'Sparkling Model'!D$2:D$38^A2021)</f>
        <v>34.52212397</v>
      </c>
      <c r="C2021" s="8">
        <f t="array" ref="C2021">PRODUCT(1-'Sparkling Model'!D$2:D$38^A2021)</f>
        <v>0.05785019775</v>
      </c>
    </row>
    <row r="2022">
      <c r="A2022" s="6">
        <v>2020.0</v>
      </c>
      <c r="B2022" s="17">
        <f t="array" ref="B2022">SUM(1-'Sparkling Model'!D$2:D$38^A2022)</f>
        <v>34.52438244</v>
      </c>
      <c r="C2022" s="8">
        <f t="array" ref="C2022">PRODUCT(1-'Sparkling Model'!D$2:D$38^A2022)</f>
        <v>0.05800985842</v>
      </c>
    </row>
    <row r="2023">
      <c r="A2023" s="6">
        <v>2021.0</v>
      </c>
      <c r="B2023" s="17">
        <f t="array" ref="B2023">SUM(1-'Sparkling Model'!D$2:D$38^A2023)</f>
        <v>34.52663817</v>
      </c>
      <c r="C2023" s="8">
        <f t="array" ref="C2023">PRODUCT(1-'Sparkling Model'!D$2:D$38^A2023)</f>
        <v>0.05816975406</v>
      </c>
    </row>
    <row r="2024">
      <c r="A2024" s="6">
        <v>2022.0</v>
      </c>
      <c r="B2024" s="17">
        <f t="array" ref="B2024">SUM(1-'Sparkling Model'!D$2:D$38^A2024)</f>
        <v>34.52889115</v>
      </c>
      <c r="C2024" s="8">
        <f t="array" ref="C2024">PRODUCT(1-'Sparkling Model'!D$2:D$38^A2024)</f>
        <v>0.0583298845</v>
      </c>
    </row>
    <row r="2025">
      <c r="A2025" s="6">
        <v>2023.0</v>
      </c>
      <c r="B2025" s="17">
        <f t="array" ref="B2025">SUM(1-'Sparkling Model'!D$2:D$38^A2025)</f>
        <v>34.53114139</v>
      </c>
      <c r="C2025" s="8">
        <f t="array" ref="C2025">PRODUCT(1-'Sparkling Model'!D$2:D$38^A2025)</f>
        <v>0.05849024961</v>
      </c>
    </row>
    <row r="2026">
      <c r="A2026" s="6">
        <v>2024.0</v>
      </c>
      <c r="B2026" s="17">
        <f t="array" ref="B2026">SUM(1-'Sparkling Model'!D$2:D$38^A2026)</f>
        <v>34.53338889</v>
      </c>
      <c r="C2026" s="8">
        <f t="array" ref="C2026">PRODUCT(1-'Sparkling Model'!D$2:D$38^A2026)</f>
        <v>0.05865084924</v>
      </c>
    </row>
    <row r="2027">
      <c r="A2027" s="6">
        <v>2025.0</v>
      </c>
      <c r="B2027" s="17">
        <f t="array" ref="B2027">SUM(1-'Sparkling Model'!D$2:D$38^A2027)</f>
        <v>34.53563366</v>
      </c>
      <c r="C2027" s="8">
        <f t="array" ref="C2027">PRODUCT(1-'Sparkling Model'!D$2:D$38^A2027)</f>
        <v>0.05881168322</v>
      </c>
    </row>
    <row r="2028">
      <c r="A2028" s="6">
        <v>2026.0</v>
      </c>
      <c r="B2028" s="17">
        <f t="array" ref="B2028">SUM(1-'Sparkling Model'!D$2:D$38^A2028)</f>
        <v>34.5378757</v>
      </c>
      <c r="C2028" s="8">
        <f t="array" ref="C2028">PRODUCT(1-'Sparkling Model'!D$2:D$38^A2028)</f>
        <v>0.0589727514</v>
      </c>
    </row>
    <row r="2029">
      <c r="A2029" s="6">
        <v>2027.0</v>
      </c>
      <c r="B2029" s="17">
        <f t="array" ref="B2029">SUM(1-'Sparkling Model'!D$2:D$38^A2029)</f>
        <v>34.54011502</v>
      </c>
      <c r="C2029" s="8">
        <f t="array" ref="C2029">PRODUCT(1-'Sparkling Model'!D$2:D$38^A2029)</f>
        <v>0.05913405363</v>
      </c>
    </row>
    <row r="2030">
      <c r="A2030" s="6">
        <v>2028.0</v>
      </c>
      <c r="B2030" s="17">
        <f t="array" ref="B2030">SUM(1-'Sparkling Model'!D$2:D$38^A2030)</f>
        <v>34.54235162</v>
      </c>
      <c r="C2030" s="8">
        <f t="array" ref="C2030">PRODUCT(1-'Sparkling Model'!D$2:D$38^A2030)</f>
        <v>0.05929558976</v>
      </c>
    </row>
    <row r="2031">
      <c r="A2031" s="6">
        <v>2029.0</v>
      </c>
      <c r="B2031" s="17">
        <f t="array" ref="B2031">SUM(1-'Sparkling Model'!D$2:D$38^A2031)</f>
        <v>34.5445855</v>
      </c>
      <c r="C2031" s="8">
        <f t="array" ref="C2031">PRODUCT(1-'Sparkling Model'!D$2:D$38^A2031)</f>
        <v>0.05945735963</v>
      </c>
    </row>
    <row r="2032">
      <c r="A2032" s="6">
        <v>2030.0</v>
      </c>
      <c r="B2032" s="17">
        <f t="array" ref="B2032">SUM(1-'Sparkling Model'!D$2:D$38^A2032)</f>
        <v>34.54681667</v>
      </c>
      <c r="C2032" s="8">
        <f t="array" ref="C2032">PRODUCT(1-'Sparkling Model'!D$2:D$38^A2032)</f>
        <v>0.05961936308</v>
      </c>
    </row>
    <row r="2033">
      <c r="A2033" s="6">
        <v>2031.0</v>
      </c>
      <c r="B2033" s="17">
        <f t="array" ref="B2033">SUM(1-'Sparkling Model'!D$2:D$38^A2033)</f>
        <v>34.54904513</v>
      </c>
      <c r="C2033" s="8">
        <f t="array" ref="C2033">PRODUCT(1-'Sparkling Model'!D$2:D$38^A2033)</f>
        <v>0.05978159995</v>
      </c>
    </row>
    <row r="2034">
      <c r="A2034" s="6">
        <v>2032.0</v>
      </c>
      <c r="B2034" s="17">
        <f t="array" ref="B2034">SUM(1-'Sparkling Model'!D$2:D$38^A2034)</f>
        <v>34.55127089</v>
      </c>
      <c r="C2034" s="8">
        <f t="array" ref="C2034">PRODUCT(1-'Sparkling Model'!D$2:D$38^A2034)</f>
        <v>0.05994407009</v>
      </c>
    </row>
    <row r="2035">
      <c r="A2035" s="6">
        <v>2033.0</v>
      </c>
      <c r="B2035" s="17">
        <f t="array" ref="B2035">SUM(1-'Sparkling Model'!D$2:D$38^A2035)</f>
        <v>34.55349395</v>
      </c>
      <c r="C2035" s="8">
        <f t="array" ref="C2035">PRODUCT(1-'Sparkling Model'!D$2:D$38^A2035)</f>
        <v>0.06010677334</v>
      </c>
    </row>
    <row r="2036">
      <c r="A2036" s="6">
        <v>2034.0</v>
      </c>
      <c r="B2036" s="17">
        <f t="array" ref="B2036">SUM(1-'Sparkling Model'!D$2:D$38^A2036)</f>
        <v>34.55571431</v>
      </c>
      <c r="C2036" s="8">
        <f t="array" ref="C2036">PRODUCT(1-'Sparkling Model'!D$2:D$38^A2036)</f>
        <v>0.06026970953</v>
      </c>
    </row>
    <row r="2037">
      <c r="A2037" s="6">
        <v>2035.0</v>
      </c>
      <c r="B2037" s="17">
        <f t="array" ref="B2037">SUM(1-'Sparkling Model'!D$2:D$38^A2037)</f>
        <v>34.55793198</v>
      </c>
      <c r="C2037" s="8">
        <f t="array" ref="C2037">PRODUCT(1-'Sparkling Model'!D$2:D$38^A2037)</f>
        <v>0.06043287851</v>
      </c>
    </row>
    <row r="2038">
      <c r="A2038" s="6">
        <v>2036.0</v>
      </c>
      <c r="B2038" s="17">
        <f t="array" ref="B2038">SUM(1-'Sparkling Model'!D$2:D$38^A2038)</f>
        <v>34.56014697</v>
      </c>
      <c r="C2038" s="8">
        <f t="array" ref="C2038">PRODUCT(1-'Sparkling Model'!D$2:D$38^A2038)</f>
        <v>0.06059628011</v>
      </c>
    </row>
    <row r="2039">
      <c r="A2039" s="6">
        <v>2037.0</v>
      </c>
      <c r="B2039" s="17">
        <f t="array" ref="B2039">SUM(1-'Sparkling Model'!D$2:D$38^A2039)</f>
        <v>34.56235927</v>
      </c>
      <c r="C2039" s="8">
        <f t="array" ref="C2039">PRODUCT(1-'Sparkling Model'!D$2:D$38^A2039)</f>
        <v>0.06075991417</v>
      </c>
    </row>
    <row r="2040">
      <c r="A2040" s="6">
        <v>2038.0</v>
      </c>
      <c r="B2040" s="17">
        <f t="array" ref="B2040">SUM(1-'Sparkling Model'!D$2:D$38^A2040)</f>
        <v>34.5645689</v>
      </c>
      <c r="C2040" s="8">
        <f t="array" ref="C2040">PRODUCT(1-'Sparkling Model'!D$2:D$38^A2040)</f>
        <v>0.06092378054</v>
      </c>
    </row>
    <row r="2041">
      <c r="A2041" s="6">
        <v>2039.0</v>
      </c>
      <c r="B2041" s="17">
        <f t="array" ref="B2041">SUM(1-'Sparkling Model'!D$2:D$38^A2041)</f>
        <v>34.56677584</v>
      </c>
      <c r="C2041" s="8">
        <f t="array" ref="C2041">PRODUCT(1-'Sparkling Model'!D$2:D$38^A2041)</f>
        <v>0.06108787904</v>
      </c>
    </row>
    <row r="2042">
      <c r="A2042" s="6">
        <v>2040.0</v>
      </c>
      <c r="B2042" s="17">
        <f t="array" ref="B2042">SUM(1-'Sparkling Model'!D$2:D$38^A2042)</f>
        <v>34.56898012</v>
      </c>
      <c r="C2042" s="8">
        <f t="array" ref="C2042">PRODUCT(1-'Sparkling Model'!D$2:D$38^A2042)</f>
        <v>0.06125220951</v>
      </c>
    </row>
    <row r="2043">
      <c r="A2043" s="6">
        <v>2041.0</v>
      </c>
      <c r="B2043" s="17">
        <f t="array" ref="B2043">SUM(1-'Sparkling Model'!D$2:D$38^A2043)</f>
        <v>34.57118173</v>
      </c>
      <c r="C2043" s="8">
        <f t="array" ref="C2043">PRODUCT(1-'Sparkling Model'!D$2:D$38^A2043)</f>
        <v>0.06141677178</v>
      </c>
    </row>
    <row r="2044">
      <c r="A2044" s="6">
        <v>2042.0</v>
      </c>
      <c r="B2044" s="17">
        <f t="array" ref="B2044">SUM(1-'Sparkling Model'!D$2:D$38^A2044)</f>
        <v>34.57338068</v>
      </c>
      <c r="C2044" s="8">
        <f t="array" ref="C2044">PRODUCT(1-'Sparkling Model'!D$2:D$38^A2044)</f>
        <v>0.0615815657</v>
      </c>
    </row>
    <row r="2045">
      <c r="A2045" s="6">
        <v>2043.0</v>
      </c>
      <c r="B2045" s="17">
        <f t="array" ref="B2045">SUM(1-'Sparkling Model'!D$2:D$38^A2045)</f>
        <v>34.57557697</v>
      </c>
      <c r="C2045" s="8">
        <f t="array" ref="C2045">PRODUCT(1-'Sparkling Model'!D$2:D$38^A2045)</f>
        <v>0.06174659109</v>
      </c>
    </row>
    <row r="2046">
      <c r="A2046" s="6">
        <v>2044.0</v>
      </c>
      <c r="B2046" s="17">
        <f t="array" ref="B2046">SUM(1-'Sparkling Model'!D$2:D$38^A2046)</f>
        <v>34.57777061</v>
      </c>
      <c r="C2046" s="8">
        <f t="array" ref="C2046">PRODUCT(1-'Sparkling Model'!D$2:D$38^A2046)</f>
        <v>0.06191184778</v>
      </c>
    </row>
    <row r="2047">
      <c r="A2047" s="6">
        <v>2045.0</v>
      </c>
      <c r="B2047" s="17">
        <f t="array" ref="B2047">SUM(1-'Sparkling Model'!D$2:D$38^A2047)</f>
        <v>34.57996159</v>
      </c>
      <c r="C2047" s="8">
        <f t="array" ref="C2047">PRODUCT(1-'Sparkling Model'!D$2:D$38^A2047)</f>
        <v>0.06207733561</v>
      </c>
    </row>
    <row r="2048">
      <c r="A2048" s="6">
        <v>2046.0</v>
      </c>
      <c r="B2048" s="17">
        <f t="array" ref="B2048">SUM(1-'Sparkling Model'!D$2:D$38^A2048)</f>
        <v>34.58214993</v>
      </c>
      <c r="C2048" s="8">
        <f t="array" ref="C2048">PRODUCT(1-'Sparkling Model'!D$2:D$38^A2048)</f>
        <v>0.06224305441</v>
      </c>
    </row>
    <row r="2049">
      <c r="A2049" s="6">
        <v>2047.0</v>
      </c>
      <c r="B2049" s="17">
        <f t="array" ref="B2049">SUM(1-'Sparkling Model'!D$2:D$38^A2049)</f>
        <v>34.58433563</v>
      </c>
      <c r="C2049" s="8">
        <f t="array" ref="C2049">PRODUCT(1-'Sparkling Model'!D$2:D$38^A2049)</f>
        <v>0.062409004</v>
      </c>
    </row>
    <row r="2050">
      <c r="A2050" s="6">
        <v>2048.0</v>
      </c>
      <c r="B2050" s="17">
        <f t="array" ref="B2050">SUM(1-'Sparkling Model'!D$2:D$38^A2050)</f>
        <v>34.58651868</v>
      </c>
      <c r="C2050" s="8">
        <f t="array" ref="C2050">PRODUCT(1-'Sparkling Model'!D$2:D$38^A2050)</f>
        <v>0.06257518423</v>
      </c>
    </row>
    <row r="2051">
      <c r="A2051" s="6">
        <v>2049.0</v>
      </c>
      <c r="B2051" s="17">
        <f t="array" ref="B2051">SUM(1-'Sparkling Model'!D$2:D$38^A2051)</f>
        <v>34.58869911</v>
      </c>
      <c r="C2051" s="8">
        <f t="array" ref="C2051">PRODUCT(1-'Sparkling Model'!D$2:D$38^A2051)</f>
        <v>0.0627415949</v>
      </c>
    </row>
    <row r="2052">
      <c r="A2052" s="6">
        <v>2050.0</v>
      </c>
      <c r="B2052" s="17">
        <f t="array" ref="B2052">SUM(1-'Sparkling Model'!D$2:D$38^A2052)</f>
        <v>34.5908769</v>
      </c>
      <c r="C2052" s="8">
        <f t="array" ref="C2052">PRODUCT(1-'Sparkling Model'!D$2:D$38^A2052)</f>
        <v>0.06290823587</v>
      </c>
    </row>
    <row r="2053">
      <c r="A2053" s="6">
        <v>2051.0</v>
      </c>
      <c r="B2053" s="17">
        <f t="array" ref="B2053">SUM(1-'Sparkling Model'!D$2:D$38^A2053)</f>
        <v>34.59305207</v>
      </c>
      <c r="C2053" s="8">
        <f t="array" ref="C2053">PRODUCT(1-'Sparkling Model'!D$2:D$38^A2053)</f>
        <v>0.06307510694</v>
      </c>
    </row>
    <row r="2054">
      <c r="A2054" s="6">
        <v>2052.0</v>
      </c>
      <c r="B2054" s="17">
        <f t="array" ref="B2054">SUM(1-'Sparkling Model'!D$2:D$38^A2054)</f>
        <v>34.59522461</v>
      </c>
      <c r="C2054" s="8">
        <f t="array" ref="C2054">PRODUCT(1-'Sparkling Model'!D$2:D$38^A2054)</f>
        <v>0.06324220795</v>
      </c>
    </row>
    <row r="2055">
      <c r="A2055" s="6">
        <v>2053.0</v>
      </c>
      <c r="B2055" s="17">
        <f t="array" ref="B2055">SUM(1-'Sparkling Model'!D$2:D$38^A2055)</f>
        <v>34.59739454</v>
      </c>
      <c r="C2055" s="8">
        <f t="array" ref="C2055">PRODUCT(1-'Sparkling Model'!D$2:D$38^A2055)</f>
        <v>0.06340953873</v>
      </c>
    </row>
    <row r="2056">
      <c r="A2056" s="6">
        <v>2054.0</v>
      </c>
      <c r="B2056" s="17">
        <f t="array" ref="B2056">SUM(1-'Sparkling Model'!D$2:D$38^A2056)</f>
        <v>34.59956185</v>
      </c>
      <c r="C2056" s="8">
        <f t="array" ref="C2056">PRODUCT(1-'Sparkling Model'!D$2:D$38^A2056)</f>
        <v>0.06357709909</v>
      </c>
    </row>
    <row r="2057">
      <c r="A2057" s="6">
        <v>2055.0</v>
      </c>
      <c r="B2057" s="17">
        <f t="array" ref="B2057">SUM(1-'Sparkling Model'!D$2:D$38^A2057)</f>
        <v>34.60172655</v>
      </c>
      <c r="C2057" s="8">
        <f t="array" ref="C2057">PRODUCT(1-'Sparkling Model'!D$2:D$38^A2057)</f>
        <v>0.06374488887</v>
      </c>
    </row>
    <row r="2058">
      <c r="A2058" s="6">
        <v>2056.0</v>
      </c>
      <c r="B2058" s="17">
        <f t="array" ref="B2058">SUM(1-'Sparkling Model'!D$2:D$38^A2058)</f>
        <v>34.60388864</v>
      </c>
      <c r="C2058" s="8">
        <f t="array" ref="C2058">PRODUCT(1-'Sparkling Model'!D$2:D$38^A2058)</f>
        <v>0.06391290788</v>
      </c>
    </row>
    <row r="2059">
      <c r="A2059" s="6">
        <v>2057.0</v>
      </c>
      <c r="B2059" s="17">
        <f t="array" ref="B2059">SUM(1-'Sparkling Model'!D$2:D$38^A2059)</f>
        <v>34.60604814</v>
      </c>
      <c r="C2059" s="8">
        <f t="array" ref="C2059">PRODUCT(1-'Sparkling Model'!D$2:D$38^A2059)</f>
        <v>0.06408115595</v>
      </c>
    </row>
    <row r="2060">
      <c r="A2060" s="6">
        <v>2058.0</v>
      </c>
      <c r="B2060" s="17">
        <f t="array" ref="B2060">SUM(1-'Sparkling Model'!D$2:D$38^A2060)</f>
        <v>34.60820503</v>
      </c>
      <c r="C2060" s="8">
        <f t="array" ref="C2060">PRODUCT(1-'Sparkling Model'!D$2:D$38^A2060)</f>
        <v>0.0642496329</v>
      </c>
    </row>
    <row r="2061">
      <c r="A2061" s="6">
        <v>2059.0</v>
      </c>
      <c r="B2061" s="17">
        <f t="array" ref="B2061">SUM(1-'Sparkling Model'!D$2:D$38^A2061)</f>
        <v>34.61035933</v>
      </c>
      <c r="C2061" s="8">
        <f t="array" ref="C2061">PRODUCT(1-'Sparkling Model'!D$2:D$38^A2061)</f>
        <v>0.06441833855</v>
      </c>
    </row>
    <row r="2062">
      <c r="A2062" s="6">
        <v>2060.0</v>
      </c>
      <c r="B2062" s="17">
        <f t="array" ref="B2062">SUM(1-'Sparkling Model'!D$2:D$38^A2062)</f>
        <v>34.61251104</v>
      </c>
      <c r="C2062" s="8">
        <f t="array" ref="C2062">PRODUCT(1-'Sparkling Model'!D$2:D$38^A2062)</f>
        <v>0.06458727273</v>
      </c>
    </row>
    <row r="2063">
      <c r="A2063" s="6">
        <v>2061.0</v>
      </c>
      <c r="B2063" s="17">
        <f t="array" ref="B2063">SUM(1-'Sparkling Model'!D$2:D$38^A2063)</f>
        <v>34.61466016</v>
      </c>
      <c r="C2063" s="8">
        <f t="array" ref="C2063">PRODUCT(1-'Sparkling Model'!D$2:D$38^A2063)</f>
        <v>0.06475643525</v>
      </c>
    </row>
    <row r="2064">
      <c r="A2064" s="6">
        <v>2062.0</v>
      </c>
      <c r="B2064" s="17">
        <f t="array" ref="B2064">SUM(1-'Sparkling Model'!D$2:D$38^A2064)</f>
        <v>34.61680669</v>
      </c>
      <c r="C2064" s="8">
        <f t="array" ref="C2064">PRODUCT(1-'Sparkling Model'!D$2:D$38^A2064)</f>
        <v>0.06492582594</v>
      </c>
    </row>
    <row r="2065">
      <c r="A2065" s="6">
        <v>2063.0</v>
      </c>
      <c r="B2065" s="17">
        <f t="array" ref="B2065">SUM(1-'Sparkling Model'!D$2:D$38^A2065)</f>
        <v>34.61895065</v>
      </c>
      <c r="C2065" s="8">
        <f t="array" ref="C2065">PRODUCT(1-'Sparkling Model'!D$2:D$38^A2065)</f>
        <v>0.0650954446</v>
      </c>
    </row>
    <row r="2066">
      <c r="A2066" s="6">
        <v>2064.0</v>
      </c>
      <c r="B2066" s="17">
        <f t="array" ref="B2066">SUM(1-'Sparkling Model'!D$2:D$38^A2066)</f>
        <v>34.62109204</v>
      </c>
      <c r="C2066" s="8">
        <f t="array" ref="C2066">PRODUCT(1-'Sparkling Model'!D$2:D$38^A2066)</f>
        <v>0.06526529106</v>
      </c>
    </row>
    <row r="2067">
      <c r="A2067" s="6">
        <v>2065.0</v>
      </c>
      <c r="B2067" s="17">
        <f t="array" ref="B2067">SUM(1-'Sparkling Model'!D$2:D$38^A2067)</f>
        <v>34.62323085</v>
      </c>
      <c r="C2067" s="8">
        <f t="array" ref="C2067">PRODUCT(1-'Sparkling Model'!D$2:D$38^A2067)</f>
        <v>0.06543536514</v>
      </c>
    </row>
    <row r="2068">
      <c r="A2068" s="6">
        <v>2066.0</v>
      </c>
      <c r="B2068" s="17">
        <f t="array" ref="B2068">SUM(1-'Sparkling Model'!D$2:D$38^A2068)</f>
        <v>34.6253671</v>
      </c>
      <c r="C2068" s="8">
        <f t="array" ref="C2068">PRODUCT(1-'Sparkling Model'!D$2:D$38^A2068)</f>
        <v>0.06560566666</v>
      </c>
    </row>
    <row r="2069">
      <c r="A2069" s="6">
        <v>2067.0</v>
      </c>
      <c r="B2069" s="17">
        <f t="array" ref="B2069">SUM(1-'Sparkling Model'!D$2:D$38^A2069)</f>
        <v>34.62750078</v>
      </c>
      <c r="C2069" s="8">
        <f t="array" ref="C2069">PRODUCT(1-'Sparkling Model'!D$2:D$38^A2069)</f>
        <v>0.06577619542</v>
      </c>
    </row>
    <row r="2070">
      <c r="A2070" s="6">
        <v>2068.0</v>
      </c>
      <c r="B2070" s="17">
        <f t="array" ref="B2070">SUM(1-'Sparkling Model'!D$2:D$38^A2070)</f>
        <v>34.6296319</v>
      </c>
      <c r="C2070" s="8">
        <f t="array" ref="C2070">PRODUCT(1-'Sparkling Model'!D$2:D$38^A2070)</f>
        <v>0.06594695124</v>
      </c>
    </row>
    <row r="2071">
      <c r="A2071" s="6">
        <v>2069.0</v>
      </c>
      <c r="B2071" s="17">
        <f t="array" ref="B2071">SUM(1-'Sparkling Model'!D$2:D$38^A2071)</f>
        <v>34.63176047</v>
      </c>
      <c r="C2071" s="8">
        <f t="array" ref="C2071">PRODUCT(1-'Sparkling Model'!D$2:D$38^A2071)</f>
        <v>0.06611793394</v>
      </c>
    </row>
    <row r="2072">
      <c r="A2072" s="6">
        <v>2070.0</v>
      </c>
      <c r="B2072" s="17">
        <f t="array" ref="B2072">SUM(1-'Sparkling Model'!D$2:D$38^A2072)</f>
        <v>34.63388648</v>
      </c>
      <c r="C2072" s="8">
        <f t="array" ref="C2072">PRODUCT(1-'Sparkling Model'!D$2:D$38^A2072)</f>
        <v>0.06628914333</v>
      </c>
    </row>
    <row r="2073">
      <c r="A2073" s="6">
        <v>2071.0</v>
      </c>
      <c r="B2073" s="17">
        <f t="array" ref="B2073">SUM(1-'Sparkling Model'!D$2:D$38^A2073)</f>
        <v>34.63600995</v>
      </c>
      <c r="C2073" s="8">
        <f t="array" ref="C2073">PRODUCT(1-'Sparkling Model'!D$2:D$38^A2073)</f>
        <v>0.06646057923</v>
      </c>
    </row>
    <row r="2074">
      <c r="A2074" s="6">
        <v>2072.0</v>
      </c>
      <c r="B2074" s="17">
        <f t="array" ref="B2074">SUM(1-'Sparkling Model'!D$2:D$38^A2074)</f>
        <v>34.63813087</v>
      </c>
      <c r="C2074" s="8">
        <f t="array" ref="C2074">PRODUCT(1-'Sparkling Model'!D$2:D$38^A2074)</f>
        <v>0.06663224144</v>
      </c>
    </row>
    <row r="2075">
      <c r="A2075" s="6">
        <v>2073.0</v>
      </c>
      <c r="B2075" s="17">
        <f t="array" ref="B2075">SUM(1-'Sparkling Model'!D$2:D$38^A2075)</f>
        <v>34.64024926</v>
      </c>
      <c r="C2075" s="8">
        <f t="array" ref="C2075">PRODUCT(1-'Sparkling Model'!D$2:D$38^A2075)</f>
        <v>0.06680412978</v>
      </c>
    </row>
    <row r="2076">
      <c r="A2076" s="6">
        <v>2074.0</v>
      </c>
      <c r="B2076" s="17">
        <f t="array" ref="B2076">SUM(1-'Sparkling Model'!D$2:D$38^A2076)</f>
        <v>34.6423651</v>
      </c>
      <c r="C2076" s="8">
        <f t="array" ref="C2076">PRODUCT(1-'Sparkling Model'!D$2:D$38^A2076)</f>
        <v>0.06697624406</v>
      </c>
    </row>
    <row r="2077">
      <c r="A2077" s="6">
        <v>2075.0</v>
      </c>
      <c r="B2077" s="17">
        <f t="array" ref="B2077">SUM(1-'Sparkling Model'!D$2:D$38^A2077)</f>
        <v>34.64447842</v>
      </c>
      <c r="C2077" s="8">
        <f t="array" ref="C2077">PRODUCT(1-'Sparkling Model'!D$2:D$38^A2077)</f>
        <v>0.06714858409</v>
      </c>
    </row>
    <row r="2078">
      <c r="A2078" s="6">
        <v>2076.0</v>
      </c>
      <c r="B2078" s="17">
        <f t="array" ref="B2078">SUM(1-'Sparkling Model'!D$2:D$38^A2078)</f>
        <v>34.6465892</v>
      </c>
      <c r="C2078" s="8">
        <f t="array" ref="C2078">PRODUCT(1-'Sparkling Model'!D$2:D$38^A2078)</f>
        <v>0.06732114968</v>
      </c>
    </row>
    <row r="2079">
      <c r="A2079" s="6">
        <v>2077.0</v>
      </c>
      <c r="B2079" s="17">
        <f t="array" ref="B2079">SUM(1-'Sparkling Model'!D$2:D$38^A2079)</f>
        <v>34.64869746</v>
      </c>
      <c r="C2079" s="8">
        <f t="array" ref="C2079">PRODUCT(1-'Sparkling Model'!D$2:D$38^A2079)</f>
        <v>0.06749394064</v>
      </c>
    </row>
    <row r="2080">
      <c r="A2080" s="6">
        <v>2078.0</v>
      </c>
      <c r="B2080" s="17">
        <f t="array" ref="B2080">SUM(1-'Sparkling Model'!D$2:D$38^A2080)</f>
        <v>34.6508032</v>
      </c>
      <c r="C2080" s="8">
        <f t="array" ref="C2080">PRODUCT(1-'Sparkling Model'!D$2:D$38^A2080)</f>
        <v>0.06766695677</v>
      </c>
    </row>
    <row r="2081">
      <c r="A2081" s="6">
        <v>2079.0</v>
      </c>
      <c r="B2081" s="17">
        <f t="array" ref="B2081">SUM(1-'Sparkling Model'!D$2:D$38^A2081)</f>
        <v>34.65290642</v>
      </c>
      <c r="C2081" s="8">
        <f t="array" ref="C2081">PRODUCT(1-'Sparkling Model'!D$2:D$38^A2081)</f>
        <v>0.06784019788</v>
      </c>
    </row>
    <row r="2082">
      <c r="A2082" s="6">
        <v>2080.0</v>
      </c>
      <c r="B2082" s="17">
        <f t="array" ref="B2082">SUM(1-'Sparkling Model'!D$2:D$38^A2082)</f>
        <v>34.65500713</v>
      </c>
      <c r="C2082" s="8">
        <f t="array" ref="C2082">PRODUCT(1-'Sparkling Model'!D$2:D$38^A2082)</f>
        <v>0.06801366379</v>
      </c>
    </row>
    <row r="2083">
      <c r="A2083" s="6">
        <v>2081.0</v>
      </c>
      <c r="B2083" s="17">
        <f t="array" ref="B2083">SUM(1-'Sparkling Model'!D$2:D$38^A2083)</f>
        <v>34.65710533</v>
      </c>
      <c r="C2083" s="8">
        <f t="array" ref="C2083">PRODUCT(1-'Sparkling Model'!D$2:D$38^A2083)</f>
        <v>0.06818735429</v>
      </c>
    </row>
    <row r="2084">
      <c r="A2084" s="6">
        <v>2082.0</v>
      </c>
      <c r="B2084" s="17">
        <f t="array" ref="B2084">SUM(1-'Sparkling Model'!D$2:D$38^A2084)</f>
        <v>34.65920102</v>
      </c>
      <c r="C2084" s="8">
        <f t="array" ref="C2084">PRODUCT(1-'Sparkling Model'!D$2:D$38^A2084)</f>
        <v>0.06836126919</v>
      </c>
    </row>
    <row r="2085">
      <c r="A2085" s="6">
        <v>2083.0</v>
      </c>
      <c r="B2085" s="17">
        <f t="array" ref="B2085">SUM(1-'Sparkling Model'!D$2:D$38^A2085)</f>
        <v>34.66129421</v>
      </c>
      <c r="C2085" s="8">
        <f t="array" ref="C2085">PRODUCT(1-'Sparkling Model'!D$2:D$38^A2085)</f>
        <v>0.0685354083</v>
      </c>
    </row>
    <row r="2086">
      <c r="A2086" s="6">
        <v>2084.0</v>
      </c>
      <c r="B2086" s="17">
        <f t="array" ref="B2086">SUM(1-'Sparkling Model'!D$2:D$38^A2086)</f>
        <v>34.66338491</v>
      </c>
      <c r="C2086" s="8">
        <f t="array" ref="C2086">PRODUCT(1-'Sparkling Model'!D$2:D$38^A2086)</f>
        <v>0.06870977143</v>
      </c>
    </row>
    <row r="2087">
      <c r="A2087" s="6">
        <v>2085.0</v>
      </c>
      <c r="B2087" s="17">
        <f t="array" ref="B2087">SUM(1-'Sparkling Model'!D$2:D$38^A2087)</f>
        <v>34.6654731</v>
      </c>
      <c r="C2087" s="8">
        <f t="array" ref="C2087">PRODUCT(1-'Sparkling Model'!D$2:D$38^A2087)</f>
        <v>0.06888435836</v>
      </c>
    </row>
    <row r="2088">
      <c r="A2088" s="6">
        <v>2086.0</v>
      </c>
      <c r="B2088" s="17">
        <f t="array" ref="B2088">SUM(1-'Sparkling Model'!D$2:D$38^A2088)</f>
        <v>34.66755881</v>
      </c>
      <c r="C2088" s="8">
        <f t="array" ref="C2088">PRODUCT(1-'Sparkling Model'!D$2:D$38^A2088)</f>
        <v>0.06905916892</v>
      </c>
    </row>
    <row r="2089">
      <c r="A2089" s="6">
        <v>2087.0</v>
      </c>
      <c r="B2089" s="17">
        <f t="array" ref="B2089">SUM(1-'Sparkling Model'!D$2:D$38^A2089)</f>
        <v>34.66964203</v>
      </c>
      <c r="C2089" s="8">
        <f t="array" ref="C2089">PRODUCT(1-'Sparkling Model'!D$2:D$38^A2089)</f>
        <v>0.06923420289</v>
      </c>
    </row>
    <row r="2090">
      <c r="A2090" s="6">
        <v>2088.0</v>
      </c>
      <c r="B2090" s="17">
        <f t="array" ref="B2090">SUM(1-'Sparkling Model'!D$2:D$38^A2090)</f>
        <v>34.67172276</v>
      </c>
      <c r="C2090" s="8">
        <f t="array" ref="C2090">PRODUCT(1-'Sparkling Model'!D$2:D$38^A2090)</f>
        <v>0.06940946009</v>
      </c>
    </row>
    <row r="2091">
      <c r="A2091" s="6">
        <v>2089.0</v>
      </c>
      <c r="B2091" s="17">
        <f t="array" ref="B2091">SUM(1-'Sparkling Model'!D$2:D$38^A2091)</f>
        <v>34.67380102</v>
      </c>
      <c r="C2091" s="8">
        <f t="array" ref="C2091">PRODUCT(1-'Sparkling Model'!D$2:D$38^A2091)</f>
        <v>0.06958494031</v>
      </c>
    </row>
    <row r="2092">
      <c r="A2092" s="6">
        <v>2090.0</v>
      </c>
      <c r="B2092" s="17">
        <f t="array" ref="B2092">SUM(1-'Sparkling Model'!D$2:D$38^A2092)</f>
        <v>34.6758768</v>
      </c>
      <c r="C2092" s="8">
        <f t="array" ref="C2092">PRODUCT(1-'Sparkling Model'!D$2:D$38^A2092)</f>
        <v>0.06976064335</v>
      </c>
    </row>
    <row r="2093">
      <c r="A2093" s="6">
        <v>2091.0</v>
      </c>
      <c r="B2093" s="17">
        <f t="array" ref="B2093">SUM(1-'Sparkling Model'!D$2:D$38^A2093)</f>
        <v>34.67795011</v>
      </c>
      <c r="C2093" s="8">
        <f t="array" ref="C2093">PRODUCT(1-'Sparkling Model'!D$2:D$38^A2093)</f>
        <v>0.06993656901</v>
      </c>
    </row>
    <row r="2094">
      <c r="A2094" s="6">
        <v>2092.0</v>
      </c>
      <c r="B2094" s="17">
        <f t="array" ref="B2094">SUM(1-'Sparkling Model'!D$2:D$38^A2094)</f>
        <v>34.68002095</v>
      </c>
      <c r="C2094" s="8">
        <f t="array" ref="C2094">PRODUCT(1-'Sparkling Model'!D$2:D$38^A2094)</f>
        <v>0.0701127171</v>
      </c>
    </row>
    <row r="2095">
      <c r="A2095" s="6">
        <v>2093.0</v>
      </c>
      <c r="B2095" s="17">
        <f t="array" ref="B2095">SUM(1-'Sparkling Model'!D$2:D$38^A2095)</f>
        <v>34.68208932</v>
      </c>
      <c r="C2095" s="8">
        <f t="array" ref="C2095">PRODUCT(1-'Sparkling Model'!D$2:D$38^A2095)</f>
        <v>0.0702890874</v>
      </c>
    </row>
    <row r="2096">
      <c r="A2096" s="6">
        <v>2094.0</v>
      </c>
      <c r="B2096" s="17">
        <f t="array" ref="B2096">SUM(1-'Sparkling Model'!D$2:D$38^A2096)</f>
        <v>34.68415524</v>
      </c>
      <c r="C2096" s="8">
        <f t="array" ref="C2096">PRODUCT(1-'Sparkling Model'!D$2:D$38^A2096)</f>
        <v>0.07046567973</v>
      </c>
    </row>
    <row r="2097">
      <c r="A2097" s="6">
        <v>2095.0</v>
      </c>
      <c r="B2097" s="17">
        <f t="array" ref="B2097">SUM(1-'Sparkling Model'!D$2:D$38^A2097)</f>
        <v>34.68621869</v>
      </c>
      <c r="C2097" s="8">
        <f t="array" ref="C2097">PRODUCT(1-'Sparkling Model'!D$2:D$38^A2097)</f>
        <v>0.07064249386</v>
      </c>
    </row>
    <row r="2098">
      <c r="A2098" s="6">
        <v>2096.0</v>
      </c>
      <c r="B2098" s="17">
        <f t="array" ref="B2098">SUM(1-'Sparkling Model'!D$2:D$38^A2098)</f>
        <v>34.6882797</v>
      </c>
      <c r="C2098" s="8">
        <f t="array" ref="C2098">PRODUCT(1-'Sparkling Model'!D$2:D$38^A2098)</f>
        <v>0.07081952961</v>
      </c>
    </row>
    <row r="2099">
      <c r="A2099" s="6">
        <v>2097.0</v>
      </c>
      <c r="B2099" s="17">
        <f t="array" ref="B2099">SUM(1-'Sparkling Model'!D$2:D$38^A2099)</f>
        <v>34.69033825</v>
      </c>
      <c r="C2099" s="8">
        <f t="array" ref="C2099">PRODUCT(1-'Sparkling Model'!D$2:D$38^A2099)</f>
        <v>0.07099678677</v>
      </c>
    </row>
    <row r="2100">
      <c r="A2100" s="6">
        <v>2098.0</v>
      </c>
      <c r="B2100" s="17">
        <f t="array" ref="B2100">SUM(1-'Sparkling Model'!D$2:D$38^A2100)</f>
        <v>34.69239435</v>
      </c>
      <c r="C2100" s="8">
        <f t="array" ref="C2100">PRODUCT(1-'Sparkling Model'!D$2:D$38^A2100)</f>
        <v>0.07117426513</v>
      </c>
    </row>
    <row r="2101">
      <c r="A2101" s="6">
        <v>2099.0</v>
      </c>
      <c r="B2101" s="17">
        <f t="array" ref="B2101">SUM(1-'Sparkling Model'!D$2:D$38^A2101)</f>
        <v>34.69444802</v>
      </c>
      <c r="C2101" s="8">
        <f t="array" ref="C2101">PRODUCT(1-'Sparkling Model'!D$2:D$38^A2101)</f>
        <v>0.07135196448</v>
      </c>
    </row>
    <row r="2102">
      <c r="A2102" s="6">
        <v>2100.0</v>
      </c>
      <c r="B2102" s="17">
        <f t="array" ref="B2102">SUM(1-'Sparkling Model'!D$2:D$38^A2102)</f>
        <v>34.69649924</v>
      </c>
      <c r="C2102" s="8">
        <f t="array" ref="C2102">PRODUCT(1-'Sparkling Model'!D$2:D$38^A2102)</f>
        <v>0.07152988463</v>
      </c>
    </row>
    <row r="2103">
      <c r="A2103" s="6">
        <v>2101.0</v>
      </c>
      <c r="B2103" s="17">
        <f t="array" ref="B2103">SUM(1-'Sparkling Model'!D$2:D$38^A2103)</f>
        <v>34.69854803</v>
      </c>
      <c r="C2103" s="8">
        <f t="array" ref="C2103">PRODUCT(1-'Sparkling Model'!D$2:D$38^A2103)</f>
        <v>0.07170802536</v>
      </c>
    </row>
    <row r="2104">
      <c r="A2104" s="6">
        <v>2102.0</v>
      </c>
      <c r="B2104" s="17">
        <f t="array" ref="B2104">SUM(1-'Sparkling Model'!D$2:D$38^A2104)</f>
        <v>34.70059439</v>
      </c>
      <c r="C2104" s="8">
        <f t="array" ref="C2104">PRODUCT(1-'Sparkling Model'!D$2:D$38^A2104)</f>
        <v>0.07188638647</v>
      </c>
    </row>
    <row r="2105">
      <c r="A2105" s="6">
        <v>2103.0</v>
      </c>
      <c r="B2105" s="17">
        <f t="array" ref="B2105">SUM(1-'Sparkling Model'!D$2:D$38^A2105)</f>
        <v>34.70263832</v>
      </c>
      <c r="C2105" s="8">
        <f t="array" ref="C2105">PRODUCT(1-'Sparkling Model'!D$2:D$38^A2105)</f>
        <v>0.07206496775</v>
      </c>
    </row>
    <row r="2106">
      <c r="A2106" s="6">
        <v>2104.0</v>
      </c>
      <c r="B2106" s="17">
        <f t="array" ref="B2106">SUM(1-'Sparkling Model'!D$2:D$38^A2106)</f>
        <v>34.70467982</v>
      </c>
      <c r="C2106" s="8">
        <f t="array" ref="C2106">PRODUCT(1-'Sparkling Model'!D$2:D$38^A2106)</f>
        <v>0.07224376899</v>
      </c>
    </row>
    <row r="2107">
      <c r="A2107" s="6">
        <v>2105.0</v>
      </c>
      <c r="B2107" s="17">
        <f t="array" ref="B2107">SUM(1-'Sparkling Model'!D$2:D$38^A2107)</f>
        <v>34.70671891</v>
      </c>
      <c r="C2107" s="8">
        <f t="array" ref="C2107">PRODUCT(1-'Sparkling Model'!D$2:D$38^A2107)</f>
        <v>0.07242278998</v>
      </c>
    </row>
    <row r="2108">
      <c r="A2108" s="6">
        <v>2106.0</v>
      </c>
      <c r="B2108" s="17">
        <f t="array" ref="B2108">SUM(1-'Sparkling Model'!D$2:D$38^A2108)</f>
        <v>34.70875557</v>
      </c>
      <c r="C2108" s="8">
        <f t="array" ref="C2108">PRODUCT(1-'Sparkling Model'!D$2:D$38^A2108)</f>
        <v>0.07260203052</v>
      </c>
    </row>
    <row r="2109">
      <c r="A2109" s="6">
        <v>2107.0</v>
      </c>
      <c r="B2109" s="17">
        <f t="array" ref="B2109">SUM(1-'Sparkling Model'!D$2:D$38^A2109)</f>
        <v>34.71078983</v>
      </c>
      <c r="C2109" s="8">
        <f t="array" ref="C2109">PRODUCT(1-'Sparkling Model'!D$2:D$38^A2109)</f>
        <v>0.07278149038</v>
      </c>
    </row>
    <row r="2110">
      <c r="A2110" s="6">
        <v>2108.0</v>
      </c>
      <c r="B2110" s="17">
        <f t="array" ref="B2110">SUM(1-'Sparkling Model'!D$2:D$38^A2110)</f>
        <v>34.71282167</v>
      </c>
      <c r="C2110" s="8">
        <f t="array" ref="C2110">PRODUCT(1-'Sparkling Model'!D$2:D$38^A2110)</f>
        <v>0.07296116937</v>
      </c>
    </row>
    <row r="2111">
      <c r="A2111" s="6">
        <v>2109.0</v>
      </c>
      <c r="B2111" s="17">
        <f t="array" ref="B2111">SUM(1-'Sparkling Model'!D$2:D$38^A2111)</f>
        <v>34.71485111</v>
      </c>
      <c r="C2111" s="8">
        <f t="array" ref="C2111">PRODUCT(1-'Sparkling Model'!D$2:D$38^A2111)</f>
        <v>0.07314106727</v>
      </c>
    </row>
    <row r="2112">
      <c r="A2112" s="6">
        <v>2110.0</v>
      </c>
      <c r="B2112" s="17">
        <f t="array" ref="B2112">SUM(1-'Sparkling Model'!D$2:D$38^A2112)</f>
        <v>34.71687814</v>
      </c>
      <c r="C2112" s="8">
        <f t="array" ref="C2112">PRODUCT(1-'Sparkling Model'!D$2:D$38^A2112)</f>
        <v>0.07332118386</v>
      </c>
    </row>
    <row r="2113">
      <c r="A2113" s="6">
        <v>2111.0</v>
      </c>
      <c r="B2113" s="17">
        <f t="array" ref="B2113">SUM(1-'Sparkling Model'!D$2:D$38^A2113)</f>
        <v>34.71890278</v>
      </c>
      <c r="C2113" s="8">
        <f t="array" ref="C2113">PRODUCT(1-'Sparkling Model'!D$2:D$38^A2113)</f>
        <v>0.07350151894</v>
      </c>
    </row>
    <row r="2114">
      <c r="A2114" s="6">
        <v>2112.0</v>
      </c>
      <c r="B2114" s="17">
        <f t="array" ref="B2114">SUM(1-'Sparkling Model'!D$2:D$38^A2114)</f>
        <v>34.72092502</v>
      </c>
      <c r="C2114" s="8">
        <f t="array" ref="C2114">PRODUCT(1-'Sparkling Model'!D$2:D$38^A2114)</f>
        <v>0.07368207229</v>
      </c>
    </row>
    <row r="2115">
      <c r="A2115" s="6">
        <v>2113.0</v>
      </c>
      <c r="B2115" s="17">
        <f t="array" ref="B2115">SUM(1-'Sparkling Model'!D$2:D$38^A2115)</f>
        <v>34.72294487</v>
      </c>
      <c r="C2115" s="8">
        <f t="array" ref="C2115">PRODUCT(1-'Sparkling Model'!D$2:D$38^A2115)</f>
        <v>0.0738628437</v>
      </c>
    </row>
    <row r="2116">
      <c r="A2116" s="6">
        <v>2114.0</v>
      </c>
      <c r="B2116" s="17">
        <f t="array" ref="B2116">SUM(1-'Sparkling Model'!D$2:D$38^A2116)</f>
        <v>34.72496232</v>
      </c>
      <c r="C2116" s="8">
        <f t="array" ref="C2116">PRODUCT(1-'Sparkling Model'!D$2:D$38^A2116)</f>
        <v>0.07404383296</v>
      </c>
    </row>
    <row r="2117">
      <c r="A2117" s="6">
        <v>2115.0</v>
      </c>
      <c r="B2117" s="17">
        <f t="array" ref="B2117">SUM(1-'Sparkling Model'!D$2:D$38^A2117)</f>
        <v>34.7269774</v>
      </c>
      <c r="C2117" s="8">
        <f t="array" ref="C2117">PRODUCT(1-'Sparkling Model'!D$2:D$38^A2117)</f>
        <v>0.07422503984</v>
      </c>
    </row>
    <row r="2118">
      <c r="A2118" s="6">
        <v>2116.0</v>
      </c>
      <c r="B2118" s="17">
        <f t="array" ref="B2118">SUM(1-'Sparkling Model'!D$2:D$38^A2118)</f>
        <v>34.72899009</v>
      </c>
      <c r="C2118" s="8">
        <f t="array" ref="C2118">PRODUCT(1-'Sparkling Model'!D$2:D$38^A2118)</f>
        <v>0.07440646413</v>
      </c>
    </row>
    <row r="2119">
      <c r="A2119" s="6">
        <v>2117.0</v>
      </c>
      <c r="B2119" s="17">
        <f t="array" ref="B2119">SUM(1-'Sparkling Model'!D$2:D$38^A2119)</f>
        <v>34.73100041</v>
      </c>
      <c r="C2119" s="8">
        <f t="array" ref="C2119">PRODUCT(1-'Sparkling Model'!D$2:D$38^A2119)</f>
        <v>0.07458810562</v>
      </c>
    </row>
    <row r="2120">
      <c r="A2120" s="6">
        <v>2118.0</v>
      </c>
      <c r="B2120" s="17">
        <f t="array" ref="B2120">SUM(1-'Sparkling Model'!D$2:D$38^A2120)</f>
        <v>34.73300835</v>
      </c>
      <c r="C2120" s="8">
        <f t="array" ref="C2120">PRODUCT(1-'Sparkling Model'!D$2:D$38^A2120)</f>
        <v>0.0747699641</v>
      </c>
    </row>
    <row r="2121">
      <c r="A2121" s="6">
        <v>2119.0</v>
      </c>
      <c r="B2121" s="17">
        <f t="array" ref="B2121">SUM(1-'Sparkling Model'!D$2:D$38^A2121)</f>
        <v>34.73501392</v>
      </c>
      <c r="C2121" s="8">
        <f t="array" ref="C2121">PRODUCT(1-'Sparkling Model'!D$2:D$38^A2121)</f>
        <v>0.07495203933</v>
      </c>
    </row>
    <row r="2122">
      <c r="A2122" s="6">
        <v>2120.0</v>
      </c>
      <c r="B2122" s="17">
        <f t="array" ref="B2122">SUM(1-'Sparkling Model'!D$2:D$38^A2122)</f>
        <v>34.73701712</v>
      </c>
      <c r="C2122" s="8">
        <f t="array" ref="C2122">PRODUCT(1-'Sparkling Model'!D$2:D$38^A2122)</f>
        <v>0.07513433111</v>
      </c>
    </row>
    <row r="2123">
      <c r="A2123" s="6">
        <v>2121.0</v>
      </c>
      <c r="B2123" s="17">
        <f t="array" ref="B2123">SUM(1-'Sparkling Model'!D$2:D$38^A2123)</f>
        <v>34.73901796</v>
      </c>
      <c r="C2123" s="8">
        <f t="array" ref="C2123">PRODUCT(1-'Sparkling Model'!D$2:D$38^A2123)</f>
        <v>0.07531683921</v>
      </c>
    </row>
    <row r="2124">
      <c r="A2124" s="6">
        <v>2122.0</v>
      </c>
      <c r="B2124" s="17">
        <f t="array" ref="B2124">SUM(1-'Sparkling Model'!D$2:D$38^A2124)</f>
        <v>34.74101644</v>
      </c>
      <c r="C2124" s="8">
        <f t="array" ref="C2124">PRODUCT(1-'Sparkling Model'!D$2:D$38^A2124)</f>
        <v>0.07549956343</v>
      </c>
    </row>
    <row r="2125">
      <c r="A2125" s="6">
        <v>2123.0</v>
      </c>
      <c r="B2125" s="17">
        <f t="array" ref="B2125">SUM(1-'Sparkling Model'!D$2:D$38^A2125)</f>
        <v>34.74301257</v>
      </c>
      <c r="C2125" s="8">
        <f t="array" ref="C2125">PRODUCT(1-'Sparkling Model'!D$2:D$38^A2125)</f>
        <v>0.07568250353</v>
      </c>
    </row>
    <row r="2126">
      <c r="A2126" s="6">
        <v>2124.0</v>
      </c>
      <c r="B2126" s="17">
        <f t="array" ref="B2126">SUM(1-'Sparkling Model'!D$2:D$38^A2126)</f>
        <v>34.74500634</v>
      </c>
      <c r="C2126" s="8">
        <f t="array" ref="C2126">PRODUCT(1-'Sparkling Model'!D$2:D$38^A2126)</f>
        <v>0.0758656593</v>
      </c>
    </row>
    <row r="2127">
      <c r="A2127" s="6">
        <v>2125.0</v>
      </c>
      <c r="B2127" s="17">
        <f t="array" ref="B2127">SUM(1-'Sparkling Model'!D$2:D$38^A2127)</f>
        <v>34.74699776</v>
      </c>
      <c r="C2127" s="8">
        <f t="array" ref="C2127">PRODUCT(1-'Sparkling Model'!D$2:D$38^A2127)</f>
        <v>0.07604903051</v>
      </c>
    </row>
    <row r="2128">
      <c r="A2128" s="6">
        <v>2126.0</v>
      </c>
      <c r="B2128" s="17">
        <f t="array" ref="B2128">SUM(1-'Sparkling Model'!D$2:D$38^A2128)</f>
        <v>34.74898683</v>
      </c>
      <c r="C2128" s="8">
        <f t="array" ref="C2128">PRODUCT(1-'Sparkling Model'!D$2:D$38^A2128)</f>
        <v>0.07623261695</v>
      </c>
    </row>
    <row r="2129">
      <c r="A2129" s="6">
        <v>2127.0</v>
      </c>
      <c r="B2129" s="17">
        <f t="array" ref="B2129">SUM(1-'Sparkling Model'!D$2:D$38^A2129)</f>
        <v>34.75097356</v>
      </c>
      <c r="C2129" s="8">
        <f t="array" ref="C2129">PRODUCT(1-'Sparkling Model'!D$2:D$38^A2129)</f>
        <v>0.0764164184</v>
      </c>
    </row>
    <row r="2130">
      <c r="A2130" s="6">
        <v>2128.0</v>
      </c>
      <c r="B2130" s="17">
        <f t="array" ref="B2130">SUM(1-'Sparkling Model'!D$2:D$38^A2130)</f>
        <v>34.75295796</v>
      </c>
      <c r="C2130" s="8">
        <f t="array" ref="C2130">PRODUCT(1-'Sparkling Model'!D$2:D$38^A2130)</f>
        <v>0.07660043462</v>
      </c>
    </row>
    <row r="2131">
      <c r="A2131" s="6">
        <v>2129.0</v>
      </c>
      <c r="B2131" s="17">
        <f t="array" ref="B2131">SUM(1-'Sparkling Model'!D$2:D$38^A2131)</f>
        <v>34.75494002</v>
      </c>
      <c r="C2131" s="8">
        <f t="array" ref="C2131">PRODUCT(1-'Sparkling Model'!D$2:D$38^A2131)</f>
        <v>0.07678466541</v>
      </c>
    </row>
    <row r="2132">
      <c r="A2132" s="6">
        <v>2130.0</v>
      </c>
      <c r="B2132" s="17">
        <f t="array" ref="B2132">SUM(1-'Sparkling Model'!D$2:D$38^A2132)</f>
        <v>34.75691974</v>
      </c>
      <c r="C2132" s="8">
        <f t="array" ref="C2132">PRODUCT(1-'Sparkling Model'!D$2:D$38^A2132)</f>
        <v>0.07696911052</v>
      </c>
    </row>
    <row r="2133">
      <c r="A2133" s="6">
        <v>2131.0</v>
      </c>
      <c r="B2133" s="17">
        <f t="array" ref="B2133">SUM(1-'Sparkling Model'!D$2:D$38^A2133)</f>
        <v>34.75889714</v>
      </c>
      <c r="C2133" s="8">
        <f t="array" ref="C2133">PRODUCT(1-'Sparkling Model'!D$2:D$38^A2133)</f>
        <v>0.07715376975</v>
      </c>
    </row>
    <row r="2134">
      <c r="A2134" s="6">
        <v>2132.0</v>
      </c>
      <c r="B2134" s="17">
        <f t="array" ref="B2134">SUM(1-'Sparkling Model'!D$2:D$38^A2134)</f>
        <v>34.76087221</v>
      </c>
      <c r="C2134" s="8">
        <f t="array" ref="C2134">PRODUCT(1-'Sparkling Model'!D$2:D$38^A2134)</f>
        <v>0.07733864287</v>
      </c>
    </row>
    <row r="2135">
      <c r="A2135" s="6">
        <v>2133.0</v>
      </c>
      <c r="B2135" s="17">
        <f t="array" ref="B2135">SUM(1-'Sparkling Model'!D$2:D$38^A2135)</f>
        <v>34.76284496</v>
      </c>
      <c r="C2135" s="8">
        <f t="array" ref="C2135">PRODUCT(1-'Sparkling Model'!D$2:D$38^A2135)</f>
        <v>0.07752372965</v>
      </c>
    </row>
    <row r="2136">
      <c r="A2136" s="6">
        <v>2134.0</v>
      </c>
      <c r="B2136" s="17">
        <f t="array" ref="B2136">SUM(1-'Sparkling Model'!D$2:D$38^A2136)</f>
        <v>34.76481539</v>
      </c>
      <c r="C2136" s="8">
        <f t="array" ref="C2136">PRODUCT(1-'Sparkling Model'!D$2:D$38^A2136)</f>
        <v>0.07770902986</v>
      </c>
    </row>
    <row r="2137">
      <c r="A2137" s="6">
        <v>2135.0</v>
      </c>
      <c r="B2137" s="17">
        <f t="array" ref="B2137">SUM(1-'Sparkling Model'!D$2:D$38^A2137)</f>
        <v>34.76678351</v>
      </c>
      <c r="C2137" s="8">
        <f t="array" ref="C2137">PRODUCT(1-'Sparkling Model'!D$2:D$38^A2137)</f>
        <v>0.07789454328</v>
      </c>
    </row>
    <row r="2138">
      <c r="A2138" s="6">
        <v>2136.0</v>
      </c>
      <c r="B2138" s="17">
        <f t="array" ref="B2138">SUM(1-'Sparkling Model'!D$2:D$38^A2138)</f>
        <v>34.76874932</v>
      </c>
      <c r="C2138" s="8">
        <f t="array" ref="C2138">PRODUCT(1-'Sparkling Model'!D$2:D$38^A2138)</f>
        <v>0.07808026969</v>
      </c>
    </row>
    <row r="2139">
      <c r="A2139" s="6">
        <v>2137.0</v>
      </c>
      <c r="B2139" s="17">
        <f t="array" ref="B2139">SUM(1-'Sparkling Model'!D$2:D$38^A2139)</f>
        <v>34.77071281</v>
      </c>
      <c r="C2139" s="8">
        <f t="array" ref="C2139">PRODUCT(1-'Sparkling Model'!D$2:D$38^A2139)</f>
        <v>0.07826620885</v>
      </c>
    </row>
    <row r="2140">
      <c r="A2140" s="6">
        <v>2138.0</v>
      </c>
      <c r="B2140" s="17">
        <f t="array" ref="B2140">SUM(1-'Sparkling Model'!D$2:D$38^A2140)</f>
        <v>34.77267401</v>
      </c>
      <c r="C2140" s="8">
        <f t="array" ref="C2140">PRODUCT(1-'Sparkling Model'!D$2:D$38^A2140)</f>
        <v>0.07845236054</v>
      </c>
    </row>
    <row r="2141">
      <c r="A2141" s="6">
        <v>2139.0</v>
      </c>
      <c r="B2141" s="17">
        <f t="array" ref="B2141">SUM(1-'Sparkling Model'!D$2:D$38^A2141)</f>
        <v>34.7746329</v>
      </c>
      <c r="C2141" s="8">
        <f t="array" ref="C2141">PRODUCT(1-'Sparkling Model'!D$2:D$38^A2141)</f>
        <v>0.07863872452</v>
      </c>
    </row>
    <row r="2142">
      <c r="A2142" s="6">
        <v>2140.0</v>
      </c>
      <c r="B2142" s="17">
        <f t="array" ref="B2142">SUM(1-'Sparkling Model'!D$2:D$38^A2142)</f>
        <v>34.77658949</v>
      </c>
      <c r="C2142" s="8">
        <f t="array" ref="C2142">PRODUCT(1-'Sparkling Model'!D$2:D$38^A2142)</f>
        <v>0.07882530058</v>
      </c>
    </row>
    <row r="2143">
      <c r="A2143" s="6">
        <v>2141.0</v>
      </c>
      <c r="B2143" s="17">
        <f t="array" ref="B2143">SUM(1-'Sparkling Model'!D$2:D$38^A2143)</f>
        <v>34.77854379</v>
      </c>
      <c r="C2143" s="8">
        <f t="array" ref="C2143">PRODUCT(1-'Sparkling Model'!D$2:D$38^A2143)</f>
        <v>0.07901208848</v>
      </c>
    </row>
    <row r="2144">
      <c r="A2144" s="6">
        <v>2142.0</v>
      </c>
      <c r="B2144" s="17">
        <f t="array" ref="B2144">SUM(1-'Sparkling Model'!D$2:D$38^A2144)</f>
        <v>34.7804958</v>
      </c>
      <c r="C2144" s="8">
        <f t="array" ref="C2144">PRODUCT(1-'Sparkling Model'!D$2:D$38^A2144)</f>
        <v>0.07919908799</v>
      </c>
    </row>
    <row r="2145">
      <c r="A2145" s="6">
        <v>2143.0</v>
      </c>
      <c r="B2145" s="17">
        <f t="array" ref="B2145">SUM(1-'Sparkling Model'!D$2:D$38^A2145)</f>
        <v>34.78244553</v>
      </c>
      <c r="C2145" s="8">
        <f t="array" ref="C2145">PRODUCT(1-'Sparkling Model'!D$2:D$38^A2145)</f>
        <v>0.07938629888</v>
      </c>
    </row>
    <row r="2146">
      <c r="A2146" s="6">
        <v>2144.0</v>
      </c>
      <c r="B2146" s="17">
        <f t="array" ref="B2146">SUM(1-'Sparkling Model'!D$2:D$38^A2146)</f>
        <v>34.78439296</v>
      </c>
      <c r="C2146" s="8">
        <f t="array" ref="C2146">PRODUCT(1-'Sparkling Model'!D$2:D$38^A2146)</f>
        <v>0.07957372092</v>
      </c>
    </row>
    <row r="2147">
      <c r="A2147" s="6">
        <v>2145.0</v>
      </c>
      <c r="B2147" s="17">
        <f t="array" ref="B2147">SUM(1-'Sparkling Model'!D$2:D$38^A2147)</f>
        <v>34.78633812</v>
      </c>
      <c r="C2147" s="8">
        <f t="array" ref="C2147">PRODUCT(1-'Sparkling Model'!D$2:D$38^A2147)</f>
        <v>0.07976135388</v>
      </c>
    </row>
    <row r="2148">
      <c r="A2148" s="6">
        <v>2146.0</v>
      </c>
      <c r="B2148" s="17">
        <f t="array" ref="B2148">SUM(1-'Sparkling Model'!D$2:D$38^A2148)</f>
        <v>34.788281</v>
      </c>
      <c r="C2148" s="8">
        <f t="array" ref="C2148">PRODUCT(1-'Sparkling Model'!D$2:D$38^A2148)</f>
        <v>0.07994919752</v>
      </c>
    </row>
    <row r="2149">
      <c r="A2149" s="6">
        <v>2147.0</v>
      </c>
      <c r="B2149" s="17">
        <f t="array" ref="B2149">SUM(1-'Sparkling Model'!D$2:D$38^A2149)</f>
        <v>34.79022161</v>
      </c>
      <c r="C2149" s="8">
        <f t="array" ref="C2149">PRODUCT(1-'Sparkling Model'!D$2:D$38^A2149)</f>
        <v>0.08013725162</v>
      </c>
    </row>
    <row r="2150">
      <c r="A2150" s="6">
        <v>2148.0</v>
      </c>
      <c r="B2150" s="17">
        <f t="array" ref="B2150">SUM(1-'Sparkling Model'!D$2:D$38^A2150)</f>
        <v>34.79215994</v>
      </c>
      <c r="C2150" s="8">
        <f t="array" ref="C2150">PRODUCT(1-'Sparkling Model'!D$2:D$38^A2150)</f>
        <v>0.08032551594</v>
      </c>
    </row>
    <row r="2151">
      <c r="A2151" s="6">
        <v>2149.0</v>
      </c>
      <c r="B2151" s="17">
        <f t="array" ref="B2151">SUM(1-'Sparkling Model'!D$2:D$38^A2151)</f>
        <v>34.79409601</v>
      </c>
      <c r="C2151" s="8">
        <f t="array" ref="C2151">PRODUCT(1-'Sparkling Model'!D$2:D$38^A2151)</f>
        <v>0.08051399024</v>
      </c>
    </row>
    <row r="2152">
      <c r="A2152" s="6">
        <v>2150.0</v>
      </c>
      <c r="B2152" s="17">
        <f t="array" ref="B2152">SUM(1-'Sparkling Model'!D$2:D$38^A2152)</f>
        <v>34.79602982</v>
      </c>
      <c r="C2152" s="8">
        <f t="array" ref="C2152">PRODUCT(1-'Sparkling Model'!D$2:D$38^A2152)</f>
        <v>0.0807026743</v>
      </c>
    </row>
    <row r="2153">
      <c r="A2153" s="6">
        <v>2151.0</v>
      </c>
      <c r="B2153" s="17">
        <f t="array" ref="B2153">SUM(1-'Sparkling Model'!D$2:D$38^A2153)</f>
        <v>34.79796136</v>
      </c>
      <c r="C2153" s="8">
        <f t="array" ref="C2153">PRODUCT(1-'Sparkling Model'!D$2:D$38^A2153)</f>
        <v>0.08089156788</v>
      </c>
    </row>
    <row r="2154">
      <c r="A2154" s="6">
        <v>2152.0</v>
      </c>
      <c r="B2154" s="17">
        <f t="array" ref="B2154">SUM(1-'Sparkling Model'!D$2:D$38^A2154)</f>
        <v>34.79989065</v>
      </c>
      <c r="C2154" s="8">
        <f t="array" ref="C2154">PRODUCT(1-'Sparkling Model'!D$2:D$38^A2154)</f>
        <v>0.08108067074</v>
      </c>
    </row>
    <row r="2155">
      <c r="A2155" s="6">
        <v>2153.0</v>
      </c>
      <c r="B2155" s="17">
        <f t="array" ref="B2155">SUM(1-'Sparkling Model'!D$2:D$38^A2155)</f>
        <v>34.80181768</v>
      </c>
      <c r="C2155" s="8">
        <f t="array" ref="C2155">PRODUCT(1-'Sparkling Model'!D$2:D$38^A2155)</f>
        <v>0.08126998265</v>
      </c>
    </row>
    <row r="2156">
      <c r="A2156" s="6">
        <v>2154.0</v>
      </c>
      <c r="B2156" s="17">
        <f t="array" ref="B2156">SUM(1-'Sparkling Model'!D$2:D$38^A2156)</f>
        <v>34.80374246</v>
      </c>
      <c r="C2156" s="8">
        <f t="array" ref="C2156">PRODUCT(1-'Sparkling Model'!D$2:D$38^A2156)</f>
        <v>0.08145950338</v>
      </c>
    </row>
    <row r="2157">
      <c r="A2157" s="6">
        <v>2155.0</v>
      </c>
      <c r="B2157" s="17">
        <f t="array" ref="B2157">SUM(1-'Sparkling Model'!D$2:D$38^A2157)</f>
        <v>34.805665</v>
      </c>
      <c r="C2157" s="8">
        <f t="array" ref="C2157">PRODUCT(1-'Sparkling Model'!D$2:D$38^A2157)</f>
        <v>0.08164923268</v>
      </c>
    </row>
    <row r="2158">
      <c r="A2158" s="6">
        <v>2156.0</v>
      </c>
      <c r="B2158" s="17">
        <f t="array" ref="B2158">SUM(1-'Sparkling Model'!D$2:D$38^A2158)</f>
        <v>34.80758529</v>
      </c>
      <c r="C2158" s="8">
        <f t="array" ref="C2158">PRODUCT(1-'Sparkling Model'!D$2:D$38^A2158)</f>
        <v>0.08183917032</v>
      </c>
    </row>
    <row r="2159">
      <c r="A2159" s="6">
        <v>2157.0</v>
      </c>
      <c r="B2159" s="17">
        <f t="array" ref="B2159">SUM(1-'Sparkling Model'!D$2:D$38^A2159)</f>
        <v>34.80950334</v>
      </c>
      <c r="C2159" s="8">
        <f t="array" ref="C2159">PRODUCT(1-'Sparkling Model'!D$2:D$38^A2159)</f>
        <v>0.08202931606</v>
      </c>
    </row>
    <row r="2160">
      <c r="A2160" s="6">
        <v>2158.0</v>
      </c>
      <c r="B2160" s="17">
        <f t="array" ref="B2160">SUM(1-'Sparkling Model'!D$2:D$38^A2160)</f>
        <v>34.81141916</v>
      </c>
      <c r="C2160" s="8">
        <f t="array" ref="C2160">PRODUCT(1-'Sparkling Model'!D$2:D$38^A2160)</f>
        <v>0.08221966966</v>
      </c>
    </row>
    <row r="2161">
      <c r="A2161" s="6">
        <v>2159.0</v>
      </c>
      <c r="B2161" s="17">
        <f t="array" ref="B2161">SUM(1-'Sparkling Model'!D$2:D$38^A2161)</f>
        <v>34.81333274</v>
      </c>
      <c r="C2161" s="8">
        <f t="array" ref="C2161">PRODUCT(1-'Sparkling Model'!D$2:D$38^A2161)</f>
        <v>0.08241023089</v>
      </c>
    </row>
    <row r="2162">
      <c r="A2162" s="6">
        <v>2160.0</v>
      </c>
      <c r="B2162" s="17">
        <f t="array" ref="B2162">SUM(1-'Sparkling Model'!D$2:D$38^A2162)</f>
        <v>34.81524409</v>
      </c>
      <c r="C2162" s="8">
        <f t="array" ref="C2162">PRODUCT(1-'Sparkling Model'!D$2:D$38^A2162)</f>
        <v>0.0826009995</v>
      </c>
    </row>
    <row r="2163">
      <c r="A2163" s="6">
        <v>2161.0</v>
      </c>
      <c r="B2163" s="17">
        <f t="array" ref="B2163">SUM(1-'Sparkling Model'!D$2:D$38^A2163)</f>
        <v>34.81715321</v>
      </c>
      <c r="C2163" s="8">
        <f t="array" ref="C2163">PRODUCT(1-'Sparkling Model'!D$2:D$38^A2163)</f>
        <v>0.08279197527</v>
      </c>
    </row>
    <row r="2164">
      <c r="A2164" s="6">
        <v>2162.0</v>
      </c>
      <c r="B2164" s="17">
        <f t="array" ref="B2164">SUM(1-'Sparkling Model'!D$2:D$38^A2164)</f>
        <v>34.81906011</v>
      </c>
      <c r="C2164" s="8">
        <f t="array" ref="C2164">PRODUCT(1-'Sparkling Model'!D$2:D$38^A2164)</f>
        <v>0.08298315794</v>
      </c>
    </row>
    <row r="2165">
      <c r="A2165" s="6">
        <v>2163.0</v>
      </c>
      <c r="B2165" s="17">
        <f t="array" ref="B2165">SUM(1-'Sparkling Model'!D$2:D$38^A2165)</f>
        <v>34.82096478</v>
      </c>
      <c r="C2165" s="8">
        <f t="array" ref="C2165">PRODUCT(1-'Sparkling Model'!D$2:D$38^A2165)</f>
        <v>0.08317454727</v>
      </c>
    </row>
    <row r="2166">
      <c r="A2166" s="6">
        <v>2164.0</v>
      </c>
      <c r="B2166" s="17">
        <f t="array" ref="B2166">SUM(1-'Sparkling Model'!D$2:D$38^A2166)</f>
        <v>34.82286724</v>
      </c>
      <c r="C2166" s="8">
        <f t="array" ref="C2166">PRODUCT(1-'Sparkling Model'!D$2:D$38^A2166)</f>
        <v>0.08336614304</v>
      </c>
    </row>
    <row r="2167">
      <c r="A2167" s="6">
        <v>2165.0</v>
      </c>
      <c r="B2167" s="17">
        <f t="array" ref="B2167">SUM(1-'Sparkling Model'!D$2:D$38^A2167)</f>
        <v>34.82476749</v>
      </c>
      <c r="C2167" s="8">
        <f t="array" ref="C2167">PRODUCT(1-'Sparkling Model'!D$2:D$38^A2167)</f>
        <v>0.08355794499</v>
      </c>
    </row>
    <row r="2168">
      <c r="A2168" s="6">
        <v>2166.0</v>
      </c>
      <c r="B2168" s="17">
        <f t="array" ref="B2168">SUM(1-'Sparkling Model'!D$2:D$38^A2168)</f>
        <v>34.82666552</v>
      </c>
      <c r="C2168" s="8">
        <f t="array" ref="C2168">PRODUCT(1-'Sparkling Model'!D$2:D$38^A2168)</f>
        <v>0.08374995288</v>
      </c>
    </row>
    <row r="2169">
      <c r="A2169" s="6">
        <v>2167.0</v>
      </c>
      <c r="B2169" s="17">
        <f t="array" ref="B2169">SUM(1-'Sparkling Model'!D$2:D$38^A2169)</f>
        <v>34.82856135</v>
      </c>
      <c r="C2169" s="8">
        <f t="array" ref="C2169">PRODUCT(1-'Sparkling Model'!D$2:D$38^A2169)</f>
        <v>0.08394216647</v>
      </c>
    </row>
    <row r="2170">
      <c r="A2170" s="6">
        <v>2168.0</v>
      </c>
      <c r="B2170" s="17">
        <f t="array" ref="B2170">SUM(1-'Sparkling Model'!D$2:D$38^A2170)</f>
        <v>34.83045497</v>
      </c>
      <c r="C2170" s="8">
        <f t="array" ref="C2170">PRODUCT(1-'Sparkling Model'!D$2:D$38^A2170)</f>
        <v>0.08413458552</v>
      </c>
    </row>
    <row r="2171">
      <c r="A2171" s="6">
        <v>2169.0</v>
      </c>
      <c r="B2171" s="17">
        <f t="array" ref="B2171">SUM(1-'Sparkling Model'!D$2:D$38^A2171)</f>
        <v>34.83234639</v>
      </c>
      <c r="C2171" s="8">
        <f t="array" ref="C2171">PRODUCT(1-'Sparkling Model'!D$2:D$38^A2171)</f>
        <v>0.08432720979</v>
      </c>
    </row>
    <row r="2172">
      <c r="A2172" s="6">
        <v>2170.0</v>
      </c>
      <c r="B2172" s="17">
        <f t="array" ref="B2172">SUM(1-'Sparkling Model'!D$2:D$38^A2172)</f>
        <v>34.83423562</v>
      </c>
      <c r="C2172" s="8">
        <f t="array" ref="C2172">PRODUCT(1-'Sparkling Model'!D$2:D$38^A2172)</f>
        <v>0.08452003902</v>
      </c>
    </row>
    <row r="2173">
      <c r="A2173" s="6">
        <v>2171.0</v>
      </c>
      <c r="B2173" s="17">
        <f t="array" ref="B2173">SUM(1-'Sparkling Model'!D$2:D$38^A2173)</f>
        <v>34.83612265</v>
      </c>
      <c r="C2173" s="8">
        <f t="array" ref="C2173">PRODUCT(1-'Sparkling Model'!D$2:D$38^A2173)</f>
        <v>0.08471307299</v>
      </c>
    </row>
    <row r="2174">
      <c r="A2174" s="6">
        <v>2172.0</v>
      </c>
      <c r="B2174" s="17">
        <f t="array" ref="B2174">SUM(1-'Sparkling Model'!D$2:D$38^A2174)</f>
        <v>34.83800748</v>
      </c>
      <c r="C2174" s="8">
        <f t="array" ref="C2174">PRODUCT(1-'Sparkling Model'!D$2:D$38^A2174)</f>
        <v>0.08490631144</v>
      </c>
    </row>
    <row r="2175">
      <c r="A2175" s="6">
        <v>2173.0</v>
      </c>
      <c r="B2175" s="17">
        <f t="array" ref="B2175">SUM(1-'Sparkling Model'!D$2:D$38^A2175)</f>
        <v>34.83989013</v>
      </c>
      <c r="C2175" s="8">
        <f t="array" ref="C2175">PRODUCT(1-'Sparkling Model'!D$2:D$38^A2175)</f>
        <v>0.08509975413</v>
      </c>
    </row>
    <row r="2176">
      <c r="A2176" s="6">
        <v>2174.0</v>
      </c>
      <c r="B2176" s="17">
        <f t="array" ref="B2176">SUM(1-'Sparkling Model'!D$2:D$38^A2176)</f>
        <v>34.8417706</v>
      </c>
      <c r="C2176" s="8">
        <f t="array" ref="C2176">PRODUCT(1-'Sparkling Model'!D$2:D$38^A2176)</f>
        <v>0.08529340081</v>
      </c>
    </row>
    <row r="2177">
      <c r="A2177" s="6">
        <v>2175.0</v>
      </c>
      <c r="B2177" s="17">
        <f t="array" ref="B2177">SUM(1-'Sparkling Model'!D$2:D$38^A2177)</f>
        <v>34.84364888</v>
      </c>
      <c r="C2177" s="8">
        <f t="array" ref="C2177">PRODUCT(1-'Sparkling Model'!D$2:D$38^A2177)</f>
        <v>0.08548725123</v>
      </c>
    </row>
    <row r="2178">
      <c r="A2178" s="6">
        <v>2176.0</v>
      </c>
      <c r="B2178" s="17">
        <f t="array" ref="B2178">SUM(1-'Sparkling Model'!D$2:D$38^A2178)</f>
        <v>34.84552498</v>
      </c>
      <c r="C2178" s="8">
        <f t="array" ref="C2178">PRODUCT(1-'Sparkling Model'!D$2:D$38^A2178)</f>
        <v>0.08568130516</v>
      </c>
    </row>
    <row r="2179">
      <c r="A2179" s="6">
        <v>2177.0</v>
      </c>
      <c r="B2179" s="17">
        <f t="array" ref="B2179">SUM(1-'Sparkling Model'!D$2:D$38^A2179)</f>
        <v>34.84739891</v>
      </c>
      <c r="C2179" s="8">
        <f t="array" ref="C2179">PRODUCT(1-'Sparkling Model'!D$2:D$38^A2179)</f>
        <v>0.08587556235</v>
      </c>
    </row>
    <row r="2180">
      <c r="A2180" s="6">
        <v>2178.0</v>
      </c>
      <c r="B2180" s="17">
        <f t="array" ref="B2180">SUM(1-'Sparkling Model'!D$2:D$38^A2180)</f>
        <v>34.84927066</v>
      </c>
      <c r="C2180" s="8">
        <f t="array" ref="C2180">PRODUCT(1-'Sparkling Model'!D$2:D$38^A2180)</f>
        <v>0.08607002254</v>
      </c>
    </row>
    <row r="2181">
      <c r="A2181" s="6">
        <v>2179.0</v>
      </c>
      <c r="B2181" s="17">
        <f t="array" ref="B2181">SUM(1-'Sparkling Model'!D$2:D$38^A2181)</f>
        <v>34.85114025</v>
      </c>
      <c r="C2181" s="8">
        <f t="array" ref="C2181">PRODUCT(1-'Sparkling Model'!D$2:D$38^A2181)</f>
        <v>0.08626468549</v>
      </c>
    </row>
    <row r="2182">
      <c r="A2182" s="6">
        <v>2180.0</v>
      </c>
      <c r="B2182" s="17">
        <f t="array" ref="B2182">SUM(1-'Sparkling Model'!D$2:D$38^A2182)</f>
        <v>34.85300767</v>
      </c>
      <c r="C2182" s="8">
        <f t="array" ref="C2182">PRODUCT(1-'Sparkling Model'!D$2:D$38^A2182)</f>
        <v>0.08645955095</v>
      </c>
    </row>
    <row r="2183">
      <c r="A2183" s="6">
        <v>2181.0</v>
      </c>
      <c r="B2183" s="17">
        <f t="array" ref="B2183">SUM(1-'Sparkling Model'!D$2:D$38^A2183)</f>
        <v>34.85487293</v>
      </c>
      <c r="C2183" s="8">
        <f t="array" ref="C2183">PRODUCT(1-'Sparkling Model'!D$2:D$38^A2183)</f>
        <v>0.08665461867</v>
      </c>
    </row>
    <row r="2184">
      <c r="A2184" s="6">
        <v>2182.0</v>
      </c>
      <c r="B2184" s="17">
        <f t="array" ref="B2184">SUM(1-'Sparkling Model'!D$2:D$38^A2184)</f>
        <v>34.85673603</v>
      </c>
      <c r="C2184" s="8">
        <f t="array" ref="C2184">PRODUCT(1-'Sparkling Model'!D$2:D$38^A2184)</f>
        <v>0.08684988841</v>
      </c>
    </row>
    <row r="2185">
      <c r="A2185" s="6">
        <v>2183.0</v>
      </c>
      <c r="B2185" s="17">
        <f t="array" ref="B2185">SUM(1-'Sparkling Model'!D$2:D$38^A2185)</f>
        <v>34.85859697</v>
      </c>
      <c r="C2185" s="8">
        <f t="array" ref="C2185">PRODUCT(1-'Sparkling Model'!D$2:D$38^A2185)</f>
        <v>0.08704535992</v>
      </c>
    </row>
    <row r="2186">
      <c r="A2186" s="6">
        <v>2184.0</v>
      </c>
      <c r="B2186" s="17">
        <f t="array" ref="B2186">SUM(1-'Sparkling Model'!D$2:D$38^A2186)</f>
        <v>34.86045576</v>
      </c>
      <c r="C2186" s="8">
        <f t="array" ref="C2186">PRODUCT(1-'Sparkling Model'!D$2:D$38^A2186)</f>
        <v>0.08724103294</v>
      </c>
    </row>
    <row r="2187">
      <c r="A2187" s="6">
        <v>2185.0</v>
      </c>
      <c r="B2187" s="17">
        <f t="array" ref="B2187">SUM(1-'Sparkling Model'!D$2:D$38^A2187)</f>
        <v>34.8623124</v>
      </c>
      <c r="C2187" s="8">
        <f t="array" ref="C2187">PRODUCT(1-'Sparkling Model'!D$2:D$38^A2187)</f>
        <v>0.08743690722</v>
      </c>
    </row>
    <row r="2188">
      <c r="A2188" s="6">
        <v>2186.0</v>
      </c>
      <c r="B2188" s="17">
        <f t="array" ref="B2188">SUM(1-'Sparkling Model'!D$2:D$38^A2188)</f>
        <v>34.86416689</v>
      </c>
      <c r="C2188" s="8">
        <f t="array" ref="C2188">PRODUCT(1-'Sparkling Model'!D$2:D$38^A2188)</f>
        <v>0.08763298252</v>
      </c>
    </row>
    <row r="2189">
      <c r="A2189" s="6">
        <v>2187.0</v>
      </c>
      <c r="B2189" s="17">
        <f t="array" ref="B2189">SUM(1-'Sparkling Model'!D$2:D$38^A2189)</f>
        <v>34.86601924</v>
      </c>
      <c r="C2189" s="8">
        <f t="array" ref="C2189">PRODUCT(1-'Sparkling Model'!D$2:D$38^A2189)</f>
        <v>0.08782925859</v>
      </c>
    </row>
    <row r="2190">
      <c r="A2190" s="6">
        <v>2188.0</v>
      </c>
      <c r="B2190" s="17">
        <f t="array" ref="B2190">SUM(1-'Sparkling Model'!D$2:D$38^A2190)</f>
        <v>34.86786945</v>
      </c>
      <c r="C2190" s="8">
        <f t="array" ref="C2190">PRODUCT(1-'Sparkling Model'!D$2:D$38^A2190)</f>
        <v>0.08802573516</v>
      </c>
    </row>
    <row r="2191">
      <c r="A2191" s="6">
        <v>2189.0</v>
      </c>
      <c r="B2191" s="17">
        <f t="array" ref="B2191">SUM(1-'Sparkling Model'!D$2:D$38^A2191)</f>
        <v>34.86971752</v>
      </c>
      <c r="C2191" s="8">
        <f t="array" ref="C2191">PRODUCT(1-'Sparkling Model'!D$2:D$38^A2191)</f>
        <v>0.088222412</v>
      </c>
    </row>
    <row r="2192">
      <c r="A2192" s="6">
        <v>2190.0</v>
      </c>
      <c r="B2192" s="17">
        <f t="array" ref="B2192">SUM(1-'Sparkling Model'!D$2:D$38^A2192)</f>
        <v>34.87156345</v>
      </c>
      <c r="C2192" s="8">
        <f t="array" ref="C2192">PRODUCT(1-'Sparkling Model'!D$2:D$38^A2192)</f>
        <v>0.08841928884</v>
      </c>
    </row>
    <row r="2193">
      <c r="A2193" s="6">
        <v>2191.0</v>
      </c>
      <c r="B2193" s="17">
        <f t="array" ref="B2193">SUM(1-'Sparkling Model'!D$2:D$38^A2193)</f>
        <v>34.87340726</v>
      </c>
      <c r="C2193" s="8">
        <f t="array" ref="C2193">PRODUCT(1-'Sparkling Model'!D$2:D$38^A2193)</f>
        <v>0.08861636545</v>
      </c>
    </row>
    <row r="2194">
      <c r="A2194" s="6">
        <v>2192.0</v>
      </c>
      <c r="B2194" s="17">
        <f t="array" ref="B2194">SUM(1-'Sparkling Model'!D$2:D$38^A2194)</f>
        <v>34.87524893</v>
      </c>
      <c r="C2194" s="8">
        <f t="array" ref="C2194">PRODUCT(1-'Sparkling Model'!D$2:D$38^A2194)</f>
        <v>0.08881364155</v>
      </c>
    </row>
    <row r="2195">
      <c r="A2195" s="6">
        <v>2193.0</v>
      </c>
      <c r="B2195" s="17">
        <f t="array" ref="B2195">SUM(1-'Sparkling Model'!D$2:D$38^A2195)</f>
        <v>34.87708848</v>
      </c>
      <c r="C2195" s="8">
        <f t="array" ref="C2195">PRODUCT(1-'Sparkling Model'!D$2:D$38^A2195)</f>
        <v>0.0890111169</v>
      </c>
    </row>
    <row r="2196">
      <c r="A2196" s="6">
        <v>2194.0</v>
      </c>
      <c r="B2196" s="17">
        <f t="array" ref="B2196">SUM(1-'Sparkling Model'!D$2:D$38^A2196)</f>
        <v>34.87892591</v>
      </c>
      <c r="C2196" s="8">
        <f t="array" ref="C2196">PRODUCT(1-'Sparkling Model'!D$2:D$38^A2196)</f>
        <v>0.08920879125</v>
      </c>
    </row>
    <row r="2197">
      <c r="A2197" s="6">
        <v>2195.0</v>
      </c>
      <c r="B2197" s="17">
        <f t="array" ref="B2197">SUM(1-'Sparkling Model'!D$2:D$38^A2197)</f>
        <v>34.88076122</v>
      </c>
      <c r="C2197" s="8">
        <f t="array" ref="C2197">PRODUCT(1-'Sparkling Model'!D$2:D$38^A2197)</f>
        <v>0.08940666434</v>
      </c>
    </row>
    <row r="2198">
      <c r="A2198" s="6">
        <v>2196.0</v>
      </c>
      <c r="B2198" s="17">
        <f t="array" ref="B2198">SUM(1-'Sparkling Model'!D$2:D$38^A2198)</f>
        <v>34.88259442</v>
      </c>
      <c r="C2198" s="8">
        <f t="array" ref="C2198">PRODUCT(1-'Sparkling Model'!D$2:D$38^A2198)</f>
        <v>0.08960473592</v>
      </c>
    </row>
    <row r="2199">
      <c r="A2199" s="6">
        <v>2197.0</v>
      </c>
      <c r="B2199" s="17">
        <f t="array" ref="B2199">SUM(1-'Sparkling Model'!D$2:D$38^A2199)</f>
        <v>34.8844255</v>
      </c>
      <c r="C2199" s="8">
        <f t="array" ref="C2199">PRODUCT(1-'Sparkling Model'!D$2:D$38^A2199)</f>
        <v>0.08980300573</v>
      </c>
    </row>
    <row r="2200">
      <c r="A2200" s="6">
        <v>2198.0</v>
      </c>
      <c r="B2200" s="17">
        <f t="array" ref="B2200">SUM(1-'Sparkling Model'!D$2:D$38^A2200)</f>
        <v>34.88625448</v>
      </c>
      <c r="C2200" s="8">
        <f t="array" ref="C2200">PRODUCT(1-'Sparkling Model'!D$2:D$38^A2200)</f>
        <v>0.09000147351</v>
      </c>
    </row>
    <row r="2201">
      <c r="A2201" s="6">
        <v>2199.0</v>
      </c>
      <c r="B2201" s="17">
        <f t="array" ref="B2201">SUM(1-'Sparkling Model'!D$2:D$38^A2201)</f>
        <v>34.88808134</v>
      </c>
      <c r="C2201" s="8">
        <f t="array" ref="C2201">PRODUCT(1-'Sparkling Model'!D$2:D$38^A2201)</f>
        <v>0.09020013902</v>
      </c>
    </row>
    <row r="2202">
      <c r="A2202" s="6">
        <v>2200.0</v>
      </c>
      <c r="B2202" s="17">
        <f t="array" ref="B2202">SUM(1-'Sparkling Model'!D$2:D$38^A2202)</f>
        <v>34.88990611</v>
      </c>
      <c r="C2202" s="8">
        <f t="array" ref="C2202">PRODUCT(1-'Sparkling Model'!D$2:D$38^A2202)</f>
        <v>0.09039900199</v>
      </c>
    </row>
    <row r="2203">
      <c r="A2203" s="6">
        <v>2201.0</v>
      </c>
      <c r="B2203" s="17">
        <f t="array" ref="B2203">SUM(1-'Sparkling Model'!D$2:D$38^A2203)</f>
        <v>34.89172877</v>
      </c>
      <c r="C2203" s="8">
        <f t="array" ref="C2203">PRODUCT(1-'Sparkling Model'!D$2:D$38^A2203)</f>
        <v>0.09059806216</v>
      </c>
    </row>
    <row r="2204">
      <c r="A2204" s="6">
        <v>2202.0</v>
      </c>
      <c r="B2204" s="17">
        <f t="array" ref="B2204">SUM(1-'Sparkling Model'!D$2:D$38^A2204)</f>
        <v>34.89354934</v>
      </c>
      <c r="C2204" s="8">
        <f t="array" ref="C2204">PRODUCT(1-'Sparkling Model'!D$2:D$38^A2204)</f>
        <v>0.09079731929</v>
      </c>
    </row>
    <row r="2205">
      <c r="A2205" s="6">
        <v>2203.0</v>
      </c>
      <c r="B2205" s="17">
        <f t="array" ref="B2205">SUM(1-'Sparkling Model'!D$2:D$38^A2205)</f>
        <v>34.89536781</v>
      </c>
      <c r="C2205" s="8">
        <f t="array" ref="C2205">PRODUCT(1-'Sparkling Model'!D$2:D$38^A2205)</f>
        <v>0.09099677311</v>
      </c>
    </row>
    <row r="2206">
      <c r="A2206" s="6">
        <v>2204.0</v>
      </c>
      <c r="B2206" s="17">
        <f t="array" ref="B2206">SUM(1-'Sparkling Model'!D$2:D$38^A2206)</f>
        <v>34.89718419</v>
      </c>
      <c r="C2206" s="8">
        <f t="array" ref="C2206">PRODUCT(1-'Sparkling Model'!D$2:D$38^A2206)</f>
        <v>0.09119642337</v>
      </c>
    </row>
    <row r="2207">
      <c r="A2207" s="6">
        <v>2205.0</v>
      </c>
      <c r="B2207" s="17">
        <f t="array" ref="B2207">SUM(1-'Sparkling Model'!D$2:D$38^A2207)</f>
        <v>34.89899848</v>
      </c>
      <c r="C2207" s="8">
        <f t="array" ref="C2207">PRODUCT(1-'Sparkling Model'!D$2:D$38^A2207)</f>
        <v>0.0913962698</v>
      </c>
    </row>
    <row r="2208">
      <c r="A2208" s="6">
        <v>2206.0</v>
      </c>
      <c r="B2208" s="17">
        <f t="array" ref="B2208">SUM(1-'Sparkling Model'!D$2:D$38^A2208)</f>
        <v>34.90081069</v>
      </c>
      <c r="C2208" s="8">
        <f t="array" ref="C2208">PRODUCT(1-'Sparkling Model'!D$2:D$38^A2208)</f>
        <v>0.09159631216</v>
      </c>
    </row>
    <row r="2209">
      <c r="A2209" s="6">
        <v>2207.0</v>
      </c>
      <c r="B2209" s="17">
        <f t="array" ref="B2209">SUM(1-'Sparkling Model'!D$2:D$38^A2209)</f>
        <v>34.90262081</v>
      </c>
      <c r="C2209" s="8">
        <f t="array" ref="C2209">PRODUCT(1-'Sparkling Model'!D$2:D$38^A2209)</f>
        <v>0.09179655017</v>
      </c>
    </row>
    <row r="2210">
      <c r="A2210" s="6">
        <v>2208.0</v>
      </c>
      <c r="B2210" s="17">
        <f t="array" ref="B2210">SUM(1-'Sparkling Model'!D$2:D$38^A2210)</f>
        <v>34.90442886</v>
      </c>
      <c r="C2210" s="8">
        <f t="array" ref="C2210">PRODUCT(1-'Sparkling Model'!D$2:D$38^A2210)</f>
        <v>0.09199698358</v>
      </c>
    </row>
    <row r="2211">
      <c r="A2211" s="6">
        <v>2209.0</v>
      </c>
      <c r="B2211" s="17">
        <f t="array" ref="B2211">SUM(1-'Sparkling Model'!D$2:D$38^A2211)</f>
        <v>34.90623483</v>
      </c>
      <c r="C2211" s="8">
        <f t="array" ref="C2211">PRODUCT(1-'Sparkling Model'!D$2:D$38^A2211)</f>
        <v>0.09219761214</v>
      </c>
    </row>
    <row r="2212">
      <c r="A2212" s="6">
        <v>2210.0</v>
      </c>
      <c r="B2212" s="17">
        <f t="array" ref="B2212">SUM(1-'Sparkling Model'!D$2:D$38^A2212)</f>
        <v>34.90803873</v>
      </c>
      <c r="C2212" s="8">
        <f t="array" ref="C2212">PRODUCT(1-'Sparkling Model'!D$2:D$38^A2212)</f>
        <v>0.09239843558</v>
      </c>
    </row>
    <row r="2213">
      <c r="A2213" s="6">
        <v>2211.0</v>
      </c>
      <c r="B2213" s="17">
        <f t="array" ref="B2213">SUM(1-'Sparkling Model'!D$2:D$38^A2213)</f>
        <v>34.90984056</v>
      </c>
      <c r="C2213" s="8">
        <f t="array" ref="C2213">PRODUCT(1-'Sparkling Model'!D$2:D$38^A2213)</f>
        <v>0.09259945363</v>
      </c>
    </row>
    <row r="2214">
      <c r="A2214" s="6">
        <v>2212.0</v>
      </c>
      <c r="B2214" s="17">
        <f t="array" ref="B2214">SUM(1-'Sparkling Model'!D$2:D$38^A2214)</f>
        <v>34.91164032</v>
      </c>
      <c r="C2214" s="8">
        <f t="array" ref="C2214">PRODUCT(1-'Sparkling Model'!D$2:D$38^A2214)</f>
        <v>0.09280066605</v>
      </c>
    </row>
    <row r="2215">
      <c r="A2215" s="6">
        <v>2213.0</v>
      </c>
      <c r="B2215" s="17">
        <f t="array" ref="B2215">SUM(1-'Sparkling Model'!D$2:D$38^A2215)</f>
        <v>34.91343802</v>
      </c>
      <c r="C2215" s="8">
        <f t="array" ref="C2215">PRODUCT(1-'Sparkling Model'!D$2:D$38^A2215)</f>
        <v>0.09300207257</v>
      </c>
    </row>
    <row r="2216">
      <c r="A2216" s="6">
        <v>2214.0</v>
      </c>
      <c r="B2216" s="17">
        <f t="array" ref="B2216">SUM(1-'Sparkling Model'!D$2:D$38^A2216)</f>
        <v>34.91523366</v>
      </c>
      <c r="C2216" s="8">
        <f t="array" ref="C2216">PRODUCT(1-'Sparkling Model'!D$2:D$38^A2216)</f>
        <v>0.09320367293</v>
      </c>
    </row>
    <row r="2217">
      <c r="A2217" s="6">
        <v>2215.0</v>
      </c>
      <c r="B2217" s="17">
        <f t="array" ref="B2217">SUM(1-'Sparkling Model'!D$2:D$38^A2217)</f>
        <v>34.91702723</v>
      </c>
      <c r="C2217" s="8">
        <f t="array" ref="C2217">PRODUCT(1-'Sparkling Model'!D$2:D$38^A2217)</f>
        <v>0.09340546686</v>
      </c>
    </row>
    <row r="2218">
      <c r="A2218" s="6">
        <v>2216.0</v>
      </c>
      <c r="B2218" s="17">
        <f t="array" ref="B2218">SUM(1-'Sparkling Model'!D$2:D$38^A2218)</f>
        <v>34.91881876</v>
      </c>
      <c r="C2218" s="8">
        <f t="array" ref="C2218">PRODUCT(1-'Sparkling Model'!D$2:D$38^A2218)</f>
        <v>0.0936074541</v>
      </c>
    </row>
    <row r="2219">
      <c r="A2219" s="6">
        <v>2217.0</v>
      </c>
      <c r="B2219" s="17">
        <f t="array" ref="B2219">SUM(1-'Sparkling Model'!D$2:D$38^A2219)</f>
        <v>34.92060823</v>
      </c>
      <c r="C2219" s="8">
        <f t="array" ref="C2219">PRODUCT(1-'Sparkling Model'!D$2:D$38^A2219)</f>
        <v>0.0938096344</v>
      </c>
    </row>
    <row r="2220">
      <c r="A2220" s="6">
        <v>2218.0</v>
      </c>
      <c r="B2220" s="17">
        <f t="array" ref="B2220">SUM(1-'Sparkling Model'!D$2:D$38^A2220)</f>
        <v>34.92239565</v>
      </c>
      <c r="C2220" s="8">
        <f t="array" ref="C2220">PRODUCT(1-'Sparkling Model'!D$2:D$38^A2220)</f>
        <v>0.09401200748</v>
      </c>
    </row>
    <row r="2221">
      <c r="A2221" s="6">
        <v>2219.0</v>
      </c>
      <c r="B2221" s="17">
        <f t="array" ref="B2221">SUM(1-'Sparkling Model'!D$2:D$38^A2221)</f>
        <v>34.92418103</v>
      </c>
      <c r="C2221" s="8">
        <f t="array" ref="C2221">PRODUCT(1-'Sparkling Model'!D$2:D$38^A2221)</f>
        <v>0.0942145731</v>
      </c>
    </row>
    <row r="2222">
      <c r="A2222" s="6">
        <v>2220.0</v>
      </c>
      <c r="B2222" s="17">
        <f t="array" ref="B2222">SUM(1-'Sparkling Model'!D$2:D$38^A2222)</f>
        <v>34.92596437</v>
      </c>
      <c r="C2222" s="8">
        <f t="array" ref="C2222">PRODUCT(1-'Sparkling Model'!D$2:D$38^A2222)</f>
        <v>0.09441733097</v>
      </c>
    </row>
    <row r="2223">
      <c r="A2223" s="6">
        <v>2221.0</v>
      </c>
      <c r="B2223" s="17">
        <f t="array" ref="B2223">SUM(1-'Sparkling Model'!D$2:D$38^A2223)</f>
        <v>34.92774566</v>
      </c>
      <c r="C2223" s="8">
        <f t="array" ref="C2223">PRODUCT(1-'Sparkling Model'!D$2:D$38^A2223)</f>
        <v>0.09462028084</v>
      </c>
    </row>
    <row r="2224">
      <c r="A2224" s="6">
        <v>2222.0</v>
      </c>
      <c r="B2224" s="17">
        <f t="array" ref="B2224">SUM(1-'Sparkling Model'!D$2:D$38^A2224)</f>
        <v>34.92952492</v>
      </c>
      <c r="C2224" s="8">
        <f t="array" ref="C2224">PRODUCT(1-'Sparkling Model'!D$2:D$38^A2224)</f>
        <v>0.09482342244</v>
      </c>
    </row>
    <row r="2225">
      <c r="A2225" s="6">
        <v>2223.0</v>
      </c>
      <c r="B2225" s="17">
        <f t="array" ref="B2225">SUM(1-'Sparkling Model'!D$2:D$38^A2225)</f>
        <v>34.93130214</v>
      </c>
      <c r="C2225" s="8">
        <f t="array" ref="C2225">PRODUCT(1-'Sparkling Model'!D$2:D$38^A2225)</f>
        <v>0.09502675552</v>
      </c>
    </row>
    <row r="2226">
      <c r="A2226" s="6">
        <v>2224.0</v>
      </c>
      <c r="B2226" s="17">
        <f t="array" ref="B2226">SUM(1-'Sparkling Model'!D$2:D$38^A2226)</f>
        <v>34.93307733</v>
      </c>
      <c r="C2226" s="8">
        <f t="array" ref="C2226">PRODUCT(1-'Sparkling Model'!D$2:D$38^A2226)</f>
        <v>0.0952302798</v>
      </c>
    </row>
    <row r="2227">
      <c r="A2227" s="6">
        <v>2225.0</v>
      </c>
      <c r="B2227" s="17">
        <f t="array" ref="B2227">SUM(1-'Sparkling Model'!D$2:D$38^A2227)</f>
        <v>34.9348505</v>
      </c>
      <c r="C2227" s="8">
        <f t="array" ref="C2227">PRODUCT(1-'Sparkling Model'!D$2:D$38^A2227)</f>
        <v>0.09543399501</v>
      </c>
    </row>
    <row r="2228">
      <c r="A2228" s="6">
        <v>2226.0</v>
      </c>
      <c r="B2228" s="17">
        <f t="array" ref="B2228">SUM(1-'Sparkling Model'!D$2:D$38^A2228)</f>
        <v>34.93662164</v>
      </c>
      <c r="C2228" s="8">
        <f t="array" ref="C2228">PRODUCT(1-'Sparkling Model'!D$2:D$38^A2228)</f>
        <v>0.09563790091</v>
      </c>
    </row>
    <row r="2229">
      <c r="A2229" s="6">
        <v>2227.0</v>
      </c>
      <c r="B2229" s="17">
        <f t="array" ref="B2229">SUM(1-'Sparkling Model'!D$2:D$38^A2229)</f>
        <v>34.93839076</v>
      </c>
      <c r="C2229" s="8">
        <f t="array" ref="C2229">PRODUCT(1-'Sparkling Model'!D$2:D$38^A2229)</f>
        <v>0.0958419972</v>
      </c>
    </row>
    <row r="2230">
      <c r="A2230" s="6">
        <v>2228.0</v>
      </c>
      <c r="B2230" s="17">
        <f t="array" ref="B2230">SUM(1-'Sparkling Model'!D$2:D$38^A2230)</f>
        <v>34.94015785</v>
      </c>
      <c r="C2230" s="8">
        <f t="array" ref="C2230">PRODUCT(1-'Sparkling Model'!D$2:D$38^A2230)</f>
        <v>0.09604628365</v>
      </c>
    </row>
    <row r="2231">
      <c r="A2231" s="6">
        <v>2229.0</v>
      </c>
      <c r="B2231" s="17">
        <f t="array" ref="B2231">SUM(1-'Sparkling Model'!D$2:D$38^A2231)</f>
        <v>34.94192293</v>
      </c>
      <c r="C2231" s="8">
        <f t="array" ref="C2231">PRODUCT(1-'Sparkling Model'!D$2:D$38^A2231)</f>
        <v>0.09625075996</v>
      </c>
    </row>
    <row r="2232">
      <c r="A2232" s="6">
        <v>2230.0</v>
      </c>
      <c r="B2232" s="17">
        <f t="array" ref="B2232">SUM(1-'Sparkling Model'!D$2:D$38^A2232)</f>
        <v>34.943686</v>
      </c>
      <c r="C2232" s="8">
        <f t="array" ref="C2232">PRODUCT(1-'Sparkling Model'!D$2:D$38^A2232)</f>
        <v>0.09645542588</v>
      </c>
    </row>
    <row r="2233">
      <c r="A2233" s="6">
        <v>2231.0</v>
      </c>
      <c r="B2233" s="17">
        <f t="array" ref="B2233">SUM(1-'Sparkling Model'!D$2:D$38^A2233)</f>
        <v>34.94544706</v>
      </c>
      <c r="C2233" s="8">
        <f t="array" ref="C2233">PRODUCT(1-'Sparkling Model'!D$2:D$38^A2233)</f>
        <v>0.09666028115</v>
      </c>
    </row>
    <row r="2234">
      <c r="A2234" s="6">
        <v>2232.0</v>
      </c>
      <c r="B2234" s="17">
        <f t="array" ref="B2234">SUM(1-'Sparkling Model'!D$2:D$38^A2234)</f>
        <v>34.94720611</v>
      </c>
      <c r="C2234" s="8">
        <f t="array" ref="C2234">PRODUCT(1-'Sparkling Model'!D$2:D$38^A2234)</f>
        <v>0.09686532549</v>
      </c>
    </row>
    <row r="2235">
      <c r="A2235" s="6">
        <v>2233.0</v>
      </c>
      <c r="B2235" s="17">
        <f t="array" ref="B2235">SUM(1-'Sparkling Model'!D$2:D$38^A2235)</f>
        <v>34.94896315</v>
      </c>
      <c r="C2235" s="8">
        <f t="array" ref="C2235">PRODUCT(1-'Sparkling Model'!D$2:D$38^A2235)</f>
        <v>0.09707055863</v>
      </c>
    </row>
    <row r="2236">
      <c r="A2236" s="6">
        <v>2234.0</v>
      </c>
      <c r="B2236" s="17">
        <f t="array" ref="B2236">SUM(1-'Sparkling Model'!D$2:D$38^A2236)</f>
        <v>34.9507182</v>
      </c>
      <c r="C2236" s="8">
        <f t="array" ref="C2236">PRODUCT(1-'Sparkling Model'!D$2:D$38^A2236)</f>
        <v>0.09727598031</v>
      </c>
    </row>
    <row r="2237">
      <c r="A2237" s="6">
        <v>2235.0</v>
      </c>
      <c r="B2237" s="17">
        <f t="array" ref="B2237">SUM(1-'Sparkling Model'!D$2:D$38^A2237)</f>
        <v>34.95247124</v>
      </c>
      <c r="C2237" s="8">
        <f t="array" ref="C2237">PRODUCT(1-'Sparkling Model'!D$2:D$38^A2237)</f>
        <v>0.09748159026</v>
      </c>
    </row>
    <row r="2238">
      <c r="A2238" s="6">
        <v>2236.0</v>
      </c>
      <c r="B2238" s="17">
        <f t="array" ref="B2238">SUM(1-'Sparkling Model'!D$2:D$38^A2238)</f>
        <v>34.95422229</v>
      </c>
      <c r="C2238" s="8">
        <f t="array" ref="C2238">PRODUCT(1-'Sparkling Model'!D$2:D$38^A2238)</f>
        <v>0.09768738821</v>
      </c>
    </row>
    <row r="2239">
      <c r="A2239" s="6">
        <v>2237.0</v>
      </c>
      <c r="B2239" s="17">
        <f t="array" ref="B2239">SUM(1-'Sparkling Model'!D$2:D$38^A2239)</f>
        <v>34.95597134</v>
      </c>
      <c r="C2239" s="8">
        <f t="array" ref="C2239">PRODUCT(1-'Sparkling Model'!D$2:D$38^A2239)</f>
        <v>0.09789337389</v>
      </c>
    </row>
    <row r="2240">
      <c r="A2240" s="6">
        <v>2238.0</v>
      </c>
      <c r="B2240" s="17">
        <f t="array" ref="B2240">SUM(1-'Sparkling Model'!D$2:D$38^A2240)</f>
        <v>34.95771841</v>
      </c>
      <c r="C2240" s="8">
        <f t="array" ref="C2240">PRODUCT(1-'Sparkling Model'!D$2:D$38^A2240)</f>
        <v>0.09809954703</v>
      </c>
    </row>
    <row r="2241">
      <c r="A2241" s="6">
        <v>2239.0</v>
      </c>
      <c r="B2241" s="17">
        <f t="array" ref="B2241">SUM(1-'Sparkling Model'!D$2:D$38^A2241)</f>
        <v>34.95946348</v>
      </c>
      <c r="C2241" s="8">
        <f t="array" ref="C2241">PRODUCT(1-'Sparkling Model'!D$2:D$38^A2241)</f>
        <v>0.09830590737</v>
      </c>
    </row>
    <row r="2242">
      <c r="A2242" s="6">
        <v>2240.0</v>
      </c>
      <c r="B2242" s="17">
        <f t="array" ref="B2242">SUM(1-'Sparkling Model'!D$2:D$38^A2242)</f>
        <v>34.96120658</v>
      </c>
      <c r="C2242" s="8">
        <f t="array" ref="C2242">PRODUCT(1-'Sparkling Model'!D$2:D$38^A2242)</f>
        <v>0.09851245463</v>
      </c>
    </row>
    <row r="2243">
      <c r="A2243" s="6">
        <v>2241.0</v>
      </c>
      <c r="B2243" s="17">
        <f t="array" ref="B2243">SUM(1-'Sparkling Model'!D$2:D$38^A2243)</f>
        <v>34.96294769</v>
      </c>
      <c r="C2243" s="8">
        <f t="array" ref="C2243">PRODUCT(1-'Sparkling Model'!D$2:D$38^A2243)</f>
        <v>0.09871918853</v>
      </c>
    </row>
    <row r="2244">
      <c r="A2244" s="6">
        <v>2242.0</v>
      </c>
      <c r="B2244" s="17">
        <f t="array" ref="B2244">SUM(1-'Sparkling Model'!D$2:D$38^A2244)</f>
        <v>34.96468682</v>
      </c>
      <c r="C2244" s="8">
        <f t="array" ref="C2244">PRODUCT(1-'Sparkling Model'!D$2:D$38^A2244)</f>
        <v>0.09892610882</v>
      </c>
    </row>
    <row r="2245">
      <c r="A2245" s="6">
        <v>2243.0</v>
      </c>
      <c r="B2245" s="17">
        <f t="array" ref="B2245">SUM(1-'Sparkling Model'!D$2:D$38^A2245)</f>
        <v>34.96642397</v>
      </c>
      <c r="C2245" s="8">
        <f t="array" ref="C2245">PRODUCT(1-'Sparkling Model'!D$2:D$38^A2245)</f>
        <v>0.09913321522</v>
      </c>
    </row>
    <row r="2246">
      <c r="A2246" s="6">
        <v>2244.0</v>
      </c>
      <c r="B2246" s="17">
        <f t="array" ref="B2246">SUM(1-'Sparkling Model'!D$2:D$38^A2246)</f>
        <v>34.96815916</v>
      </c>
      <c r="C2246" s="8">
        <f t="array" ref="C2246">PRODUCT(1-'Sparkling Model'!D$2:D$38^A2246)</f>
        <v>0.09934050746</v>
      </c>
    </row>
    <row r="2247">
      <c r="A2247" s="6">
        <v>2245.0</v>
      </c>
      <c r="B2247" s="17">
        <f t="array" ref="B2247">SUM(1-'Sparkling Model'!D$2:D$38^A2247)</f>
        <v>34.96989237</v>
      </c>
      <c r="C2247" s="8">
        <f t="array" ref="C2247">PRODUCT(1-'Sparkling Model'!D$2:D$38^A2247)</f>
        <v>0.09954798527</v>
      </c>
    </row>
    <row r="2248">
      <c r="A2248" s="6">
        <v>2246.0</v>
      </c>
      <c r="B2248" s="17">
        <f t="array" ref="B2248">SUM(1-'Sparkling Model'!D$2:D$38^A2248)</f>
        <v>34.97162362</v>
      </c>
      <c r="C2248" s="8">
        <f t="array" ref="C2248">PRODUCT(1-'Sparkling Model'!D$2:D$38^A2248)</f>
        <v>0.09975564837</v>
      </c>
    </row>
    <row r="2249">
      <c r="A2249" s="6">
        <v>2247.0</v>
      </c>
      <c r="B2249" s="17">
        <f t="array" ref="B2249">SUM(1-'Sparkling Model'!D$2:D$38^A2249)</f>
        <v>34.9733529</v>
      </c>
      <c r="C2249" s="8">
        <f t="array" ref="C2249">PRODUCT(1-'Sparkling Model'!D$2:D$38^A2249)</f>
        <v>0.0999634965</v>
      </c>
    </row>
    <row r="2250">
      <c r="A2250" s="6">
        <v>2248.0</v>
      </c>
      <c r="B2250" s="17">
        <f t="array" ref="B2250">SUM(1-'Sparkling Model'!D$2:D$38^A2250)</f>
        <v>34.97508021</v>
      </c>
      <c r="C2250" s="8">
        <f t="array" ref="C2250">PRODUCT(1-'Sparkling Model'!D$2:D$38^A2250)</f>
        <v>0.1001715294</v>
      </c>
    </row>
    <row r="2251">
      <c r="A2251" s="6">
        <v>2249.0</v>
      </c>
      <c r="B2251" s="17">
        <f t="array" ref="B2251">SUM(1-'Sparkling Model'!D$2:D$38^A2251)</f>
        <v>34.97680557</v>
      </c>
      <c r="C2251" s="8">
        <f t="array" ref="C2251">PRODUCT(1-'Sparkling Model'!D$2:D$38^A2251)</f>
        <v>0.1003797467</v>
      </c>
    </row>
    <row r="2252">
      <c r="A2252" s="6">
        <v>2250.0</v>
      </c>
      <c r="B2252" s="17">
        <f t="array" ref="B2252">SUM(1-'Sparkling Model'!D$2:D$38^A2252)</f>
        <v>34.97852898</v>
      </c>
      <c r="C2252" s="8">
        <f t="array" ref="C2252">PRODUCT(1-'Sparkling Model'!D$2:D$38^A2252)</f>
        <v>0.1005881483</v>
      </c>
    </row>
    <row r="2253">
      <c r="A2253" s="6">
        <v>2251.0</v>
      </c>
      <c r="B2253" s="17">
        <f t="array" ref="B2253">SUM(1-'Sparkling Model'!D$2:D$38^A2253)</f>
        <v>34.98025043</v>
      </c>
      <c r="C2253" s="8">
        <f t="array" ref="C2253">PRODUCT(1-'Sparkling Model'!D$2:D$38^A2253)</f>
        <v>0.1007967338</v>
      </c>
    </row>
    <row r="2254">
      <c r="A2254" s="6">
        <v>2252.0</v>
      </c>
      <c r="B2254" s="17">
        <f t="array" ref="B2254">SUM(1-'Sparkling Model'!D$2:D$38^A2254)</f>
        <v>34.98196993</v>
      </c>
      <c r="C2254" s="8">
        <f t="array" ref="C2254">PRODUCT(1-'Sparkling Model'!D$2:D$38^A2254)</f>
        <v>0.1010055029</v>
      </c>
    </row>
    <row r="2255">
      <c r="A2255" s="6">
        <v>2253.0</v>
      </c>
      <c r="B2255" s="17">
        <f t="array" ref="B2255">SUM(1-'Sparkling Model'!D$2:D$38^A2255)</f>
        <v>34.98368748</v>
      </c>
      <c r="C2255" s="8">
        <f t="array" ref="C2255">PRODUCT(1-'Sparkling Model'!D$2:D$38^A2255)</f>
        <v>0.1012144555</v>
      </c>
    </row>
    <row r="2256">
      <c r="A2256" s="6">
        <v>2254.0</v>
      </c>
      <c r="B2256" s="17">
        <f t="array" ref="B2256">SUM(1-'Sparkling Model'!D$2:D$38^A2256)</f>
        <v>34.98540309</v>
      </c>
      <c r="C2256" s="8">
        <f t="array" ref="C2256">PRODUCT(1-'Sparkling Model'!D$2:D$38^A2256)</f>
        <v>0.1014235911</v>
      </c>
    </row>
    <row r="2257">
      <c r="A2257" s="6">
        <v>2255.0</v>
      </c>
      <c r="B2257" s="17">
        <f t="array" ref="B2257">SUM(1-'Sparkling Model'!D$2:D$38^A2257)</f>
        <v>34.98711675</v>
      </c>
      <c r="C2257" s="8">
        <f t="array" ref="C2257">PRODUCT(1-'Sparkling Model'!D$2:D$38^A2257)</f>
        <v>0.1016329096</v>
      </c>
    </row>
    <row r="2258">
      <c r="A2258" s="6">
        <v>2256.0</v>
      </c>
      <c r="B2258" s="17">
        <f t="array" ref="B2258">SUM(1-'Sparkling Model'!D$2:D$38^A2258)</f>
        <v>34.98882848</v>
      </c>
      <c r="C2258" s="8">
        <f t="array" ref="C2258">PRODUCT(1-'Sparkling Model'!D$2:D$38^A2258)</f>
        <v>0.1018424107</v>
      </c>
    </row>
    <row r="2259">
      <c r="A2259" s="6">
        <v>2257.0</v>
      </c>
      <c r="B2259" s="17">
        <f t="array" ref="B2259">SUM(1-'Sparkling Model'!D$2:D$38^A2259)</f>
        <v>34.99053827</v>
      </c>
      <c r="C2259" s="8">
        <f t="array" ref="C2259">PRODUCT(1-'Sparkling Model'!D$2:D$38^A2259)</f>
        <v>0.102052094</v>
      </c>
    </row>
    <row r="2260">
      <c r="A2260" s="6">
        <v>2258.0</v>
      </c>
      <c r="B2260" s="17">
        <f t="array" ref="B2260">SUM(1-'Sparkling Model'!D$2:D$38^A2260)</f>
        <v>34.99224613</v>
      </c>
      <c r="C2260" s="8">
        <f t="array" ref="C2260">PRODUCT(1-'Sparkling Model'!D$2:D$38^A2260)</f>
        <v>0.1022619594</v>
      </c>
    </row>
    <row r="2261">
      <c r="A2261" s="6">
        <v>2259.0</v>
      </c>
      <c r="B2261" s="17">
        <f t="array" ref="B2261">SUM(1-'Sparkling Model'!D$2:D$38^A2261)</f>
        <v>34.99395205</v>
      </c>
      <c r="C2261" s="8">
        <f t="array" ref="C2261">PRODUCT(1-'Sparkling Model'!D$2:D$38^A2261)</f>
        <v>0.1024720064</v>
      </c>
    </row>
    <row r="2262">
      <c r="A2262" s="6">
        <v>2260.0</v>
      </c>
      <c r="B2262" s="17">
        <f t="array" ref="B2262">SUM(1-'Sparkling Model'!D$2:D$38^A2262)</f>
        <v>34.99565605</v>
      </c>
      <c r="C2262" s="8">
        <f t="array" ref="C2262">PRODUCT(1-'Sparkling Model'!D$2:D$38^A2262)</f>
        <v>0.102682235</v>
      </c>
    </row>
    <row r="2263">
      <c r="A2263" s="6">
        <v>2261.0</v>
      </c>
      <c r="B2263" s="17">
        <f t="array" ref="B2263">SUM(1-'Sparkling Model'!D$2:D$38^A2263)</f>
        <v>34.99735812</v>
      </c>
      <c r="C2263" s="8">
        <f t="array" ref="C2263">PRODUCT(1-'Sparkling Model'!D$2:D$38^A2263)</f>
        <v>0.1028926447</v>
      </c>
    </row>
    <row r="2264">
      <c r="A2264" s="6">
        <v>2262.0</v>
      </c>
      <c r="B2264" s="17">
        <f t="array" ref="B2264">SUM(1-'Sparkling Model'!D$2:D$38^A2264)</f>
        <v>34.99905827</v>
      </c>
      <c r="C2264" s="8">
        <f t="array" ref="C2264">PRODUCT(1-'Sparkling Model'!D$2:D$38^A2264)</f>
        <v>0.1031032354</v>
      </c>
    </row>
    <row r="2265">
      <c r="A2265" s="6">
        <v>2263.0</v>
      </c>
      <c r="B2265" s="17">
        <f t="array" ref="B2265">SUM(1-'Sparkling Model'!D$2:D$38^A2265)</f>
        <v>35.0007565</v>
      </c>
      <c r="C2265" s="8">
        <f t="array" ref="C2265">PRODUCT(1-'Sparkling Model'!D$2:D$38^A2265)</f>
        <v>0.1033140066</v>
      </c>
    </row>
    <row r="2266">
      <c r="A2266" s="6">
        <v>2264.0</v>
      </c>
      <c r="B2266" s="17">
        <f t="array" ref="B2266">SUM(1-'Sparkling Model'!D$2:D$38^A2266)</f>
        <v>35.00245281</v>
      </c>
      <c r="C2266" s="8">
        <f t="array" ref="C2266">PRODUCT(1-'Sparkling Model'!D$2:D$38^A2266)</f>
        <v>0.1035249583</v>
      </c>
    </row>
    <row r="2267">
      <c r="A2267" s="6">
        <v>2265.0</v>
      </c>
      <c r="B2267" s="17">
        <f t="array" ref="B2267">SUM(1-'Sparkling Model'!D$2:D$38^A2267)</f>
        <v>35.00414721</v>
      </c>
      <c r="C2267" s="8">
        <f t="array" ref="C2267">PRODUCT(1-'Sparkling Model'!D$2:D$38^A2267)</f>
        <v>0.10373609</v>
      </c>
    </row>
    <row r="2268">
      <c r="A2268" s="6">
        <v>2266.0</v>
      </c>
      <c r="B2268" s="17">
        <f t="array" ref="B2268">SUM(1-'Sparkling Model'!D$2:D$38^A2268)</f>
        <v>35.00583969</v>
      </c>
      <c r="C2268" s="8">
        <f t="array" ref="C2268">PRODUCT(1-'Sparkling Model'!D$2:D$38^A2268)</f>
        <v>0.1039474015</v>
      </c>
    </row>
    <row r="2269">
      <c r="A2269" s="6">
        <v>2267.0</v>
      </c>
      <c r="B2269" s="17">
        <f t="array" ref="B2269">SUM(1-'Sparkling Model'!D$2:D$38^A2269)</f>
        <v>35.00753027</v>
      </c>
      <c r="C2269" s="8">
        <f t="array" ref="C2269">PRODUCT(1-'Sparkling Model'!D$2:D$38^A2269)</f>
        <v>0.1041588925</v>
      </c>
    </row>
    <row r="2270">
      <c r="A2270" s="6">
        <v>2268.0</v>
      </c>
      <c r="B2270" s="17">
        <f t="array" ref="B2270">SUM(1-'Sparkling Model'!D$2:D$38^A2270)</f>
        <v>35.00921894</v>
      </c>
      <c r="C2270" s="8">
        <f t="array" ref="C2270">PRODUCT(1-'Sparkling Model'!D$2:D$38^A2270)</f>
        <v>0.1043705628</v>
      </c>
    </row>
    <row r="2271">
      <c r="A2271" s="6">
        <v>2269.0</v>
      </c>
      <c r="B2271" s="17">
        <f t="array" ref="B2271">SUM(1-'Sparkling Model'!D$2:D$38^A2271)</f>
        <v>35.01090571</v>
      </c>
      <c r="C2271" s="8">
        <f t="array" ref="C2271">PRODUCT(1-'Sparkling Model'!D$2:D$38^A2271)</f>
        <v>0.1045824121</v>
      </c>
    </row>
    <row r="2272">
      <c r="A2272" s="6">
        <v>2270.0</v>
      </c>
      <c r="B2272" s="17">
        <f t="array" ref="B2272">SUM(1-'Sparkling Model'!D$2:D$38^A2272)</f>
        <v>35.01259057</v>
      </c>
      <c r="C2272" s="8">
        <f t="array" ref="C2272">PRODUCT(1-'Sparkling Model'!D$2:D$38^A2272)</f>
        <v>0.10479444</v>
      </c>
    </row>
    <row r="2273">
      <c r="A2273" s="6">
        <v>2271.0</v>
      </c>
      <c r="B2273" s="17">
        <f t="array" ref="B2273">SUM(1-'Sparkling Model'!D$2:D$38^A2273)</f>
        <v>35.01427354</v>
      </c>
      <c r="C2273" s="8">
        <f t="array" ref="C2273">PRODUCT(1-'Sparkling Model'!D$2:D$38^A2273)</f>
        <v>0.1050066464</v>
      </c>
    </row>
    <row r="2274">
      <c r="A2274" s="6">
        <v>2272.0</v>
      </c>
      <c r="B2274" s="17">
        <f t="array" ref="B2274">SUM(1-'Sparkling Model'!D$2:D$38^A2274)</f>
        <v>35.01595462</v>
      </c>
      <c r="C2274" s="8">
        <f t="array" ref="C2274">PRODUCT(1-'Sparkling Model'!D$2:D$38^A2274)</f>
        <v>0.1052190309</v>
      </c>
    </row>
    <row r="2275">
      <c r="A2275" s="6">
        <v>2273.0</v>
      </c>
      <c r="B2275" s="17">
        <f t="array" ref="B2275">SUM(1-'Sparkling Model'!D$2:D$38^A2275)</f>
        <v>35.0176338</v>
      </c>
      <c r="C2275" s="8">
        <f t="array" ref="C2275">PRODUCT(1-'Sparkling Model'!D$2:D$38^A2275)</f>
        <v>0.1054315932</v>
      </c>
    </row>
    <row r="2276">
      <c r="A2276" s="6">
        <v>2274.0</v>
      </c>
      <c r="B2276" s="17">
        <f t="array" ref="B2276">SUM(1-'Sparkling Model'!D$2:D$38^A2276)</f>
        <v>35.01931109</v>
      </c>
      <c r="C2276" s="8">
        <f t="array" ref="C2276">PRODUCT(1-'Sparkling Model'!D$2:D$38^A2276)</f>
        <v>0.1056443331</v>
      </c>
    </row>
    <row r="2277">
      <c r="A2277" s="6">
        <v>2275.0</v>
      </c>
      <c r="B2277" s="17">
        <f t="array" ref="B2277">SUM(1-'Sparkling Model'!D$2:D$38^A2277)</f>
        <v>35.02098649</v>
      </c>
      <c r="C2277" s="8">
        <f t="array" ref="C2277">PRODUCT(1-'Sparkling Model'!D$2:D$38^A2277)</f>
        <v>0.1058572503</v>
      </c>
    </row>
    <row r="2278">
      <c r="A2278" s="6">
        <v>2276.0</v>
      </c>
      <c r="B2278" s="17">
        <f t="array" ref="B2278">SUM(1-'Sparkling Model'!D$2:D$38^A2278)</f>
        <v>35.02266001</v>
      </c>
      <c r="C2278" s="8">
        <f t="array" ref="C2278">PRODUCT(1-'Sparkling Model'!D$2:D$38^A2278)</f>
        <v>0.1060703446</v>
      </c>
    </row>
    <row r="2279">
      <c r="A2279" s="6">
        <v>2277.0</v>
      </c>
      <c r="B2279" s="17">
        <f t="array" ref="B2279">SUM(1-'Sparkling Model'!D$2:D$38^A2279)</f>
        <v>35.02433165</v>
      </c>
      <c r="C2279" s="8">
        <f t="array" ref="C2279">PRODUCT(1-'Sparkling Model'!D$2:D$38^A2279)</f>
        <v>0.1062836156</v>
      </c>
    </row>
    <row r="2280">
      <c r="A2280" s="6">
        <v>2278.0</v>
      </c>
      <c r="B2280" s="17">
        <f t="array" ref="B2280">SUM(1-'Sparkling Model'!D$2:D$38^A2280)</f>
        <v>35.02600141</v>
      </c>
      <c r="C2280" s="8">
        <f t="array" ref="C2280">PRODUCT(1-'Sparkling Model'!D$2:D$38^A2280)</f>
        <v>0.106497063</v>
      </c>
    </row>
    <row r="2281">
      <c r="A2281" s="6">
        <v>2279.0</v>
      </c>
      <c r="B2281" s="17">
        <f t="array" ref="B2281">SUM(1-'Sparkling Model'!D$2:D$38^A2281)</f>
        <v>35.02766929</v>
      </c>
      <c r="C2281" s="8">
        <f t="array" ref="C2281">PRODUCT(1-'Sparkling Model'!D$2:D$38^A2281)</f>
        <v>0.1067106866</v>
      </c>
    </row>
    <row r="2282">
      <c r="A2282" s="6">
        <v>2280.0</v>
      </c>
      <c r="B2282" s="17">
        <f t="array" ref="B2282">SUM(1-'Sparkling Model'!D$2:D$38^A2282)</f>
        <v>35.0293353</v>
      </c>
      <c r="C2282" s="8">
        <f t="array" ref="C2282">PRODUCT(1-'Sparkling Model'!D$2:D$38^A2282)</f>
        <v>0.1069244861</v>
      </c>
    </row>
    <row r="2283">
      <c r="A2283" s="6">
        <v>2281.0</v>
      </c>
      <c r="B2283" s="17">
        <f t="array" ref="B2283">SUM(1-'Sparkling Model'!D$2:D$38^A2283)</f>
        <v>35.03099944</v>
      </c>
      <c r="C2283" s="8">
        <f t="array" ref="C2283">PRODUCT(1-'Sparkling Model'!D$2:D$38^A2283)</f>
        <v>0.1071384612</v>
      </c>
    </row>
    <row r="2284">
      <c r="A2284" s="6">
        <v>2282.0</v>
      </c>
      <c r="B2284" s="17">
        <f t="array" ref="B2284">SUM(1-'Sparkling Model'!D$2:D$38^A2284)</f>
        <v>35.03266171</v>
      </c>
      <c r="C2284" s="8">
        <f t="array" ref="C2284">PRODUCT(1-'Sparkling Model'!D$2:D$38^A2284)</f>
        <v>0.1073526117</v>
      </c>
    </row>
    <row r="2285">
      <c r="A2285" s="6">
        <v>2283.0</v>
      </c>
      <c r="B2285" s="17">
        <f t="array" ref="B2285">SUM(1-'Sparkling Model'!D$2:D$38^A2285)</f>
        <v>35.03432212</v>
      </c>
      <c r="C2285" s="8">
        <f t="array" ref="C2285">PRODUCT(1-'Sparkling Model'!D$2:D$38^A2285)</f>
        <v>0.1075669372</v>
      </c>
    </row>
    <row r="2286">
      <c r="A2286" s="6">
        <v>2284.0</v>
      </c>
      <c r="B2286" s="17">
        <f t="array" ref="B2286">SUM(1-'Sparkling Model'!D$2:D$38^A2286)</f>
        <v>35.03598066</v>
      </c>
      <c r="C2286" s="8">
        <f t="array" ref="C2286">PRODUCT(1-'Sparkling Model'!D$2:D$38^A2286)</f>
        <v>0.1077814374</v>
      </c>
    </row>
    <row r="2287">
      <c r="A2287" s="6">
        <v>2285.0</v>
      </c>
      <c r="B2287" s="17">
        <f t="array" ref="B2287">SUM(1-'Sparkling Model'!D$2:D$38^A2287)</f>
        <v>35.03763734</v>
      </c>
      <c r="C2287" s="8">
        <f t="array" ref="C2287">PRODUCT(1-'Sparkling Model'!D$2:D$38^A2287)</f>
        <v>0.1079961122</v>
      </c>
    </row>
    <row r="2288">
      <c r="A2288" s="6">
        <v>2286.0</v>
      </c>
      <c r="B2288" s="17">
        <f t="array" ref="B2288">SUM(1-'Sparkling Model'!D$2:D$38^A2288)</f>
        <v>35.03929216</v>
      </c>
      <c r="C2288" s="8">
        <f t="array" ref="C2288">PRODUCT(1-'Sparkling Model'!D$2:D$38^A2288)</f>
        <v>0.1082109612</v>
      </c>
    </row>
    <row r="2289">
      <c r="A2289" s="6">
        <v>2287.0</v>
      </c>
      <c r="B2289" s="17">
        <f t="array" ref="B2289">SUM(1-'Sparkling Model'!D$2:D$38^A2289)</f>
        <v>35.04094513</v>
      </c>
      <c r="C2289" s="8">
        <f t="array" ref="C2289">PRODUCT(1-'Sparkling Model'!D$2:D$38^A2289)</f>
        <v>0.1084259841</v>
      </c>
    </row>
    <row r="2290">
      <c r="A2290" s="6">
        <v>2288.0</v>
      </c>
      <c r="B2290" s="17">
        <f t="array" ref="B2290">SUM(1-'Sparkling Model'!D$2:D$38^A2290)</f>
        <v>35.04259625</v>
      </c>
      <c r="C2290" s="8">
        <f t="array" ref="C2290">PRODUCT(1-'Sparkling Model'!D$2:D$38^A2290)</f>
        <v>0.1086411806</v>
      </c>
    </row>
    <row r="2291">
      <c r="A2291" s="6">
        <v>2289.0</v>
      </c>
      <c r="B2291" s="17">
        <f t="array" ref="B2291">SUM(1-'Sparkling Model'!D$2:D$38^A2291)</f>
        <v>35.04424552</v>
      </c>
      <c r="C2291" s="8">
        <f t="array" ref="C2291">PRODUCT(1-'Sparkling Model'!D$2:D$38^A2291)</f>
        <v>0.1088565506</v>
      </c>
    </row>
    <row r="2292">
      <c r="A2292" s="6">
        <v>2290.0</v>
      </c>
      <c r="B2292" s="17">
        <f t="array" ref="B2292">SUM(1-'Sparkling Model'!D$2:D$38^A2292)</f>
        <v>35.04589293</v>
      </c>
      <c r="C2292" s="8">
        <f t="array" ref="C2292">PRODUCT(1-'Sparkling Model'!D$2:D$38^A2292)</f>
        <v>0.1090720935</v>
      </c>
    </row>
    <row r="2293">
      <c r="A2293" s="6">
        <v>2291.0</v>
      </c>
      <c r="B2293" s="17">
        <f t="array" ref="B2293">SUM(1-'Sparkling Model'!D$2:D$38^A2293)</f>
        <v>35.04753851</v>
      </c>
      <c r="C2293" s="8">
        <f t="array" ref="C2293">PRODUCT(1-'Sparkling Model'!D$2:D$38^A2293)</f>
        <v>0.1092878093</v>
      </c>
    </row>
    <row r="2294">
      <c r="A2294" s="6">
        <v>2292.0</v>
      </c>
      <c r="B2294" s="17">
        <f t="array" ref="B2294">SUM(1-'Sparkling Model'!D$2:D$38^A2294)</f>
        <v>35.04918224</v>
      </c>
      <c r="C2294" s="8">
        <f t="array" ref="C2294">PRODUCT(1-'Sparkling Model'!D$2:D$38^A2294)</f>
        <v>0.1095036976</v>
      </c>
    </row>
    <row r="2295">
      <c r="A2295" s="6">
        <v>2293.0</v>
      </c>
      <c r="B2295" s="17">
        <f t="array" ref="B2295">SUM(1-'Sparkling Model'!D$2:D$38^A2295)</f>
        <v>35.05082414</v>
      </c>
      <c r="C2295" s="8">
        <f t="array" ref="C2295">PRODUCT(1-'Sparkling Model'!D$2:D$38^A2295)</f>
        <v>0.1097197582</v>
      </c>
    </row>
    <row r="2296">
      <c r="A2296" s="6">
        <v>2294.0</v>
      </c>
      <c r="B2296" s="17">
        <f t="array" ref="B2296">SUM(1-'Sparkling Model'!D$2:D$38^A2296)</f>
        <v>35.05246419</v>
      </c>
      <c r="C2296" s="8">
        <f t="array" ref="C2296">PRODUCT(1-'Sparkling Model'!D$2:D$38^A2296)</f>
        <v>0.1099359906</v>
      </c>
    </row>
    <row r="2297">
      <c r="A2297" s="6">
        <v>2295.0</v>
      </c>
      <c r="B2297" s="17">
        <f t="array" ref="B2297">SUM(1-'Sparkling Model'!D$2:D$38^A2297)</f>
        <v>35.05410242</v>
      </c>
      <c r="C2297" s="8">
        <f t="array" ref="C2297">PRODUCT(1-'Sparkling Model'!D$2:D$38^A2297)</f>
        <v>0.1101523948</v>
      </c>
    </row>
    <row r="2298">
      <c r="A2298" s="6">
        <v>2296.0</v>
      </c>
      <c r="B2298" s="17">
        <f t="array" ref="B2298">SUM(1-'Sparkling Model'!D$2:D$38^A2298)</f>
        <v>35.05573881</v>
      </c>
      <c r="C2298" s="8">
        <f t="array" ref="C2298">PRODUCT(1-'Sparkling Model'!D$2:D$38^A2298)</f>
        <v>0.1103689703</v>
      </c>
    </row>
    <row r="2299">
      <c r="A2299" s="6">
        <v>2297.0</v>
      </c>
      <c r="B2299" s="17">
        <f t="array" ref="B2299">SUM(1-'Sparkling Model'!D$2:D$38^A2299)</f>
        <v>35.05737337</v>
      </c>
      <c r="C2299" s="8">
        <f t="array" ref="C2299">PRODUCT(1-'Sparkling Model'!D$2:D$38^A2299)</f>
        <v>0.1105857169</v>
      </c>
    </row>
    <row r="2300">
      <c r="A2300" s="6">
        <v>2298.0</v>
      </c>
      <c r="B2300" s="17">
        <f t="array" ref="B2300">SUM(1-'Sparkling Model'!D$2:D$38^A2300)</f>
        <v>35.05900611</v>
      </c>
      <c r="C2300" s="8">
        <f t="array" ref="C2300">PRODUCT(1-'Sparkling Model'!D$2:D$38^A2300)</f>
        <v>0.1108026343</v>
      </c>
    </row>
    <row r="2301">
      <c r="A2301" s="6">
        <v>2299.0</v>
      </c>
      <c r="B2301" s="17">
        <f t="array" ref="B2301">SUM(1-'Sparkling Model'!D$2:D$38^A2301)</f>
        <v>35.06063703</v>
      </c>
      <c r="C2301" s="8">
        <f t="array" ref="C2301">PRODUCT(1-'Sparkling Model'!D$2:D$38^A2301)</f>
        <v>0.1110197223</v>
      </c>
    </row>
    <row r="2302">
      <c r="A2302" s="6">
        <v>2300.0</v>
      </c>
      <c r="B2302" s="17">
        <f t="array" ref="B2302">SUM(1-'Sparkling Model'!D$2:D$38^A2302)</f>
        <v>35.06226612</v>
      </c>
      <c r="C2302" s="8">
        <f t="array" ref="C2302">PRODUCT(1-'Sparkling Model'!D$2:D$38^A2302)</f>
        <v>0.1112369805</v>
      </c>
    </row>
    <row r="2303">
      <c r="A2303" s="6">
        <v>2301.0</v>
      </c>
      <c r="B2303" s="17">
        <f t="array" ref="B2303">SUM(1-'Sparkling Model'!D$2:D$38^A2303)</f>
        <v>35.06389339</v>
      </c>
      <c r="C2303" s="8">
        <f t="array" ref="C2303">PRODUCT(1-'Sparkling Model'!D$2:D$38^A2303)</f>
        <v>0.1114544086</v>
      </c>
    </row>
    <row r="2304">
      <c r="A2304" s="6">
        <v>2302.0</v>
      </c>
      <c r="B2304" s="17">
        <f t="array" ref="B2304">SUM(1-'Sparkling Model'!D$2:D$38^A2304)</f>
        <v>35.06551885</v>
      </c>
      <c r="C2304" s="8">
        <f t="array" ref="C2304">PRODUCT(1-'Sparkling Model'!D$2:D$38^A2304)</f>
        <v>0.1116720065</v>
      </c>
    </row>
    <row r="2305">
      <c r="A2305" s="6">
        <v>2303.0</v>
      </c>
      <c r="B2305" s="17">
        <f t="array" ref="B2305">SUM(1-'Sparkling Model'!D$2:D$38^A2305)</f>
        <v>35.0671425</v>
      </c>
      <c r="C2305" s="8">
        <f t="array" ref="C2305">PRODUCT(1-'Sparkling Model'!D$2:D$38^A2305)</f>
        <v>0.1118897737</v>
      </c>
    </row>
    <row r="2306">
      <c r="A2306" s="6">
        <v>2304.0</v>
      </c>
      <c r="B2306" s="17">
        <f t="array" ref="B2306">SUM(1-'Sparkling Model'!D$2:D$38^A2306)</f>
        <v>35.06876433</v>
      </c>
      <c r="C2306" s="8">
        <f t="array" ref="C2306">PRODUCT(1-'Sparkling Model'!D$2:D$38^A2306)</f>
        <v>0.11210771</v>
      </c>
    </row>
    <row r="2307">
      <c r="A2307" s="6">
        <v>2305.0</v>
      </c>
      <c r="B2307" s="17">
        <f t="array" ref="B2307">SUM(1-'Sparkling Model'!D$2:D$38^A2307)</f>
        <v>35.07038436</v>
      </c>
      <c r="C2307" s="8">
        <f t="array" ref="C2307">PRODUCT(1-'Sparkling Model'!D$2:D$38^A2307)</f>
        <v>0.1123258151</v>
      </c>
    </row>
    <row r="2308">
      <c r="A2308" s="6">
        <v>2306.0</v>
      </c>
      <c r="B2308" s="17">
        <f t="array" ref="B2308">SUM(1-'Sparkling Model'!D$2:D$38^A2308)</f>
        <v>35.07200258</v>
      </c>
      <c r="C2308" s="8">
        <f t="array" ref="C2308">PRODUCT(1-'Sparkling Model'!D$2:D$38^A2308)</f>
        <v>0.1125440888</v>
      </c>
    </row>
    <row r="2309">
      <c r="A2309" s="6">
        <v>2307.0</v>
      </c>
      <c r="B2309" s="17">
        <f t="array" ref="B2309">SUM(1-'Sparkling Model'!D$2:D$38^A2309)</f>
        <v>35.073619</v>
      </c>
      <c r="C2309" s="8">
        <f t="array" ref="C2309">PRODUCT(1-'Sparkling Model'!D$2:D$38^A2309)</f>
        <v>0.1127625307</v>
      </c>
    </row>
    <row r="2310">
      <c r="A2310" s="6">
        <v>2308.0</v>
      </c>
      <c r="B2310" s="17">
        <f t="array" ref="B2310">SUM(1-'Sparkling Model'!D$2:D$38^A2310)</f>
        <v>35.07523362</v>
      </c>
      <c r="C2310" s="8">
        <f t="array" ref="C2310">PRODUCT(1-'Sparkling Model'!D$2:D$38^A2310)</f>
        <v>0.1129811406</v>
      </c>
    </row>
    <row r="2311">
      <c r="A2311" s="6">
        <v>2309.0</v>
      </c>
      <c r="B2311" s="17">
        <f t="array" ref="B2311">SUM(1-'Sparkling Model'!D$2:D$38^A2311)</f>
        <v>35.07684644</v>
      </c>
      <c r="C2311" s="8">
        <f t="array" ref="C2311">PRODUCT(1-'Sparkling Model'!D$2:D$38^A2311)</f>
        <v>0.1131999181</v>
      </c>
    </row>
    <row r="2312">
      <c r="A2312" s="6">
        <v>2310.0</v>
      </c>
      <c r="B2312" s="17">
        <f t="array" ref="B2312">SUM(1-'Sparkling Model'!D$2:D$38^A2312)</f>
        <v>35.07845746</v>
      </c>
      <c r="C2312" s="8">
        <f t="array" ref="C2312">PRODUCT(1-'Sparkling Model'!D$2:D$38^A2312)</f>
        <v>0.1134188631</v>
      </c>
    </row>
    <row r="2313">
      <c r="A2313" s="6">
        <v>2311.0</v>
      </c>
      <c r="B2313" s="17">
        <f t="array" ref="B2313">SUM(1-'Sparkling Model'!D$2:D$38^A2313)</f>
        <v>35.0800667</v>
      </c>
      <c r="C2313" s="8">
        <f t="array" ref="C2313">PRODUCT(1-'Sparkling Model'!D$2:D$38^A2313)</f>
        <v>0.1136379751</v>
      </c>
    </row>
    <row r="2314">
      <c r="A2314" s="6">
        <v>2312.0</v>
      </c>
      <c r="B2314" s="17">
        <f t="array" ref="B2314">SUM(1-'Sparkling Model'!D$2:D$38^A2314)</f>
        <v>35.08167414</v>
      </c>
      <c r="C2314" s="8">
        <f t="array" ref="C2314">PRODUCT(1-'Sparkling Model'!D$2:D$38^A2314)</f>
        <v>0.1138572539</v>
      </c>
    </row>
    <row r="2315">
      <c r="A2315" s="6">
        <v>2313.0</v>
      </c>
      <c r="B2315" s="17">
        <f t="array" ref="B2315">SUM(1-'Sparkling Model'!D$2:D$38^A2315)</f>
        <v>35.08327979</v>
      </c>
      <c r="C2315" s="8">
        <f t="array" ref="C2315">PRODUCT(1-'Sparkling Model'!D$2:D$38^A2315)</f>
        <v>0.1140766993</v>
      </c>
    </row>
    <row r="2316">
      <c r="A2316" s="6">
        <v>2314.0</v>
      </c>
      <c r="B2316" s="17">
        <f t="array" ref="B2316">SUM(1-'Sparkling Model'!D$2:D$38^A2316)</f>
        <v>35.08488366</v>
      </c>
      <c r="C2316" s="8">
        <f t="array" ref="C2316">PRODUCT(1-'Sparkling Model'!D$2:D$38^A2316)</f>
        <v>0.1142963109</v>
      </c>
    </row>
    <row r="2317">
      <c r="A2317" s="6">
        <v>2315.0</v>
      </c>
      <c r="B2317" s="17">
        <f t="array" ref="B2317">SUM(1-'Sparkling Model'!D$2:D$38^A2317)</f>
        <v>35.08648575</v>
      </c>
      <c r="C2317" s="8">
        <f t="array" ref="C2317">PRODUCT(1-'Sparkling Model'!D$2:D$38^A2317)</f>
        <v>0.1145160885</v>
      </c>
    </row>
    <row r="2318">
      <c r="A2318" s="6">
        <v>2316.0</v>
      </c>
      <c r="B2318" s="17">
        <f t="array" ref="B2318">SUM(1-'Sparkling Model'!D$2:D$38^A2318)</f>
        <v>35.08808606</v>
      </c>
      <c r="C2318" s="8">
        <f t="array" ref="C2318">PRODUCT(1-'Sparkling Model'!D$2:D$38^A2318)</f>
        <v>0.1147360317</v>
      </c>
    </row>
    <row r="2319">
      <c r="A2319" s="6">
        <v>2317.0</v>
      </c>
      <c r="B2319" s="17">
        <f t="array" ref="B2319">SUM(1-'Sparkling Model'!D$2:D$38^A2319)</f>
        <v>35.08968458</v>
      </c>
      <c r="C2319" s="8">
        <f t="array" ref="C2319">PRODUCT(1-'Sparkling Model'!D$2:D$38^A2319)</f>
        <v>0.1149561403</v>
      </c>
    </row>
    <row r="2320">
      <c r="A2320" s="6">
        <v>2318.0</v>
      </c>
      <c r="B2320" s="17">
        <f t="array" ref="B2320">SUM(1-'Sparkling Model'!D$2:D$38^A2320)</f>
        <v>35.09128134</v>
      </c>
      <c r="C2320" s="8">
        <f t="array" ref="C2320">PRODUCT(1-'Sparkling Model'!D$2:D$38^A2320)</f>
        <v>0.115176414</v>
      </c>
    </row>
    <row r="2321">
      <c r="A2321" s="6">
        <v>2319.0</v>
      </c>
      <c r="B2321" s="17">
        <f t="array" ref="B2321">SUM(1-'Sparkling Model'!D$2:D$38^A2321)</f>
        <v>35.09287632</v>
      </c>
      <c r="C2321" s="8">
        <f t="array" ref="C2321">PRODUCT(1-'Sparkling Model'!D$2:D$38^A2321)</f>
        <v>0.1153968525</v>
      </c>
    </row>
    <row r="2322">
      <c r="A2322" s="6">
        <v>2320.0</v>
      </c>
      <c r="B2322" s="17">
        <f t="array" ref="B2322">SUM(1-'Sparkling Model'!D$2:D$38^A2322)</f>
        <v>35.09446953</v>
      </c>
      <c r="C2322" s="8">
        <f t="array" ref="C2322">PRODUCT(1-'Sparkling Model'!D$2:D$38^A2322)</f>
        <v>0.1156174555</v>
      </c>
    </row>
    <row r="2323">
      <c r="A2323" s="6">
        <v>2321.0</v>
      </c>
      <c r="B2323" s="17">
        <f t="array" ref="B2323">SUM(1-'Sparkling Model'!D$2:D$38^A2323)</f>
        <v>35.09606098</v>
      </c>
      <c r="C2323" s="8">
        <f t="array" ref="C2323">PRODUCT(1-'Sparkling Model'!D$2:D$38^A2323)</f>
        <v>0.1158382228</v>
      </c>
    </row>
    <row r="2324">
      <c r="A2324" s="6">
        <v>2322.0</v>
      </c>
      <c r="B2324" s="17">
        <f t="array" ref="B2324">SUM(1-'Sparkling Model'!D$2:D$38^A2324)</f>
        <v>35.09765066</v>
      </c>
      <c r="C2324" s="8">
        <f t="array" ref="C2324">PRODUCT(1-'Sparkling Model'!D$2:D$38^A2324)</f>
        <v>0.1160591539</v>
      </c>
    </row>
    <row r="2325">
      <c r="A2325" s="6">
        <v>2323.0</v>
      </c>
      <c r="B2325" s="17">
        <f t="array" ref="B2325">SUM(1-'Sparkling Model'!D$2:D$38^A2325)</f>
        <v>35.09923857</v>
      </c>
      <c r="C2325" s="8">
        <f t="array" ref="C2325">PRODUCT(1-'Sparkling Model'!D$2:D$38^A2325)</f>
        <v>0.1162802488</v>
      </c>
    </row>
    <row r="2326">
      <c r="A2326" s="6">
        <v>2324.0</v>
      </c>
      <c r="B2326" s="17">
        <f t="array" ref="B2326">SUM(1-'Sparkling Model'!D$2:D$38^A2326)</f>
        <v>35.10082473</v>
      </c>
      <c r="C2326" s="8">
        <f t="array" ref="C2326">PRODUCT(1-'Sparkling Model'!D$2:D$38^A2326)</f>
        <v>0.116501507</v>
      </c>
    </row>
    <row r="2327">
      <c r="A2327" s="6">
        <v>2325.0</v>
      </c>
      <c r="B2327" s="17">
        <f t="array" ref="B2327">SUM(1-'Sparkling Model'!D$2:D$38^A2327)</f>
        <v>35.10240913</v>
      </c>
      <c r="C2327" s="8">
        <f t="array" ref="C2327">PRODUCT(1-'Sparkling Model'!D$2:D$38^A2327)</f>
        <v>0.1167229282</v>
      </c>
    </row>
    <row r="2328">
      <c r="A2328" s="6">
        <v>2326.0</v>
      </c>
      <c r="B2328" s="17">
        <f t="array" ref="B2328">SUM(1-'Sparkling Model'!D$2:D$38^A2328)</f>
        <v>35.10399177</v>
      </c>
      <c r="C2328" s="8">
        <f t="array" ref="C2328">PRODUCT(1-'Sparkling Model'!D$2:D$38^A2328)</f>
        <v>0.1169445123</v>
      </c>
    </row>
    <row r="2329">
      <c r="A2329" s="6">
        <v>2327.0</v>
      </c>
      <c r="B2329" s="17">
        <f t="array" ref="B2329">SUM(1-'Sparkling Model'!D$2:D$38^A2329)</f>
        <v>35.10557267</v>
      </c>
      <c r="C2329" s="8">
        <f t="array" ref="C2329">PRODUCT(1-'Sparkling Model'!D$2:D$38^A2329)</f>
        <v>0.1171662588</v>
      </c>
    </row>
    <row r="2330">
      <c r="A2330" s="6">
        <v>2328.0</v>
      </c>
      <c r="B2330" s="17">
        <f t="array" ref="B2330">SUM(1-'Sparkling Model'!D$2:D$38^A2330)</f>
        <v>35.10715181</v>
      </c>
      <c r="C2330" s="8">
        <f t="array" ref="C2330">PRODUCT(1-'Sparkling Model'!D$2:D$38^A2330)</f>
        <v>0.1173881676</v>
      </c>
    </row>
    <row r="2331">
      <c r="A2331" s="6">
        <v>2329.0</v>
      </c>
      <c r="B2331" s="17">
        <f t="array" ref="B2331">SUM(1-'Sparkling Model'!D$2:D$38^A2331)</f>
        <v>35.1087292</v>
      </c>
      <c r="C2331" s="8">
        <f t="array" ref="C2331">PRODUCT(1-'Sparkling Model'!D$2:D$38^A2331)</f>
        <v>0.1176102383</v>
      </c>
    </row>
    <row r="2332">
      <c r="A2332" s="6">
        <v>2330.0</v>
      </c>
      <c r="B2332" s="17">
        <f t="array" ref="B2332">SUM(1-'Sparkling Model'!D$2:D$38^A2332)</f>
        <v>35.11030485</v>
      </c>
      <c r="C2332" s="8">
        <f t="array" ref="C2332">PRODUCT(1-'Sparkling Model'!D$2:D$38^A2332)</f>
        <v>0.1178324705</v>
      </c>
    </row>
    <row r="2333">
      <c r="A2333" s="6">
        <v>2331.0</v>
      </c>
      <c r="B2333" s="17">
        <f t="array" ref="B2333">SUM(1-'Sparkling Model'!D$2:D$38^A2333)</f>
        <v>35.11187876</v>
      </c>
      <c r="C2333" s="8">
        <f t="array" ref="C2333">PRODUCT(1-'Sparkling Model'!D$2:D$38^A2333)</f>
        <v>0.1180548642</v>
      </c>
    </row>
    <row r="2334">
      <c r="A2334" s="6">
        <v>2332.0</v>
      </c>
      <c r="B2334" s="17">
        <f t="array" ref="B2334">SUM(1-'Sparkling Model'!D$2:D$38^A2334)</f>
        <v>35.11345092</v>
      </c>
      <c r="C2334" s="8">
        <f t="array" ref="C2334">PRODUCT(1-'Sparkling Model'!D$2:D$38^A2334)</f>
        <v>0.1182774189</v>
      </c>
    </row>
    <row r="2335">
      <c r="A2335" s="6">
        <v>2333.0</v>
      </c>
      <c r="B2335" s="17">
        <f t="array" ref="B2335">SUM(1-'Sparkling Model'!D$2:D$38^A2335)</f>
        <v>35.11502135</v>
      </c>
      <c r="C2335" s="8">
        <f t="array" ref="C2335">PRODUCT(1-'Sparkling Model'!D$2:D$38^A2335)</f>
        <v>0.1185001343</v>
      </c>
    </row>
    <row r="2336">
      <c r="A2336" s="6">
        <v>2334.0</v>
      </c>
      <c r="B2336" s="17">
        <f t="array" ref="B2336">SUM(1-'Sparkling Model'!D$2:D$38^A2336)</f>
        <v>35.11659004</v>
      </c>
      <c r="C2336" s="8">
        <f t="array" ref="C2336">PRODUCT(1-'Sparkling Model'!D$2:D$38^A2336)</f>
        <v>0.1187230102</v>
      </c>
    </row>
    <row r="2337">
      <c r="A2337" s="6">
        <v>2335.0</v>
      </c>
      <c r="B2337" s="17">
        <f t="array" ref="B2337">SUM(1-'Sparkling Model'!D$2:D$38^A2337)</f>
        <v>35.118157</v>
      </c>
      <c r="C2337" s="8">
        <f t="array" ref="C2337">PRODUCT(1-'Sparkling Model'!D$2:D$38^A2337)</f>
        <v>0.1189460463</v>
      </c>
    </row>
    <row r="2338">
      <c r="A2338" s="6">
        <v>2336.0</v>
      </c>
      <c r="B2338" s="17">
        <f t="array" ref="B2338">SUM(1-'Sparkling Model'!D$2:D$38^A2338)</f>
        <v>35.11972223</v>
      </c>
      <c r="C2338" s="8">
        <f t="array" ref="C2338">PRODUCT(1-'Sparkling Model'!D$2:D$38^A2338)</f>
        <v>0.1191692423</v>
      </c>
    </row>
    <row r="2339">
      <c r="A2339" s="6">
        <v>2337.0</v>
      </c>
      <c r="B2339" s="17">
        <f t="array" ref="B2339">SUM(1-'Sparkling Model'!D$2:D$38^A2339)</f>
        <v>35.12128573</v>
      </c>
      <c r="C2339" s="8">
        <f t="array" ref="C2339">PRODUCT(1-'Sparkling Model'!D$2:D$38^A2339)</f>
        <v>0.1193925979</v>
      </c>
    </row>
    <row r="2340">
      <c r="A2340" s="6">
        <v>2338.0</v>
      </c>
      <c r="B2340" s="17">
        <f t="array" ref="B2340">SUM(1-'Sparkling Model'!D$2:D$38^A2340)</f>
        <v>35.12284751</v>
      </c>
      <c r="C2340" s="8">
        <f t="array" ref="C2340">PRODUCT(1-'Sparkling Model'!D$2:D$38^A2340)</f>
        <v>0.1196161128</v>
      </c>
    </row>
    <row r="2341">
      <c r="A2341" s="6">
        <v>2339.0</v>
      </c>
      <c r="B2341" s="17">
        <f t="array" ref="B2341">SUM(1-'Sparkling Model'!D$2:D$38^A2341)</f>
        <v>35.12440756</v>
      </c>
      <c r="C2341" s="8">
        <f t="array" ref="C2341">PRODUCT(1-'Sparkling Model'!D$2:D$38^A2341)</f>
        <v>0.1198397867</v>
      </c>
    </row>
    <row r="2342">
      <c r="A2342" s="6">
        <v>2340.0</v>
      </c>
      <c r="B2342" s="17">
        <f t="array" ref="B2342">SUM(1-'Sparkling Model'!D$2:D$38^A2342)</f>
        <v>35.12596589</v>
      </c>
      <c r="C2342" s="8">
        <f t="array" ref="C2342">PRODUCT(1-'Sparkling Model'!D$2:D$38^A2342)</f>
        <v>0.1200636193</v>
      </c>
    </row>
    <row r="2343">
      <c r="A2343" s="6">
        <v>2341.0</v>
      </c>
      <c r="B2343" s="17">
        <f t="array" ref="B2343">SUM(1-'Sparkling Model'!D$2:D$38^A2343)</f>
        <v>35.12752251</v>
      </c>
      <c r="C2343" s="8">
        <f t="array" ref="C2343">PRODUCT(1-'Sparkling Model'!D$2:D$38^A2343)</f>
        <v>0.1202876104</v>
      </c>
    </row>
    <row r="2344">
      <c r="A2344" s="6">
        <v>2342.0</v>
      </c>
      <c r="B2344" s="17">
        <f t="array" ref="B2344">SUM(1-'Sparkling Model'!D$2:D$38^A2344)</f>
        <v>35.12907741</v>
      </c>
      <c r="C2344" s="8">
        <f t="array" ref="C2344">PRODUCT(1-'Sparkling Model'!D$2:D$38^A2344)</f>
        <v>0.1205117596</v>
      </c>
    </row>
    <row r="2345">
      <c r="A2345" s="6">
        <v>2343.0</v>
      </c>
      <c r="B2345" s="17">
        <f t="array" ref="B2345">SUM(1-'Sparkling Model'!D$2:D$38^A2345)</f>
        <v>35.13063059</v>
      </c>
      <c r="C2345" s="8">
        <f t="array" ref="C2345">PRODUCT(1-'Sparkling Model'!D$2:D$38^A2345)</f>
        <v>0.1207360667</v>
      </c>
    </row>
    <row r="2346">
      <c r="A2346" s="6">
        <v>2344.0</v>
      </c>
      <c r="B2346" s="17">
        <f t="array" ref="B2346">SUM(1-'Sparkling Model'!D$2:D$38^A2346)</f>
        <v>35.13218206</v>
      </c>
      <c r="C2346" s="8">
        <f t="array" ref="C2346">PRODUCT(1-'Sparkling Model'!D$2:D$38^A2346)</f>
        <v>0.1209605313</v>
      </c>
    </row>
    <row r="2347">
      <c r="A2347" s="6">
        <v>2345.0</v>
      </c>
      <c r="B2347" s="17">
        <f t="array" ref="B2347">SUM(1-'Sparkling Model'!D$2:D$38^A2347)</f>
        <v>35.13373183</v>
      </c>
      <c r="C2347" s="8">
        <f t="array" ref="C2347">PRODUCT(1-'Sparkling Model'!D$2:D$38^A2347)</f>
        <v>0.1211851532</v>
      </c>
    </row>
    <row r="2348">
      <c r="A2348" s="6">
        <v>2346.0</v>
      </c>
      <c r="B2348" s="17">
        <f t="array" ref="B2348">SUM(1-'Sparkling Model'!D$2:D$38^A2348)</f>
        <v>35.13527988</v>
      </c>
      <c r="C2348" s="8">
        <f t="array" ref="C2348">PRODUCT(1-'Sparkling Model'!D$2:D$38^A2348)</f>
        <v>0.1214099321</v>
      </c>
    </row>
    <row r="2349">
      <c r="A2349" s="6">
        <v>2347.0</v>
      </c>
      <c r="B2349" s="17">
        <f t="array" ref="B2349">SUM(1-'Sparkling Model'!D$2:D$38^A2349)</f>
        <v>35.13682624</v>
      </c>
      <c r="C2349" s="8">
        <f t="array" ref="C2349">PRODUCT(1-'Sparkling Model'!D$2:D$38^A2349)</f>
        <v>0.1216348677</v>
      </c>
    </row>
    <row r="2350">
      <c r="A2350" s="6">
        <v>2348.0</v>
      </c>
      <c r="B2350" s="17">
        <f t="array" ref="B2350">SUM(1-'Sparkling Model'!D$2:D$38^A2350)</f>
        <v>35.13837089</v>
      </c>
      <c r="C2350" s="8">
        <f t="array" ref="C2350">PRODUCT(1-'Sparkling Model'!D$2:D$38^A2350)</f>
        <v>0.1218599597</v>
      </c>
    </row>
    <row r="2351">
      <c r="A2351" s="6">
        <v>2349.0</v>
      </c>
      <c r="B2351" s="17">
        <f t="array" ref="B2351">SUM(1-'Sparkling Model'!D$2:D$38^A2351)</f>
        <v>35.13991385</v>
      </c>
      <c r="C2351" s="8">
        <f t="array" ref="C2351">PRODUCT(1-'Sparkling Model'!D$2:D$38^A2351)</f>
        <v>0.1220852078</v>
      </c>
    </row>
    <row r="2352">
      <c r="A2352" s="6">
        <v>2350.0</v>
      </c>
      <c r="B2352" s="17">
        <f t="array" ref="B2352">SUM(1-'Sparkling Model'!D$2:D$38^A2352)</f>
        <v>35.1414551</v>
      </c>
      <c r="C2352" s="8">
        <f t="array" ref="C2352">PRODUCT(1-'Sparkling Model'!D$2:D$38^A2352)</f>
        <v>0.1223106117</v>
      </c>
    </row>
    <row r="2353">
      <c r="A2353" s="6">
        <v>2351.0</v>
      </c>
      <c r="B2353" s="17">
        <f t="array" ref="B2353">SUM(1-'Sparkling Model'!D$2:D$38^A2353)</f>
        <v>35.14299466</v>
      </c>
      <c r="C2353" s="8">
        <f t="array" ref="C2353">PRODUCT(1-'Sparkling Model'!D$2:D$38^A2353)</f>
        <v>0.1225361712</v>
      </c>
    </row>
    <row r="2354">
      <c r="A2354" s="6">
        <v>2352.0</v>
      </c>
      <c r="B2354" s="17">
        <f t="array" ref="B2354">SUM(1-'Sparkling Model'!D$2:D$38^A2354)</f>
        <v>35.14453254</v>
      </c>
      <c r="C2354" s="8">
        <f t="array" ref="C2354">PRODUCT(1-'Sparkling Model'!D$2:D$38^A2354)</f>
        <v>0.1227618858</v>
      </c>
    </row>
    <row r="2355">
      <c r="A2355" s="6">
        <v>2353.0</v>
      </c>
      <c r="B2355" s="17">
        <f t="array" ref="B2355">SUM(1-'Sparkling Model'!D$2:D$38^A2355)</f>
        <v>35.14606872</v>
      </c>
      <c r="C2355" s="8">
        <f t="array" ref="C2355">PRODUCT(1-'Sparkling Model'!D$2:D$38^A2355)</f>
        <v>0.1229877555</v>
      </c>
    </row>
    <row r="2356">
      <c r="A2356" s="6">
        <v>2354.0</v>
      </c>
      <c r="B2356" s="17">
        <f t="array" ref="B2356">SUM(1-'Sparkling Model'!D$2:D$38^A2356)</f>
        <v>35.14760321</v>
      </c>
      <c r="C2356" s="8">
        <f t="array" ref="C2356">PRODUCT(1-'Sparkling Model'!D$2:D$38^A2356)</f>
        <v>0.1232137797</v>
      </c>
    </row>
    <row r="2357">
      <c r="A2357" s="6">
        <v>2355.0</v>
      </c>
      <c r="B2357" s="17">
        <f t="array" ref="B2357">SUM(1-'Sparkling Model'!D$2:D$38^A2357)</f>
        <v>35.14913602</v>
      </c>
      <c r="C2357" s="8">
        <f t="array" ref="C2357">PRODUCT(1-'Sparkling Model'!D$2:D$38^A2357)</f>
        <v>0.1234399583</v>
      </c>
    </row>
    <row r="2358">
      <c r="A2358" s="6">
        <v>2356.0</v>
      </c>
      <c r="B2358" s="17">
        <f t="array" ref="B2358">SUM(1-'Sparkling Model'!D$2:D$38^A2358)</f>
        <v>35.15066715</v>
      </c>
      <c r="C2358" s="8">
        <f t="array" ref="C2358">PRODUCT(1-'Sparkling Model'!D$2:D$38^A2358)</f>
        <v>0.123666291</v>
      </c>
    </row>
    <row r="2359">
      <c r="A2359" s="6">
        <v>2357.0</v>
      </c>
      <c r="B2359" s="17">
        <f t="array" ref="B2359">SUM(1-'Sparkling Model'!D$2:D$38^A2359)</f>
        <v>35.15219659</v>
      </c>
      <c r="C2359" s="8">
        <f t="array" ref="C2359">PRODUCT(1-'Sparkling Model'!D$2:D$38^A2359)</f>
        <v>0.1238927775</v>
      </c>
    </row>
    <row r="2360">
      <c r="A2360" s="6">
        <v>2358.0</v>
      </c>
      <c r="B2360" s="17">
        <f t="array" ref="B2360">SUM(1-'Sparkling Model'!D$2:D$38^A2360)</f>
        <v>35.15372436</v>
      </c>
      <c r="C2360" s="8">
        <f t="array" ref="C2360">PRODUCT(1-'Sparkling Model'!D$2:D$38^A2360)</f>
        <v>0.1241194174</v>
      </c>
    </row>
    <row r="2361">
      <c r="A2361" s="6">
        <v>2359.0</v>
      </c>
      <c r="B2361" s="17">
        <f t="array" ref="B2361">SUM(1-'Sparkling Model'!D$2:D$38^A2361)</f>
        <v>35.15525045</v>
      </c>
      <c r="C2361" s="8">
        <f t="array" ref="C2361">PRODUCT(1-'Sparkling Model'!D$2:D$38^A2361)</f>
        <v>0.1243462105</v>
      </c>
    </row>
    <row r="2362">
      <c r="A2362" s="6">
        <v>2360.0</v>
      </c>
      <c r="B2362" s="17">
        <f t="array" ref="B2362">SUM(1-'Sparkling Model'!D$2:D$38^A2362)</f>
        <v>35.15677487</v>
      </c>
      <c r="C2362" s="8">
        <f t="array" ref="C2362">PRODUCT(1-'Sparkling Model'!D$2:D$38^A2362)</f>
        <v>0.1245731566</v>
      </c>
    </row>
    <row r="2363">
      <c r="A2363" s="6">
        <v>2361.0</v>
      </c>
      <c r="B2363" s="17">
        <f t="array" ref="B2363">SUM(1-'Sparkling Model'!D$2:D$38^A2363)</f>
        <v>35.15829762</v>
      </c>
      <c r="C2363" s="8">
        <f t="array" ref="C2363">PRODUCT(1-'Sparkling Model'!D$2:D$38^A2363)</f>
        <v>0.1248002552</v>
      </c>
    </row>
    <row r="2364">
      <c r="A2364" s="6">
        <v>2362.0</v>
      </c>
      <c r="B2364" s="17">
        <f t="array" ref="B2364">SUM(1-'Sparkling Model'!D$2:D$38^A2364)</f>
        <v>35.1598187</v>
      </c>
      <c r="C2364" s="8">
        <f t="array" ref="C2364">PRODUCT(1-'Sparkling Model'!D$2:D$38^A2364)</f>
        <v>0.1250275061</v>
      </c>
    </row>
    <row r="2365">
      <c r="A2365" s="6">
        <v>2363.0</v>
      </c>
      <c r="B2365" s="17">
        <f t="array" ref="B2365">SUM(1-'Sparkling Model'!D$2:D$38^A2365)</f>
        <v>35.16133812</v>
      </c>
      <c r="C2365" s="8">
        <f t="array" ref="C2365">PRODUCT(1-'Sparkling Model'!D$2:D$38^A2365)</f>
        <v>0.1252549091</v>
      </c>
    </row>
    <row r="2366">
      <c r="A2366" s="6">
        <v>2364.0</v>
      </c>
      <c r="B2366" s="17">
        <f t="array" ref="B2366">SUM(1-'Sparkling Model'!D$2:D$38^A2366)</f>
        <v>35.16285587</v>
      </c>
      <c r="C2366" s="8">
        <f t="array" ref="C2366">PRODUCT(1-'Sparkling Model'!D$2:D$38^A2366)</f>
        <v>0.1254824638</v>
      </c>
    </row>
    <row r="2367">
      <c r="A2367" s="6">
        <v>2365.0</v>
      </c>
      <c r="B2367" s="17">
        <f t="array" ref="B2367">SUM(1-'Sparkling Model'!D$2:D$38^A2367)</f>
        <v>35.16437196</v>
      </c>
      <c r="C2367" s="8">
        <f t="array" ref="C2367">PRODUCT(1-'Sparkling Model'!D$2:D$38^A2367)</f>
        <v>0.1257101699</v>
      </c>
    </row>
    <row r="2368">
      <c r="A2368" s="6">
        <v>2366.0</v>
      </c>
      <c r="B2368" s="17">
        <f t="array" ref="B2368">SUM(1-'Sparkling Model'!D$2:D$38^A2368)</f>
        <v>35.16588639</v>
      </c>
      <c r="C2368" s="8">
        <f t="array" ref="C2368">PRODUCT(1-'Sparkling Model'!D$2:D$38^A2368)</f>
        <v>0.1259380271</v>
      </c>
    </row>
    <row r="2369">
      <c r="A2369" s="6">
        <v>2367.0</v>
      </c>
      <c r="B2369" s="17">
        <f t="array" ref="B2369">SUM(1-'Sparkling Model'!D$2:D$38^A2369)</f>
        <v>35.16739916</v>
      </c>
      <c r="C2369" s="8">
        <f t="array" ref="C2369">PRODUCT(1-'Sparkling Model'!D$2:D$38^A2369)</f>
        <v>0.1261660352</v>
      </c>
    </row>
    <row r="2370">
      <c r="A2370" s="6">
        <v>2368.0</v>
      </c>
      <c r="B2370" s="17">
        <f t="array" ref="B2370">SUM(1-'Sparkling Model'!D$2:D$38^A2370)</f>
        <v>35.16891028</v>
      </c>
      <c r="C2370" s="8">
        <f t="array" ref="C2370">PRODUCT(1-'Sparkling Model'!D$2:D$38^A2370)</f>
        <v>0.1263941939</v>
      </c>
    </row>
    <row r="2371">
      <c r="A2371" s="6">
        <v>2369.0</v>
      </c>
      <c r="B2371" s="17">
        <f t="array" ref="B2371">SUM(1-'Sparkling Model'!D$2:D$38^A2371)</f>
        <v>35.17041975</v>
      </c>
      <c r="C2371" s="8">
        <f t="array" ref="C2371">PRODUCT(1-'Sparkling Model'!D$2:D$38^A2371)</f>
        <v>0.1266225028</v>
      </c>
    </row>
    <row r="2372">
      <c r="A2372" s="6">
        <v>2370.0</v>
      </c>
      <c r="B2372" s="17">
        <f t="array" ref="B2372">SUM(1-'Sparkling Model'!D$2:D$38^A2372)</f>
        <v>35.17192756</v>
      </c>
      <c r="C2372" s="8">
        <f t="array" ref="C2372">PRODUCT(1-'Sparkling Model'!D$2:D$38^A2372)</f>
        <v>0.1268509617</v>
      </c>
    </row>
    <row r="2373">
      <c r="A2373" s="6">
        <v>2371.0</v>
      </c>
      <c r="B2373" s="17">
        <f t="array" ref="B2373">SUM(1-'Sparkling Model'!D$2:D$38^A2373)</f>
        <v>35.17343373</v>
      </c>
      <c r="C2373" s="8">
        <f t="array" ref="C2373">PRODUCT(1-'Sparkling Model'!D$2:D$38^A2373)</f>
        <v>0.1270795702</v>
      </c>
    </row>
    <row r="2374">
      <c r="A2374" s="6">
        <v>2372.0</v>
      </c>
      <c r="B2374" s="17">
        <f t="array" ref="B2374">SUM(1-'Sparkling Model'!D$2:D$38^A2374)</f>
        <v>35.17493826</v>
      </c>
      <c r="C2374" s="8">
        <f t="array" ref="C2374">PRODUCT(1-'Sparkling Model'!D$2:D$38^A2374)</f>
        <v>0.1273083281</v>
      </c>
    </row>
    <row r="2375">
      <c r="A2375" s="6">
        <v>2373.0</v>
      </c>
      <c r="B2375" s="17">
        <f t="array" ref="B2375">SUM(1-'Sparkling Model'!D$2:D$38^A2375)</f>
        <v>35.17644114</v>
      </c>
      <c r="C2375" s="8">
        <f t="array" ref="C2375">PRODUCT(1-'Sparkling Model'!D$2:D$38^A2375)</f>
        <v>0.1275372352</v>
      </c>
    </row>
    <row r="2376">
      <c r="A2376" s="6">
        <v>2374.0</v>
      </c>
      <c r="B2376" s="17">
        <f t="array" ref="B2376">SUM(1-'Sparkling Model'!D$2:D$38^A2376)</f>
        <v>35.17794238</v>
      </c>
      <c r="C2376" s="8">
        <f t="array" ref="C2376">PRODUCT(1-'Sparkling Model'!D$2:D$38^A2376)</f>
        <v>0.127766291</v>
      </c>
    </row>
    <row r="2377">
      <c r="A2377" s="6">
        <v>2375.0</v>
      </c>
      <c r="B2377" s="17">
        <f t="array" ref="B2377">SUM(1-'Sparkling Model'!D$2:D$38^A2377)</f>
        <v>35.17944198</v>
      </c>
      <c r="C2377" s="8">
        <f t="array" ref="C2377">PRODUCT(1-'Sparkling Model'!D$2:D$38^A2377)</f>
        <v>0.1279954953</v>
      </c>
    </row>
    <row r="2378">
      <c r="A2378" s="6">
        <v>2376.0</v>
      </c>
      <c r="B2378" s="17">
        <f t="array" ref="B2378">SUM(1-'Sparkling Model'!D$2:D$38^A2378)</f>
        <v>35.18093995</v>
      </c>
      <c r="C2378" s="8">
        <f t="array" ref="C2378">PRODUCT(1-'Sparkling Model'!D$2:D$38^A2378)</f>
        <v>0.1282248478</v>
      </c>
    </row>
    <row r="2379">
      <c r="A2379" s="6">
        <v>2377.0</v>
      </c>
      <c r="B2379" s="17">
        <f t="array" ref="B2379">SUM(1-'Sparkling Model'!D$2:D$38^A2379)</f>
        <v>35.18243628</v>
      </c>
      <c r="C2379" s="8">
        <f t="array" ref="C2379">PRODUCT(1-'Sparkling Model'!D$2:D$38^A2379)</f>
        <v>0.1284543482</v>
      </c>
    </row>
    <row r="2380">
      <c r="A2380" s="6">
        <v>2378.0</v>
      </c>
      <c r="B2380" s="17">
        <f t="array" ref="B2380">SUM(1-'Sparkling Model'!D$2:D$38^A2380)</f>
        <v>35.18393098</v>
      </c>
      <c r="C2380" s="8">
        <f t="array" ref="C2380">PRODUCT(1-'Sparkling Model'!D$2:D$38^A2380)</f>
        <v>0.1286839963</v>
      </c>
    </row>
    <row r="2381">
      <c r="A2381" s="6">
        <v>2379.0</v>
      </c>
      <c r="B2381" s="17">
        <f t="array" ref="B2381">SUM(1-'Sparkling Model'!D$2:D$38^A2381)</f>
        <v>35.18542405</v>
      </c>
      <c r="C2381" s="8">
        <f t="array" ref="C2381">PRODUCT(1-'Sparkling Model'!D$2:D$38^A2381)</f>
        <v>0.1289137916</v>
      </c>
    </row>
    <row r="2382">
      <c r="A2382" s="6">
        <v>2380.0</v>
      </c>
      <c r="B2382" s="17">
        <f t="array" ref="B2382">SUM(1-'Sparkling Model'!D$2:D$38^A2382)</f>
        <v>35.1869155</v>
      </c>
      <c r="C2382" s="8">
        <f t="array" ref="C2382">PRODUCT(1-'Sparkling Model'!D$2:D$38^A2382)</f>
        <v>0.129143734</v>
      </c>
    </row>
    <row r="2383">
      <c r="A2383" s="6">
        <v>2381.0</v>
      </c>
      <c r="B2383" s="17">
        <f t="array" ref="B2383">SUM(1-'Sparkling Model'!D$2:D$38^A2383)</f>
        <v>35.18840532</v>
      </c>
      <c r="C2383" s="8">
        <f t="array" ref="C2383">PRODUCT(1-'Sparkling Model'!D$2:D$38^A2383)</f>
        <v>0.1293738232</v>
      </c>
    </row>
    <row r="2384">
      <c r="A2384" s="6">
        <v>2382.0</v>
      </c>
      <c r="B2384" s="17">
        <f t="array" ref="B2384">SUM(1-'Sparkling Model'!D$2:D$38^A2384)</f>
        <v>35.18989351</v>
      </c>
      <c r="C2384" s="8">
        <f t="array" ref="C2384">PRODUCT(1-'Sparkling Model'!D$2:D$38^A2384)</f>
        <v>0.1296040588</v>
      </c>
    </row>
    <row r="2385">
      <c r="A2385" s="6">
        <v>2383.0</v>
      </c>
      <c r="B2385" s="17">
        <f t="array" ref="B2385">SUM(1-'Sparkling Model'!D$2:D$38^A2385)</f>
        <v>35.19138009</v>
      </c>
      <c r="C2385" s="8">
        <f t="array" ref="C2385">PRODUCT(1-'Sparkling Model'!D$2:D$38^A2385)</f>
        <v>0.1298344405</v>
      </c>
    </row>
    <row r="2386">
      <c r="A2386" s="6">
        <v>2384.0</v>
      </c>
      <c r="B2386" s="17">
        <f t="array" ref="B2386">SUM(1-'Sparkling Model'!D$2:D$38^A2386)</f>
        <v>35.19286505</v>
      </c>
      <c r="C2386" s="8">
        <f t="array" ref="C2386">PRODUCT(1-'Sparkling Model'!D$2:D$38^A2386)</f>
        <v>0.1300649681</v>
      </c>
    </row>
    <row r="2387">
      <c r="A2387" s="6">
        <v>2385.0</v>
      </c>
      <c r="B2387" s="17">
        <f t="array" ref="B2387">SUM(1-'Sparkling Model'!D$2:D$38^A2387)</f>
        <v>35.19434839</v>
      </c>
      <c r="C2387" s="8">
        <f t="array" ref="C2387">PRODUCT(1-'Sparkling Model'!D$2:D$38^A2387)</f>
        <v>0.1302956413</v>
      </c>
    </row>
    <row r="2388">
      <c r="A2388" s="6">
        <v>2386.0</v>
      </c>
      <c r="B2388" s="17">
        <f t="array" ref="B2388">SUM(1-'Sparkling Model'!D$2:D$38^A2388)</f>
        <v>35.19583012</v>
      </c>
      <c r="C2388" s="8">
        <f t="array" ref="C2388">PRODUCT(1-'Sparkling Model'!D$2:D$38^A2388)</f>
        <v>0.1305264597</v>
      </c>
    </row>
    <row r="2389">
      <c r="A2389" s="6">
        <v>2387.0</v>
      </c>
      <c r="B2389" s="17">
        <f t="array" ref="B2389">SUM(1-'Sparkling Model'!D$2:D$38^A2389)</f>
        <v>35.19731024</v>
      </c>
      <c r="C2389" s="8">
        <f t="array" ref="C2389">PRODUCT(1-'Sparkling Model'!D$2:D$38^A2389)</f>
        <v>0.1307574231</v>
      </c>
    </row>
    <row r="2390">
      <c r="A2390" s="6">
        <v>2388.0</v>
      </c>
      <c r="B2390" s="17">
        <f t="array" ref="B2390">SUM(1-'Sparkling Model'!D$2:D$38^A2390)</f>
        <v>35.19878875</v>
      </c>
      <c r="C2390" s="8">
        <f t="array" ref="C2390">PRODUCT(1-'Sparkling Model'!D$2:D$38^A2390)</f>
        <v>0.1309885311</v>
      </c>
    </row>
    <row r="2391">
      <c r="A2391" s="6">
        <v>2389.0</v>
      </c>
      <c r="B2391" s="17">
        <f t="array" ref="B2391">SUM(1-'Sparkling Model'!D$2:D$38^A2391)</f>
        <v>35.20026565</v>
      </c>
      <c r="C2391" s="8">
        <f t="array" ref="C2391">PRODUCT(1-'Sparkling Model'!D$2:D$38^A2391)</f>
        <v>0.1312197836</v>
      </c>
    </row>
    <row r="2392">
      <c r="A2392" s="6">
        <v>2390.0</v>
      </c>
      <c r="B2392" s="17">
        <f t="array" ref="B2392">SUM(1-'Sparkling Model'!D$2:D$38^A2392)</f>
        <v>35.20174095</v>
      </c>
      <c r="C2392" s="8">
        <f t="array" ref="C2392">PRODUCT(1-'Sparkling Model'!D$2:D$38^A2392)</f>
        <v>0.1314511801</v>
      </c>
    </row>
    <row r="2393">
      <c r="A2393" s="6">
        <v>2391.0</v>
      </c>
      <c r="B2393" s="17">
        <f t="array" ref="B2393">SUM(1-'Sparkling Model'!D$2:D$38^A2393)</f>
        <v>35.20321464</v>
      </c>
      <c r="C2393" s="8">
        <f t="array" ref="C2393">PRODUCT(1-'Sparkling Model'!D$2:D$38^A2393)</f>
        <v>0.1316827205</v>
      </c>
    </row>
    <row r="2394">
      <c r="A2394" s="6">
        <v>2392.0</v>
      </c>
      <c r="B2394" s="17">
        <f t="array" ref="B2394">SUM(1-'Sparkling Model'!D$2:D$38^A2394)</f>
        <v>35.20468674</v>
      </c>
      <c r="C2394" s="8">
        <f t="array" ref="C2394">PRODUCT(1-'Sparkling Model'!D$2:D$38^A2394)</f>
        <v>0.1319144043</v>
      </c>
    </row>
    <row r="2395">
      <c r="A2395" s="6">
        <v>2393.0</v>
      </c>
      <c r="B2395" s="17">
        <f t="array" ref="B2395">SUM(1-'Sparkling Model'!D$2:D$38^A2395)</f>
        <v>35.20615724</v>
      </c>
      <c r="C2395" s="8">
        <f t="array" ref="C2395">PRODUCT(1-'Sparkling Model'!D$2:D$38^A2395)</f>
        <v>0.1321462314</v>
      </c>
    </row>
    <row r="2396">
      <c r="A2396" s="6">
        <v>2394.0</v>
      </c>
      <c r="B2396" s="17">
        <f t="array" ref="B2396">SUM(1-'Sparkling Model'!D$2:D$38^A2396)</f>
        <v>35.20762614</v>
      </c>
      <c r="C2396" s="8">
        <f t="array" ref="C2396">PRODUCT(1-'Sparkling Model'!D$2:D$38^A2396)</f>
        <v>0.1323782014</v>
      </c>
    </row>
    <row r="2397">
      <c r="A2397" s="6">
        <v>2395.0</v>
      </c>
      <c r="B2397" s="17">
        <f t="array" ref="B2397">SUM(1-'Sparkling Model'!D$2:D$38^A2397)</f>
        <v>35.20909345</v>
      </c>
      <c r="C2397" s="8">
        <f t="array" ref="C2397">PRODUCT(1-'Sparkling Model'!D$2:D$38^A2397)</f>
        <v>0.132610314</v>
      </c>
    </row>
    <row r="2398">
      <c r="A2398" s="6">
        <v>2396.0</v>
      </c>
      <c r="B2398" s="17">
        <f t="array" ref="B2398">SUM(1-'Sparkling Model'!D$2:D$38^A2398)</f>
        <v>35.21055916</v>
      </c>
      <c r="C2398" s="8">
        <f t="array" ref="C2398">PRODUCT(1-'Sparkling Model'!D$2:D$38^A2398)</f>
        <v>0.1328425689</v>
      </c>
    </row>
    <row r="2399">
      <c r="A2399" s="6">
        <v>2397.0</v>
      </c>
      <c r="B2399" s="17">
        <f t="array" ref="B2399">SUM(1-'Sparkling Model'!D$2:D$38^A2399)</f>
        <v>35.21202329</v>
      </c>
      <c r="C2399" s="8">
        <f t="array" ref="C2399">PRODUCT(1-'Sparkling Model'!D$2:D$38^A2399)</f>
        <v>0.1330749658</v>
      </c>
    </row>
    <row r="2400">
      <c r="A2400" s="6">
        <v>2398.0</v>
      </c>
      <c r="B2400" s="17">
        <f t="array" ref="B2400">SUM(1-'Sparkling Model'!D$2:D$38^A2400)</f>
        <v>35.21348583</v>
      </c>
      <c r="C2400" s="8">
        <f t="array" ref="C2400">PRODUCT(1-'Sparkling Model'!D$2:D$38^A2400)</f>
        <v>0.1333075045</v>
      </c>
    </row>
    <row r="2401">
      <c r="A2401" s="6">
        <v>2399.0</v>
      </c>
      <c r="B2401" s="17">
        <f t="array" ref="B2401">SUM(1-'Sparkling Model'!D$2:D$38^A2401)</f>
        <v>35.21494679</v>
      </c>
      <c r="C2401" s="8">
        <f t="array" ref="C2401">PRODUCT(1-'Sparkling Model'!D$2:D$38^A2401)</f>
        <v>0.1335401846</v>
      </c>
    </row>
    <row r="2402">
      <c r="A2402" s="6">
        <v>2400.0</v>
      </c>
      <c r="B2402" s="17">
        <f t="array" ref="B2402">SUM(1-'Sparkling Model'!D$2:D$38^A2402)</f>
        <v>35.21640616</v>
      </c>
      <c r="C2402" s="8">
        <f t="array" ref="C2402">PRODUCT(1-'Sparkling Model'!D$2:D$38^A2402)</f>
        <v>0.1337730059</v>
      </c>
    </row>
    <row r="2403">
      <c r="A2403" s="6">
        <v>2401.0</v>
      </c>
      <c r="B2403" s="17">
        <f t="array" ref="B2403">SUM(1-'Sparkling Model'!D$2:D$38^A2403)</f>
        <v>35.21786396</v>
      </c>
      <c r="C2403" s="8">
        <f t="array" ref="C2403">PRODUCT(1-'Sparkling Model'!D$2:D$38^A2403)</f>
        <v>0.134005968</v>
      </c>
    </row>
    <row r="2404">
      <c r="A2404" s="6">
        <v>2402.0</v>
      </c>
      <c r="B2404" s="17">
        <f t="array" ref="B2404">SUM(1-'Sparkling Model'!D$2:D$38^A2404)</f>
        <v>35.21932017</v>
      </c>
      <c r="C2404" s="8">
        <f t="array" ref="C2404">PRODUCT(1-'Sparkling Model'!D$2:D$38^A2404)</f>
        <v>0.1342390707</v>
      </c>
    </row>
    <row r="2405">
      <c r="A2405" s="6">
        <v>2403.0</v>
      </c>
      <c r="B2405" s="17">
        <f t="array" ref="B2405">SUM(1-'Sparkling Model'!D$2:D$38^A2405)</f>
        <v>35.22077481</v>
      </c>
      <c r="C2405" s="8">
        <f t="array" ref="C2405">PRODUCT(1-'Sparkling Model'!D$2:D$38^A2405)</f>
        <v>0.1344723136</v>
      </c>
    </row>
    <row r="2406">
      <c r="A2406" s="6">
        <v>2404.0</v>
      </c>
      <c r="B2406" s="17">
        <f t="array" ref="B2406">SUM(1-'Sparkling Model'!D$2:D$38^A2406)</f>
        <v>35.22222788</v>
      </c>
      <c r="C2406" s="8">
        <f t="array" ref="C2406">PRODUCT(1-'Sparkling Model'!D$2:D$38^A2406)</f>
        <v>0.1347056965</v>
      </c>
    </row>
    <row r="2407">
      <c r="A2407" s="6">
        <v>2405.0</v>
      </c>
      <c r="B2407" s="17">
        <f t="array" ref="B2407">SUM(1-'Sparkling Model'!D$2:D$38^A2407)</f>
        <v>35.22367937</v>
      </c>
      <c r="C2407" s="8">
        <f t="array" ref="C2407">PRODUCT(1-'Sparkling Model'!D$2:D$38^A2407)</f>
        <v>0.1349392191</v>
      </c>
    </row>
    <row r="2408">
      <c r="A2408" s="6">
        <v>2406.0</v>
      </c>
      <c r="B2408" s="17">
        <f t="array" ref="B2408">SUM(1-'Sparkling Model'!D$2:D$38^A2408)</f>
        <v>35.2251293</v>
      </c>
      <c r="C2408" s="8">
        <f t="array" ref="C2408">PRODUCT(1-'Sparkling Model'!D$2:D$38^A2408)</f>
        <v>0.1351728811</v>
      </c>
    </row>
    <row r="2409">
      <c r="A2409" s="6">
        <v>2407.0</v>
      </c>
      <c r="B2409" s="17">
        <f t="array" ref="B2409">SUM(1-'Sparkling Model'!D$2:D$38^A2409)</f>
        <v>35.22657766</v>
      </c>
      <c r="C2409" s="8">
        <f t="array" ref="C2409">PRODUCT(1-'Sparkling Model'!D$2:D$38^A2409)</f>
        <v>0.1354066821</v>
      </c>
    </row>
    <row r="2410">
      <c r="A2410" s="6">
        <v>2408.0</v>
      </c>
      <c r="B2410" s="17">
        <f t="array" ref="B2410">SUM(1-'Sparkling Model'!D$2:D$38^A2410)</f>
        <v>35.22802445</v>
      </c>
      <c r="C2410" s="8">
        <f t="array" ref="C2410">PRODUCT(1-'Sparkling Model'!D$2:D$38^A2410)</f>
        <v>0.135640622</v>
      </c>
    </row>
    <row r="2411">
      <c r="A2411" s="6">
        <v>2409.0</v>
      </c>
      <c r="B2411" s="17">
        <f t="array" ref="B2411">SUM(1-'Sparkling Model'!D$2:D$38^A2411)</f>
        <v>35.22946968</v>
      </c>
      <c r="C2411" s="8">
        <f t="array" ref="C2411">PRODUCT(1-'Sparkling Model'!D$2:D$38^A2411)</f>
        <v>0.1358747003</v>
      </c>
    </row>
    <row r="2412">
      <c r="A2412" s="6">
        <v>2410.0</v>
      </c>
      <c r="B2412" s="17">
        <f t="array" ref="B2412">SUM(1-'Sparkling Model'!D$2:D$38^A2412)</f>
        <v>35.23091335</v>
      </c>
      <c r="C2412" s="8">
        <f t="array" ref="C2412">PRODUCT(1-'Sparkling Model'!D$2:D$38^A2412)</f>
        <v>0.1361089168</v>
      </c>
    </row>
    <row r="2413">
      <c r="A2413" s="6">
        <v>2411.0</v>
      </c>
      <c r="B2413" s="17">
        <f t="array" ref="B2413">SUM(1-'Sparkling Model'!D$2:D$38^A2413)</f>
        <v>35.23235546</v>
      </c>
      <c r="C2413" s="8">
        <f t="array" ref="C2413">PRODUCT(1-'Sparkling Model'!D$2:D$38^A2413)</f>
        <v>0.1363432713</v>
      </c>
    </row>
    <row r="2414">
      <c r="A2414" s="6">
        <v>2412.0</v>
      </c>
      <c r="B2414" s="17">
        <f t="array" ref="B2414">SUM(1-'Sparkling Model'!D$2:D$38^A2414)</f>
        <v>35.23379601</v>
      </c>
      <c r="C2414" s="8">
        <f t="array" ref="C2414">PRODUCT(1-'Sparkling Model'!D$2:D$38^A2414)</f>
        <v>0.1365777634</v>
      </c>
    </row>
    <row r="2415">
      <c r="A2415" s="6">
        <v>2413.0</v>
      </c>
      <c r="B2415" s="17">
        <f t="array" ref="B2415">SUM(1-'Sparkling Model'!D$2:D$38^A2415)</f>
        <v>35.23523501</v>
      </c>
      <c r="C2415" s="8">
        <f t="array" ref="C2415">PRODUCT(1-'Sparkling Model'!D$2:D$38^A2415)</f>
        <v>0.1368123927</v>
      </c>
    </row>
    <row r="2416">
      <c r="A2416" s="6">
        <v>2414.0</v>
      </c>
      <c r="B2416" s="17">
        <f t="array" ref="B2416">SUM(1-'Sparkling Model'!D$2:D$38^A2416)</f>
        <v>35.23667246</v>
      </c>
      <c r="C2416" s="8">
        <f t="array" ref="C2416">PRODUCT(1-'Sparkling Model'!D$2:D$38^A2416)</f>
        <v>0.1370471591</v>
      </c>
    </row>
    <row r="2417">
      <c r="A2417" s="6">
        <v>2415.0</v>
      </c>
      <c r="B2417" s="17">
        <f t="array" ref="B2417">SUM(1-'Sparkling Model'!D$2:D$38^A2417)</f>
        <v>35.23810836</v>
      </c>
      <c r="C2417" s="8">
        <f t="array" ref="C2417">PRODUCT(1-'Sparkling Model'!D$2:D$38^A2417)</f>
        <v>0.1372820622</v>
      </c>
    </row>
    <row r="2418">
      <c r="A2418" s="6">
        <v>2416.0</v>
      </c>
      <c r="B2418" s="17">
        <f t="array" ref="B2418">SUM(1-'Sparkling Model'!D$2:D$38^A2418)</f>
        <v>35.23954271</v>
      </c>
      <c r="C2418" s="8">
        <f t="array" ref="C2418">PRODUCT(1-'Sparkling Model'!D$2:D$38^A2418)</f>
        <v>0.1375171018</v>
      </c>
    </row>
    <row r="2419">
      <c r="A2419" s="6">
        <v>2417.0</v>
      </c>
      <c r="B2419" s="17">
        <f t="array" ref="B2419">SUM(1-'Sparkling Model'!D$2:D$38^A2419)</f>
        <v>35.24097551</v>
      </c>
      <c r="C2419" s="8">
        <f t="array" ref="C2419">PRODUCT(1-'Sparkling Model'!D$2:D$38^A2419)</f>
        <v>0.1377522775</v>
      </c>
    </row>
    <row r="2420">
      <c r="A2420" s="6">
        <v>2418.0</v>
      </c>
      <c r="B2420" s="17">
        <f t="array" ref="B2420">SUM(1-'Sparkling Model'!D$2:D$38^A2420)</f>
        <v>35.24240678</v>
      </c>
      <c r="C2420" s="8">
        <f t="array" ref="C2420">PRODUCT(1-'Sparkling Model'!D$2:D$38^A2420)</f>
        <v>0.137987589</v>
      </c>
    </row>
    <row r="2421">
      <c r="A2421" s="6">
        <v>2419.0</v>
      </c>
      <c r="B2421" s="17">
        <f t="array" ref="B2421">SUM(1-'Sparkling Model'!D$2:D$38^A2421)</f>
        <v>35.2438365</v>
      </c>
      <c r="C2421" s="8">
        <f t="array" ref="C2421">PRODUCT(1-'Sparkling Model'!D$2:D$38^A2421)</f>
        <v>0.1382230361</v>
      </c>
    </row>
    <row r="2422">
      <c r="A2422" s="6">
        <v>2420.0</v>
      </c>
      <c r="B2422" s="17">
        <f t="array" ref="B2422">SUM(1-'Sparkling Model'!D$2:D$38^A2422)</f>
        <v>35.24526468</v>
      </c>
      <c r="C2422" s="8">
        <f t="array" ref="C2422">PRODUCT(1-'Sparkling Model'!D$2:D$38^A2422)</f>
        <v>0.1384586185</v>
      </c>
    </row>
    <row r="2423">
      <c r="A2423" s="6">
        <v>2421.0</v>
      </c>
      <c r="B2423" s="17">
        <f t="array" ref="B2423">SUM(1-'Sparkling Model'!D$2:D$38^A2423)</f>
        <v>35.24669132</v>
      </c>
      <c r="C2423" s="8">
        <f t="array" ref="C2423">PRODUCT(1-'Sparkling Model'!D$2:D$38^A2423)</f>
        <v>0.1386943358</v>
      </c>
    </row>
    <row r="2424">
      <c r="A2424" s="6">
        <v>2422.0</v>
      </c>
      <c r="B2424" s="17">
        <f t="array" ref="B2424">SUM(1-'Sparkling Model'!D$2:D$38^A2424)</f>
        <v>35.24811643</v>
      </c>
      <c r="C2424" s="8">
        <f t="array" ref="C2424">PRODUCT(1-'Sparkling Model'!D$2:D$38^A2424)</f>
        <v>0.1389301878</v>
      </c>
    </row>
    <row r="2425">
      <c r="A2425" s="6">
        <v>2423.0</v>
      </c>
      <c r="B2425" s="17">
        <f t="array" ref="B2425">SUM(1-'Sparkling Model'!D$2:D$38^A2425)</f>
        <v>35.24954</v>
      </c>
      <c r="C2425" s="8">
        <f t="array" ref="C2425">PRODUCT(1-'Sparkling Model'!D$2:D$38^A2425)</f>
        <v>0.1391661741</v>
      </c>
    </row>
    <row r="2426">
      <c r="A2426" s="6">
        <v>2424.0</v>
      </c>
      <c r="B2426" s="17">
        <f t="array" ref="B2426">SUM(1-'Sparkling Model'!D$2:D$38^A2426)</f>
        <v>35.25096204</v>
      </c>
      <c r="C2426" s="8">
        <f t="array" ref="C2426">PRODUCT(1-'Sparkling Model'!D$2:D$38^A2426)</f>
        <v>0.1394022945</v>
      </c>
    </row>
    <row r="2427">
      <c r="A2427" s="6">
        <v>2425.0</v>
      </c>
      <c r="B2427" s="17">
        <f t="array" ref="B2427">SUM(1-'Sparkling Model'!D$2:D$38^A2427)</f>
        <v>35.25238256</v>
      </c>
      <c r="C2427" s="8">
        <f t="array" ref="C2427">PRODUCT(1-'Sparkling Model'!D$2:D$38^A2427)</f>
        <v>0.1396385487</v>
      </c>
    </row>
    <row r="2428">
      <c r="A2428" s="6">
        <v>2426.0</v>
      </c>
      <c r="B2428" s="17">
        <f t="array" ref="B2428">SUM(1-'Sparkling Model'!D$2:D$38^A2428)</f>
        <v>35.25380155</v>
      </c>
      <c r="C2428" s="8">
        <f t="array" ref="C2428">PRODUCT(1-'Sparkling Model'!D$2:D$38^A2428)</f>
        <v>0.1398749364</v>
      </c>
    </row>
    <row r="2429">
      <c r="A2429" s="6">
        <v>2427.0</v>
      </c>
      <c r="B2429" s="17">
        <f t="array" ref="B2429">SUM(1-'Sparkling Model'!D$2:D$38^A2429)</f>
        <v>35.25521901</v>
      </c>
      <c r="C2429" s="8">
        <f t="array" ref="C2429">PRODUCT(1-'Sparkling Model'!D$2:D$38^A2429)</f>
        <v>0.1401114573</v>
      </c>
    </row>
    <row r="2430">
      <c r="A2430" s="6">
        <v>2428.0</v>
      </c>
      <c r="B2430" s="17">
        <f t="array" ref="B2430">SUM(1-'Sparkling Model'!D$2:D$38^A2430)</f>
        <v>35.25663495</v>
      </c>
      <c r="C2430" s="8">
        <f t="array" ref="C2430">PRODUCT(1-'Sparkling Model'!D$2:D$38^A2430)</f>
        <v>0.1403481111</v>
      </c>
    </row>
    <row r="2431">
      <c r="A2431" s="6">
        <v>2429.0</v>
      </c>
      <c r="B2431" s="17">
        <f t="array" ref="B2431">SUM(1-'Sparkling Model'!D$2:D$38^A2431)</f>
        <v>35.25804937</v>
      </c>
      <c r="C2431" s="8">
        <f t="array" ref="C2431">PRODUCT(1-'Sparkling Model'!D$2:D$38^A2431)</f>
        <v>0.1405848974</v>
      </c>
    </row>
    <row r="2432">
      <c r="A2432" s="6">
        <v>2430.0</v>
      </c>
      <c r="B2432" s="17">
        <f t="array" ref="B2432">SUM(1-'Sparkling Model'!D$2:D$38^A2432)</f>
        <v>35.25946228</v>
      </c>
      <c r="C2432" s="8">
        <f t="array" ref="C2432">PRODUCT(1-'Sparkling Model'!D$2:D$38^A2432)</f>
        <v>0.1408218161</v>
      </c>
    </row>
    <row r="2433">
      <c r="A2433" s="6">
        <v>2431.0</v>
      </c>
      <c r="B2433" s="17">
        <f t="array" ref="B2433">SUM(1-'Sparkling Model'!D$2:D$38^A2433)</f>
        <v>35.26087366</v>
      </c>
      <c r="C2433" s="8">
        <f t="array" ref="C2433">PRODUCT(1-'Sparkling Model'!D$2:D$38^A2433)</f>
        <v>0.1410588668</v>
      </c>
    </row>
    <row r="2434">
      <c r="A2434" s="6">
        <v>2432.0</v>
      </c>
      <c r="B2434" s="17">
        <f t="array" ref="B2434">SUM(1-'Sparkling Model'!D$2:D$38^A2434)</f>
        <v>35.26228354</v>
      </c>
      <c r="C2434" s="8">
        <f t="array" ref="C2434">PRODUCT(1-'Sparkling Model'!D$2:D$38^A2434)</f>
        <v>0.1412960493</v>
      </c>
    </row>
    <row r="2435">
      <c r="A2435" s="6">
        <v>2433.0</v>
      </c>
      <c r="B2435" s="17">
        <f t="array" ref="B2435">SUM(1-'Sparkling Model'!D$2:D$38^A2435)</f>
        <v>35.2636919</v>
      </c>
      <c r="C2435" s="8">
        <f t="array" ref="C2435">PRODUCT(1-'Sparkling Model'!D$2:D$38^A2435)</f>
        <v>0.1415333631</v>
      </c>
    </row>
    <row r="2436">
      <c r="A2436" s="6">
        <v>2434.0</v>
      </c>
      <c r="B2436" s="17">
        <f t="array" ref="B2436">SUM(1-'Sparkling Model'!D$2:D$38^A2436)</f>
        <v>35.26509875</v>
      </c>
      <c r="C2436" s="8">
        <f t="array" ref="C2436">PRODUCT(1-'Sparkling Model'!D$2:D$38^A2436)</f>
        <v>0.1417708081</v>
      </c>
    </row>
    <row r="2437">
      <c r="A2437" s="6">
        <v>2435.0</v>
      </c>
      <c r="B2437" s="17">
        <f t="array" ref="B2437">SUM(1-'Sparkling Model'!D$2:D$38^A2437)</f>
        <v>35.26650409</v>
      </c>
      <c r="C2437" s="8">
        <f t="array" ref="C2437">PRODUCT(1-'Sparkling Model'!D$2:D$38^A2437)</f>
        <v>0.1420083839</v>
      </c>
    </row>
    <row r="2438">
      <c r="A2438" s="6">
        <v>2436.0</v>
      </c>
      <c r="B2438" s="17">
        <f t="array" ref="B2438">SUM(1-'Sparkling Model'!D$2:D$38^A2438)</f>
        <v>35.26790793</v>
      </c>
      <c r="C2438" s="8">
        <f t="array" ref="C2438">PRODUCT(1-'Sparkling Model'!D$2:D$38^A2438)</f>
        <v>0.1422460903</v>
      </c>
    </row>
    <row r="2439">
      <c r="A2439" s="6">
        <v>2437.0</v>
      </c>
      <c r="B2439" s="17">
        <f t="array" ref="B2439">SUM(1-'Sparkling Model'!D$2:D$38^A2439)</f>
        <v>35.26931026</v>
      </c>
      <c r="C2439" s="8">
        <f t="array" ref="C2439">PRODUCT(1-'Sparkling Model'!D$2:D$38^A2439)</f>
        <v>0.1424839269</v>
      </c>
    </row>
    <row r="2440">
      <c r="A2440" s="6">
        <v>2438.0</v>
      </c>
      <c r="B2440" s="17">
        <f t="array" ref="B2440">SUM(1-'Sparkling Model'!D$2:D$38^A2440)</f>
        <v>35.27071109</v>
      </c>
      <c r="C2440" s="8">
        <f t="array" ref="C2440">PRODUCT(1-'Sparkling Model'!D$2:D$38^A2440)</f>
        <v>0.1427218935</v>
      </c>
    </row>
    <row r="2441">
      <c r="A2441" s="6">
        <v>2439.0</v>
      </c>
      <c r="B2441" s="17">
        <f t="array" ref="B2441">SUM(1-'Sparkling Model'!D$2:D$38^A2441)</f>
        <v>35.27211042</v>
      </c>
      <c r="C2441" s="8">
        <f t="array" ref="C2441">PRODUCT(1-'Sparkling Model'!D$2:D$38^A2441)</f>
        <v>0.1429599897</v>
      </c>
    </row>
    <row r="2442">
      <c r="A2442" s="6">
        <v>2440.0</v>
      </c>
      <c r="B2442" s="17">
        <f t="array" ref="B2442">SUM(1-'Sparkling Model'!D$2:D$38^A2442)</f>
        <v>35.27350825</v>
      </c>
      <c r="C2442" s="8">
        <f t="array" ref="C2442">PRODUCT(1-'Sparkling Model'!D$2:D$38^A2442)</f>
        <v>0.1431982153</v>
      </c>
    </row>
    <row r="2443">
      <c r="A2443" s="6">
        <v>2441.0</v>
      </c>
      <c r="B2443" s="17">
        <f t="array" ref="B2443">SUM(1-'Sparkling Model'!D$2:D$38^A2443)</f>
        <v>35.27490459</v>
      </c>
      <c r="C2443" s="8">
        <f t="array" ref="C2443">PRODUCT(1-'Sparkling Model'!D$2:D$38^A2443)</f>
        <v>0.14343657</v>
      </c>
    </row>
    <row r="2444">
      <c r="A2444" s="6">
        <v>2442.0</v>
      </c>
      <c r="B2444" s="17">
        <f t="array" ref="B2444">SUM(1-'Sparkling Model'!D$2:D$38^A2444)</f>
        <v>35.27629944</v>
      </c>
      <c r="C2444" s="8">
        <f t="array" ref="C2444">PRODUCT(1-'Sparkling Model'!D$2:D$38^A2444)</f>
        <v>0.1436750534</v>
      </c>
    </row>
    <row r="2445">
      <c r="A2445" s="6">
        <v>2443.0</v>
      </c>
      <c r="B2445" s="17">
        <f t="array" ref="B2445">SUM(1-'Sparkling Model'!D$2:D$38^A2445)</f>
        <v>35.27769279</v>
      </c>
      <c r="C2445" s="8">
        <f t="array" ref="C2445">PRODUCT(1-'Sparkling Model'!D$2:D$38^A2445)</f>
        <v>0.1439136653</v>
      </c>
    </row>
    <row r="2446">
      <c r="A2446" s="6">
        <v>2444.0</v>
      </c>
      <c r="B2446" s="17">
        <f t="array" ref="B2446">SUM(1-'Sparkling Model'!D$2:D$38^A2446)</f>
        <v>35.27908465</v>
      </c>
      <c r="C2446" s="8">
        <f t="array" ref="C2446">PRODUCT(1-'Sparkling Model'!D$2:D$38^A2446)</f>
        <v>0.1441524055</v>
      </c>
    </row>
    <row r="2447">
      <c r="A2447" s="6">
        <v>2445.0</v>
      </c>
      <c r="B2447" s="17">
        <f t="array" ref="B2447">SUM(1-'Sparkling Model'!D$2:D$38^A2447)</f>
        <v>35.28047503</v>
      </c>
      <c r="C2447" s="8">
        <f t="array" ref="C2447">PRODUCT(1-'Sparkling Model'!D$2:D$38^A2447)</f>
        <v>0.1443912735</v>
      </c>
    </row>
    <row r="2448">
      <c r="A2448" s="6">
        <v>2446.0</v>
      </c>
      <c r="B2448" s="17">
        <f t="array" ref="B2448">SUM(1-'Sparkling Model'!D$2:D$38^A2448)</f>
        <v>35.28186392</v>
      </c>
      <c r="C2448" s="8">
        <f t="array" ref="C2448">PRODUCT(1-'Sparkling Model'!D$2:D$38^A2448)</f>
        <v>0.1446302691</v>
      </c>
    </row>
    <row r="2449">
      <c r="A2449" s="6">
        <v>2447.0</v>
      </c>
      <c r="B2449" s="17">
        <f t="array" ref="B2449">SUM(1-'Sparkling Model'!D$2:D$38^A2449)</f>
        <v>35.28325133</v>
      </c>
      <c r="C2449" s="8">
        <f t="array" ref="C2449">PRODUCT(1-'Sparkling Model'!D$2:D$38^A2449)</f>
        <v>0.144869392</v>
      </c>
    </row>
    <row r="2450">
      <c r="A2450" s="6">
        <v>2448.0</v>
      </c>
      <c r="B2450" s="17">
        <f t="array" ref="B2450">SUM(1-'Sparkling Model'!D$2:D$38^A2450)</f>
        <v>35.28463726</v>
      </c>
      <c r="C2450" s="8">
        <f t="array" ref="C2450">PRODUCT(1-'Sparkling Model'!D$2:D$38^A2450)</f>
        <v>0.1451086419</v>
      </c>
    </row>
    <row r="2451">
      <c r="A2451" s="6">
        <v>2449.0</v>
      </c>
      <c r="B2451" s="17">
        <f t="array" ref="B2451">SUM(1-'Sparkling Model'!D$2:D$38^A2451)</f>
        <v>35.2860217</v>
      </c>
      <c r="C2451" s="8">
        <f t="array" ref="C2451">PRODUCT(1-'Sparkling Model'!D$2:D$38^A2451)</f>
        <v>0.1453480186</v>
      </c>
    </row>
    <row r="2452">
      <c r="A2452" s="6">
        <v>2450.0</v>
      </c>
      <c r="B2452" s="17">
        <f t="array" ref="B2452">SUM(1-'Sparkling Model'!D$2:D$38^A2452)</f>
        <v>35.28740467</v>
      </c>
      <c r="C2452" s="8">
        <f t="array" ref="C2452">PRODUCT(1-'Sparkling Model'!D$2:D$38^A2452)</f>
        <v>0.1455875217</v>
      </c>
    </row>
    <row r="2453">
      <c r="A2453" s="6">
        <v>2451.0</v>
      </c>
      <c r="B2453" s="17">
        <f t="array" ref="B2453">SUM(1-'Sparkling Model'!D$2:D$38^A2453)</f>
        <v>35.28878617</v>
      </c>
      <c r="C2453" s="8">
        <f t="array" ref="C2453">PRODUCT(1-'Sparkling Model'!D$2:D$38^A2453)</f>
        <v>0.1458271509</v>
      </c>
    </row>
    <row r="2454">
      <c r="A2454" s="6">
        <v>2452.0</v>
      </c>
      <c r="B2454" s="17">
        <f t="array" ref="B2454">SUM(1-'Sparkling Model'!D$2:D$38^A2454)</f>
        <v>35.29016619</v>
      </c>
      <c r="C2454" s="8">
        <f t="array" ref="C2454">PRODUCT(1-'Sparkling Model'!D$2:D$38^A2454)</f>
        <v>0.1460669059</v>
      </c>
    </row>
    <row r="2455">
      <c r="A2455" s="6">
        <v>2453.0</v>
      </c>
      <c r="B2455" s="17">
        <f t="array" ref="B2455">SUM(1-'Sparkling Model'!D$2:D$38^A2455)</f>
        <v>35.29154474</v>
      </c>
      <c r="C2455" s="8">
        <f t="array" ref="C2455">PRODUCT(1-'Sparkling Model'!D$2:D$38^A2455)</f>
        <v>0.1463067865</v>
      </c>
    </row>
    <row r="2456">
      <c r="A2456" s="6">
        <v>2454.0</v>
      </c>
      <c r="B2456" s="17">
        <f t="array" ref="B2456">SUM(1-'Sparkling Model'!D$2:D$38^A2456)</f>
        <v>35.29292182</v>
      </c>
      <c r="C2456" s="8">
        <f t="array" ref="C2456">PRODUCT(1-'Sparkling Model'!D$2:D$38^A2456)</f>
        <v>0.1465467924</v>
      </c>
    </row>
    <row r="2457">
      <c r="A2457" s="6">
        <v>2455.0</v>
      </c>
      <c r="B2457" s="17">
        <f t="array" ref="B2457">SUM(1-'Sparkling Model'!D$2:D$38^A2457)</f>
        <v>35.29429744</v>
      </c>
      <c r="C2457" s="8">
        <f t="array" ref="C2457">PRODUCT(1-'Sparkling Model'!D$2:D$38^A2457)</f>
        <v>0.1467869232</v>
      </c>
    </row>
    <row r="2458">
      <c r="A2458" s="6">
        <v>2456.0</v>
      </c>
      <c r="B2458" s="17">
        <f t="array" ref="B2458">SUM(1-'Sparkling Model'!D$2:D$38^A2458)</f>
        <v>35.29567158</v>
      </c>
      <c r="C2458" s="8">
        <f t="array" ref="C2458">PRODUCT(1-'Sparkling Model'!D$2:D$38^A2458)</f>
        <v>0.1470271786</v>
      </c>
    </row>
    <row r="2459">
      <c r="A2459" s="6">
        <v>2457.0</v>
      </c>
      <c r="B2459" s="17">
        <f t="array" ref="B2459">SUM(1-'Sparkling Model'!D$2:D$38^A2459)</f>
        <v>35.29704427</v>
      </c>
      <c r="C2459" s="8">
        <f t="array" ref="C2459">PRODUCT(1-'Sparkling Model'!D$2:D$38^A2459)</f>
        <v>0.1472675585</v>
      </c>
    </row>
    <row r="2460">
      <c r="A2460" s="6">
        <v>2458.0</v>
      </c>
      <c r="B2460" s="17">
        <f t="array" ref="B2460">SUM(1-'Sparkling Model'!D$2:D$38^A2460)</f>
        <v>35.29841549</v>
      </c>
      <c r="C2460" s="8">
        <f t="array" ref="C2460">PRODUCT(1-'Sparkling Model'!D$2:D$38^A2460)</f>
        <v>0.1475080624</v>
      </c>
    </row>
    <row r="2461">
      <c r="A2461" s="6">
        <v>2459.0</v>
      </c>
      <c r="B2461" s="17">
        <f t="array" ref="B2461">SUM(1-'Sparkling Model'!D$2:D$38^A2461)</f>
        <v>35.29978526</v>
      </c>
      <c r="C2461" s="8">
        <f t="array" ref="C2461">PRODUCT(1-'Sparkling Model'!D$2:D$38^A2461)</f>
        <v>0.1477486901</v>
      </c>
    </row>
    <row r="2462">
      <c r="A2462" s="6">
        <v>2460.0</v>
      </c>
      <c r="B2462" s="17">
        <f t="array" ref="B2462">SUM(1-'Sparkling Model'!D$2:D$38^A2462)</f>
        <v>35.30115357</v>
      </c>
      <c r="C2462" s="8">
        <f t="array" ref="C2462">PRODUCT(1-'Sparkling Model'!D$2:D$38^A2462)</f>
        <v>0.1479894413</v>
      </c>
    </row>
    <row r="2463">
      <c r="A2463" s="6">
        <v>2461.0</v>
      </c>
      <c r="B2463" s="17">
        <f t="array" ref="B2463">SUM(1-'Sparkling Model'!D$2:D$38^A2463)</f>
        <v>35.30252042</v>
      </c>
      <c r="C2463" s="8">
        <f t="array" ref="C2463">PRODUCT(1-'Sparkling Model'!D$2:D$38^A2463)</f>
        <v>0.1482303157</v>
      </c>
    </row>
    <row r="2464">
      <c r="A2464" s="6">
        <v>2462.0</v>
      </c>
      <c r="B2464" s="17">
        <f t="array" ref="B2464">SUM(1-'Sparkling Model'!D$2:D$38^A2464)</f>
        <v>35.30388582</v>
      </c>
      <c r="C2464" s="8">
        <f t="array" ref="C2464">PRODUCT(1-'Sparkling Model'!D$2:D$38^A2464)</f>
        <v>0.148471313</v>
      </c>
    </row>
    <row r="2465">
      <c r="A2465" s="6">
        <v>2463.0</v>
      </c>
      <c r="B2465" s="17">
        <f t="array" ref="B2465">SUM(1-'Sparkling Model'!D$2:D$38^A2465)</f>
        <v>35.30524977</v>
      </c>
      <c r="C2465" s="8">
        <f t="array" ref="C2465">PRODUCT(1-'Sparkling Model'!D$2:D$38^A2465)</f>
        <v>0.1487124329</v>
      </c>
    </row>
    <row r="2466">
      <c r="A2466" s="6">
        <v>2464.0</v>
      </c>
      <c r="B2466" s="17">
        <f t="array" ref="B2466">SUM(1-'Sparkling Model'!D$2:D$38^A2466)</f>
        <v>35.30661227</v>
      </c>
      <c r="C2466" s="8">
        <f t="array" ref="C2466">PRODUCT(1-'Sparkling Model'!D$2:D$38^A2466)</f>
        <v>0.1489536751</v>
      </c>
    </row>
    <row r="2467">
      <c r="A2467" s="6">
        <v>2465.0</v>
      </c>
      <c r="B2467" s="17">
        <f t="array" ref="B2467">SUM(1-'Sparkling Model'!D$2:D$38^A2467)</f>
        <v>35.30797332</v>
      </c>
      <c r="C2467" s="8">
        <f t="array" ref="C2467">PRODUCT(1-'Sparkling Model'!D$2:D$38^A2467)</f>
        <v>0.1491950394</v>
      </c>
    </row>
    <row r="2468">
      <c r="A2468" s="6">
        <v>2466.0</v>
      </c>
      <c r="B2468" s="17">
        <f t="array" ref="B2468">SUM(1-'Sparkling Model'!D$2:D$38^A2468)</f>
        <v>35.30933292</v>
      </c>
      <c r="C2468" s="8">
        <f t="array" ref="C2468">PRODUCT(1-'Sparkling Model'!D$2:D$38^A2468)</f>
        <v>0.1494365253</v>
      </c>
    </row>
    <row r="2469">
      <c r="A2469" s="6">
        <v>2467.0</v>
      </c>
      <c r="B2469" s="17">
        <f t="array" ref="B2469">SUM(1-'Sparkling Model'!D$2:D$38^A2469)</f>
        <v>35.31069109</v>
      </c>
      <c r="C2469" s="8">
        <f t="array" ref="C2469">PRODUCT(1-'Sparkling Model'!D$2:D$38^A2469)</f>
        <v>0.1496781328</v>
      </c>
    </row>
    <row r="2470">
      <c r="A2470" s="6">
        <v>2468.0</v>
      </c>
      <c r="B2470" s="17">
        <f t="array" ref="B2470">SUM(1-'Sparkling Model'!D$2:D$38^A2470)</f>
        <v>35.31204781</v>
      </c>
      <c r="C2470" s="8">
        <f t="array" ref="C2470">PRODUCT(1-'Sparkling Model'!D$2:D$38^A2470)</f>
        <v>0.1499198613</v>
      </c>
    </row>
    <row r="2471">
      <c r="A2471" s="6">
        <v>2469.0</v>
      </c>
      <c r="B2471" s="17">
        <f t="array" ref="B2471">SUM(1-'Sparkling Model'!D$2:D$38^A2471)</f>
        <v>35.31340309</v>
      </c>
      <c r="C2471" s="8">
        <f t="array" ref="C2471">PRODUCT(1-'Sparkling Model'!D$2:D$38^A2471)</f>
        <v>0.1501617107</v>
      </c>
    </row>
    <row r="2472">
      <c r="A2472" s="6">
        <v>2470.0</v>
      </c>
      <c r="B2472" s="17">
        <f t="array" ref="B2472">SUM(1-'Sparkling Model'!D$2:D$38^A2472)</f>
        <v>35.31475693</v>
      </c>
      <c r="C2472" s="8">
        <f t="array" ref="C2472">PRODUCT(1-'Sparkling Model'!D$2:D$38^A2472)</f>
        <v>0.1504036807</v>
      </c>
    </row>
    <row r="2473">
      <c r="A2473" s="6">
        <v>2471.0</v>
      </c>
      <c r="B2473" s="17">
        <f t="array" ref="B2473">SUM(1-'Sparkling Model'!D$2:D$38^A2473)</f>
        <v>35.31610934</v>
      </c>
      <c r="C2473" s="8">
        <f t="array" ref="C2473">PRODUCT(1-'Sparkling Model'!D$2:D$38^A2473)</f>
        <v>0.150645771</v>
      </c>
    </row>
    <row r="2474">
      <c r="A2474" s="6">
        <v>2472.0</v>
      </c>
      <c r="B2474" s="17">
        <f t="array" ref="B2474">SUM(1-'Sparkling Model'!D$2:D$38^A2474)</f>
        <v>35.31746032</v>
      </c>
      <c r="C2474" s="8">
        <f t="array" ref="C2474">PRODUCT(1-'Sparkling Model'!D$2:D$38^A2474)</f>
        <v>0.1508879812</v>
      </c>
    </row>
    <row r="2475">
      <c r="A2475" s="6">
        <v>2473.0</v>
      </c>
      <c r="B2475" s="17">
        <f t="array" ref="B2475">SUM(1-'Sparkling Model'!D$2:D$38^A2475)</f>
        <v>35.31880986</v>
      </c>
      <c r="C2475" s="8">
        <f t="array" ref="C2475">PRODUCT(1-'Sparkling Model'!D$2:D$38^A2475)</f>
        <v>0.1511303111</v>
      </c>
    </row>
    <row r="2476">
      <c r="A2476" s="6">
        <v>2474.0</v>
      </c>
      <c r="B2476" s="17">
        <f t="array" ref="B2476">SUM(1-'Sparkling Model'!D$2:D$38^A2476)</f>
        <v>35.32015797</v>
      </c>
      <c r="C2476" s="8">
        <f t="array" ref="C2476">PRODUCT(1-'Sparkling Model'!D$2:D$38^A2476)</f>
        <v>0.1513727604</v>
      </c>
    </row>
    <row r="2477">
      <c r="A2477" s="6">
        <v>2475.0</v>
      </c>
      <c r="B2477" s="17">
        <f t="array" ref="B2477">SUM(1-'Sparkling Model'!D$2:D$38^A2477)</f>
        <v>35.32150466</v>
      </c>
      <c r="C2477" s="8">
        <f t="array" ref="C2477">PRODUCT(1-'Sparkling Model'!D$2:D$38^A2477)</f>
        <v>0.1516153288</v>
      </c>
    </row>
    <row r="2478">
      <c r="A2478" s="6">
        <v>2476.0</v>
      </c>
      <c r="B2478" s="17">
        <f t="array" ref="B2478">SUM(1-'Sparkling Model'!D$2:D$38^A2478)</f>
        <v>35.32284992</v>
      </c>
      <c r="C2478" s="8">
        <f t="array" ref="C2478">PRODUCT(1-'Sparkling Model'!D$2:D$38^A2478)</f>
        <v>0.151858016</v>
      </c>
    </row>
    <row r="2479">
      <c r="A2479" s="6">
        <v>2477.0</v>
      </c>
      <c r="B2479" s="17">
        <f t="array" ref="B2479">SUM(1-'Sparkling Model'!D$2:D$38^A2479)</f>
        <v>35.32419376</v>
      </c>
      <c r="C2479" s="8">
        <f t="array" ref="C2479">PRODUCT(1-'Sparkling Model'!D$2:D$38^A2479)</f>
        <v>0.1521008218</v>
      </c>
    </row>
    <row r="2480">
      <c r="A2480" s="6">
        <v>2478.0</v>
      </c>
      <c r="B2480" s="17">
        <f t="array" ref="B2480">SUM(1-'Sparkling Model'!D$2:D$38^A2480)</f>
        <v>35.32553617</v>
      </c>
      <c r="C2480" s="8">
        <f t="array" ref="C2480">PRODUCT(1-'Sparkling Model'!D$2:D$38^A2480)</f>
        <v>0.1523437457</v>
      </c>
    </row>
    <row r="2481">
      <c r="A2481" s="6">
        <v>2479.0</v>
      </c>
      <c r="B2481" s="17">
        <f t="array" ref="B2481">SUM(1-'Sparkling Model'!D$2:D$38^A2481)</f>
        <v>35.32687716</v>
      </c>
      <c r="C2481" s="8">
        <f t="array" ref="C2481">PRODUCT(1-'Sparkling Model'!D$2:D$38^A2481)</f>
        <v>0.1525867876</v>
      </c>
    </row>
    <row r="2482">
      <c r="A2482" s="6">
        <v>2480.0</v>
      </c>
      <c r="B2482" s="17">
        <f t="array" ref="B2482">SUM(1-'Sparkling Model'!D$2:D$38^A2482)</f>
        <v>35.32821674</v>
      </c>
      <c r="C2482" s="8">
        <f t="array" ref="C2482">PRODUCT(1-'Sparkling Model'!D$2:D$38^A2482)</f>
        <v>0.1528299471</v>
      </c>
    </row>
    <row r="2483">
      <c r="A2483" s="6">
        <v>2481.0</v>
      </c>
      <c r="B2483" s="17">
        <f t="array" ref="B2483">SUM(1-'Sparkling Model'!D$2:D$38^A2483)</f>
        <v>35.3295549</v>
      </c>
      <c r="C2483" s="8">
        <f t="array" ref="C2483">PRODUCT(1-'Sparkling Model'!D$2:D$38^A2483)</f>
        <v>0.153073224</v>
      </c>
    </row>
    <row r="2484">
      <c r="A2484" s="6">
        <v>2482.0</v>
      </c>
      <c r="B2484" s="17">
        <f t="array" ref="B2484">SUM(1-'Sparkling Model'!D$2:D$38^A2484)</f>
        <v>35.33089165</v>
      </c>
      <c r="C2484" s="8">
        <f t="array" ref="C2484">PRODUCT(1-'Sparkling Model'!D$2:D$38^A2484)</f>
        <v>0.1533166179</v>
      </c>
    </row>
    <row r="2485">
      <c r="A2485" s="6">
        <v>2483.0</v>
      </c>
      <c r="B2485" s="17">
        <f t="array" ref="B2485">SUM(1-'Sparkling Model'!D$2:D$38^A2485)</f>
        <v>35.33222698</v>
      </c>
      <c r="C2485" s="8">
        <f t="array" ref="C2485">PRODUCT(1-'Sparkling Model'!D$2:D$38^A2485)</f>
        <v>0.1535601286</v>
      </c>
    </row>
    <row r="2486">
      <c r="A2486" s="6">
        <v>2484.0</v>
      </c>
      <c r="B2486" s="17">
        <f t="array" ref="B2486">SUM(1-'Sparkling Model'!D$2:D$38^A2486)</f>
        <v>35.3335609</v>
      </c>
      <c r="C2486" s="8">
        <f t="array" ref="C2486">PRODUCT(1-'Sparkling Model'!D$2:D$38^A2486)</f>
        <v>0.1538037557</v>
      </c>
    </row>
    <row r="2487">
      <c r="A2487" s="6">
        <v>2485.0</v>
      </c>
      <c r="B2487" s="17">
        <f t="array" ref="B2487">SUM(1-'Sparkling Model'!D$2:D$38^A2487)</f>
        <v>35.33489342</v>
      </c>
      <c r="C2487" s="8">
        <f t="array" ref="C2487">PRODUCT(1-'Sparkling Model'!D$2:D$38^A2487)</f>
        <v>0.1540474991</v>
      </c>
    </row>
    <row r="2488">
      <c r="A2488" s="6">
        <v>2486.0</v>
      </c>
      <c r="B2488" s="17">
        <f t="array" ref="B2488">SUM(1-'Sparkling Model'!D$2:D$38^A2488)</f>
        <v>35.33622452</v>
      </c>
      <c r="C2488" s="8">
        <f t="array" ref="C2488">PRODUCT(1-'Sparkling Model'!D$2:D$38^A2488)</f>
        <v>0.1542913583</v>
      </c>
    </row>
    <row r="2489">
      <c r="A2489" s="6">
        <v>2487.0</v>
      </c>
      <c r="B2489" s="17">
        <f t="array" ref="B2489">SUM(1-'Sparkling Model'!D$2:D$38^A2489)</f>
        <v>35.33755423</v>
      </c>
      <c r="C2489" s="8">
        <f t="array" ref="C2489">PRODUCT(1-'Sparkling Model'!D$2:D$38^A2489)</f>
        <v>0.1545353331</v>
      </c>
    </row>
    <row r="2490">
      <c r="A2490" s="6">
        <v>2488.0</v>
      </c>
      <c r="B2490" s="17">
        <f t="array" ref="B2490">SUM(1-'Sparkling Model'!D$2:D$38^A2490)</f>
        <v>35.33888253</v>
      </c>
      <c r="C2490" s="8">
        <f t="array" ref="C2490">PRODUCT(1-'Sparkling Model'!D$2:D$38^A2490)</f>
        <v>0.1547794232</v>
      </c>
    </row>
    <row r="2491">
      <c r="A2491" s="6">
        <v>2489.0</v>
      </c>
      <c r="B2491" s="17">
        <f t="array" ref="B2491">SUM(1-'Sparkling Model'!D$2:D$38^A2491)</f>
        <v>35.34020942</v>
      </c>
      <c r="C2491" s="8">
        <f t="array" ref="C2491">PRODUCT(1-'Sparkling Model'!D$2:D$38^A2491)</f>
        <v>0.1550236284</v>
      </c>
    </row>
    <row r="2492">
      <c r="A2492" s="6">
        <v>2490.0</v>
      </c>
      <c r="B2492" s="17">
        <f t="array" ref="B2492">SUM(1-'Sparkling Model'!D$2:D$38^A2492)</f>
        <v>35.34153492</v>
      </c>
      <c r="C2492" s="8">
        <f t="array" ref="C2492">PRODUCT(1-'Sparkling Model'!D$2:D$38^A2492)</f>
        <v>0.1552679483</v>
      </c>
    </row>
    <row r="2493">
      <c r="A2493" s="6">
        <v>2491.0</v>
      </c>
      <c r="B2493" s="17">
        <f t="array" ref="B2493">SUM(1-'Sparkling Model'!D$2:D$38^A2493)</f>
        <v>35.34285903</v>
      </c>
      <c r="C2493" s="8">
        <f t="array" ref="C2493">PRODUCT(1-'Sparkling Model'!D$2:D$38^A2493)</f>
        <v>0.1555123826</v>
      </c>
    </row>
    <row r="2494">
      <c r="A2494" s="6">
        <v>2492.0</v>
      </c>
      <c r="B2494" s="17">
        <f t="array" ref="B2494">SUM(1-'Sparkling Model'!D$2:D$38^A2494)</f>
        <v>35.34418173</v>
      </c>
      <c r="C2494" s="8">
        <f t="array" ref="C2494">PRODUCT(1-'Sparkling Model'!D$2:D$38^A2494)</f>
        <v>0.155756931</v>
      </c>
    </row>
    <row r="2495">
      <c r="A2495" s="6">
        <v>2493.0</v>
      </c>
      <c r="B2495" s="17">
        <f t="array" ref="B2495">SUM(1-'Sparkling Model'!D$2:D$38^A2495)</f>
        <v>35.34550305</v>
      </c>
      <c r="C2495" s="8">
        <f t="array" ref="C2495">PRODUCT(1-'Sparkling Model'!D$2:D$38^A2495)</f>
        <v>0.1560015933</v>
      </c>
    </row>
    <row r="2496">
      <c r="A2496" s="6">
        <v>2494.0</v>
      </c>
      <c r="B2496" s="17">
        <f t="array" ref="B2496">SUM(1-'Sparkling Model'!D$2:D$38^A2496)</f>
        <v>35.34682297</v>
      </c>
      <c r="C2496" s="8">
        <f t="array" ref="C2496">PRODUCT(1-'Sparkling Model'!D$2:D$38^A2496)</f>
        <v>0.1562463692</v>
      </c>
    </row>
    <row r="2497">
      <c r="A2497" s="6">
        <v>2495.0</v>
      </c>
      <c r="B2497" s="17">
        <f t="array" ref="B2497">SUM(1-'Sparkling Model'!D$2:D$38^A2497)</f>
        <v>35.3481415</v>
      </c>
      <c r="C2497" s="8">
        <f t="array" ref="C2497">PRODUCT(1-'Sparkling Model'!D$2:D$38^A2497)</f>
        <v>0.1564912583</v>
      </c>
    </row>
    <row r="2498">
      <c r="A2498" s="6">
        <v>2496.0</v>
      </c>
      <c r="B2498" s="17">
        <f t="array" ref="B2498">SUM(1-'Sparkling Model'!D$2:D$38^A2498)</f>
        <v>35.34945865</v>
      </c>
      <c r="C2498" s="8">
        <f t="array" ref="C2498">PRODUCT(1-'Sparkling Model'!D$2:D$38^A2498)</f>
        <v>0.1567362605</v>
      </c>
    </row>
    <row r="2499">
      <c r="A2499" s="6">
        <v>2497.0</v>
      </c>
      <c r="B2499" s="17">
        <f t="array" ref="B2499">SUM(1-'Sparkling Model'!D$2:D$38^A2499)</f>
        <v>35.35077441</v>
      </c>
      <c r="C2499" s="8">
        <f t="array" ref="C2499">PRODUCT(1-'Sparkling Model'!D$2:D$38^A2499)</f>
        <v>0.1569813753</v>
      </c>
    </row>
    <row r="2500">
      <c r="A2500" s="6">
        <v>2498.0</v>
      </c>
      <c r="B2500" s="17">
        <f t="array" ref="B2500">SUM(1-'Sparkling Model'!D$2:D$38^A2500)</f>
        <v>35.35208878</v>
      </c>
      <c r="C2500" s="8">
        <f t="array" ref="C2500">PRODUCT(1-'Sparkling Model'!D$2:D$38^A2500)</f>
        <v>0.1572266025</v>
      </c>
    </row>
    <row r="2501">
      <c r="A2501" s="6">
        <v>2499.0</v>
      </c>
      <c r="B2501" s="17">
        <f t="array" ref="B2501">SUM(1-'Sparkling Model'!D$2:D$38^A2501)</f>
        <v>35.35340177</v>
      </c>
      <c r="C2501" s="8">
        <f t="array" ref="C2501">PRODUCT(1-'Sparkling Model'!D$2:D$38^A2501)</f>
        <v>0.1574719418</v>
      </c>
    </row>
    <row r="2502">
      <c r="A2502" s="6">
        <v>2500.0</v>
      </c>
      <c r="B2502" s="17">
        <f t="array" ref="B2502">SUM(1-'Sparkling Model'!D$2:D$38^A2502)</f>
        <v>35.35471339</v>
      </c>
      <c r="C2502" s="8">
        <f t="array" ref="C2502">PRODUCT(1-'Sparkling Model'!D$2:D$38^A2502)</f>
        <v>0.1577173929</v>
      </c>
    </row>
    <row r="2503">
      <c r="A2503" s="6">
        <v>2501.0</v>
      </c>
      <c r="B2503" s="17">
        <f t="array" ref="B2503">SUM(1-'Sparkling Model'!D$2:D$38^A2503)</f>
        <v>35.35602362</v>
      </c>
      <c r="C2503" s="8">
        <f t="array" ref="C2503">PRODUCT(1-'Sparkling Model'!D$2:D$38^A2503)</f>
        <v>0.1579629556</v>
      </c>
    </row>
    <row r="2504">
      <c r="A2504" s="6">
        <v>2502.0</v>
      </c>
      <c r="B2504" s="17">
        <f t="array" ref="B2504">SUM(1-'Sparkling Model'!D$2:D$38^A2504)</f>
        <v>35.35733248</v>
      </c>
      <c r="C2504" s="8">
        <f t="array" ref="C2504">PRODUCT(1-'Sparkling Model'!D$2:D$38^A2504)</f>
        <v>0.1582086295</v>
      </c>
    </row>
    <row r="2505">
      <c r="A2505" s="6">
        <v>2503.0</v>
      </c>
      <c r="B2505" s="17">
        <f t="array" ref="B2505">SUM(1-'Sparkling Model'!D$2:D$38^A2505)</f>
        <v>35.35863996</v>
      </c>
      <c r="C2505" s="8">
        <f t="array" ref="C2505">PRODUCT(1-'Sparkling Model'!D$2:D$38^A2505)</f>
        <v>0.1584544144</v>
      </c>
    </row>
    <row r="2506">
      <c r="A2506" s="6">
        <v>2504.0</v>
      </c>
      <c r="B2506" s="17">
        <f t="array" ref="B2506">SUM(1-'Sparkling Model'!D$2:D$38^A2506)</f>
        <v>35.35994607</v>
      </c>
      <c r="C2506" s="8">
        <f t="array" ref="C2506">PRODUCT(1-'Sparkling Model'!D$2:D$38^A2506)</f>
        <v>0.1587003099</v>
      </c>
    </row>
    <row r="2507">
      <c r="A2507" s="6">
        <v>2505.0</v>
      </c>
      <c r="B2507" s="17">
        <f t="array" ref="B2507">SUM(1-'Sparkling Model'!D$2:D$38^A2507)</f>
        <v>35.36125081</v>
      </c>
      <c r="C2507" s="8">
        <f t="array" ref="C2507">PRODUCT(1-'Sparkling Model'!D$2:D$38^A2507)</f>
        <v>0.1589463158</v>
      </c>
    </row>
    <row r="2508">
      <c r="A2508" s="6">
        <v>2506.0</v>
      </c>
      <c r="B2508" s="17">
        <f t="array" ref="B2508">SUM(1-'Sparkling Model'!D$2:D$38^A2508)</f>
        <v>35.36255418</v>
      </c>
      <c r="C2508" s="8">
        <f t="array" ref="C2508">PRODUCT(1-'Sparkling Model'!D$2:D$38^A2508)</f>
        <v>0.1591924318</v>
      </c>
    </row>
    <row r="2509">
      <c r="A2509" s="6">
        <v>2507.0</v>
      </c>
      <c r="B2509" s="17">
        <f t="array" ref="B2509">SUM(1-'Sparkling Model'!D$2:D$38^A2509)</f>
        <v>35.36385618</v>
      </c>
      <c r="C2509" s="8">
        <f t="array" ref="C2509">PRODUCT(1-'Sparkling Model'!D$2:D$38^A2509)</f>
        <v>0.1594386576</v>
      </c>
    </row>
    <row r="2510">
      <c r="A2510" s="6">
        <v>2508.0</v>
      </c>
      <c r="B2510" s="17">
        <f t="array" ref="B2510">SUM(1-'Sparkling Model'!D$2:D$38^A2510)</f>
        <v>35.36515682</v>
      </c>
      <c r="C2510" s="8">
        <f t="array" ref="C2510">PRODUCT(1-'Sparkling Model'!D$2:D$38^A2510)</f>
        <v>0.1596849928</v>
      </c>
    </row>
    <row r="2511">
      <c r="A2511" s="6">
        <v>2509.0</v>
      </c>
      <c r="B2511" s="17">
        <f t="array" ref="B2511">SUM(1-'Sparkling Model'!D$2:D$38^A2511)</f>
        <v>35.36645609</v>
      </c>
      <c r="C2511" s="8">
        <f t="array" ref="C2511">PRODUCT(1-'Sparkling Model'!D$2:D$38^A2511)</f>
        <v>0.1599314373</v>
      </c>
    </row>
    <row r="2512">
      <c r="A2512" s="6">
        <v>2510.0</v>
      </c>
      <c r="B2512" s="17">
        <f t="array" ref="B2512">SUM(1-'Sparkling Model'!D$2:D$38^A2512)</f>
        <v>35.36775401</v>
      </c>
      <c r="C2512" s="8">
        <f t="array" ref="C2512">PRODUCT(1-'Sparkling Model'!D$2:D$38^A2512)</f>
        <v>0.1601779908</v>
      </c>
    </row>
    <row r="2513">
      <c r="A2513" s="6">
        <v>2511.0</v>
      </c>
      <c r="B2513" s="17">
        <f t="array" ref="B2513">SUM(1-'Sparkling Model'!D$2:D$38^A2513)</f>
        <v>35.36905056</v>
      </c>
      <c r="C2513" s="8">
        <f t="array" ref="C2513">PRODUCT(1-'Sparkling Model'!D$2:D$38^A2513)</f>
        <v>0.1604246528</v>
      </c>
    </row>
    <row r="2514">
      <c r="A2514" s="6">
        <v>2512.0</v>
      </c>
      <c r="B2514" s="17">
        <f t="array" ref="B2514">SUM(1-'Sparkling Model'!D$2:D$38^A2514)</f>
        <v>35.37034575</v>
      </c>
      <c r="C2514" s="8">
        <f t="array" ref="C2514">PRODUCT(1-'Sparkling Model'!D$2:D$38^A2514)</f>
        <v>0.1606714232</v>
      </c>
    </row>
    <row r="2515">
      <c r="A2515" s="6">
        <v>2513.0</v>
      </c>
      <c r="B2515" s="17">
        <f t="array" ref="B2515">SUM(1-'Sparkling Model'!D$2:D$38^A2515)</f>
        <v>35.37163959</v>
      </c>
      <c r="C2515" s="8">
        <f t="array" ref="C2515">PRODUCT(1-'Sparkling Model'!D$2:D$38^A2515)</f>
        <v>0.1609183017</v>
      </c>
    </row>
    <row r="2516">
      <c r="A2516" s="6">
        <v>2514.0</v>
      </c>
      <c r="B2516" s="17">
        <f t="array" ref="B2516">SUM(1-'Sparkling Model'!D$2:D$38^A2516)</f>
        <v>35.37293207</v>
      </c>
      <c r="C2516" s="8">
        <f t="array" ref="C2516">PRODUCT(1-'Sparkling Model'!D$2:D$38^A2516)</f>
        <v>0.1611652879</v>
      </c>
    </row>
    <row r="2517">
      <c r="A2517" s="6">
        <v>2515.0</v>
      </c>
      <c r="B2517" s="17">
        <f t="array" ref="B2517">SUM(1-'Sparkling Model'!D$2:D$38^A2517)</f>
        <v>35.3742232</v>
      </c>
      <c r="C2517" s="8">
        <f t="array" ref="C2517">PRODUCT(1-'Sparkling Model'!D$2:D$38^A2517)</f>
        <v>0.1614123816</v>
      </c>
    </row>
    <row r="2518">
      <c r="A2518" s="6">
        <v>2516.0</v>
      </c>
      <c r="B2518" s="17">
        <f t="array" ref="B2518">SUM(1-'Sparkling Model'!D$2:D$38^A2518)</f>
        <v>35.37551298</v>
      </c>
      <c r="C2518" s="8">
        <f t="array" ref="C2518">PRODUCT(1-'Sparkling Model'!D$2:D$38^A2518)</f>
        <v>0.1616595825</v>
      </c>
    </row>
    <row r="2519">
      <c r="A2519" s="6">
        <v>2517.0</v>
      </c>
      <c r="B2519" s="17">
        <f t="array" ref="B2519">SUM(1-'Sparkling Model'!D$2:D$38^A2519)</f>
        <v>35.37680141</v>
      </c>
      <c r="C2519" s="8">
        <f t="array" ref="C2519">PRODUCT(1-'Sparkling Model'!D$2:D$38^A2519)</f>
        <v>0.1619068904</v>
      </c>
    </row>
    <row r="2520">
      <c r="A2520" s="6">
        <v>2518.0</v>
      </c>
      <c r="B2520" s="17">
        <f t="array" ref="B2520">SUM(1-'Sparkling Model'!D$2:D$38^A2520)</f>
        <v>35.37808849</v>
      </c>
      <c r="C2520" s="8">
        <f t="array" ref="C2520">PRODUCT(1-'Sparkling Model'!D$2:D$38^A2520)</f>
        <v>0.1621543048</v>
      </c>
    </row>
    <row r="2521">
      <c r="A2521" s="6">
        <v>2519.0</v>
      </c>
      <c r="B2521" s="17">
        <f t="array" ref="B2521">SUM(1-'Sparkling Model'!D$2:D$38^A2521)</f>
        <v>35.37937423</v>
      </c>
      <c r="C2521" s="8">
        <f t="array" ref="C2521">PRODUCT(1-'Sparkling Model'!D$2:D$38^A2521)</f>
        <v>0.1624018256</v>
      </c>
    </row>
    <row r="2522">
      <c r="A2522" s="6">
        <v>2520.0</v>
      </c>
      <c r="B2522" s="17">
        <f t="array" ref="B2522">SUM(1-'Sparkling Model'!D$2:D$38^A2522)</f>
        <v>35.38065862</v>
      </c>
      <c r="C2522" s="8">
        <f t="array" ref="C2522">PRODUCT(1-'Sparkling Model'!D$2:D$38^A2522)</f>
        <v>0.1626494524</v>
      </c>
    </row>
    <row r="2523">
      <c r="A2523" s="6">
        <v>2521.0</v>
      </c>
      <c r="B2523" s="17">
        <f t="array" ref="B2523">SUM(1-'Sparkling Model'!D$2:D$38^A2523)</f>
        <v>35.38194167</v>
      </c>
      <c r="C2523" s="8">
        <f t="array" ref="C2523">PRODUCT(1-'Sparkling Model'!D$2:D$38^A2523)</f>
        <v>0.1628971849</v>
      </c>
    </row>
    <row r="2524">
      <c r="A2524" s="6">
        <v>2522.0</v>
      </c>
      <c r="B2524" s="17">
        <f t="array" ref="B2524">SUM(1-'Sparkling Model'!D$2:D$38^A2524)</f>
        <v>35.38322338</v>
      </c>
      <c r="C2524" s="8">
        <f t="array" ref="C2524">PRODUCT(1-'Sparkling Model'!D$2:D$38^A2524)</f>
        <v>0.163145023</v>
      </c>
    </row>
    <row r="2525">
      <c r="A2525" s="6">
        <v>2523.0</v>
      </c>
      <c r="B2525" s="17">
        <f t="array" ref="B2525">SUM(1-'Sparkling Model'!D$2:D$38^A2525)</f>
        <v>35.38450376</v>
      </c>
      <c r="C2525" s="8">
        <f t="array" ref="C2525">PRODUCT(1-'Sparkling Model'!D$2:D$38^A2525)</f>
        <v>0.1633929662</v>
      </c>
    </row>
    <row r="2526">
      <c r="A2526" s="6">
        <v>2524.0</v>
      </c>
      <c r="B2526" s="17">
        <f t="array" ref="B2526">SUM(1-'Sparkling Model'!D$2:D$38^A2526)</f>
        <v>35.38578279</v>
      </c>
      <c r="C2526" s="8">
        <f t="array" ref="C2526">PRODUCT(1-'Sparkling Model'!D$2:D$38^A2526)</f>
        <v>0.1636410143</v>
      </c>
    </row>
    <row r="2527">
      <c r="A2527" s="6">
        <v>2525.0</v>
      </c>
      <c r="B2527" s="17">
        <f t="array" ref="B2527">SUM(1-'Sparkling Model'!D$2:D$38^A2527)</f>
        <v>35.3870605</v>
      </c>
      <c r="C2527" s="8">
        <f t="array" ref="C2527">PRODUCT(1-'Sparkling Model'!D$2:D$38^A2527)</f>
        <v>0.163889167</v>
      </c>
    </row>
    <row r="2528">
      <c r="A2528" s="6">
        <v>2526.0</v>
      </c>
      <c r="B2528" s="17">
        <f t="array" ref="B2528">SUM(1-'Sparkling Model'!D$2:D$38^A2528)</f>
        <v>35.38833686</v>
      </c>
      <c r="C2528" s="8">
        <f t="array" ref="C2528">PRODUCT(1-'Sparkling Model'!D$2:D$38^A2528)</f>
        <v>0.1641374241</v>
      </c>
    </row>
    <row r="2529">
      <c r="A2529" s="6">
        <v>2527.0</v>
      </c>
      <c r="B2529" s="17">
        <f t="array" ref="B2529">SUM(1-'Sparkling Model'!D$2:D$38^A2529)</f>
        <v>35.3896119</v>
      </c>
      <c r="C2529" s="8">
        <f t="array" ref="C2529">PRODUCT(1-'Sparkling Model'!D$2:D$38^A2529)</f>
        <v>0.1643857851</v>
      </c>
    </row>
    <row r="2530">
      <c r="A2530" s="6">
        <v>2528.0</v>
      </c>
      <c r="B2530" s="17">
        <f t="array" ref="B2530">SUM(1-'Sparkling Model'!D$2:D$38^A2530)</f>
        <v>35.39088561</v>
      </c>
      <c r="C2530" s="8">
        <f t="array" ref="C2530">PRODUCT(1-'Sparkling Model'!D$2:D$38^A2530)</f>
        <v>0.1646342499</v>
      </c>
    </row>
    <row r="2531">
      <c r="A2531" s="6">
        <v>2529.0</v>
      </c>
      <c r="B2531" s="17">
        <f t="array" ref="B2531">SUM(1-'Sparkling Model'!D$2:D$38^A2531)</f>
        <v>35.39215799</v>
      </c>
      <c r="C2531" s="8">
        <f t="array" ref="C2531">PRODUCT(1-'Sparkling Model'!D$2:D$38^A2531)</f>
        <v>0.1648828182</v>
      </c>
    </row>
    <row r="2532">
      <c r="A2532" s="6">
        <v>2530.0</v>
      </c>
      <c r="B2532" s="17">
        <f t="array" ref="B2532">SUM(1-'Sparkling Model'!D$2:D$38^A2532)</f>
        <v>35.39342905</v>
      </c>
      <c r="C2532" s="8">
        <f t="array" ref="C2532">PRODUCT(1-'Sparkling Model'!D$2:D$38^A2532)</f>
        <v>0.1651314896</v>
      </c>
    </row>
    <row r="2533">
      <c r="A2533" s="6">
        <v>2531.0</v>
      </c>
      <c r="B2533" s="17">
        <f t="array" ref="B2533">SUM(1-'Sparkling Model'!D$2:D$38^A2533)</f>
        <v>35.39469878</v>
      </c>
      <c r="C2533" s="8">
        <f t="array" ref="C2533">PRODUCT(1-'Sparkling Model'!D$2:D$38^A2533)</f>
        <v>0.165380264</v>
      </c>
    </row>
    <row r="2534">
      <c r="A2534" s="6">
        <v>2532.0</v>
      </c>
      <c r="B2534" s="17">
        <f t="array" ref="B2534">SUM(1-'Sparkling Model'!D$2:D$38^A2534)</f>
        <v>35.39596719</v>
      </c>
      <c r="C2534" s="8">
        <f t="array" ref="C2534">PRODUCT(1-'Sparkling Model'!D$2:D$38^A2534)</f>
        <v>0.1656291409</v>
      </c>
    </row>
    <row r="2535">
      <c r="A2535" s="6">
        <v>2533.0</v>
      </c>
      <c r="B2535" s="17">
        <f t="array" ref="B2535">SUM(1-'Sparkling Model'!D$2:D$38^A2535)</f>
        <v>35.39723428</v>
      </c>
      <c r="C2535" s="8">
        <f t="array" ref="C2535">PRODUCT(1-'Sparkling Model'!D$2:D$38^A2535)</f>
        <v>0.1658781202</v>
      </c>
    </row>
    <row r="2536">
      <c r="A2536" s="6">
        <v>2534.0</v>
      </c>
      <c r="B2536" s="17">
        <f t="array" ref="B2536">SUM(1-'Sparkling Model'!D$2:D$38^A2536)</f>
        <v>35.39850005</v>
      </c>
      <c r="C2536" s="8">
        <f t="array" ref="C2536">PRODUCT(1-'Sparkling Model'!D$2:D$38^A2536)</f>
        <v>0.1661272014</v>
      </c>
    </row>
    <row r="2537">
      <c r="A2537" s="6">
        <v>2535.0</v>
      </c>
      <c r="B2537" s="17">
        <f t="array" ref="B2537">SUM(1-'Sparkling Model'!D$2:D$38^A2537)</f>
        <v>35.3997645</v>
      </c>
      <c r="C2537" s="8">
        <f t="array" ref="C2537">PRODUCT(1-'Sparkling Model'!D$2:D$38^A2537)</f>
        <v>0.1663763844</v>
      </c>
    </row>
    <row r="2538">
      <c r="A2538" s="6">
        <v>2536.0</v>
      </c>
      <c r="B2538" s="17">
        <f t="array" ref="B2538">SUM(1-'Sparkling Model'!D$2:D$38^A2538)</f>
        <v>35.40102764</v>
      </c>
      <c r="C2538" s="8">
        <f t="array" ref="C2538">PRODUCT(1-'Sparkling Model'!D$2:D$38^A2538)</f>
        <v>0.1666256689</v>
      </c>
    </row>
    <row r="2539">
      <c r="A2539" s="6">
        <v>2537.0</v>
      </c>
      <c r="B2539" s="17">
        <f t="array" ref="B2539">SUM(1-'Sparkling Model'!D$2:D$38^A2539)</f>
        <v>35.40228946</v>
      </c>
      <c r="C2539" s="8">
        <f t="array" ref="C2539">PRODUCT(1-'Sparkling Model'!D$2:D$38^A2539)</f>
        <v>0.1668750545</v>
      </c>
    </row>
    <row r="2540">
      <c r="A2540" s="6">
        <v>2538.0</v>
      </c>
      <c r="B2540" s="17">
        <f t="array" ref="B2540">SUM(1-'Sparkling Model'!D$2:D$38^A2540)</f>
        <v>35.40354998</v>
      </c>
      <c r="C2540" s="8">
        <f t="array" ref="C2540">PRODUCT(1-'Sparkling Model'!D$2:D$38^A2540)</f>
        <v>0.1671245411</v>
      </c>
    </row>
    <row r="2541">
      <c r="A2541" s="6">
        <v>2539.0</v>
      </c>
      <c r="B2541" s="17">
        <f t="array" ref="B2541">SUM(1-'Sparkling Model'!D$2:D$38^A2541)</f>
        <v>35.40480918</v>
      </c>
      <c r="C2541" s="8">
        <f t="array" ref="C2541">PRODUCT(1-'Sparkling Model'!D$2:D$38^A2541)</f>
        <v>0.1673741282</v>
      </c>
    </row>
    <row r="2542">
      <c r="A2542" s="6">
        <v>2540.0</v>
      </c>
      <c r="B2542" s="17">
        <f t="array" ref="B2542">SUM(1-'Sparkling Model'!D$2:D$38^A2542)</f>
        <v>35.40606707</v>
      </c>
      <c r="C2542" s="8">
        <f t="array" ref="C2542">PRODUCT(1-'Sparkling Model'!D$2:D$38^A2542)</f>
        <v>0.1676238156</v>
      </c>
    </row>
    <row r="2543">
      <c r="A2543" s="6">
        <v>2541.0</v>
      </c>
      <c r="B2543" s="17">
        <f t="array" ref="B2543">SUM(1-'Sparkling Model'!D$2:D$38^A2543)</f>
        <v>35.40732366</v>
      </c>
      <c r="C2543" s="8">
        <f t="array" ref="C2543">PRODUCT(1-'Sparkling Model'!D$2:D$38^A2543)</f>
        <v>0.1678736031</v>
      </c>
    </row>
    <row r="2544">
      <c r="A2544" s="6">
        <v>2542.0</v>
      </c>
      <c r="B2544" s="17">
        <f t="array" ref="B2544">SUM(1-'Sparkling Model'!D$2:D$38^A2544)</f>
        <v>35.40857894</v>
      </c>
      <c r="C2544" s="8">
        <f t="array" ref="C2544">PRODUCT(1-'Sparkling Model'!D$2:D$38^A2544)</f>
        <v>0.1681234903</v>
      </c>
    </row>
    <row r="2545">
      <c r="A2545" s="6">
        <v>2543.0</v>
      </c>
      <c r="B2545" s="17">
        <f t="array" ref="B2545">SUM(1-'Sparkling Model'!D$2:D$38^A2545)</f>
        <v>35.40983293</v>
      </c>
      <c r="C2545" s="8">
        <f t="array" ref="C2545">PRODUCT(1-'Sparkling Model'!D$2:D$38^A2545)</f>
        <v>0.168373477</v>
      </c>
    </row>
    <row r="2546">
      <c r="A2546" s="6">
        <v>2544.0</v>
      </c>
      <c r="B2546" s="17">
        <f t="array" ref="B2546">SUM(1-'Sparkling Model'!D$2:D$38^A2546)</f>
        <v>35.4110856</v>
      </c>
      <c r="C2546" s="8">
        <f t="array" ref="C2546">PRODUCT(1-'Sparkling Model'!D$2:D$38^A2546)</f>
        <v>0.1686235629</v>
      </c>
    </row>
    <row r="2547">
      <c r="A2547" s="6">
        <v>2545.0</v>
      </c>
      <c r="B2547" s="17">
        <f t="array" ref="B2547">SUM(1-'Sparkling Model'!D$2:D$38^A2547)</f>
        <v>35.41233698</v>
      </c>
      <c r="C2547" s="8">
        <f t="array" ref="C2547">PRODUCT(1-'Sparkling Model'!D$2:D$38^A2547)</f>
        <v>0.1688737476</v>
      </c>
    </row>
    <row r="2548">
      <c r="A2548" s="6">
        <v>2546.0</v>
      </c>
      <c r="B2548" s="17">
        <f t="array" ref="B2548">SUM(1-'Sparkling Model'!D$2:D$38^A2548)</f>
        <v>35.41358707</v>
      </c>
      <c r="C2548" s="8">
        <f t="array" ref="C2548">PRODUCT(1-'Sparkling Model'!D$2:D$38^A2548)</f>
        <v>0.169124031</v>
      </c>
    </row>
    <row r="2549">
      <c r="A2549" s="6">
        <v>2547.0</v>
      </c>
      <c r="B2549" s="17">
        <f t="array" ref="B2549">SUM(1-'Sparkling Model'!D$2:D$38^A2549)</f>
        <v>35.41483585</v>
      </c>
      <c r="C2549" s="8">
        <f t="array" ref="C2549">PRODUCT(1-'Sparkling Model'!D$2:D$38^A2549)</f>
        <v>0.1693744126</v>
      </c>
    </row>
    <row r="2550">
      <c r="A2550" s="6">
        <v>2548.0</v>
      </c>
      <c r="B2550" s="17">
        <f t="array" ref="B2550">SUM(1-'Sparkling Model'!D$2:D$38^A2550)</f>
        <v>35.41608334</v>
      </c>
      <c r="C2550" s="8">
        <f t="array" ref="C2550">PRODUCT(1-'Sparkling Model'!D$2:D$38^A2550)</f>
        <v>0.1696248924</v>
      </c>
    </row>
    <row r="2551">
      <c r="A2551" s="6">
        <v>2549.0</v>
      </c>
      <c r="B2551" s="17">
        <f t="array" ref="B2551">SUM(1-'Sparkling Model'!D$2:D$38^A2551)</f>
        <v>35.41732954</v>
      </c>
      <c r="C2551" s="8">
        <f t="array" ref="C2551">PRODUCT(1-'Sparkling Model'!D$2:D$38^A2551)</f>
        <v>0.1698754698</v>
      </c>
    </row>
    <row r="2552">
      <c r="A2552" s="6">
        <v>2550.0</v>
      </c>
      <c r="B2552" s="17">
        <f t="array" ref="B2552">SUM(1-'Sparkling Model'!D$2:D$38^A2552)</f>
        <v>35.41857445</v>
      </c>
      <c r="C2552" s="8">
        <f t="array" ref="C2552">PRODUCT(1-'Sparkling Model'!D$2:D$38^A2552)</f>
        <v>0.1701261448</v>
      </c>
    </row>
    <row r="2553">
      <c r="A2553" s="6">
        <v>2551.0</v>
      </c>
      <c r="B2553" s="17">
        <f t="array" ref="B2553">SUM(1-'Sparkling Model'!D$2:D$38^A2553)</f>
        <v>35.41981807</v>
      </c>
      <c r="C2553" s="8">
        <f t="array" ref="C2553">PRODUCT(1-'Sparkling Model'!D$2:D$38^A2553)</f>
        <v>0.1703769169</v>
      </c>
    </row>
    <row r="2554">
      <c r="A2554" s="6">
        <v>2552.0</v>
      </c>
      <c r="B2554" s="17">
        <f t="array" ref="B2554">SUM(1-'Sparkling Model'!D$2:D$38^A2554)</f>
        <v>35.4210604</v>
      </c>
      <c r="C2554" s="8">
        <f t="array" ref="C2554">PRODUCT(1-'Sparkling Model'!D$2:D$38^A2554)</f>
        <v>0.170627786</v>
      </c>
    </row>
    <row r="2555">
      <c r="A2555" s="6">
        <v>2553.0</v>
      </c>
      <c r="B2555" s="17">
        <f t="array" ref="B2555">SUM(1-'Sparkling Model'!D$2:D$38^A2555)</f>
        <v>35.42230145</v>
      </c>
      <c r="C2555" s="8">
        <f t="array" ref="C2555">PRODUCT(1-'Sparkling Model'!D$2:D$38^A2555)</f>
        <v>0.1708787516</v>
      </c>
    </row>
    <row r="2556">
      <c r="A2556" s="6">
        <v>2554.0</v>
      </c>
      <c r="B2556" s="17">
        <f t="array" ref="B2556">SUM(1-'Sparkling Model'!D$2:D$38^A2556)</f>
        <v>35.42354121</v>
      </c>
      <c r="C2556" s="8">
        <f t="array" ref="C2556">PRODUCT(1-'Sparkling Model'!D$2:D$38^A2556)</f>
        <v>0.1711298136</v>
      </c>
    </row>
    <row r="2557">
      <c r="A2557" s="6">
        <v>2555.0</v>
      </c>
      <c r="B2557" s="17">
        <f t="array" ref="B2557">SUM(1-'Sparkling Model'!D$2:D$38^A2557)</f>
        <v>35.42477969</v>
      </c>
      <c r="C2557" s="8">
        <f t="array" ref="C2557">PRODUCT(1-'Sparkling Model'!D$2:D$38^A2557)</f>
        <v>0.1713809717</v>
      </c>
    </row>
    <row r="2558">
      <c r="A2558" s="6">
        <v>2556.0</v>
      </c>
      <c r="B2558" s="17">
        <f t="array" ref="B2558">SUM(1-'Sparkling Model'!D$2:D$38^A2558)</f>
        <v>35.42601689</v>
      </c>
      <c r="C2558" s="8">
        <f t="array" ref="C2558">PRODUCT(1-'Sparkling Model'!D$2:D$38^A2558)</f>
        <v>0.1716322255</v>
      </c>
    </row>
    <row r="2559">
      <c r="A2559" s="6">
        <v>2557.0</v>
      </c>
      <c r="B2559" s="17">
        <f t="array" ref="B2559">SUM(1-'Sparkling Model'!D$2:D$38^A2559)</f>
        <v>35.42725281</v>
      </c>
      <c r="C2559" s="8">
        <f t="array" ref="C2559">PRODUCT(1-'Sparkling Model'!D$2:D$38^A2559)</f>
        <v>0.1718835748</v>
      </c>
    </row>
    <row r="2560">
      <c r="A2560" s="6">
        <v>2558.0</v>
      </c>
      <c r="B2560" s="17">
        <f t="array" ref="B2560">SUM(1-'Sparkling Model'!D$2:D$38^A2560)</f>
        <v>35.42848745</v>
      </c>
      <c r="C2560" s="8">
        <f t="array" ref="C2560">PRODUCT(1-'Sparkling Model'!D$2:D$38^A2560)</f>
        <v>0.1721350194</v>
      </c>
    </row>
    <row r="2561">
      <c r="A2561" s="6">
        <v>2559.0</v>
      </c>
      <c r="B2561" s="17">
        <f t="array" ref="B2561">SUM(1-'Sparkling Model'!D$2:D$38^A2561)</f>
        <v>35.42972082</v>
      </c>
      <c r="C2561" s="8">
        <f t="array" ref="C2561">PRODUCT(1-'Sparkling Model'!D$2:D$38^A2561)</f>
        <v>0.1723865588</v>
      </c>
    </row>
    <row r="2562">
      <c r="A2562" s="6">
        <v>2560.0</v>
      </c>
      <c r="B2562" s="17">
        <f t="array" ref="B2562">SUM(1-'Sparkling Model'!D$2:D$38^A2562)</f>
        <v>35.43095291</v>
      </c>
      <c r="C2562" s="8">
        <f t="array" ref="C2562">PRODUCT(1-'Sparkling Model'!D$2:D$38^A2562)</f>
        <v>0.1726381929</v>
      </c>
    </row>
    <row r="2563">
      <c r="A2563" s="6">
        <v>2561.0</v>
      </c>
      <c r="B2563" s="17">
        <f t="array" ref="B2563">SUM(1-'Sparkling Model'!D$2:D$38^A2563)</f>
        <v>35.43218374</v>
      </c>
      <c r="C2563" s="8">
        <f t="array" ref="C2563">PRODUCT(1-'Sparkling Model'!D$2:D$38^A2563)</f>
        <v>0.1728899214</v>
      </c>
    </row>
    <row r="2564">
      <c r="A2564" s="6">
        <v>2562.0</v>
      </c>
      <c r="B2564" s="17">
        <f t="array" ref="B2564">SUM(1-'Sparkling Model'!D$2:D$38^A2564)</f>
        <v>35.43341329</v>
      </c>
      <c r="C2564" s="8">
        <f t="array" ref="C2564">PRODUCT(1-'Sparkling Model'!D$2:D$38^A2564)</f>
        <v>0.1731417439</v>
      </c>
    </row>
    <row r="2565">
      <c r="A2565" s="6">
        <v>2563.0</v>
      </c>
      <c r="B2565" s="17">
        <f t="array" ref="B2565">SUM(1-'Sparkling Model'!D$2:D$38^A2565)</f>
        <v>35.43464157</v>
      </c>
      <c r="C2565" s="8">
        <f t="array" ref="C2565">PRODUCT(1-'Sparkling Model'!D$2:D$38^A2565)</f>
        <v>0.1733936603</v>
      </c>
    </row>
    <row r="2566">
      <c r="A2566" s="6">
        <v>2564.0</v>
      </c>
      <c r="B2566" s="17">
        <f t="array" ref="B2566">SUM(1-'Sparkling Model'!D$2:D$38^A2566)</f>
        <v>35.43586859</v>
      </c>
      <c r="C2566" s="8">
        <f t="array" ref="C2566">PRODUCT(1-'Sparkling Model'!D$2:D$38^A2566)</f>
        <v>0.1736456701</v>
      </c>
    </row>
    <row r="2567">
      <c r="A2567" s="6">
        <v>2565.0</v>
      </c>
      <c r="B2567" s="17">
        <f t="array" ref="B2567">SUM(1-'Sparkling Model'!D$2:D$38^A2567)</f>
        <v>35.43709434</v>
      </c>
      <c r="C2567" s="8">
        <f t="array" ref="C2567">PRODUCT(1-'Sparkling Model'!D$2:D$38^A2567)</f>
        <v>0.1738977732</v>
      </c>
    </row>
    <row r="2568">
      <c r="A2568" s="6">
        <v>2566.0</v>
      </c>
      <c r="B2568" s="17">
        <f t="array" ref="B2568">SUM(1-'Sparkling Model'!D$2:D$38^A2568)</f>
        <v>35.43831882</v>
      </c>
      <c r="C2568" s="8">
        <f t="array" ref="C2568">PRODUCT(1-'Sparkling Model'!D$2:D$38^A2568)</f>
        <v>0.1741499693</v>
      </c>
    </row>
    <row r="2569">
      <c r="A2569" s="6">
        <v>2567.0</v>
      </c>
      <c r="B2569" s="17">
        <f t="array" ref="B2569">SUM(1-'Sparkling Model'!D$2:D$38^A2569)</f>
        <v>35.43954205</v>
      </c>
      <c r="C2569" s="8">
        <f t="array" ref="C2569">PRODUCT(1-'Sparkling Model'!D$2:D$38^A2569)</f>
        <v>0.174402258</v>
      </c>
    </row>
    <row r="2570">
      <c r="A2570" s="6">
        <v>2568.0</v>
      </c>
      <c r="B2570" s="17">
        <f t="array" ref="B2570">SUM(1-'Sparkling Model'!D$2:D$38^A2570)</f>
        <v>35.44076401</v>
      </c>
      <c r="C2570" s="8">
        <f t="array" ref="C2570">PRODUCT(1-'Sparkling Model'!D$2:D$38^A2570)</f>
        <v>0.1746546391</v>
      </c>
    </row>
    <row r="2571">
      <c r="A2571" s="6">
        <v>2569.0</v>
      </c>
      <c r="B2571" s="17">
        <f t="array" ref="B2571">SUM(1-'Sparkling Model'!D$2:D$38^A2571)</f>
        <v>35.44198471</v>
      </c>
      <c r="C2571" s="8">
        <f t="array" ref="C2571">PRODUCT(1-'Sparkling Model'!D$2:D$38^A2571)</f>
        <v>0.1749071123</v>
      </c>
    </row>
    <row r="2572">
      <c r="A2572" s="6">
        <v>2570.0</v>
      </c>
      <c r="B2572" s="17">
        <f t="array" ref="B2572">SUM(1-'Sparkling Model'!D$2:D$38^A2572)</f>
        <v>35.44320416</v>
      </c>
      <c r="C2572" s="8">
        <f t="array" ref="C2572">PRODUCT(1-'Sparkling Model'!D$2:D$38^A2572)</f>
        <v>0.1751596774</v>
      </c>
    </row>
    <row r="2573">
      <c r="A2573" s="6">
        <v>2571.0</v>
      </c>
      <c r="B2573" s="17">
        <f t="array" ref="B2573">SUM(1-'Sparkling Model'!D$2:D$38^A2573)</f>
        <v>35.44442236</v>
      </c>
      <c r="C2573" s="8">
        <f t="array" ref="C2573">PRODUCT(1-'Sparkling Model'!D$2:D$38^A2573)</f>
        <v>0.175412334</v>
      </c>
    </row>
    <row r="2574">
      <c r="A2574" s="6">
        <v>2572.0</v>
      </c>
      <c r="B2574" s="17">
        <f t="array" ref="B2574">SUM(1-'Sparkling Model'!D$2:D$38^A2574)</f>
        <v>35.44563929</v>
      </c>
      <c r="C2574" s="8">
        <f t="array" ref="C2574">PRODUCT(1-'Sparkling Model'!D$2:D$38^A2574)</f>
        <v>0.1756650819</v>
      </c>
    </row>
    <row r="2575">
      <c r="A2575" s="6">
        <v>2573.0</v>
      </c>
      <c r="B2575" s="17">
        <f t="array" ref="B2575">SUM(1-'Sparkling Model'!D$2:D$38^A2575)</f>
        <v>35.44685498</v>
      </c>
      <c r="C2575" s="8">
        <f t="array" ref="C2575">PRODUCT(1-'Sparkling Model'!D$2:D$38^A2575)</f>
        <v>0.1759179208</v>
      </c>
    </row>
    <row r="2576">
      <c r="A2576" s="6">
        <v>2574.0</v>
      </c>
      <c r="B2576" s="17">
        <f t="array" ref="B2576">SUM(1-'Sparkling Model'!D$2:D$38^A2576)</f>
        <v>35.44806942</v>
      </c>
      <c r="C2576" s="8">
        <f t="array" ref="C2576">PRODUCT(1-'Sparkling Model'!D$2:D$38^A2576)</f>
        <v>0.1761708503</v>
      </c>
    </row>
    <row r="2577">
      <c r="A2577" s="6">
        <v>2575.0</v>
      </c>
      <c r="B2577" s="17">
        <f t="array" ref="B2577">SUM(1-'Sparkling Model'!D$2:D$38^A2577)</f>
        <v>35.44928261</v>
      </c>
      <c r="C2577" s="8">
        <f t="array" ref="C2577">PRODUCT(1-'Sparkling Model'!D$2:D$38^A2577)</f>
        <v>0.1764238704</v>
      </c>
    </row>
    <row r="2578">
      <c r="A2578" s="6">
        <v>2576.0</v>
      </c>
      <c r="B2578" s="17">
        <f t="array" ref="B2578">SUM(1-'Sparkling Model'!D$2:D$38^A2578)</f>
        <v>35.45049455</v>
      </c>
      <c r="C2578" s="8">
        <f t="array" ref="C2578">PRODUCT(1-'Sparkling Model'!D$2:D$38^A2578)</f>
        <v>0.1766769805</v>
      </c>
    </row>
    <row r="2579">
      <c r="A2579" s="6">
        <v>2577.0</v>
      </c>
      <c r="B2579" s="17">
        <f t="array" ref="B2579">SUM(1-'Sparkling Model'!D$2:D$38^A2579)</f>
        <v>35.45170524</v>
      </c>
      <c r="C2579" s="8">
        <f t="array" ref="C2579">PRODUCT(1-'Sparkling Model'!D$2:D$38^A2579)</f>
        <v>0.1769301806</v>
      </c>
    </row>
    <row r="2580">
      <c r="A2580" s="6">
        <v>2578.0</v>
      </c>
      <c r="B2580" s="17">
        <f t="array" ref="B2580">SUM(1-'Sparkling Model'!D$2:D$38^A2580)</f>
        <v>35.45291469</v>
      </c>
      <c r="C2580" s="8">
        <f t="array" ref="C2580">PRODUCT(1-'Sparkling Model'!D$2:D$38^A2580)</f>
        <v>0.1771834702</v>
      </c>
    </row>
    <row r="2581">
      <c r="A2581" s="6">
        <v>2579.0</v>
      </c>
      <c r="B2581" s="17">
        <f t="array" ref="B2581">SUM(1-'Sparkling Model'!D$2:D$38^A2581)</f>
        <v>35.4541229</v>
      </c>
      <c r="C2581" s="8">
        <f t="array" ref="C2581">PRODUCT(1-'Sparkling Model'!D$2:D$38^A2581)</f>
        <v>0.1774368492</v>
      </c>
    </row>
    <row r="2582">
      <c r="A2582" s="6">
        <v>2580.0</v>
      </c>
      <c r="B2582" s="17">
        <f t="array" ref="B2582">SUM(1-'Sparkling Model'!D$2:D$38^A2582)</f>
        <v>35.45532987</v>
      </c>
      <c r="C2582" s="8">
        <f t="array" ref="C2582">PRODUCT(1-'Sparkling Model'!D$2:D$38^A2582)</f>
        <v>0.1776903172</v>
      </c>
    </row>
    <row r="2583">
      <c r="A2583" s="6">
        <v>2581.0</v>
      </c>
      <c r="B2583" s="17">
        <f t="array" ref="B2583">SUM(1-'Sparkling Model'!D$2:D$38^A2583)</f>
        <v>35.4565356</v>
      </c>
      <c r="C2583" s="8">
        <f t="array" ref="C2583">PRODUCT(1-'Sparkling Model'!D$2:D$38^A2583)</f>
        <v>0.1779438739</v>
      </c>
    </row>
    <row r="2584">
      <c r="A2584" s="6">
        <v>2582.0</v>
      </c>
      <c r="B2584" s="17">
        <f t="array" ref="B2584">SUM(1-'Sparkling Model'!D$2:D$38^A2584)</f>
        <v>35.45774009</v>
      </c>
      <c r="C2584" s="8">
        <f t="array" ref="C2584">PRODUCT(1-'Sparkling Model'!D$2:D$38^A2584)</f>
        <v>0.1781975191</v>
      </c>
    </row>
    <row r="2585">
      <c r="A2585" s="6">
        <v>2583.0</v>
      </c>
      <c r="B2585" s="17">
        <f t="array" ref="B2585">SUM(1-'Sparkling Model'!D$2:D$38^A2585)</f>
        <v>35.45894335</v>
      </c>
      <c r="C2585" s="8">
        <f t="array" ref="C2585">PRODUCT(1-'Sparkling Model'!D$2:D$38^A2585)</f>
        <v>0.1784512526</v>
      </c>
    </row>
    <row r="2586">
      <c r="A2586" s="6">
        <v>2584.0</v>
      </c>
      <c r="B2586" s="17">
        <f t="array" ref="B2586">SUM(1-'Sparkling Model'!D$2:D$38^A2586)</f>
        <v>35.46014537</v>
      </c>
      <c r="C2586" s="8">
        <f t="array" ref="C2586">PRODUCT(1-'Sparkling Model'!D$2:D$38^A2586)</f>
        <v>0.1787050739</v>
      </c>
    </row>
    <row r="2587">
      <c r="A2587" s="6">
        <v>2585.0</v>
      </c>
      <c r="B2587" s="17">
        <f t="array" ref="B2587">SUM(1-'Sparkling Model'!D$2:D$38^A2587)</f>
        <v>35.46134616</v>
      </c>
      <c r="C2587" s="8">
        <f t="array" ref="C2587">PRODUCT(1-'Sparkling Model'!D$2:D$38^A2587)</f>
        <v>0.1789589829</v>
      </c>
    </row>
    <row r="2588">
      <c r="A2588" s="6">
        <v>2586.0</v>
      </c>
      <c r="B2588" s="17">
        <f t="array" ref="B2588">SUM(1-'Sparkling Model'!D$2:D$38^A2588)</f>
        <v>35.46254572</v>
      </c>
      <c r="C2588" s="8">
        <f t="array" ref="C2588">PRODUCT(1-'Sparkling Model'!D$2:D$38^A2588)</f>
        <v>0.1792129793</v>
      </c>
    </row>
    <row r="2589">
      <c r="A2589" s="6">
        <v>2587.0</v>
      </c>
      <c r="B2589" s="17">
        <f t="array" ref="B2589">SUM(1-'Sparkling Model'!D$2:D$38^A2589)</f>
        <v>35.46374405</v>
      </c>
      <c r="C2589" s="8">
        <f t="array" ref="C2589">PRODUCT(1-'Sparkling Model'!D$2:D$38^A2589)</f>
        <v>0.1794670628</v>
      </c>
    </row>
    <row r="2590">
      <c r="A2590" s="6">
        <v>2588.0</v>
      </c>
      <c r="B2590" s="17">
        <f t="array" ref="B2590">SUM(1-'Sparkling Model'!D$2:D$38^A2590)</f>
        <v>35.46494116</v>
      </c>
      <c r="C2590" s="8">
        <f t="array" ref="C2590">PRODUCT(1-'Sparkling Model'!D$2:D$38^A2590)</f>
        <v>0.179721233</v>
      </c>
    </row>
    <row r="2591">
      <c r="A2591" s="6">
        <v>2589.0</v>
      </c>
      <c r="B2591" s="17">
        <f t="array" ref="B2591">SUM(1-'Sparkling Model'!D$2:D$38^A2591)</f>
        <v>35.46613703</v>
      </c>
      <c r="C2591" s="8">
        <f t="array" ref="C2591">PRODUCT(1-'Sparkling Model'!D$2:D$38^A2591)</f>
        <v>0.1799754898</v>
      </c>
    </row>
    <row r="2592">
      <c r="A2592" s="6">
        <v>2590.0</v>
      </c>
      <c r="B2592" s="17">
        <f t="array" ref="B2592">SUM(1-'Sparkling Model'!D$2:D$38^A2592)</f>
        <v>35.46733169</v>
      </c>
      <c r="C2592" s="8">
        <f t="array" ref="C2592">PRODUCT(1-'Sparkling Model'!D$2:D$38^A2592)</f>
        <v>0.1802298329</v>
      </c>
    </row>
    <row r="2593">
      <c r="A2593" s="6">
        <v>2591.0</v>
      </c>
      <c r="B2593" s="17">
        <f t="array" ref="B2593">SUM(1-'Sparkling Model'!D$2:D$38^A2593)</f>
        <v>35.46852512</v>
      </c>
      <c r="C2593" s="8">
        <f t="array" ref="C2593">PRODUCT(1-'Sparkling Model'!D$2:D$38^A2593)</f>
        <v>0.180484262</v>
      </c>
    </row>
    <row r="2594">
      <c r="A2594" s="6">
        <v>2592.0</v>
      </c>
      <c r="B2594" s="17">
        <f t="array" ref="B2594">SUM(1-'Sparkling Model'!D$2:D$38^A2594)</f>
        <v>35.46971733</v>
      </c>
      <c r="C2594" s="8">
        <f t="array" ref="C2594">PRODUCT(1-'Sparkling Model'!D$2:D$38^A2594)</f>
        <v>0.1807387767</v>
      </c>
    </row>
    <row r="2595">
      <c r="A2595" s="6">
        <v>2593.0</v>
      </c>
      <c r="B2595" s="17">
        <f t="array" ref="B2595">SUM(1-'Sparkling Model'!D$2:D$38^A2595)</f>
        <v>35.47090832</v>
      </c>
      <c r="C2595" s="8">
        <f t="array" ref="C2595">PRODUCT(1-'Sparkling Model'!D$2:D$38^A2595)</f>
        <v>0.1809933769</v>
      </c>
    </row>
    <row r="2596">
      <c r="A2596" s="6">
        <v>2594.0</v>
      </c>
      <c r="B2596" s="17">
        <f t="array" ref="B2596">SUM(1-'Sparkling Model'!D$2:D$38^A2596)</f>
        <v>35.47209809</v>
      </c>
      <c r="C2596" s="8">
        <f t="array" ref="C2596">PRODUCT(1-'Sparkling Model'!D$2:D$38^A2596)</f>
        <v>0.1812480622</v>
      </c>
    </row>
    <row r="2597">
      <c r="A2597" s="6">
        <v>2595.0</v>
      </c>
      <c r="B2597" s="17">
        <f t="array" ref="B2597">SUM(1-'Sparkling Model'!D$2:D$38^A2597)</f>
        <v>35.47328664</v>
      </c>
      <c r="C2597" s="8">
        <f t="array" ref="C2597">PRODUCT(1-'Sparkling Model'!D$2:D$38^A2597)</f>
        <v>0.1815028324</v>
      </c>
    </row>
    <row r="2598">
      <c r="A2598" s="6">
        <v>2596.0</v>
      </c>
      <c r="B2598" s="17">
        <f t="array" ref="B2598">SUM(1-'Sparkling Model'!D$2:D$38^A2598)</f>
        <v>35.47447398</v>
      </c>
      <c r="C2598" s="8">
        <f t="array" ref="C2598">PRODUCT(1-'Sparkling Model'!D$2:D$38^A2598)</f>
        <v>0.1817576872</v>
      </c>
    </row>
    <row r="2599">
      <c r="A2599" s="6">
        <v>2597.0</v>
      </c>
      <c r="B2599" s="17">
        <f t="array" ref="B2599">SUM(1-'Sparkling Model'!D$2:D$38^A2599)</f>
        <v>35.47566011</v>
      </c>
      <c r="C2599" s="8">
        <f t="array" ref="C2599">PRODUCT(1-'Sparkling Model'!D$2:D$38^A2599)</f>
        <v>0.1820126264</v>
      </c>
    </row>
    <row r="2600">
      <c r="A2600" s="6">
        <v>2598.0</v>
      </c>
      <c r="B2600" s="17">
        <f t="array" ref="B2600">SUM(1-'Sparkling Model'!D$2:D$38^A2600)</f>
        <v>35.47684503</v>
      </c>
      <c r="C2600" s="8">
        <f t="array" ref="C2600">PRODUCT(1-'Sparkling Model'!D$2:D$38^A2600)</f>
        <v>0.1822676496</v>
      </c>
    </row>
    <row r="2601">
      <c r="A2601" s="6">
        <v>2599.0</v>
      </c>
      <c r="B2601" s="17">
        <f t="array" ref="B2601">SUM(1-'Sparkling Model'!D$2:D$38^A2601)</f>
        <v>35.47802873</v>
      </c>
      <c r="C2601" s="8">
        <f t="array" ref="C2601">PRODUCT(1-'Sparkling Model'!D$2:D$38^A2601)</f>
        <v>0.1825227565</v>
      </c>
    </row>
    <row r="2602">
      <c r="A2602" s="6">
        <v>2600.0</v>
      </c>
      <c r="B2602" s="17">
        <f t="array" ref="B2602">SUM(1-'Sparkling Model'!D$2:D$38^A2602)</f>
        <v>35.47921123</v>
      </c>
      <c r="C2602" s="8">
        <f t="array" ref="C2602">PRODUCT(1-'Sparkling Model'!D$2:D$38^A2602)</f>
        <v>0.182777947</v>
      </c>
    </row>
    <row r="2603">
      <c r="A2603" s="6">
        <v>2601.0</v>
      </c>
      <c r="B2603" s="17">
        <f t="array" ref="B2603">SUM(1-'Sparkling Model'!D$2:D$38^A2603)</f>
        <v>35.48039252</v>
      </c>
      <c r="C2603" s="8">
        <f t="array" ref="C2603">PRODUCT(1-'Sparkling Model'!D$2:D$38^A2603)</f>
        <v>0.1830332207</v>
      </c>
    </row>
    <row r="2604">
      <c r="A2604" s="6">
        <v>2602.0</v>
      </c>
      <c r="B2604" s="17">
        <f t="array" ref="B2604">SUM(1-'Sparkling Model'!D$2:D$38^A2604)</f>
        <v>35.48157261</v>
      </c>
      <c r="C2604" s="8">
        <f t="array" ref="C2604">PRODUCT(1-'Sparkling Model'!D$2:D$38^A2604)</f>
        <v>0.1832885773</v>
      </c>
    </row>
    <row r="2605">
      <c r="A2605" s="6">
        <v>2603.0</v>
      </c>
      <c r="B2605" s="17">
        <f t="array" ref="B2605">SUM(1-'Sparkling Model'!D$2:D$38^A2605)</f>
        <v>35.48275149</v>
      </c>
      <c r="C2605" s="8">
        <f t="array" ref="C2605">PRODUCT(1-'Sparkling Model'!D$2:D$38^A2605)</f>
        <v>0.1835440166</v>
      </c>
    </row>
    <row r="2606">
      <c r="A2606" s="6">
        <v>2604.0</v>
      </c>
      <c r="B2606" s="17">
        <f t="array" ref="B2606">SUM(1-'Sparkling Model'!D$2:D$38^A2606)</f>
        <v>35.48392917</v>
      </c>
      <c r="C2606" s="8">
        <f t="array" ref="C2606">PRODUCT(1-'Sparkling Model'!D$2:D$38^A2606)</f>
        <v>0.1837995383</v>
      </c>
    </row>
    <row r="2607">
      <c r="A2607" s="6">
        <v>2605.0</v>
      </c>
      <c r="B2607" s="17">
        <f t="array" ref="B2607">SUM(1-'Sparkling Model'!D$2:D$38^A2607)</f>
        <v>35.48510565</v>
      </c>
      <c r="C2607" s="8">
        <f t="array" ref="C2607">PRODUCT(1-'Sparkling Model'!D$2:D$38^A2607)</f>
        <v>0.1840551422</v>
      </c>
    </row>
    <row r="2608">
      <c r="A2608" s="6">
        <v>2606.0</v>
      </c>
      <c r="B2608" s="17">
        <f t="array" ref="B2608">SUM(1-'Sparkling Model'!D$2:D$38^A2608)</f>
        <v>35.48628094</v>
      </c>
      <c r="C2608" s="8">
        <f t="array" ref="C2608">PRODUCT(1-'Sparkling Model'!D$2:D$38^A2608)</f>
        <v>0.1843108278</v>
      </c>
    </row>
    <row r="2609">
      <c r="A2609" s="6">
        <v>2607.0</v>
      </c>
      <c r="B2609" s="17">
        <f t="array" ref="B2609">SUM(1-'Sparkling Model'!D$2:D$38^A2609)</f>
        <v>35.48745502</v>
      </c>
      <c r="C2609" s="8">
        <f t="array" ref="C2609">PRODUCT(1-'Sparkling Model'!D$2:D$38^A2609)</f>
        <v>0.1845665951</v>
      </c>
    </row>
    <row r="2610">
      <c r="A2610" s="6">
        <v>2608.0</v>
      </c>
      <c r="B2610" s="17">
        <f t="array" ref="B2610">SUM(1-'Sparkling Model'!D$2:D$38^A2610)</f>
        <v>35.48862791</v>
      </c>
      <c r="C2610" s="8">
        <f t="array" ref="C2610">PRODUCT(1-'Sparkling Model'!D$2:D$38^A2610)</f>
        <v>0.1848224437</v>
      </c>
    </row>
    <row r="2611">
      <c r="A2611" s="6">
        <v>2609.0</v>
      </c>
      <c r="B2611" s="17">
        <f t="array" ref="B2611">SUM(1-'Sparkling Model'!D$2:D$38^A2611)</f>
        <v>35.4897996</v>
      </c>
      <c r="C2611" s="8">
        <f t="array" ref="C2611">PRODUCT(1-'Sparkling Model'!D$2:D$38^A2611)</f>
        <v>0.1850783733</v>
      </c>
    </row>
    <row r="2612">
      <c r="A2612" s="6">
        <v>2610.0</v>
      </c>
      <c r="B2612" s="17">
        <f t="array" ref="B2612">SUM(1-'Sparkling Model'!D$2:D$38^A2612)</f>
        <v>35.49097011</v>
      </c>
      <c r="C2612" s="8">
        <f t="array" ref="C2612">PRODUCT(1-'Sparkling Model'!D$2:D$38^A2612)</f>
        <v>0.1853343836</v>
      </c>
    </row>
    <row r="2613">
      <c r="A2613" s="6">
        <v>2611.0</v>
      </c>
      <c r="B2613" s="17">
        <f t="array" ref="B2613">SUM(1-'Sparkling Model'!D$2:D$38^A2613)</f>
        <v>35.49213942</v>
      </c>
      <c r="C2613" s="8">
        <f t="array" ref="C2613">PRODUCT(1-'Sparkling Model'!D$2:D$38^A2613)</f>
        <v>0.1855904745</v>
      </c>
    </row>
    <row r="2614">
      <c r="A2614" s="6">
        <v>2612.0</v>
      </c>
      <c r="B2614" s="17">
        <f t="array" ref="B2614">SUM(1-'Sparkling Model'!D$2:D$38^A2614)</f>
        <v>35.49330754</v>
      </c>
      <c r="C2614" s="8">
        <f t="array" ref="C2614">PRODUCT(1-'Sparkling Model'!D$2:D$38^A2614)</f>
        <v>0.1858466456</v>
      </c>
    </row>
    <row r="2615">
      <c r="A2615" s="6">
        <v>2613.0</v>
      </c>
      <c r="B2615" s="17">
        <f t="array" ref="B2615">SUM(1-'Sparkling Model'!D$2:D$38^A2615)</f>
        <v>35.49447447</v>
      </c>
      <c r="C2615" s="8">
        <f t="array" ref="C2615">PRODUCT(1-'Sparkling Model'!D$2:D$38^A2615)</f>
        <v>0.1861028966</v>
      </c>
    </row>
    <row r="2616">
      <c r="A2616" s="6">
        <v>2614.0</v>
      </c>
      <c r="B2616" s="17">
        <f t="array" ref="B2616">SUM(1-'Sparkling Model'!D$2:D$38^A2616)</f>
        <v>35.49564022</v>
      </c>
      <c r="C2616" s="8">
        <f t="array" ref="C2616">PRODUCT(1-'Sparkling Model'!D$2:D$38^A2616)</f>
        <v>0.1863592272</v>
      </c>
    </row>
    <row r="2617">
      <c r="A2617" s="6">
        <v>2615.0</v>
      </c>
      <c r="B2617" s="17">
        <f t="array" ref="B2617">SUM(1-'Sparkling Model'!D$2:D$38^A2617)</f>
        <v>35.49680478</v>
      </c>
      <c r="C2617" s="8">
        <f t="array" ref="C2617">PRODUCT(1-'Sparkling Model'!D$2:D$38^A2617)</f>
        <v>0.1866156373</v>
      </c>
    </row>
    <row r="2618">
      <c r="A2618" s="6">
        <v>2616.0</v>
      </c>
      <c r="B2618" s="17">
        <f t="array" ref="B2618">SUM(1-'Sparkling Model'!D$2:D$38^A2618)</f>
        <v>35.49796816</v>
      </c>
      <c r="C2618" s="8">
        <f t="array" ref="C2618">PRODUCT(1-'Sparkling Model'!D$2:D$38^A2618)</f>
        <v>0.1868721265</v>
      </c>
    </row>
    <row r="2619">
      <c r="A2619" s="6">
        <v>2617.0</v>
      </c>
      <c r="B2619" s="17">
        <f t="array" ref="B2619">SUM(1-'Sparkling Model'!D$2:D$38^A2619)</f>
        <v>35.49913036</v>
      </c>
      <c r="C2619" s="8">
        <f t="array" ref="C2619">PRODUCT(1-'Sparkling Model'!D$2:D$38^A2619)</f>
        <v>0.1871286945</v>
      </c>
    </row>
    <row r="2620">
      <c r="A2620" s="6">
        <v>2618.0</v>
      </c>
      <c r="B2620" s="17">
        <f t="array" ref="B2620">SUM(1-'Sparkling Model'!D$2:D$38^A2620)</f>
        <v>35.50029138</v>
      </c>
      <c r="C2620" s="8">
        <f t="array" ref="C2620">PRODUCT(1-'Sparkling Model'!D$2:D$38^A2620)</f>
        <v>0.1873853411</v>
      </c>
    </row>
    <row r="2621">
      <c r="A2621" s="6">
        <v>2619.0</v>
      </c>
      <c r="B2621" s="17">
        <f t="array" ref="B2621">SUM(1-'Sparkling Model'!D$2:D$38^A2621)</f>
        <v>35.50145122</v>
      </c>
      <c r="C2621" s="8">
        <f t="array" ref="C2621">PRODUCT(1-'Sparkling Model'!D$2:D$38^A2621)</f>
        <v>0.187642066</v>
      </c>
    </row>
    <row r="2622">
      <c r="A2622" s="6">
        <v>2620.0</v>
      </c>
      <c r="B2622" s="17">
        <f t="array" ref="B2622">SUM(1-'Sparkling Model'!D$2:D$38^A2622)</f>
        <v>35.50260988</v>
      </c>
      <c r="C2622" s="8">
        <f t="array" ref="C2622">PRODUCT(1-'Sparkling Model'!D$2:D$38^A2622)</f>
        <v>0.187898869</v>
      </c>
    </row>
    <row r="2623">
      <c r="A2623" s="6">
        <v>2621.0</v>
      </c>
      <c r="B2623" s="17">
        <f t="array" ref="B2623">SUM(1-'Sparkling Model'!D$2:D$38^A2623)</f>
        <v>35.50376737</v>
      </c>
      <c r="C2623" s="8">
        <f t="array" ref="C2623">PRODUCT(1-'Sparkling Model'!D$2:D$38^A2623)</f>
        <v>0.1881557497</v>
      </c>
    </row>
    <row r="2624">
      <c r="A2624" s="6">
        <v>2622.0</v>
      </c>
      <c r="B2624" s="17">
        <f t="array" ref="B2624">SUM(1-'Sparkling Model'!D$2:D$38^A2624)</f>
        <v>35.50492368</v>
      </c>
      <c r="C2624" s="8">
        <f t="array" ref="C2624">PRODUCT(1-'Sparkling Model'!D$2:D$38^A2624)</f>
        <v>0.1884127079</v>
      </c>
    </row>
    <row r="2625">
      <c r="A2625" s="6">
        <v>2623.0</v>
      </c>
      <c r="B2625" s="17">
        <f t="array" ref="B2625">SUM(1-'Sparkling Model'!D$2:D$38^A2625)</f>
        <v>35.50607882</v>
      </c>
      <c r="C2625" s="8">
        <f t="array" ref="C2625">PRODUCT(1-'Sparkling Model'!D$2:D$38^A2625)</f>
        <v>0.1886697434</v>
      </c>
    </row>
    <row r="2626">
      <c r="A2626" s="6">
        <v>2624.0</v>
      </c>
      <c r="B2626" s="17">
        <f t="array" ref="B2626">SUM(1-'Sparkling Model'!D$2:D$38^A2626)</f>
        <v>35.50723279</v>
      </c>
      <c r="C2626" s="8">
        <f t="array" ref="C2626">PRODUCT(1-'Sparkling Model'!D$2:D$38^A2626)</f>
        <v>0.1889268558</v>
      </c>
    </row>
    <row r="2627">
      <c r="A2627" s="6">
        <v>2625.0</v>
      </c>
      <c r="B2627" s="17">
        <f t="array" ref="B2627">SUM(1-'Sparkling Model'!D$2:D$38^A2627)</f>
        <v>35.50838559</v>
      </c>
      <c r="C2627" s="8">
        <f t="array" ref="C2627">PRODUCT(1-'Sparkling Model'!D$2:D$38^A2627)</f>
        <v>0.1891840449</v>
      </c>
    </row>
    <row r="2628">
      <c r="A2628" s="6">
        <v>2626.0</v>
      </c>
      <c r="B2628" s="17">
        <f t="array" ref="B2628">SUM(1-'Sparkling Model'!D$2:D$38^A2628)</f>
        <v>35.50953722</v>
      </c>
      <c r="C2628" s="8">
        <f t="array" ref="C2628">PRODUCT(1-'Sparkling Model'!D$2:D$38^A2628)</f>
        <v>0.1894413104</v>
      </c>
    </row>
    <row r="2629">
      <c r="A2629" s="6">
        <v>2627.0</v>
      </c>
      <c r="B2629" s="17">
        <f t="array" ref="B2629">SUM(1-'Sparkling Model'!D$2:D$38^A2629)</f>
        <v>35.51068769</v>
      </c>
      <c r="C2629" s="8">
        <f t="array" ref="C2629">PRODUCT(1-'Sparkling Model'!D$2:D$38^A2629)</f>
        <v>0.189698652</v>
      </c>
    </row>
    <row r="2630">
      <c r="A2630" s="6">
        <v>2628.0</v>
      </c>
      <c r="B2630" s="17">
        <f t="array" ref="B2630">SUM(1-'Sparkling Model'!D$2:D$38^A2630)</f>
        <v>35.51183699</v>
      </c>
      <c r="C2630" s="8">
        <f t="array" ref="C2630">PRODUCT(1-'Sparkling Model'!D$2:D$38^A2630)</f>
        <v>0.1899560695</v>
      </c>
    </row>
    <row r="2631">
      <c r="A2631" s="6">
        <v>2629.0</v>
      </c>
      <c r="B2631" s="17">
        <f t="array" ref="B2631">SUM(1-'Sparkling Model'!D$2:D$38^A2631)</f>
        <v>35.51298512</v>
      </c>
      <c r="C2631" s="8">
        <f t="array" ref="C2631">PRODUCT(1-'Sparkling Model'!D$2:D$38^A2631)</f>
        <v>0.1902135627</v>
      </c>
    </row>
    <row r="2632">
      <c r="A2632" s="6">
        <v>2630.0</v>
      </c>
      <c r="B2632" s="17">
        <f t="array" ref="B2632">SUM(1-'Sparkling Model'!D$2:D$38^A2632)</f>
        <v>35.5141321</v>
      </c>
      <c r="C2632" s="8">
        <f t="array" ref="C2632">PRODUCT(1-'Sparkling Model'!D$2:D$38^A2632)</f>
        <v>0.1904711311</v>
      </c>
    </row>
    <row r="2633">
      <c r="A2633" s="6">
        <v>2631.0</v>
      </c>
      <c r="B2633" s="17">
        <f t="array" ref="B2633">SUM(1-'Sparkling Model'!D$2:D$38^A2633)</f>
        <v>35.51527792</v>
      </c>
      <c r="C2633" s="8">
        <f t="array" ref="C2633">PRODUCT(1-'Sparkling Model'!D$2:D$38^A2633)</f>
        <v>0.1907287746</v>
      </c>
    </row>
    <row r="2634">
      <c r="A2634" s="6">
        <v>2632.0</v>
      </c>
      <c r="B2634" s="17">
        <f t="array" ref="B2634">SUM(1-'Sparkling Model'!D$2:D$38^A2634)</f>
        <v>35.51642257</v>
      </c>
      <c r="C2634" s="8">
        <f t="array" ref="C2634">PRODUCT(1-'Sparkling Model'!D$2:D$38^A2634)</f>
        <v>0.190986493</v>
      </c>
    </row>
    <row r="2635">
      <c r="A2635" s="6">
        <v>2633.0</v>
      </c>
      <c r="B2635" s="17">
        <f t="array" ref="B2635">SUM(1-'Sparkling Model'!D$2:D$38^A2635)</f>
        <v>35.51756607</v>
      </c>
      <c r="C2635" s="8">
        <f t="array" ref="C2635">PRODUCT(1-'Sparkling Model'!D$2:D$38^A2635)</f>
        <v>0.1912442858</v>
      </c>
    </row>
    <row r="2636">
      <c r="A2636" s="6">
        <v>2634.0</v>
      </c>
      <c r="B2636" s="17">
        <f t="array" ref="B2636">SUM(1-'Sparkling Model'!D$2:D$38^A2636)</f>
        <v>35.51870842</v>
      </c>
      <c r="C2636" s="8">
        <f t="array" ref="C2636">PRODUCT(1-'Sparkling Model'!D$2:D$38^A2636)</f>
        <v>0.1915021529</v>
      </c>
    </row>
    <row r="2637">
      <c r="A2637" s="6">
        <v>2635.0</v>
      </c>
      <c r="B2637" s="17">
        <f t="array" ref="B2637">SUM(1-'Sparkling Model'!D$2:D$38^A2637)</f>
        <v>35.5198496</v>
      </c>
      <c r="C2637" s="8">
        <f t="array" ref="C2637">PRODUCT(1-'Sparkling Model'!D$2:D$38^A2637)</f>
        <v>0.191760094</v>
      </c>
    </row>
    <row r="2638">
      <c r="A2638" s="6">
        <v>2636.0</v>
      </c>
      <c r="B2638" s="17">
        <f t="array" ref="B2638">SUM(1-'Sparkling Model'!D$2:D$38^A2638)</f>
        <v>35.52098964</v>
      </c>
      <c r="C2638" s="8">
        <f t="array" ref="C2638">PRODUCT(1-'Sparkling Model'!D$2:D$38^A2638)</f>
        <v>0.1920181089</v>
      </c>
    </row>
    <row r="2639">
      <c r="A2639" s="6">
        <v>2637.0</v>
      </c>
      <c r="B2639" s="17">
        <f t="array" ref="B2639">SUM(1-'Sparkling Model'!D$2:D$38^A2639)</f>
        <v>35.52212853</v>
      </c>
      <c r="C2639" s="8">
        <f t="array" ref="C2639">PRODUCT(1-'Sparkling Model'!D$2:D$38^A2639)</f>
        <v>0.1922761972</v>
      </c>
    </row>
    <row r="2640">
      <c r="A2640" s="6">
        <v>2638.0</v>
      </c>
      <c r="B2640" s="17">
        <f t="array" ref="B2640">SUM(1-'Sparkling Model'!D$2:D$38^A2640)</f>
        <v>35.52326626</v>
      </c>
      <c r="C2640" s="8">
        <f t="array" ref="C2640">PRODUCT(1-'Sparkling Model'!D$2:D$38^A2640)</f>
        <v>0.1925343587</v>
      </c>
    </row>
    <row r="2641">
      <c r="A2641" s="6">
        <v>2639.0</v>
      </c>
      <c r="B2641" s="17">
        <f t="array" ref="B2641">SUM(1-'Sparkling Model'!D$2:D$38^A2641)</f>
        <v>35.52440285</v>
      </c>
      <c r="C2641" s="8">
        <f t="array" ref="C2641">PRODUCT(1-'Sparkling Model'!D$2:D$38^A2641)</f>
        <v>0.1927925931</v>
      </c>
    </row>
    <row r="2642">
      <c r="A2642" s="6">
        <v>2640.0</v>
      </c>
      <c r="B2642" s="17">
        <f t="array" ref="B2642">SUM(1-'Sparkling Model'!D$2:D$38^A2642)</f>
        <v>35.52553829</v>
      </c>
      <c r="C2642" s="8">
        <f t="array" ref="C2642">PRODUCT(1-'Sparkling Model'!D$2:D$38^A2642)</f>
        <v>0.1930509001</v>
      </c>
    </row>
    <row r="2643">
      <c r="A2643" s="6">
        <v>2641.0</v>
      </c>
      <c r="B2643" s="17">
        <f t="array" ref="B2643">SUM(1-'Sparkling Model'!D$2:D$38^A2643)</f>
        <v>35.52667259</v>
      </c>
      <c r="C2643" s="8">
        <f t="array" ref="C2643">PRODUCT(1-'Sparkling Model'!D$2:D$38^A2643)</f>
        <v>0.1933092796</v>
      </c>
    </row>
    <row r="2644">
      <c r="A2644" s="6">
        <v>2642.0</v>
      </c>
      <c r="B2644" s="17">
        <f t="array" ref="B2644">SUM(1-'Sparkling Model'!D$2:D$38^A2644)</f>
        <v>35.52780574</v>
      </c>
      <c r="C2644" s="8">
        <f t="array" ref="C2644">PRODUCT(1-'Sparkling Model'!D$2:D$38^A2644)</f>
        <v>0.1935677311</v>
      </c>
    </row>
    <row r="2645">
      <c r="A2645" s="6">
        <v>2643.0</v>
      </c>
      <c r="B2645" s="17">
        <f t="array" ref="B2645">SUM(1-'Sparkling Model'!D$2:D$38^A2645)</f>
        <v>35.52893775</v>
      </c>
      <c r="C2645" s="8">
        <f t="array" ref="C2645">PRODUCT(1-'Sparkling Model'!D$2:D$38^A2645)</f>
        <v>0.1938262546</v>
      </c>
    </row>
    <row r="2646">
      <c r="A2646" s="6">
        <v>2644.0</v>
      </c>
      <c r="B2646" s="17">
        <f t="array" ref="B2646">SUM(1-'Sparkling Model'!D$2:D$38^A2646)</f>
        <v>35.53006862</v>
      </c>
      <c r="C2646" s="8">
        <f t="array" ref="C2646">PRODUCT(1-'Sparkling Model'!D$2:D$38^A2646)</f>
        <v>0.1940848496</v>
      </c>
    </row>
    <row r="2647">
      <c r="A2647" s="6">
        <v>2645.0</v>
      </c>
      <c r="B2647" s="17">
        <f t="array" ref="B2647">SUM(1-'Sparkling Model'!D$2:D$38^A2647)</f>
        <v>35.53119834</v>
      </c>
      <c r="C2647" s="8">
        <f t="array" ref="C2647">PRODUCT(1-'Sparkling Model'!D$2:D$38^A2647)</f>
        <v>0.1943435159</v>
      </c>
    </row>
    <row r="2648">
      <c r="A2648" s="6">
        <v>2646.0</v>
      </c>
      <c r="B2648" s="17">
        <f t="array" ref="B2648">SUM(1-'Sparkling Model'!D$2:D$38^A2648)</f>
        <v>35.53232694</v>
      </c>
      <c r="C2648" s="8">
        <f t="array" ref="C2648">PRODUCT(1-'Sparkling Model'!D$2:D$38^A2648)</f>
        <v>0.1946022533</v>
      </c>
    </row>
    <row r="2649">
      <c r="A2649" s="6">
        <v>2647.0</v>
      </c>
      <c r="B2649" s="17">
        <f t="array" ref="B2649">SUM(1-'Sparkling Model'!D$2:D$38^A2649)</f>
        <v>35.53345439</v>
      </c>
      <c r="C2649" s="8">
        <f t="array" ref="C2649">PRODUCT(1-'Sparkling Model'!D$2:D$38^A2649)</f>
        <v>0.1948610615</v>
      </c>
    </row>
    <row r="2650">
      <c r="A2650" s="6">
        <v>2648.0</v>
      </c>
      <c r="B2650" s="17">
        <f t="array" ref="B2650">SUM(1-'Sparkling Model'!D$2:D$38^A2650)</f>
        <v>35.53458071</v>
      </c>
      <c r="C2650" s="8">
        <f t="array" ref="C2650">PRODUCT(1-'Sparkling Model'!D$2:D$38^A2650)</f>
        <v>0.1951199402</v>
      </c>
    </row>
    <row r="2651">
      <c r="A2651" s="6">
        <v>2649.0</v>
      </c>
      <c r="B2651" s="17">
        <f t="array" ref="B2651">SUM(1-'Sparkling Model'!D$2:D$38^A2651)</f>
        <v>35.5357059</v>
      </c>
      <c r="C2651" s="8">
        <f t="array" ref="C2651">PRODUCT(1-'Sparkling Model'!D$2:D$38^A2651)</f>
        <v>0.1953788892</v>
      </c>
    </row>
    <row r="2652">
      <c r="A2652" s="6">
        <v>2650.0</v>
      </c>
      <c r="B2652" s="17">
        <f t="array" ref="B2652">SUM(1-'Sparkling Model'!D$2:D$38^A2652)</f>
        <v>35.53682995</v>
      </c>
      <c r="C2652" s="8">
        <f t="array" ref="C2652">PRODUCT(1-'Sparkling Model'!D$2:D$38^A2652)</f>
        <v>0.1956379082</v>
      </c>
    </row>
    <row r="2653">
      <c r="A2653" s="6">
        <v>2651.0</v>
      </c>
      <c r="B2653" s="17">
        <f t="array" ref="B2653">SUM(1-'Sparkling Model'!D$2:D$38^A2653)</f>
        <v>35.53795287</v>
      </c>
      <c r="C2653" s="8">
        <f t="array" ref="C2653">PRODUCT(1-'Sparkling Model'!D$2:D$38^A2653)</f>
        <v>0.1958969969</v>
      </c>
    </row>
    <row r="2654">
      <c r="A2654" s="6">
        <v>2652.0</v>
      </c>
      <c r="B2654" s="17">
        <f t="array" ref="B2654">SUM(1-'Sparkling Model'!D$2:D$38^A2654)</f>
        <v>35.53907467</v>
      </c>
      <c r="C2654" s="8">
        <f t="array" ref="C2654">PRODUCT(1-'Sparkling Model'!D$2:D$38^A2654)</f>
        <v>0.1961561551</v>
      </c>
    </row>
    <row r="2655">
      <c r="A2655" s="6">
        <v>2653.0</v>
      </c>
      <c r="B2655" s="17">
        <f t="array" ref="B2655">SUM(1-'Sparkling Model'!D$2:D$38^A2655)</f>
        <v>35.54019534</v>
      </c>
      <c r="C2655" s="8">
        <f t="array" ref="C2655">PRODUCT(1-'Sparkling Model'!D$2:D$38^A2655)</f>
        <v>0.1964153825</v>
      </c>
    </row>
    <row r="2656">
      <c r="A2656" s="6">
        <v>2654.0</v>
      </c>
      <c r="B2656" s="17">
        <f t="array" ref="B2656">SUM(1-'Sparkling Model'!D$2:D$38^A2656)</f>
        <v>35.54131488</v>
      </c>
      <c r="C2656" s="8">
        <f t="array" ref="C2656">PRODUCT(1-'Sparkling Model'!D$2:D$38^A2656)</f>
        <v>0.1966746788</v>
      </c>
    </row>
    <row r="2657">
      <c r="A2657" s="6">
        <v>2655.0</v>
      </c>
      <c r="B2657" s="17">
        <f t="array" ref="B2657">SUM(1-'Sparkling Model'!D$2:D$38^A2657)</f>
        <v>35.54243329</v>
      </c>
      <c r="C2657" s="8">
        <f t="array" ref="C2657">PRODUCT(1-'Sparkling Model'!D$2:D$38^A2657)</f>
        <v>0.1969340438</v>
      </c>
    </row>
    <row r="2658">
      <c r="A2658" s="6">
        <v>2656.0</v>
      </c>
      <c r="B2658" s="17">
        <f t="array" ref="B2658">SUM(1-'Sparkling Model'!D$2:D$38^A2658)</f>
        <v>35.54355059</v>
      </c>
      <c r="C2658" s="8">
        <f t="array" ref="C2658">PRODUCT(1-'Sparkling Model'!D$2:D$38^A2658)</f>
        <v>0.1971934772</v>
      </c>
    </row>
    <row r="2659">
      <c r="A2659" s="6">
        <v>2657.0</v>
      </c>
      <c r="B2659" s="17">
        <f t="array" ref="B2659">SUM(1-'Sparkling Model'!D$2:D$38^A2659)</f>
        <v>35.54466676</v>
      </c>
      <c r="C2659" s="8">
        <f t="array" ref="C2659">PRODUCT(1-'Sparkling Model'!D$2:D$38^A2659)</f>
        <v>0.1974529788</v>
      </c>
    </row>
    <row r="2660">
      <c r="A2660" s="6">
        <v>2658.0</v>
      </c>
      <c r="B2660" s="17">
        <f t="array" ref="B2660">SUM(1-'Sparkling Model'!D$2:D$38^A2660)</f>
        <v>35.54578181</v>
      </c>
      <c r="C2660" s="8">
        <f t="array" ref="C2660">PRODUCT(1-'Sparkling Model'!D$2:D$38^A2660)</f>
        <v>0.1977125482</v>
      </c>
    </row>
    <row r="2661">
      <c r="A2661" s="6">
        <v>2659.0</v>
      </c>
      <c r="B2661" s="17">
        <f t="array" ref="B2661">SUM(1-'Sparkling Model'!D$2:D$38^A2661)</f>
        <v>35.54689574</v>
      </c>
      <c r="C2661" s="8">
        <f t="array" ref="C2661">PRODUCT(1-'Sparkling Model'!D$2:D$38^A2661)</f>
        <v>0.1979721853</v>
      </c>
    </row>
    <row r="2662">
      <c r="A2662" s="6">
        <v>2660.0</v>
      </c>
      <c r="B2662" s="17">
        <f t="array" ref="B2662">SUM(1-'Sparkling Model'!D$2:D$38^A2662)</f>
        <v>35.54800856</v>
      </c>
      <c r="C2662" s="8">
        <f t="array" ref="C2662">PRODUCT(1-'Sparkling Model'!D$2:D$38^A2662)</f>
        <v>0.1982318897</v>
      </c>
    </row>
    <row r="2663">
      <c r="A2663" s="6">
        <v>2661.0</v>
      </c>
      <c r="B2663" s="17">
        <f t="array" ref="B2663">SUM(1-'Sparkling Model'!D$2:D$38^A2663)</f>
        <v>35.54912026</v>
      </c>
      <c r="C2663" s="8">
        <f t="array" ref="C2663">PRODUCT(1-'Sparkling Model'!D$2:D$38^A2663)</f>
        <v>0.1984916612</v>
      </c>
    </row>
    <row r="2664">
      <c r="A2664" s="6">
        <v>2662.0</v>
      </c>
      <c r="B2664" s="17">
        <f t="array" ref="B2664">SUM(1-'Sparkling Model'!D$2:D$38^A2664)</f>
        <v>35.55023084</v>
      </c>
      <c r="C2664" s="8">
        <f t="array" ref="C2664">PRODUCT(1-'Sparkling Model'!D$2:D$38^A2664)</f>
        <v>0.1987514996</v>
      </c>
    </row>
    <row r="2665">
      <c r="A2665" s="6">
        <v>2663.0</v>
      </c>
      <c r="B2665" s="17">
        <f t="array" ref="B2665">SUM(1-'Sparkling Model'!D$2:D$38^A2665)</f>
        <v>35.55134031</v>
      </c>
      <c r="C2665" s="8">
        <f t="array" ref="C2665">PRODUCT(1-'Sparkling Model'!D$2:D$38^A2665)</f>
        <v>0.1990114045</v>
      </c>
    </row>
    <row r="2666">
      <c r="A2666" s="6">
        <v>2664.0</v>
      </c>
      <c r="B2666" s="17">
        <f t="array" ref="B2666">SUM(1-'Sparkling Model'!D$2:D$38^A2666)</f>
        <v>35.55244867</v>
      </c>
      <c r="C2666" s="8">
        <f t="array" ref="C2666">PRODUCT(1-'Sparkling Model'!D$2:D$38^A2666)</f>
        <v>0.1992713758</v>
      </c>
    </row>
    <row r="2667">
      <c r="A2667" s="6">
        <v>2665.0</v>
      </c>
      <c r="B2667" s="17">
        <f t="array" ref="B2667">SUM(1-'Sparkling Model'!D$2:D$38^A2667)</f>
        <v>35.55355592</v>
      </c>
      <c r="C2667" s="8">
        <f t="array" ref="C2667">PRODUCT(1-'Sparkling Model'!D$2:D$38^A2667)</f>
        <v>0.1995314131</v>
      </c>
    </row>
    <row r="2668">
      <c r="A2668" s="6">
        <v>2666.0</v>
      </c>
      <c r="B2668" s="17">
        <f t="array" ref="B2668">SUM(1-'Sparkling Model'!D$2:D$38^A2668)</f>
        <v>35.55466206</v>
      </c>
      <c r="C2668" s="8">
        <f t="array" ref="C2668">PRODUCT(1-'Sparkling Model'!D$2:D$38^A2668)</f>
        <v>0.1997915162</v>
      </c>
    </row>
    <row r="2669">
      <c r="A2669" s="6">
        <v>2667.0</v>
      </c>
      <c r="B2669" s="17">
        <f t="array" ref="B2669">SUM(1-'Sparkling Model'!D$2:D$38^A2669)</f>
        <v>35.55576709</v>
      </c>
      <c r="C2669" s="8">
        <f t="array" ref="C2669">PRODUCT(1-'Sparkling Model'!D$2:D$38^A2669)</f>
        <v>0.2000516848</v>
      </c>
    </row>
    <row r="2670">
      <c r="A2670" s="6">
        <v>2668.0</v>
      </c>
      <c r="B2670" s="17">
        <f t="array" ref="B2670">SUM(1-'Sparkling Model'!D$2:D$38^A2670)</f>
        <v>35.55687102</v>
      </c>
      <c r="C2670" s="8">
        <f t="array" ref="C2670">PRODUCT(1-'Sparkling Model'!D$2:D$38^A2670)</f>
        <v>0.2003119187</v>
      </c>
    </row>
    <row r="2671">
      <c r="A2671" s="6">
        <v>2669.0</v>
      </c>
      <c r="B2671" s="17">
        <f t="array" ref="B2671">SUM(1-'Sparkling Model'!D$2:D$38^A2671)</f>
        <v>35.55797384</v>
      </c>
      <c r="C2671" s="8">
        <f t="array" ref="C2671">PRODUCT(1-'Sparkling Model'!D$2:D$38^A2671)</f>
        <v>0.2005722176</v>
      </c>
    </row>
    <row r="2672">
      <c r="A2672" s="6">
        <v>2670.0</v>
      </c>
      <c r="B2672" s="17">
        <f t="array" ref="B2672">SUM(1-'Sparkling Model'!D$2:D$38^A2672)</f>
        <v>35.55907556</v>
      </c>
      <c r="C2672" s="8">
        <f t="array" ref="C2672">PRODUCT(1-'Sparkling Model'!D$2:D$38^A2672)</f>
        <v>0.2008325812</v>
      </c>
    </row>
    <row r="2673">
      <c r="A2673" s="6">
        <v>2671.0</v>
      </c>
      <c r="B2673" s="17">
        <f t="array" ref="B2673">SUM(1-'Sparkling Model'!D$2:D$38^A2673)</f>
        <v>35.56017618</v>
      </c>
      <c r="C2673" s="8">
        <f t="array" ref="C2673">PRODUCT(1-'Sparkling Model'!D$2:D$38^A2673)</f>
        <v>0.2010930093</v>
      </c>
    </row>
    <row r="2674">
      <c r="A2674" s="6">
        <v>2672.0</v>
      </c>
      <c r="B2674" s="17">
        <f t="array" ref="B2674">SUM(1-'Sparkling Model'!D$2:D$38^A2674)</f>
        <v>35.5612757</v>
      </c>
      <c r="C2674" s="8">
        <f t="array" ref="C2674">PRODUCT(1-'Sparkling Model'!D$2:D$38^A2674)</f>
        <v>0.2013535016</v>
      </c>
    </row>
    <row r="2675">
      <c r="A2675" s="6">
        <v>2673.0</v>
      </c>
      <c r="B2675" s="17">
        <f t="array" ref="B2675">SUM(1-'Sparkling Model'!D$2:D$38^A2675)</f>
        <v>35.56237412</v>
      </c>
      <c r="C2675" s="8">
        <f t="array" ref="C2675">PRODUCT(1-'Sparkling Model'!D$2:D$38^A2675)</f>
        <v>0.201614058</v>
      </c>
    </row>
    <row r="2676">
      <c r="A2676" s="6">
        <v>2674.0</v>
      </c>
      <c r="B2676" s="17">
        <f t="array" ref="B2676">SUM(1-'Sparkling Model'!D$2:D$38^A2676)</f>
        <v>35.56347144</v>
      </c>
      <c r="C2676" s="8">
        <f t="array" ref="C2676">PRODUCT(1-'Sparkling Model'!D$2:D$38^A2676)</f>
        <v>0.201874678</v>
      </c>
    </row>
    <row r="2677">
      <c r="A2677" s="6">
        <v>2675.0</v>
      </c>
      <c r="B2677" s="17">
        <f t="array" ref="B2677">SUM(1-'Sparkling Model'!D$2:D$38^A2677)</f>
        <v>35.56456766</v>
      </c>
      <c r="C2677" s="8">
        <f t="array" ref="C2677">PRODUCT(1-'Sparkling Model'!D$2:D$38^A2677)</f>
        <v>0.2021353614</v>
      </c>
    </row>
    <row r="2678">
      <c r="A2678" s="6">
        <v>2676.0</v>
      </c>
      <c r="B2678" s="17">
        <f t="array" ref="B2678">SUM(1-'Sparkling Model'!D$2:D$38^A2678)</f>
        <v>35.56566279</v>
      </c>
      <c r="C2678" s="8">
        <f t="array" ref="C2678">PRODUCT(1-'Sparkling Model'!D$2:D$38^A2678)</f>
        <v>0.2023961081</v>
      </c>
    </row>
    <row r="2679">
      <c r="A2679" s="6">
        <v>2677.0</v>
      </c>
      <c r="B2679" s="17">
        <f t="array" ref="B2679">SUM(1-'Sparkling Model'!D$2:D$38^A2679)</f>
        <v>35.56675683</v>
      </c>
      <c r="C2679" s="8">
        <f t="array" ref="C2679">PRODUCT(1-'Sparkling Model'!D$2:D$38^A2679)</f>
        <v>0.2026569177</v>
      </c>
    </row>
    <row r="2680">
      <c r="A2680" s="6">
        <v>2678.0</v>
      </c>
      <c r="B2680" s="17">
        <f t="array" ref="B2680">SUM(1-'Sparkling Model'!D$2:D$38^A2680)</f>
        <v>35.56784978</v>
      </c>
      <c r="C2680" s="8">
        <f t="array" ref="C2680">PRODUCT(1-'Sparkling Model'!D$2:D$38^A2680)</f>
        <v>0.2029177899</v>
      </c>
    </row>
    <row r="2681">
      <c r="A2681" s="6">
        <v>2679.0</v>
      </c>
      <c r="B2681" s="17">
        <f t="array" ref="B2681">SUM(1-'Sparkling Model'!D$2:D$38^A2681)</f>
        <v>35.56894163</v>
      </c>
      <c r="C2681" s="8">
        <f t="array" ref="C2681">PRODUCT(1-'Sparkling Model'!D$2:D$38^A2681)</f>
        <v>0.2031787246</v>
      </c>
    </row>
    <row r="2682">
      <c r="A2682" s="6">
        <v>2680.0</v>
      </c>
      <c r="B2682" s="17">
        <f t="array" ref="B2682">SUM(1-'Sparkling Model'!D$2:D$38^A2682)</f>
        <v>35.5700324</v>
      </c>
      <c r="C2682" s="8">
        <f t="array" ref="C2682">PRODUCT(1-'Sparkling Model'!D$2:D$38^A2682)</f>
        <v>0.2034397214</v>
      </c>
    </row>
    <row r="2683">
      <c r="A2683" s="6">
        <v>2681.0</v>
      </c>
      <c r="B2683" s="17">
        <f t="array" ref="B2683">SUM(1-'Sparkling Model'!D$2:D$38^A2683)</f>
        <v>35.57112208</v>
      </c>
      <c r="C2683" s="8">
        <f t="array" ref="C2683">PRODUCT(1-'Sparkling Model'!D$2:D$38^A2683)</f>
        <v>0.2037007801</v>
      </c>
    </row>
    <row r="2684">
      <c r="A2684" s="6">
        <v>2682.0</v>
      </c>
      <c r="B2684" s="17">
        <f t="array" ref="B2684">SUM(1-'Sparkling Model'!D$2:D$38^A2684)</f>
        <v>35.57221067</v>
      </c>
      <c r="C2684" s="8">
        <f t="array" ref="C2684">PRODUCT(1-'Sparkling Model'!D$2:D$38^A2684)</f>
        <v>0.2039619005</v>
      </c>
    </row>
    <row r="2685">
      <c r="A2685" s="6">
        <v>2683.0</v>
      </c>
      <c r="B2685" s="17">
        <f t="array" ref="B2685">SUM(1-'Sparkling Model'!D$2:D$38^A2685)</f>
        <v>35.57329818</v>
      </c>
      <c r="C2685" s="8">
        <f t="array" ref="C2685">PRODUCT(1-'Sparkling Model'!D$2:D$38^A2685)</f>
        <v>0.2042230822</v>
      </c>
    </row>
    <row r="2686">
      <c r="A2686" s="6">
        <v>2684.0</v>
      </c>
      <c r="B2686" s="17">
        <f t="array" ref="B2686">SUM(1-'Sparkling Model'!D$2:D$38^A2686)</f>
        <v>35.5743846</v>
      </c>
      <c r="C2686" s="8">
        <f t="array" ref="C2686">PRODUCT(1-'Sparkling Model'!D$2:D$38^A2686)</f>
        <v>0.204484325</v>
      </c>
    </row>
    <row r="2687">
      <c r="A2687" s="6">
        <v>2685.0</v>
      </c>
      <c r="B2687" s="17">
        <f t="array" ref="B2687">SUM(1-'Sparkling Model'!D$2:D$38^A2687)</f>
        <v>35.57546994</v>
      </c>
      <c r="C2687" s="8">
        <f t="array" ref="C2687">PRODUCT(1-'Sparkling Model'!D$2:D$38^A2687)</f>
        <v>0.2047456288</v>
      </c>
    </row>
    <row r="2688">
      <c r="A2688" s="6">
        <v>2686.0</v>
      </c>
      <c r="B2688" s="17">
        <f t="array" ref="B2688">SUM(1-'Sparkling Model'!D$2:D$38^A2688)</f>
        <v>35.5765542</v>
      </c>
      <c r="C2688" s="8">
        <f t="array" ref="C2688">PRODUCT(1-'Sparkling Model'!D$2:D$38^A2688)</f>
        <v>0.2050069931</v>
      </c>
    </row>
    <row r="2689">
      <c r="A2689" s="6">
        <v>2687.0</v>
      </c>
      <c r="B2689" s="17">
        <f t="array" ref="B2689">SUM(1-'Sparkling Model'!D$2:D$38^A2689)</f>
        <v>35.57763739</v>
      </c>
      <c r="C2689" s="8">
        <f t="array" ref="C2689">PRODUCT(1-'Sparkling Model'!D$2:D$38^A2689)</f>
        <v>0.2052684178</v>
      </c>
    </row>
    <row r="2690">
      <c r="A2690" s="6">
        <v>2688.0</v>
      </c>
      <c r="B2690" s="17">
        <f t="array" ref="B2690">SUM(1-'Sparkling Model'!D$2:D$38^A2690)</f>
        <v>35.57871949</v>
      </c>
      <c r="C2690" s="8">
        <f t="array" ref="C2690">PRODUCT(1-'Sparkling Model'!D$2:D$38^A2690)</f>
        <v>0.2055299026</v>
      </c>
    </row>
    <row r="2691">
      <c r="A2691" s="6">
        <v>2689.0</v>
      </c>
      <c r="B2691" s="17">
        <f t="array" ref="B2691">SUM(1-'Sparkling Model'!D$2:D$38^A2691)</f>
        <v>35.57980052</v>
      </c>
      <c r="C2691" s="8">
        <f t="array" ref="C2691">PRODUCT(1-'Sparkling Model'!D$2:D$38^A2691)</f>
        <v>0.2057914472</v>
      </c>
    </row>
    <row r="2692">
      <c r="A2692" s="6">
        <v>2690.0</v>
      </c>
      <c r="B2692" s="17">
        <f t="array" ref="B2692">SUM(1-'Sparkling Model'!D$2:D$38^A2692)</f>
        <v>35.58088047</v>
      </c>
      <c r="C2692" s="8">
        <f t="array" ref="C2692">PRODUCT(1-'Sparkling Model'!D$2:D$38^A2692)</f>
        <v>0.2060530514</v>
      </c>
    </row>
    <row r="2693">
      <c r="A2693" s="6">
        <v>2691.0</v>
      </c>
      <c r="B2693" s="17">
        <f t="array" ref="B2693">SUM(1-'Sparkling Model'!D$2:D$38^A2693)</f>
        <v>35.58195935</v>
      </c>
      <c r="C2693" s="8">
        <f t="array" ref="C2693">PRODUCT(1-'Sparkling Model'!D$2:D$38^A2693)</f>
        <v>0.206314715</v>
      </c>
    </row>
    <row r="2694">
      <c r="A2694" s="6">
        <v>2692.0</v>
      </c>
      <c r="B2694" s="17">
        <f t="array" ref="B2694">SUM(1-'Sparkling Model'!D$2:D$38^A2694)</f>
        <v>35.58303716</v>
      </c>
      <c r="C2694" s="8">
        <f t="array" ref="C2694">PRODUCT(1-'Sparkling Model'!D$2:D$38^A2694)</f>
        <v>0.2065764376</v>
      </c>
    </row>
    <row r="2695">
      <c r="A2695" s="6">
        <v>2693.0</v>
      </c>
      <c r="B2695" s="17">
        <f t="array" ref="B2695">SUM(1-'Sparkling Model'!D$2:D$38^A2695)</f>
        <v>35.58411389</v>
      </c>
      <c r="C2695" s="8">
        <f t="array" ref="C2695">PRODUCT(1-'Sparkling Model'!D$2:D$38^A2695)</f>
        <v>0.206838219</v>
      </c>
    </row>
    <row r="2696">
      <c r="A2696" s="6">
        <v>2694.0</v>
      </c>
      <c r="B2696" s="17">
        <f t="array" ref="B2696">SUM(1-'Sparkling Model'!D$2:D$38^A2696)</f>
        <v>35.58518956</v>
      </c>
      <c r="C2696" s="8">
        <f t="array" ref="C2696">PRODUCT(1-'Sparkling Model'!D$2:D$38^A2696)</f>
        <v>0.207100059</v>
      </c>
    </row>
    <row r="2697">
      <c r="A2697" s="6">
        <v>2695.0</v>
      </c>
      <c r="B2697" s="17">
        <f t="array" ref="B2697">SUM(1-'Sparkling Model'!D$2:D$38^A2697)</f>
        <v>35.58626416</v>
      </c>
      <c r="C2697" s="8">
        <f t="array" ref="C2697">PRODUCT(1-'Sparkling Model'!D$2:D$38^A2697)</f>
        <v>0.2073619573</v>
      </c>
    </row>
    <row r="2698">
      <c r="A2698" s="6">
        <v>2696.0</v>
      </c>
      <c r="B2698" s="17">
        <f t="array" ref="B2698">SUM(1-'Sparkling Model'!D$2:D$38^A2698)</f>
        <v>35.58733769</v>
      </c>
      <c r="C2698" s="8">
        <f t="array" ref="C2698">PRODUCT(1-'Sparkling Model'!D$2:D$38^A2698)</f>
        <v>0.2076239137</v>
      </c>
    </row>
    <row r="2699">
      <c r="A2699" s="6">
        <v>2697.0</v>
      </c>
      <c r="B2699" s="17">
        <f t="array" ref="B2699">SUM(1-'Sparkling Model'!D$2:D$38^A2699)</f>
        <v>35.58841015</v>
      </c>
      <c r="C2699" s="8">
        <f t="array" ref="C2699">PRODUCT(1-'Sparkling Model'!D$2:D$38^A2699)</f>
        <v>0.2078859279</v>
      </c>
    </row>
    <row r="2700">
      <c r="A2700" s="6">
        <v>2698.0</v>
      </c>
      <c r="B2700" s="17">
        <f t="array" ref="B2700">SUM(1-'Sparkling Model'!D$2:D$38^A2700)</f>
        <v>35.58948156</v>
      </c>
      <c r="C2700" s="8">
        <f t="array" ref="C2700">PRODUCT(1-'Sparkling Model'!D$2:D$38^A2700)</f>
        <v>0.2081479996</v>
      </c>
    </row>
    <row r="2701">
      <c r="A2701" s="6">
        <v>2699.0</v>
      </c>
      <c r="B2701" s="17">
        <f t="array" ref="B2701">SUM(1-'Sparkling Model'!D$2:D$38^A2701)</f>
        <v>35.59055189</v>
      </c>
      <c r="C2701" s="8">
        <f t="array" ref="C2701">PRODUCT(1-'Sparkling Model'!D$2:D$38^A2701)</f>
        <v>0.2084101286</v>
      </c>
    </row>
    <row r="2702">
      <c r="A2702" s="6">
        <v>2700.0</v>
      </c>
      <c r="B2702" s="17">
        <f t="array" ref="B2702">SUM(1-'Sparkling Model'!D$2:D$38^A2702)</f>
        <v>35.59162117</v>
      </c>
      <c r="C2702" s="8">
        <f t="array" ref="C2702">PRODUCT(1-'Sparkling Model'!D$2:D$38^A2702)</f>
        <v>0.2086723147</v>
      </c>
    </row>
    <row r="2703">
      <c r="A2703" s="6">
        <v>2701.0</v>
      </c>
      <c r="B2703" s="17">
        <f t="array" ref="B2703">SUM(1-'Sparkling Model'!D$2:D$38^A2703)</f>
        <v>35.59268939</v>
      </c>
      <c r="C2703" s="8">
        <f t="array" ref="C2703">PRODUCT(1-'Sparkling Model'!D$2:D$38^A2703)</f>
        <v>0.2089345575</v>
      </c>
    </row>
    <row r="2704">
      <c r="A2704" s="6">
        <v>2702.0</v>
      </c>
      <c r="B2704" s="17">
        <f t="array" ref="B2704">SUM(1-'Sparkling Model'!D$2:D$38^A2704)</f>
        <v>35.59375655</v>
      </c>
      <c r="C2704" s="8">
        <f t="array" ref="C2704">PRODUCT(1-'Sparkling Model'!D$2:D$38^A2704)</f>
        <v>0.2091968569</v>
      </c>
    </row>
    <row r="2705">
      <c r="A2705" s="6">
        <v>2703.0</v>
      </c>
      <c r="B2705" s="17">
        <f t="array" ref="B2705">SUM(1-'Sparkling Model'!D$2:D$38^A2705)</f>
        <v>35.59482265</v>
      </c>
      <c r="C2705" s="8">
        <f t="array" ref="C2705">PRODUCT(1-'Sparkling Model'!D$2:D$38^A2705)</f>
        <v>0.2094592126</v>
      </c>
    </row>
    <row r="2706">
      <c r="A2706" s="6">
        <v>2704.0</v>
      </c>
      <c r="B2706" s="17">
        <f t="array" ref="B2706">SUM(1-'Sparkling Model'!D$2:D$38^A2706)</f>
        <v>35.59588769</v>
      </c>
      <c r="C2706" s="8">
        <f t="array" ref="C2706">PRODUCT(1-'Sparkling Model'!D$2:D$38^A2706)</f>
        <v>0.2097216243</v>
      </c>
    </row>
    <row r="2707">
      <c r="A2707" s="6">
        <v>2705.0</v>
      </c>
      <c r="B2707" s="17">
        <f t="array" ref="B2707">SUM(1-'Sparkling Model'!D$2:D$38^A2707)</f>
        <v>35.59695168</v>
      </c>
      <c r="C2707" s="8">
        <f t="array" ref="C2707">PRODUCT(1-'Sparkling Model'!D$2:D$38^A2707)</f>
        <v>0.2099840918</v>
      </c>
    </row>
    <row r="2708">
      <c r="A2708" s="6">
        <v>2706.0</v>
      </c>
      <c r="B2708" s="17">
        <f t="array" ref="B2708">SUM(1-'Sparkling Model'!D$2:D$38^A2708)</f>
        <v>35.59801462</v>
      </c>
      <c r="C2708" s="8">
        <f t="array" ref="C2708">PRODUCT(1-'Sparkling Model'!D$2:D$38^A2708)</f>
        <v>0.2102466148</v>
      </c>
    </row>
    <row r="2709">
      <c r="A2709" s="6">
        <v>2707.0</v>
      </c>
      <c r="B2709" s="17">
        <f t="array" ref="B2709">SUM(1-'Sparkling Model'!D$2:D$38^A2709)</f>
        <v>35.59907651</v>
      </c>
      <c r="C2709" s="8">
        <f t="array" ref="C2709">PRODUCT(1-'Sparkling Model'!D$2:D$38^A2709)</f>
        <v>0.2105091931</v>
      </c>
    </row>
    <row r="2710">
      <c r="A2710" s="6">
        <v>2708.0</v>
      </c>
      <c r="B2710" s="17">
        <f t="array" ref="B2710">SUM(1-'Sparkling Model'!D$2:D$38^A2710)</f>
        <v>35.60013734</v>
      </c>
      <c r="C2710" s="8">
        <f t="array" ref="C2710">PRODUCT(1-'Sparkling Model'!D$2:D$38^A2710)</f>
        <v>0.2107718264</v>
      </c>
    </row>
    <row r="2711">
      <c r="A2711" s="6">
        <v>2709.0</v>
      </c>
      <c r="B2711" s="17">
        <f t="array" ref="B2711">SUM(1-'Sparkling Model'!D$2:D$38^A2711)</f>
        <v>35.60119713</v>
      </c>
      <c r="C2711" s="8">
        <f t="array" ref="C2711">PRODUCT(1-'Sparkling Model'!D$2:D$38^A2711)</f>
        <v>0.2110345144</v>
      </c>
    </row>
    <row r="2712">
      <c r="A2712" s="6">
        <v>2710.0</v>
      </c>
      <c r="B2712" s="17">
        <f t="array" ref="B2712">SUM(1-'Sparkling Model'!D$2:D$38^A2712)</f>
        <v>35.60225586</v>
      </c>
      <c r="C2712" s="8">
        <f t="array" ref="C2712">PRODUCT(1-'Sparkling Model'!D$2:D$38^A2712)</f>
        <v>0.211297257</v>
      </c>
    </row>
    <row r="2713">
      <c r="A2713" s="6">
        <v>2711.0</v>
      </c>
      <c r="B2713" s="17">
        <f t="array" ref="B2713">SUM(1-'Sparkling Model'!D$2:D$38^A2713)</f>
        <v>35.60331356</v>
      </c>
      <c r="C2713" s="8">
        <f t="array" ref="C2713">PRODUCT(1-'Sparkling Model'!D$2:D$38^A2713)</f>
        <v>0.2115600539</v>
      </c>
    </row>
    <row r="2714">
      <c r="A2714" s="6">
        <v>2712.0</v>
      </c>
      <c r="B2714" s="17">
        <f t="array" ref="B2714">SUM(1-'Sparkling Model'!D$2:D$38^A2714)</f>
        <v>35.6043702</v>
      </c>
      <c r="C2714" s="8">
        <f t="array" ref="C2714">PRODUCT(1-'Sparkling Model'!D$2:D$38^A2714)</f>
        <v>0.2118229048</v>
      </c>
    </row>
    <row r="2715">
      <c r="A2715" s="6">
        <v>2713.0</v>
      </c>
      <c r="B2715" s="17">
        <f t="array" ref="B2715">SUM(1-'Sparkling Model'!D$2:D$38^A2715)</f>
        <v>35.6054258</v>
      </c>
      <c r="C2715" s="8">
        <f t="array" ref="C2715">PRODUCT(1-'Sparkling Model'!D$2:D$38^A2715)</f>
        <v>0.2120858094</v>
      </c>
    </row>
    <row r="2716">
      <c r="A2716" s="6">
        <v>2714.0</v>
      </c>
      <c r="B2716" s="17">
        <f t="array" ref="B2716">SUM(1-'Sparkling Model'!D$2:D$38^A2716)</f>
        <v>35.60648036</v>
      </c>
      <c r="C2716" s="8">
        <f t="array" ref="C2716">PRODUCT(1-'Sparkling Model'!D$2:D$38^A2716)</f>
        <v>0.2123487676</v>
      </c>
    </row>
    <row r="2717">
      <c r="A2717" s="6">
        <v>2715.0</v>
      </c>
      <c r="B2717" s="17">
        <f t="array" ref="B2717">SUM(1-'Sparkling Model'!D$2:D$38^A2717)</f>
        <v>35.60753388</v>
      </c>
      <c r="C2717" s="8">
        <f t="array" ref="C2717">PRODUCT(1-'Sparkling Model'!D$2:D$38^A2717)</f>
        <v>0.2126117791</v>
      </c>
    </row>
    <row r="2718">
      <c r="A2718" s="6">
        <v>2716.0</v>
      </c>
      <c r="B2718" s="17">
        <f t="array" ref="B2718">SUM(1-'Sparkling Model'!D$2:D$38^A2718)</f>
        <v>35.60858636</v>
      </c>
      <c r="C2718" s="8">
        <f t="array" ref="C2718">PRODUCT(1-'Sparkling Model'!D$2:D$38^A2718)</f>
        <v>0.2128748435</v>
      </c>
    </row>
    <row r="2719">
      <c r="A2719" s="6">
        <v>2717.0</v>
      </c>
      <c r="B2719" s="17">
        <f t="array" ref="B2719">SUM(1-'Sparkling Model'!D$2:D$38^A2719)</f>
        <v>35.6096378</v>
      </c>
      <c r="C2719" s="8">
        <f t="array" ref="C2719">PRODUCT(1-'Sparkling Model'!D$2:D$38^A2719)</f>
        <v>0.2131379608</v>
      </c>
    </row>
    <row r="2720">
      <c r="A2720" s="6">
        <v>2718.0</v>
      </c>
      <c r="B2720" s="17">
        <f t="array" ref="B2720">SUM(1-'Sparkling Model'!D$2:D$38^A2720)</f>
        <v>35.6106882</v>
      </c>
      <c r="C2720" s="8">
        <f t="array" ref="C2720">PRODUCT(1-'Sparkling Model'!D$2:D$38^A2720)</f>
        <v>0.2134011305</v>
      </c>
    </row>
    <row r="2721">
      <c r="A2721" s="6">
        <v>2719.0</v>
      </c>
      <c r="B2721" s="17">
        <f t="array" ref="B2721">SUM(1-'Sparkling Model'!D$2:D$38^A2721)</f>
        <v>35.61173756</v>
      </c>
      <c r="C2721" s="8">
        <f t="array" ref="C2721">PRODUCT(1-'Sparkling Model'!D$2:D$38^A2721)</f>
        <v>0.2136643526</v>
      </c>
    </row>
    <row r="2722">
      <c r="A2722" s="6">
        <v>2720.0</v>
      </c>
      <c r="B2722" s="17">
        <f t="array" ref="B2722">SUM(1-'Sparkling Model'!D$2:D$38^A2722)</f>
        <v>35.61278589</v>
      </c>
      <c r="C2722" s="8">
        <f t="array" ref="C2722">PRODUCT(1-'Sparkling Model'!D$2:D$38^A2722)</f>
        <v>0.2139276266</v>
      </c>
    </row>
    <row r="2723">
      <c r="A2723" s="6">
        <v>2721.0</v>
      </c>
      <c r="B2723" s="17">
        <f t="array" ref="B2723">SUM(1-'Sparkling Model'!D$2:D$38^A2723)</f>
        <v>35.61383319</v>
      </c>
      <c r="C2723" s="8">
        <f t="array" ref="C2723">PRODUCT(1-'Sparkling Model'!D$2:D$38^A2723)</f>
        <v>0.2141909525</v>
      </c>
    </row>
    <row r="2724">
      <c r="A2724" s="6">
        <v>2722.0</v>
      </c>
      <c r="B2724" s="17">
        <f t="array" ref="B2724">SUM(1-'Sparkling Model'!D$2:D$38^A2724)</f>
        <v>35.61487946</v>
      </c>
      <c r="C2724" s="8">
        <f t="array" ref="C2724">PRODUCT(1-'Sparkling Model'!D$2:D$38^A2724)</f>
        <v>0.2144543299</v>
      </c>
    </row>
    <row r="2725">
      <c r="A2725" s="6">
        <v>2723.0</v>
      </c>
      <c r="B2725" s="17">
        <f t="array" ref="B2725">SUM(1-'Sparkling Model'!D$2:D$38^A2725)</f>
        <v>35.61592469</v>
      </c>
      <c r="C2725" s="8">
        <f t="array" ref="C2725">PRODUCT(1-'Sparkling Model'!D$2:D$38^A2725)</f>
        <v>0.2147177585</v>
      </c>
    </row>
    <row r="2726">
      <c r="A2726" s="6">
        <v>2724.0</v>
      </c>
      <c r="B2726" s="17">
        <f t="array" ref="B2726">SUM(1-'Sparkling Model'!D$2:D$38^A2726)</f>
        <v>35.6169689</v>
      </c>
      <c r="C2726" s="8">
        <f t="array" ref="C2726">PRODUCT(1-'Sparkling Model'!D$2:D$38^A2726)</f>
        <v>0.2149812382</v>
      </c>
    </row>
    <row r="2727">
      <c r="A2727" s="6">
        <v>2725.0</v>
      </c>
      <c r="B2727" s="17">
        <f t="array" ref="B2727">SUM(1-'Sparkling Model'!D$2:D$38^A2727)</f>
        <v>35.61801208</v>
      </c>
      <c r="C2727" s="8">
        <f t="array" ref="C2727">PRODUCT(1-'Sparkling Model'!D$2:D$38^A2727)</f>
        <v>0.2152447687</v>
      </c>
    </row>
    <row r="2728">
      <c r="A2728" s="6">
        <v>2726.0</v>
      </c>
      <c r="B2728" s="17">
        <f t="array" ref="B2728">SUM(1-'Sparkling Model'!D$2:D$38^A2728)</f>
        <v>35.61905423</v>
      </c>
      <c r="C2728" s="8">
        <f t="array" ref="C2728">PRODUCT(1-'Sparkling Model'!D$2:D$38^A2728)</f>
        <v>0.2155083497</v>
      </c>
    </row>
    <row r="2729">
      <c r="A2729" s="6">
        <v>2727.0</v>
      </c>
      <c r="B2729" s="17">
        <f t="array" ref="B2729">SUM(1-'Sparkling Model'!D$2:D$38^A2729)</f>
        <v>35.62009535</v>
      </c>
      <c r="C2729" s="8">
        <f t="array" ref="C2729">PRODUCT(1-'Sparkling Model'!D$2:D$38^A2729)</f>
        <v>0.215771981</v>
      </c>
    </row>
    <row r="2730">
      <c r="A2730" s="6">
        <v>2728.0</v>
      </c>
      <c r="B2730" s="17">
        <f t="array" ref="B2730">SUM(1-'Sparkling Model'!D$2:D$38^A2730)</f>
        <v>35.62113545</v>
      </c>
      <c r="C2730" s="8">
        <f t="array" ref="C2730">PRODUCT(1-'Sparkling Model'!D$2:D$38^A2730)</f>
        <v>0.2160356624</v>
      </c>
    </row>
    <row r="2731">
      <c r="A2731" s="6">
        <v>2729.0</v>
      </c>
      <c r="B2731" s="17">
        <f t="array" ref="B2731">SUM(1-'Sparkling Model'!D$2:D$38^A2731)</f>
        <v>35.62217453</v>
      </c>
      <c r="C2731" s="8">
        <f t="array" ref="C2731">PRODUCT(1-'Sparkling Model'!D$2:D$38^A2731)</f>
        <v>0.2162993935</v>
      </c>
    </row>
    <row r="2732">
      <c r="A2732" s="6">
        <v>2730.0</v>
      </c>
      <c r="B2732" s="17">
        <f t="array" ref="B2732">SUM(1-'Sparkling Model'!D$2:D$38^A2732)</f>
        <v>35.62321259</v>
      </c>
      <c r="C2732" s="8">
        <f t="array" ref="C2732">PRODUCT(1-'Sparkling Model'!D$2:D$38^A2732)</f>
        <v>0.2165631742</v>
      </c>
    </row>
    <row r="2733">
      <c r="A2733" s="6">
        <v>2731.0</v>
      </c>
      <c r="B2733" s="17">
        <f t="array" ref="B2733">SUM(1-'Sparkling Model'!D$2:D$38^A2733)</f>
        <v>35.62424962</v>
      </c>
      <c r="C2733" s="8">
        <f t="array" ref="C2733">PRODUCT(1-'Sparkling Model'!D$2:D$38^A2733)</f>
        <v>0.2168270043</v>
      </c>
    </row>
    <row r="2734">
      <c r="A2734" s="6">
        <v>2732.0</v>
      </c>
      <c r="B2734" s="17">
        <f t="array" ref="B2734">SUM(1-'Sparkling Model'!D$2:D$38^A2734)</f>
        <v>35.62528564</v>
      </c>
      <c r="C2734" s="8">
        <f t="array" ref="C2734">PRODUCT(1-'Sparkling Model'!D$2:D$38^A2734)</f>
        <v>0.2170908834</v>
      </c>
    </row>
    <row r="2735">
      <c r="A2735" s="6">
        <v>2733.0</v>
      </c>
      <c r="B2735" s="17">
        <f t="array" ref="B2735">SUM(1-'Sparkling Model'!D$2:D$38^A2735)</f>
        <v>35.62632064</v>
      </c>
      <c r="C2735" s="8">
        <f t="array" ref="C2735">PRODUCT(1-'Sparkling Model'!D$2:D$38^A2735)</f>
        <v>0.2173548113</v>
      </c>
    </row>
    <row r="2736">
      <c r="A2736" s="6">
        <v>2734.0</v>
      </c>
      <c r="B2736" s="17">
        <f t="array" ref="B2736">SUM(1-'Sparkling Model'!D$2:D$38^A2736)</f>
        <v>35.62735462</v>
      </c>
      <c r="C2736" s="8">
        <f t="array" ref="C2736">PRODUCT(1-'Sparkling Model'!D$2:D$38^A2736)</f>
        <v>0.2176187877</v>
      </c>
    </row>
    <row r="2737">
      <c r="A2737" s="6">
        <v>2735.0</v>
      </c>
      <c r="B2737" s="17">
        <f t="array" ref="B2737">SUM(1-'Sparkling Model'!D$2:D$38^A2737)</f>
        <v>35.62838759</v>
      </c>
      <c r="C2737" s="8">
        <f t="array" ref="C2737">PRODUCT(1-'Sparkling Model'!D$2:D$38^A2737)</f>
        <v>0.2178828126</v>
      </c>
    </row>
    <row r="2738">
      <c r="A2738" s="6">
        <v>2736.0</v>
      </c>
      <c r="B2738" s="17">
        <f t="array" ref="B2738">SUM(1-'Sparkling Model'!D$2:D$38^A2738)</f>
        <v>35.62941954</v>
      </c>
      <c r="C2738" s="8">
        <f t="array" ref="C2738">PRODUCT(1-'Sparkling Model'!D$2:D$38^A2738)</f>
        <v>0.2181468855</v>
      </c>
    </row>
    <row r="2739">
      <c r="A2739" s="6">
        <v>2737.0</v>
      </c>
      <c r="B2739" s="17">
        <f t="array" ref="B2739">SUM(1-'Sparkling Model'!D$2:D$38^A2739)</f>
        <v>35.63045048</v>
      </c>
      <c r="C2739" s="8">
        <f t="array" ref="C2739">PRODUCT(1-'Sparkling Model'!D$2:D$38^A2739)</f>
        <v>0.2184110062</v>
      </c>
    </row>
    <row r="2740">
      <c r="A2740" s="6">
        <v>2738.0</v>
      </c>
      <c r="B2740" s="17">
        <f t="array" ref="B2740">SUM(1-'Sparkling Model'!D$2:D$38^A2740)</f>
        <v>35.63148041</v>
      </c>
      <c r="C2740" s="8">
        <f t="array" ref="C2740">PRODUCT(1-'Sparkling Model'!D$2:D$38^A2740)</f>
        <v>0.2186751745</v>
      </c>
    </row>
    <row r="2741">
      <c r="A2741" s="6">
        <v>2739.0</v>
      </c>
      <c r="B2741" s="17">
        <f t="array" ref="B2741">SUM(1-'Sparkling Model'!D$2:D$38^A2741)</f>
        <v>35.63250933</v>
      </c>
      <c r="C2741" s="8">
        <f t="array" ref="C2741">PRODUCT(1-'Sparkling Model'!D$2:D$38^A2741)</f>
        <v>0.2189393902</v>
      </c>
    </row>
    <row r="2742">
      <c r="A2742" s="6">
        <v>2740.0</v>
      </c>
      <c r="B2742" s="17">
        <f t="array" ref="B2742">SUM(1-'Sparkling Model'!D$2:D$38^A2742)</f>
        <v>35.63353724</v>
      </c>
      <c r="C2742" s="8">
        <f t="array" ref="C2742">PRODUCT(1-'Sparkling Model'!D$2:D$38^A2742)</f>
        <v>0.219203653</v>
      </c>
    </row>
    <row r="2743">
      <c r="A2743" s="6">
        <v>2741.0</v>
      </c>
      <c r="B2743" s="17">
        <f t="array" ref="B2743">SUM(1-'Sparkling Model'!D$2:D$38^A2743)</f>
        <v>35.63456415</v>
      </c>
      <c r="C2743" s="8">
        <f t="array" ref="C2743">PRODUCT(1-'Sparkling Model'!D$2:D$38^A2743)</f>
        <v>0.2194679627</v>
      </c>
    </row>
    <row r="2744">
      <c r="A2744" s="6">
        <v>2742.0</v>
      </c>
      <c r="B2744" s="17">
        <f t="array" ref="B2744">SUM(1-'Sparkling Model'!D$2:D$38^A2744)</f>
        <v>35.63559004</v>
      </c>
      <c r="C2744" s="8">
        <f t="array" ref="C2744">PRODUCT(1-'Sparkling Model'!D$2:D$38^A2744)</f>
        <v>0.219732319</v>
      </c>
    </row>
    <row r="2745">
      <c r="A2745" s="6">
        <v>2743.0</v>
      </c>
      <c r="B2745" s="17">
        <f t="array" ref="B2745">SUM(1-'Sparkling Model'!D$2:D$38^A2745)</f>
        <v>35.63661493</v>
      </c>
      <c r="C2745" s="8">
        <f t="array" ref="C2745">PRODUCT(1-'Sparkling Model'!D$2:D$38^A2745)</f>
        <v>0.2199967216</v>
      </c>
    </row>
    <row r="2746">
      <c r="A2746" s="6">
        <v>2744.0</v>
      </c>
      <c r="B2746" s="17">
        <f t="array" ref="B2746">SUM(1-'Sparkling Model'!D$2:D$38^A2746)</f>
        <v>35.63763882</v>
      </c>
      <c r="C2746" s="8">
        <f t="array" ref="C2746">PRODUCT(1-'Sparkling Model'!D$2:D$38^A2746)</f>
        <v>0.2202611704</v>
      </c>
    </row>
    <row r="2747">
      <c r="A2747" s="6">
        <v>2745.0</v>
      </c>
      <c r="B2747" s="17">
        <f t="array" ref="B2747">SUM(1-'Sparkling Model'!D$2:D$38^A2747)</f>
        <v>35.63866171</v>
      </c>
      <c r="C2747" s="8">
        <f t="array" ref="C2747">PRODUCT(1-'Sparkling Model'!D$2:D$38^A2747)</f>
        <v>0.2205256651</v>
      </c>
    </row>
    <row r="2748">
      <c r="A2748" s="6">
        <v>2746.0</v>
      </c>
      <c r="B2748" s="17">
        <f t="array" ref="B2748">SUM(1-'Sparkling Model'!D$2:D$38^A2748)</f>
        <v>35.63968359</v>
      </c>
      <c r="C2748" s="8">
        <f t="array" ref="C2748">PRODUCT(1-'Sparkling Model'!D$2:D$38^A2748)</f>
        <v>0.2207902055</v>
      </c>
    </row>
    <row r="2749">
      <c r="A2749" s="6">
        <v>2747.0</v>
      </c>
      <c r="B2749" s="17">
        <f t="array" ref="B2749">SUM(1-'Sparkling Model'!D$2:D$38^A2749)</f>
        <v>35.64070448</v>
      </c>
      <c r="C2749" s="8">
        <f t="array" ref="C2749">PRODUCT(1-'Sparkling Model'!D$2:D$38^A2749)</f>
        <v>0.2210547913</v>
      </c>
    </row>
    <row r="2750">
      <c r="A2750" s="6">
        <v>2748.0</v>
      </c>
      <c r="B2750" s="17">
        <f t="array" ref="B2750">SUM(1-'Sparkling Model'!D$2:D$38^A2750)</f>
        <v>35.64172437</v>
      </c>
      <c r="C2750" s="8">
        <f t="array" ref="C2750">PRODUCT(1-'Sparkling Model'!D$2:D$38^A2750)</f>
        <v>0.2213194222</v>
      </c>
    </row>
    <row r="2751">
      <c r="A2751" s="6">
        <v>2749.0</v>
      </c>
      <c r="B2751" s="17">
        <f t="array" ref="B2751">SUM(1-'Sparkling Model'!D$2:D$38^A2751)</f>
        <v>35.64274326</v>
      </c>
      <c r="C2751" s="8">
        <f t="array" ref="C2751">PRODUCT(1-'Sparkling Model'!D$2:D$38^A2751)</f>
        <v>0.2215840981</v>
      </c>
    </row>
    <row r="2752">
      <c r="A2752" s="6">
        <v>2750.0</v>
      </c>
      <c r="B2752" s="17">
        <f t="array" ref="B2752">SUM(1-'Sparkling Model'!D$2:D$38^A2752)</f>
        <v>35.64376115</v>
      </c>
      <c r="C2752" s="8">
        <f t="array" ref="C2752">PRODUCT(1-'Sparkling Model'!D$2:D$38^A2752)</f>
        <v>0.2218488187</v>
      </c>
    </row>
    <row r="2753">
      <c r="A2753" s="6">
        <v>2751.0</v>
      </c>
      <c r="B2753" s="17">
        <f t="array" ref="B2753">SUM(1-'Sparkling Model'!D$2:D$38^A2753)</f>
        <v>35.64477805</v>
      </c>
      <c r="C2753" s="8">
        <f t="array" ref="C2753">PRODUCT(1-'Sparkling Model'!D$2:D$38^A2753)</f>
        <v>0.2221135837</v>
      </c>
    </row>
    <row r="2754">
      <c r="A2754" s="6">
        <v>2752.0</v>
      </c>
      <c r="B2754" s="17">
        <f t="array" ref="B2754">SUM(1-'Sparkling Model'!D$2:D$38^A2754)</f>
        <v>35.64579395</v>
      </c>
      <c r="C2754" s="8">
        <f t="array" ref="C2754">PRODUCT(1-'Sparkling Model'!D$2:D$38^A2754)</f>
        <v>0.2223783929</v>
      </c>
    </row>
    <row r="2755">
      <c r="A2755" s="6">
        <v>2753.0</v>
      </c>
      <c r="B2755" s="17">
        <f t="array" ref="B2755">SUM(1-'Sparkling Model'!D$2:D$38^A2755)</f>
        <v>35.64680886</v>
      </c>
      <c r="C2755" s="8">
        <f t="array" ref="C2755">PRODUCT(1-'Sparkling Model'!D$2:D$38^A2755)</f>
        <v>0.2226432461</v>
      </c>
    </row>
    <row r="2756">
      <c r="A2756" s="6">
        <v>2754.0</v>
      </c>
      <c r="B2756" s="17">
        <f t="array" ref="B2756">SUM(1-'Sparkling Model'!D$2:D$38^A2756)</f>
        <v>35.64782278</v>
      </c>
      <c r="C2756" s="8">
        <f t="array" ref="C2756">PRODUCT(1-'Sparkling Model'!D$2:D$38^A2756)</f>
        <v>0.222908143</v>
      </c>
    </row>
    <row r="2757">
      <c r="A2757" s="6">
        <v>2755.0</v>
      </c>
      <c r="B2757" s="17">
        <f t="array" ref="B2757">SUM(1-'Sparkling Model'!D$2:D$38^A2757)</f>
        <v>35.64883572</v>
      </c>
      <c r="C2757" s="8">
        <f t="array" ref="C2757">PRODUCT(1-'Sparkling Model'!D$2:D$38^A2757)</f>
        <v>0.2231730834</v>
      </c>
    </row>
    <row r="2758">
      <c r="A2758" s="6">
        <v>2756.0</v>
      </c>
      <c r="B2758" s="17">
        <f t="array" ref="B2758">SUM(1-'Sparkling Model'!D$2:D$38^A2758)</f>
        <v>35.64984766</v>
      </c>
      <c r="C2758" s="8">
        <f t="array" ref="C2758">PRODUCT(1-'Sparkling Model'!D$2:D$38^A2758)</f>
        <v>0.2234380671</v>
      </c>
    </row>
    <row r="2759">
      <c r="A2759" s="6">
        <v>2757.0</v>
      </c>
      <c r="B2759" s="17">
        <f t="array" ref="B2759">SUM(1-'Sparkling Model'!D$2:D$38^A2759)</f>
        <v>35.65085861</v>
      </c>
      <c r="C2759" s="8">
        <f t="array" ref="C2759">PRODUCT(1-'Sparkling Model'!D$2:D$38^A2759)</f>
        <v>0.2237030938</v>
      </c>
    </row>
    <row r="2760">
      <c r="A2760" s="6">
        <v>2758.0</v>
      </c>
      <c r="B2760" s="17">
        <f t="array" ref="B2760">SUM(1-'Sparkling Model'!D$2:D$38^A2760)</f>
        <v>35.65186858</v>
      </c>
      <c r="C2760" s="8">
        <f t="array" ref="C2760">PRODUCT(1-'Sparkling Model'!D$2:D$38^A2760)</f>
        <v>0.2239681632</v>
      </c>
    </row>
    <row r="2761">
      <c r="A2761" s="6">
        <v>2759.0</v>
      </c>
      <c r="B2761" s="17">
        <f t="array" ref="B2761">SUM(1-'Sparkling Model'!D$2:D$38^A2761)</f>
        <v>35.65287757</v>
      </c>
      <c r="C2761" s="8">
        <f t="array" ref="C2761">PRODUCT(1-'Sparkling Model'!D$2:D$38^A2761)</f>
        <v>0.2242332752</v>
      </c>
    </row>
    <row r="2762">
      <c r="A2762" s="6">
        <v>2760.0</v>
      </c>
      <c r="B2762" s="17">
        <f t="array" ref="B2762">SUM(1-'Sparkling Model'!D$2:D$38^A2762)</f>
        <v>35.65388557</v>
      </c>
      <c r="C2762" s="8">
        <f t="array" ref="C2762">PRODUCT(1-'Sparkling Model'!D$2:D$38^A2762)</f>
        <v>0.2244984295</v>
      </c>
    </row>
    <row r="2763">
      <c r="A2763" s="6">
        <v>2761.0</v>
      </c>
      <c r="B2763" s="17">
        <f t="array" ref="B2763">SUM(1-'Sparkling Model'!D$2:D$38^A2763)</f>
        <v>35.65489259</v>
      </c>
      <c r="C2763" s="8">
        <f t="array" ref="C2763">PRODUCT(1-'Sparkling Model'!D$2:D$38^A2763)</f>
        <v>0.2247636258</v>
      </c>
    </row>
    <row r="2764">
      <c r="A2764" s="6">
        <v>2762.0</v>
      </c>
      <c r="B2764" s="17">
        <f t="array" ref="B2764">SUM(1-'Sparkling Model'!D$2:D$38^A2764)</f>
        <v>35.65589863</v>
      </c>
      <c r="C2764" s="8">
        <f t="array" ref="C2764">PRODUCT(1-'Sparkling Model'!D$2:D$38^A2764)</f>
        <v>0.225028864</v>
      </c>
    </row>
    <row r="2765">
      <c r="A2765" s="6">
        <v>2763.0</v>
      </c>
      <c r="B2765" s="17">
        <f t="array" ref="B2765">SUM(1-'Sparkling Model'!D$2:D$38^A2765)</f>
        <v>35.65690368</v>
      </c>
      <c r="C2765" s="8">
        <f t="array" ref="C2765">PRODUCT(1-'Sparkling Model'!D$2:D$38^A2765)</f>
        <v>0.2252941437</v>
      </c>
    </row>
    <row r="2766">
      <c r="A2766" s="6">
        <v>2764.0</v>
      </c>
      <c r="B2766" s="17">
        <f t="array" ref="B2766">SUM(1-'Sparkling Model'!D$2:D$38^A2766)</f>
        <v>35.65790776</v>
      </c>
      <c r="C2766" s="8">
        <f t="array" ref="C2766">PRODUCT(1-'Sparkling Model'!D$2:D$38^A2766)</f>
        <v>0.2255594648</v>
      </c>
    </row>
    <row r="2767">
      <c r="A2767" s="6">
        <v>2765.0</v>
      </c>
      <c r="B2767" s="17">
        <f t="array" ref="B2767">SUM(1-'Sparkling Model'!D$2:D$38^A2767)</f>
        <v>35.65891086</v>
      </c>
      <c r="C2767" s="8">
        <f t="array" ref="C2767">PRODUCT(1-'Sparkling Model'!D$2:D$38^A2767)</f>
        <v>0.225824827</v>
      </c>
    </row>
    <row r="2768">
      <c r="A2768" s="6">
        <v>2766.0</v>
      </c>
      <c r="B2768" s="17">
        <f t="array" ref="B2768">SUM(1-'Sparkling Model'!D$2:D$38^A2768)</f>
        <v>35.65991299</v>
      </c>
      <c r="C2768" s="8">
        <f t="array" ref="C2768">PRODUCT(1-'Sparkling Model'!D$2:D$38^A2768)</f>
        <v>0.2260902301</v>
      </c>
    </row>
    <row r="2769">
      <c r="A2769" s="6">
        <v>2767.0</v>
      </c>
      <c r="B2769" s="17">
        <f t="array" ref="B2769">SUM(1-'Sparkling Model'!D$2:D$38^A2769)</f>
        <v>35.66091414</v>
      </c>
      <c r="C2769" s="8">
        <f t="array" ref="C2769">PRODUCT(1-'Sparkling Model'!D$2:D$38^A2769)</f>
        <v>0.2263556738</v>
      </c>
    </row>
    <row r="2770">
      <c r="A2770" s="6">
        <v>2768.0</v>
      </c>
      <c r="B2770" s="17">
        <f t="array" ref="B2770">SUM(1-'Sparkling Model'!D$2:D$38^A2770)</f>
        <v>35.66191431</v>
      </c>
      <c r="C2770" s="8">
        <f t="array" ref="C2770">PRODUCT(1-'Sparkling Model'!D$2:D$38^A2770)</f>
        <v>0.2266211579</v>
      </c>
    </row>
    <row r="2771">
      <c r="A2771" s="6">
        <v>2769.0</v>
      </c>
      <c r="B2771" s="17">
        <f t="array" ref="B2771">SUM(1-'Sparkling Model'!D$2:D$38^A2771)</f>
        <v>35.66291352</v>
      </c>
      <c r="C2771" s="8">
        <f t="array" ref="C2771">PRODUCT(1-'Sparkling Model'!D$2:D$38^A2771)</f>
        <v>0.2268866822</v>
      </c>
    </row>
    <row r="2772">
      <c r="A2772" s="6">
        <v>2770.0</v>
      </c>
      <c r="B2772" s="17">
        <f t="array" ref="B2772">SUM(1-'Sparkling Model'!D$2:D$38^A2772)</f>
        <v>35.66391175</v>
      </c>
      <c r="C2772" s="8">
        <f t="array" ref="C2772">PRODUCT(1-'Sparkling Model'!D$2:D$38^A2772)</f>
        <v>0.2271522464</v>
      </c>
    </row>
    <row r="2773">
      <c r="A2773" s="6">
        <v>2771.0</v>
      </c>
      <c r="B2773" s="17">
        <f t="array" ref="B2773">SUM(1-'Sparkling Model'!D$2:D$38^A2773)</f>
        <v>35.66490901</v>
      </c>
      <c r="C2773" s="8">
        <f t="array" ref="C2773">PRODUCT(1-'Sparkling Model'!D$2:D$38^A2773)</f>
        <v>0.2274178503</v>
      </c>
    </row>
    <row r="2774">
      <c r="A2774" s="6">
        <v>2772.0</v>
      </c>
      <c r="B2774" s="17">
        <f t="array" ref="B2774">SUM(1-'Sparkling Model'!D$2:D$38^A2774)</f>
        <v>35.66590531</v>
      </c>
      <c r="C2774" s="8">
        <f t="array" ref="C2774">PRODUCT(1-'Sparkling Model'!D$2:D$38^A2774)</f>
        <v>0.2276834936</v>
      </c>
    </row>
    <row r="2775">
      <c r="A2775" s="6">
        <v>2773.0</v>
      </c>
      <c r="B2775" s="17">
        <f t="array" ref="B2775">SUM(1-'Sparkling Model'!D$2:D$38^A2775)</f>
        <v>35.66690063</v>
      </c>
      <c r="C2775" s="8">
        <f t="array" ref="C2775">PRODUCT(1-'Sparkling Model'!D$2:D$38^A2775)</f>
        <v>0.2279491762</v>
      </c>
    </row>
    <row r="2776">
      <c r="A2776" s="6">
        <v>2774.0</v>
      </c>
      <c r="B2776" s="17">
        <f t="array" ref="B2776">SUM(1-'Sparkling Model'!D$2:D$38^A2776)</f>
        <v>35.66789499</v>
      </c>
      <c r="C2776" s="8">
        <f t="array" ref="C2776">PRODUCT(1-'Sparkling Model'!D$2:D$38^A2776)</f>
        <v>0.2282148977</v>
      </c>
    </row>
    <row r="2777">
      <c r="A2777" s="6">
        <v>2775.0</v>
      </c>
      <c r="B2777" s="17">
        <f t="array" ref="B2777">SUM(1-'Sparkling Model'!D$2:D$38^A2777)</f>
        <v>35.66888839</v>
      </c>
      <c r="C2777" s="8">
        <f t="array" ref="C2777">PRODUCT(1-'Sparkling Model'!D$2:D$38^A2777)</f>
        <v>0.228480658</v>
      </c>
    </row>
    <row r="2778">
      <c r="A2778" s="6">
        <v>2776.0</v>
      </c>
      <c r="B2778" s="17">
        <f t="array" ref="B2778">SUM(1-'Sparkling Model'!D$2:D$38^A2778)</f>
        <v>35.66988082</v>
      </c>
      <c r="C2778" s="8">
        <f t="array" ref="C2778">PRODUCT(1-'Sparkling Model'!D$2:D$38^A2778)</f>
        <v>0.2287464569</v>
      </c>
    </row>
    <row r="2779">
      <c r="A2779" s="6">
        <v>2777.0</v>
      </c>
      <c r="B2779" s="17">
        <f t="array" ref="B2779">SUM(1-'Sparkling Model'!D$2:D$38^A2779)</f>
        <v>35.67087228</v>
      </c>
      <c r="C2779" s="8">
        <f t="array" ref="C2779">PRODUCT(1-'Sparkling Model'!D$2:D$38^A2779)</f>
        <v>0.229012294</v>
      </c>
    </row>
    <row r="2780">
      <c r="A2780" s="6">
        <v>2778.0</v>
      </c>
      <c r="B2780" s="17">
        <f t="array" ref="B2780">SUM(1-'Sparkling Model'!D$2:D$38^A2780)</f>
        <v>35.67186279</v>
      </c>
      <c r="C2780" s="8">
        <f t="array" ref="C2780">PRODUCT(1-'Sparkling Model'!D$2:D$38^A2780)</f>
        <v>0.2292781692</v>
      </c>
    </row>
    <row r="2781">
      <c r="A2781" s="6">
        <v>2779.0</v>
      </c>
      <c r="B2781" s="17">
        <f t="array" ref="B2781">SUM(1-'Sparkling Model'!D$2:D$38^A2781)</f>
        <v>35.67285233</v>
      </c>
      <c r="C2781" s="8">
        <f t="array" ref="C2781">PRODUCT(1-'Sparkling Model'!D$2:D$38^A2781)</f>
        <v>0.2295440822</v>
      </c>
    </row>
    <row r="2782">
      <c r="A2782" s="6">
        <v>2780.0</v>
      </c>
      <c r="B2782" s="17">
        <f t="array" ref="B2782">SUM(1-'Sparkling Model'!D$2:D$38^A2782)</f>
        <v>35.67384092</v>
      </c>
      <c r="C2782" s="8">
        <f t="array" ref="C2782">PRODUCT(1-'Sparkling Model'!D$2:D$38^A2782)</f>
        <v>0.2298100328</v>
      </c>
    </row>
    <row r="2783">
      <c r="A2783" s="6">
        <v>2781.0</v>
      </c>
      <c r="B2783" s="17">
        <f t="array" ref="B2783">SUM(1-'Sparkling Model'!D$2:D$38^A2783)</f>
        <v>35.67482855</v>
      </c>
      <c r="C2783" s="8">
        <f t="array" ref="C2783">PRODUCT(1-'Sparkling Model'!D$2:D$38^A2783)</f>
        <v>0.2300760207</v>
      </c>
    </row>
    <row r="2784">
      <c r="A2784" s="6">
        <v>2782.0</v>
      </c>
      <c r="B2784" s="17">
        <f t="array" ref="B2784">SUM(1-'Sparkling Model'!D$2:D$38^A2784)</f>
        <v>35.67581522</v>
      </c>
      <c r="C2784" s="8">
        <f t="array" ref="C2784">PRODUCT(1-'Sparkling Model'!D$2:D$38^A2784)</f>
        <v>0.2303420457</v>
      </c>
    </row>
    <row r="2785">
      <c r="A2785" s="6">
        <v>2783.0</v>
      </c>
      <c r="B2785" s="17">
        <f t="array" ref="B2785">SUM(1-'Sparkling Model'!D$2:D$38^A2785)</f>
        <v>35.67680093</v>
      </c>
      <c r="C2785" s="8">
        <f t="array" ref="C2785">PRODUCT(1-'Sparkling Model'!D$2:D$38^A2785)</f>
        <v>0.2306081077</v>
      </c>
    </row>
    <row r="2786">
      <c r="A2786" s="6">
        <v>2784.0</v>
      </c>
      <c r="B2786" s="17">
        <f t="array" ref="B2786">SUM(1-'Sparkling Model'!D$2:D$38^A2786)</f>
        <v>35.67778569</v>
      </c>
      <c r="C2786" s="8">
        <f t="array" ref="C2786">PRODUCT(1-'Sparkling Model'!D$2:D$38^A2786)</f>
        <v>0.2308742063</v>
      </c>
    </row>
    <row r="2787">
      <c r="A2787" s="6">
        <v>2785.0</v>
      </c>
      <c r="B2787" s="17">
        <f t="array" ref="B2787">SUM(1-'Sparkling Model'!D$2:D$38^A2787)</f>
        <v>35.6787695</v>
      </c>
      <c r="C2787" s="8">
        <f t="array" ref="C2787">PRODUCT(1-'Sparkling Model'!D$2:D$38^A2787)</f>
        <v>0.2311403413</v>
      </c>
    </row>
    <row r="2788">
      <c r="A2788" s="6">
        <v>2786.0</v>
      </c>
      <c r="B2788" s="17">
        <f t="array" ref="B2788">SUM(1-'Sparkling Model'!D$2:D$38^A2788)</f>
        <v>35.67975236</v>
      </c>
      <c r="C2788" s="8">
        <f t="array" ref="C2788">PRODUCT(1-'Sparkling Model'!D$2:D$38^A2788)</f>
        <v>0.2314065125</v>
      </c>
    </row>
    <row r="2789">
      <c r="A2789" s="6">
        <v>2787.0</v>
      </c>
      <c r="B2789" s="17">
        <f t="array" ref="B2789">SUM(1-'Sparkling Model'!D$2:D$38^A2789)</f>
        <v>35.68073426</v>
      </c>
      <c r="C2789" s="8">
        <f t="array" ref="C2789">PRODUCT(1-'Sparkling Model'!D$2:D$38^A2789)</f>
        <v>0.2316727197</v>
      </c>
    </row>
    <row r="2790">
      <c r="A2790" s="6">
        <v>2788.0</v>
      </c>
      <c r="B2790" s="17">
        <f t="array" ref="B2790">SUM(1-'Sparkling Model'!D$2:D$38^A2790)</f>
        <v>35.68171522</v>
      </c>
      <c r="C2790" s="8">
        <f t="array" ref="C2790">PRODUCT(1-'Sparkling Model'!D$2:D$38^A2790)</f>
        <v>0.2319389627</v>
      </c>
    </row>
    <row r="2791">
      <c r="A2791" s="6">
        <v>2789.0</v>
      </c>
      <c r="B2791" s="17">
        <f t="array" ref="B2791">SUM(1-'Sparkling Model'!D$2:D$38^A2791)</f>
        <v>35.68269522</v>
      </c>
      <c r="C2791" s="8">
        <f t="array" ref="C2791">PRODUCT(1-'Sparkling Model'!D$2:D$38^A2791)</f>
        <v>0.2322052411</v>
      </c>
    </row>
    <row r="2792">
      <c r="A2792" s="6">
        <v>2790.0</v>
      </c>
      <c r="B2792" s="17">
        <f t="array" ref="B2792">SUM(1-'Sparkling Model'!D$2:D$38^A2792)</f>
        <v>35.68367428</v>
      </c>
      <c r="C2792" s="8">
        <f t="array" ref="C2792">PRODUCT(1-'Sparkling Model'!D$2:D$38^A2792)</f>
        <v>0.2324715548</v>
      </c>
    </row>
    <row r="2793">
      <c r="A2793" s="6">
        <v>2791.0</v>
      </c>
      <c r="B2793" s="17">
        <f t="array" ref="B2793">SUM(1-'Sparkling Model'!D$2:D$38^A2793)</f>
        <v>35.6846524</v>
      </c>
      <c r="C2793" s="8">
        <f t="array" ref="C2793">PRODUCT(1-'Sparkling Model'!D$2:D$38^A2793)</f>
        <v>0.2327379035</v>
      </c>
    </row>
    <row r="2794">
      <c r="A2794" s="6">
        <v>2792.0</v>
      </c>
      <c r="B2794" s="17">
        <f t="array" ref="B2794">SUM(1-'Sparkling Model'!D$2:D$38^A2794)</f>
        <v>35.68562957</v>
      </c>
      <c r="C2794" s="8">
        <f t="array" ref="C2794">PRODUCT(1-'Sparkling Model'!D$2:D$38^A2794)</f>
        <v>0.2330042871</v>
      </c>
    </row>
    <row r="2795">
      <c r="A2795" s="6">
        <v>2793.0</v>
      </c>
      <c r="B2795" s="17">
        <f t="array" ref="B2795">SUM(1-'Sparkling Model'!D$2:D$38^A2795)</f>
        <v>35.68660579</v>
      </c>
      <c r="C2795" s="8">
        <f t="array" ref="C2795">PRODUCT(1-'Sparkling Model'!D$2:D$38^A2795)</f>
        <v>0.2332707052</v>
      </c>
    </row>
    <row r="2796">
      <c r="A2796" s="6">
        <v>2794.0</v>
      </c>
      <c r="B2796" s="17">
        <f t="array" ref="B2796">SUM(1-'Sparkling Model'!D$2:D$38^A2796)</f>
        <v>35.68758107</v>
      </c>
      <c r="C2796" s="8">
        <f t="array" ref="C2796">PRODUCT(1-'Sparkling Model'!D$2:D$38^A2796)</f>
        <v>0.2335371577</v>
      </c>
    </row>
    <row r="2797">
      <c r="A2797" s="6">
        <v>2795.0</v>
      </c>
      <c r="B2797" s="17">
        <f t="array" ref="B2797">SUM(1-'Sparkling Model'!D$2:D$38^A2797)</f>
        <v>35.68855541</v>
      </c>
      <c r="C2797" s="8">
        <f t="array" ref="C2797">PRODUCT(1-'Sparkling Model'!D$2:D$38^A2797)</f>
        <v>0.2338036443</v>
      </c>
    </row>
    <row r="2798">
      <c r="A2798" s="6">
        <v>2796.0</v>
      </c>
      <c r="B2798" s="17">
        <f t="array" ref="B2798">SUM(1-'Sparkling Model'!D$2:D$38^A2798)</f>
        <v>35.68952881</v>
      </c>
      <c r="C2798" s="8">
        <f t="array" ref="C2798">PRODUCT(1-'Sparkling Model'!D$2:D$38^A2798)</f>
        <v>0.2340701648</v>
      </c>
    </row>
    <row r="2799">
      <c r="A2799" s="6">
        <v>2797.0</v>
      </c>
      <c r="B2799" s="17">
        <f t="array" ref="B2799">SUM(1-'Sparkling Model'!D$2:D$38^A2799)</f>
        <v>35.69050127</v>
      </c>
      <c r="C2799" s="8">
        <f t="array" ref="C2799">PRODUCT(1-'Sparkling Model'!D$2:D$38^A2799)</f>
        <v>0.234336719</v>
      </c>
    </row>
    <row r="2800">
      <c r="A2800" s="6">
        <v>2798.0</v>
      </c>
      <c r="B2800" s="17">
        <f t="array" ref="B2800">SUM(1-'Sparkling Model'!D$2:D$38^A2800)</f>
        <v>35.6914728</v>
      </c>
      <c r="C2800" s="8">
        <f t="array" ref="C2800">PRODUCT(1-'Sparkling Model'!D$2:D$38^A2800)</f>
        <v>0.2346033066</v>
      </c>
    </row>
    <row r="2801">
      <c r="A2801" s="6">
        <v>2799.0</v>
      </c>
      <c r="B2801" s="17">
        <f t="array" ref="B2801">SUM(1-'Sparkling Model'!D$2:D$38^A2801)</f>
        <v>35.69244338</v>
      </c>
      <c r="C2801" s="8">
        <f t="array" ref="C2801">PRODUCT(1-'Sparkling Model'!D$2:D$38^A2801)</f>
        <v>0.2348699274</v>
      </c>
    </row>
    <row r="2802">
      <c r="A2802" s="6">
        <v>2800.0</v>
      </c>
      <c r="B2802" s="17">
        <f t="array" ref="B2802">SUM(1-'Sparkling Model'!D$2:D$38^A2802)</f>
        <v>35.69341303</v>
      </c>
      <c r="C2802" s="8">
        <f t="array" ref="C2802">PRODUCT(1-'Sparkling Model'!D$2:D$38^A2802)</f>
        <v>0.2351365812</v>
      </c>
    </row>
    <row r="2803">
      <c r="A2803" s="6">
        <v>2801.0</v>
      </c>
      <c r="B2803" s="17">
        <f t="array" ref="B2803">SUM(1-'Sparkling Model'!D$2:D$38^A2803)</f>
        <v>35.69438175</v>
      </c>
      <c r="C2803" s="8">
        <f t="array" ref="C2803">PRODUCT(1-'Sparkling Model'!D$2:D$38^A2803)</f>
        <v>0.2354032678</v>
      </c>
    </row>
    <row r="2804">
      <c r="A2804" s="6">
        <v>2802.0</v>
      </c>
      <c r="B2804" s="17">
        <f t="array" ref="B2804">SUM(1-'Sparkling Model'!D$2:D$38^A2804)</f>
        <v>35.69534953</v>
      </c>
      <c r="C2804" s="8">
        <f t="array" ref="C2804">PRODUCT(1-'Sparkling Model'!D$2:D$38^A2804)</f>
        <v>0.2356699869</v>
      </c>
    </row>
    <row r="2805">
      <c r="A2805" s="6">
        <v>2803.0</v>
      </c>
      <c r="B2805" s="17">
        <f t="array" ref="B2805">SUM(1-'Sparkling Model'!D$2:D$38^A2805)</f>
        <v>35.69631638</v>
      </c>
      <c r="C2805" s="8">
        <f t="array" ref="C2805">PRODUCT(1-'Sparkling Model'!D$2:D$38^A2805)</f>
        <v>0.2359367383</v>
      </c>
    </row>
    <row r="2806">
      <c r="A2806" s="6">
        <v>2804.0</v>
      </c>
      <c r="B2806" s="17">
        <f t="array" ref="B2806">SUM(1-'Sparkling Model'!D$2:D$38^A2806)</f>
        <v>35.6972823</v>
      </c>
      <c r="C2806" s="8">
        <f t="array" ref="C2806">PRODUCT(1-'Sparkling Model'!D$2:D$38^A2806)</f>
        <v>0.2362035217</v>
      </c>
    </row>
    <row r="2807">
      <c r="A2807" s="6">
        <v>2805.0</v>
      </c>
      <c r="B2807" s="17">
        <f t="array" ref="B2807">SUM(1-'Sparkling Model'!D$2:D$38^A2807)</f>
        <v>35.6982473</v>
      </c>
      <c r="C2807" s="8">
        <f t="array" ref="C2807">PRODUCT(1-'Sparkling Model'!D$2:D$38^A2807)</f>
        <v>0.2364703371</v>
      </c>
    </row>
    <row r="2808">
      <c r="A2808" s="6">
        <v>2806.0</v>
      </c>
      <c r="B2808" s="17">
        <f t="array" ref="B2808">SUM(1-'Sparkling Model'!D$2:D$38^A2808)</f>
        <v>35.69921136</v>
      </c>
      <c r="C2808" s="8">
        <f t="array" ref="C2808">PRODUCT(1-'Sparkling Model'!D$2:D$38^A2808)</f>
        <v>0.236737184</v>
      </c>
    </row>
    <row r="2809">
      <c r="A2809" s="6">
        <v>2807.0</v>
      </c>
      <c r="B2809" s="17">
        <f t="array" ref="B2809">SUM(1-'Sparkling Model'!D$2:D$38^A2809)</f>
        <v>35.70017449</v>
      </c>
      <c r="C2809" s="8">
        <f t="array" ref="C2809">PRODUCT(1-'Sparkling Model'!D$2:D$38^A2809)</f>
        <v>0.2370040623</v>
      </c>
    </row>
    <row r="2810">
      <c r="A2810" s="6">
        <v>2808.0</v>
      </c>
      <c r="B2810" s="17">
        <f t="array" ref="B2810">SUM(1-'Sparkling Model'!D$2:D$38^A2810)</f>
        <v>35.7011367</v>
      </c>
      <c r="C2810" s="8">
        <f t="array" ref="C2810">PRODUCT(1-'Sparkling Model'!D$2:D$38^A2810)</f>
        <v>0.2372709719</v>
      </c>
    </row>
    <row r="2811">
      <c r="A2811" s="6">
        <v>2809.0</v>
      </c>
      <c r="B2811" s="17">
        <f t="array" ref="B2811">SUM(1-'Sparkling Model'!D$2:D$38^A2811)</f>
        <v>35.70209798</v>
      </c>
      <c r="C2811" s="8">
        <f t="array" ref="C2811">PRODUCT(1-'Sparkling Model'!D$2:D$38^A2811)</f>
        <v>0.2375379123</v>
      </c>
    </row>
    <row r="2812">
      <c r="A2812" s="6">
        <v>2810.0</v>
      </c>
      <c r="B2812" s="17">
        <f t="array" ref="B2812">SUM(1-'Sparkling Model'!D$2:D$38^A2812)</f>
        <v>35.70305834</v>
      </c>
      <c r="C2812" s="8">
        <f t="array" ref="C2812">PRODUCT(1-'Sparkling Model'!D$2:D$38^A2812)</f>
        <v>0.2378048835</v>
      </c>
    </row>
    <row r="2813">
      <c r="A2813" s="6">
        <v>2811.0</v>
      </c>
      <c r="B2813" s="17">
        <f t="array" ref="B2813">SUM(1-'Sparkling Model'!D$2:D$38^A2813)</f>
        <v>35.70401778</v>
      </c>
      <c r="C2813" s="8">
        <f t="array" ref="C2813">PRODUCT(1-'Sparkling Model'!D$2:D$38^A2813)</f>
        <v>0.2380718852</v>
      </c>
    </row>
    <row r="2814">
      <c r="A2814" s="6">
        <v>2812.0</v>
      </c>
      <c r="B2814" s="17">
        <f t="array" ref="B2814">SUM(1-'Sparkling Model'!D$2:D$38^A2814)</f>
        <v>35.70497629</v>
      </c>
      <c r="C2814" s="8">
        <f t="array" ref="C2814">PRODUCT(1-'Sparkling Model'!D$2:D$38^A2814)</f>
        <v>0.2383389172</v>
      </c>
    </row>
    <row r="2815">
      <c r="A2815" s="6">
        <v>2813.0</v>
      </c>
      <c r="B2815" s="17">
        <f t="array" ref="B2815">SUM(1-'Sparkling Model'!D$2:D$38^A2815)</f>
        <v>35.70593389</v>
      </c>
      <c r="C2815" s="8">
        <f t="array" ref="C2815">PRODUCT(1-'Sparkling Model'!D$2:D$38^A2815)</f>
        <v>0.2386059792</v>
      </c>
    </row>
    <row r="2816">
      <c r="A2816" s="6">
        <v>2814.0</v>
      </c>
      <c r="B2816" s="17">
        <f t="array" ref="B2816">SUM(1-'Sparkling Model'!D$2:D$38^A2816)</f>
        <v>35.70689056</v>
      </c>
      <c r="C2816" s="8">
        <f t="array" ref="C2816">PRODUCT(1-'Sparkling Model'!D$2:D$38^A2816)</f>
        <v>0.238873071</v>
      </c>
    </row>
    <row r="2817">
      <c r="A2817" s="6">
        <v>2815.0</v>
      </c>
      <c r="B2817" s="17">
        <f t="array" ref="B2817">SUM(1-'Sparkling Model'!D$2:D$38^A2817)</f>
        <v>35.70784632</v>
      </c>
      <c r="C2817" s="8">
        <f t="array" ref="C2817">PRODUCT(1-'Sparkling Model'!D$2:D$38^A2817)</f>
        <v>0.2391401924</v>
      </c>
    </row>
    <row r="2818">
      <c r="A2818" s="6">
        <v>2816.0</v>
      </c>
      <c r="B2818" s="17">
        <f t="array" ref="B2818">SUM(1-'Sparkling Model'!D$2:D$38^A2818)</f>
        <v>35.70880115</v>
      </c>
      <c r="C2818" s="8">
        <f t="array" ref="C2818">PRODUCT(1-'Sparkling Model'!D$2:D$38^A2818)</f>
        <v>0.2394073432</v>
      </c>
    </row>
    <row r="2819">
      <c r="A2819" s="6">
        <v>2817.0</v>
      </c>
      <c r="B2819" s="17">
        <f t="array" ref="B2819">SUM(1-'Sparkling Model'!D$2:D$38^A2819)</f>
        <v>35.70975508</v>
      </c>
      <c r="C2819" s="8">
        <f t="array" ref="C2819">PRODUCT(1-'Sparkling Model'!D$2:D$38^A2819)</f>
        <v>0.2396745232</v>
      </c>
    </row>
    <row r="2820">
      <c r="A2820" s="6">
        <v>2818.0</v>
      </c>
      <c r="B2820" s="17">
        <f t="array" ref="B2820">SUM(1-'Sparkling Model'!D$2:D$38^A2820)</f>
        <v>35.71070809</v>
      </c>
      <c r="C2820" s="8">
        <f t="array" ref="C2820">PRODUCT(1-'Sparkling Model'!D$2:D$38^A2820)</f>
        <v>0.2399417321</v>
      </c>
    </row>
    <row r="2821">
      <c r="A2821" s="6">
        <v>2819.0</v>
      </c>
      <c r="B2821" s="17">
        <f t="array" ref="B2821">SUM(1-'Sparkling Model'!D$2:D$38^A2821)</f>
        <v>35.71166018</v>
      </c>
      <c r="C2821" s="8">
        <f t="array" ref="C2821">PRODUCT(1-'Sparkling Model'!D$2:D$38^A2821)</f>
        <v>0.2402089697</v>
      </c>
    </row>
    <row r="2822">
      <c r="A2822" s="6">
        <v>2820.0</v>
      </c>
      <c r="B2822" s="17">
        <f t="array" ref="B2822">SUM(1-'Sparkling Model'!D$2:D$38^A2822)</f>
        <v>35.71261136</v>
      </c>
      <c r="C2822" s="8">
        <f t="array" ref="C2822">PRODUCT(1-'Sparkling Model'!D$2:D$38^A2822)</f>
        <v>0.2404762358</v>
      </c>
    </row>
    <row r="2823">
      <c r="A2823" s="6">
        <v>2821.0</v>
      </c>
      <c r="B2823" s="17">
        <f t="array" ref="B2823">SUM(1-'Sparkling Model'!D$2:D$38^A2823)</f>
        <v>35.71356163</v>
      </c>
      <c r="C2823" s="8">
        <f t="array" ref="C2823">PRODUCT(1-'Sparkling Model'!D$2:D$38^A2823)</f>
        <v>0.2407435302</v>
      </c>
    </row>
    <row r="2824">
      <c r="A2824" s="6">
        <v>2822.0</v>
      </c>
      <c r="B2824" s="17">
        <f t="array" ref="B2824">SUM(1-'Sparkling Model'!D$2:D$38^A2824)</f>
        <v>35.71451099</v>
      </c>
      <c r="C2824" s="8">
        <f t="array" ref="C2824">PRODUCT(1-'Sparkling Model'!D$2:D$38^A2824)</f>
        <v>0.2410108526</v>
      </c>
    </row>
    <row r="2825">
      <c r="A2825" s="6">
        <v>2823.0</v>
      </c>
      <c r="B2825" s="17">
        <f t="array" ref="B2825">SUM(1-'Sparkling Model'!D$2:D$38^A2825)</f>
        <v>35.71545944</v>
      </c>
      <c r="C2825" s="8">
        <f t="array" ref="C2825">PRODUCT(1-'Sparkling Model'!D$2:D$38^A2825)</f>
        <v>0.2412782028</v>
      </c>
    </row>
    <row r="2826">
      <c r="A2826" s="6">
        <v>2824.0</v>
      </c>
      <c r="B2826" s="17">
        <f t="array" ref="B2826">SUM(1-'Sparkling Model'!D$2:D$38^A2826)</f>
        <v>35.71640698</v>
      </c>
      <c r="C2826" s="8">
        <f t="array" ref="C2826">PRODUCT(1-'Sparkling Model'!D$2:D$38^A2826)</f>
        <v>0.2415455807</v>
      </c>
    </row>
    <row r="2827">
      <c r="A2827" s="6">
        <v>2825.0</v>
      </c>
      <c r="B2827" s="17">
        <f t="array" ref="B2827">SUM(1-'Sparkling Model'!D$2:D$38^A2827)</f>
        <v>35.71735362</v>
      </c>
      <c r="C2827" s="8">
        <f t="array" ref="C2827">PRODUCT(1-'Sparkling Model'!D$2:D$38^A2827)</f>
        <v>0.2418129859</v>
      </c>
    </row>
    <row r="2828">
      <c r="A2828" s="6">
        <v>2826.0</v>
      </c>
      <c r="B2828" s="17">
        <f t="array" ref="B2828">SUM(1-'Sparkling Model'!D$2:D$38^A2828)</f>
        <v>35.71829935</v>
      </c>
      <c r="C2828" s="8">
        <f t="array" ref="C2828">PRODUCT(1-'Sparkling Model'!D$2:D$38^A2828)</f>
        <v>0.2420804183</v>
      </c>
    </row>
    <row r="2829">
      <c r="A2829" s="6">
        <v>2827.0</v>
      </c>
      <c r="B2829" s="17">
        <f t="array" ref="B2829">SUM(1-'Sparkling Model'!D$2:D$38^A2829)</f>
        <v>35.71924417</v>
      </c>
      <c r="C2829" s="8">
        <f t="array" ref="C2829">PRODUCT(1-'Sparkling Model'!D$2:D$38^A2829)</f>
        <v>0.2423478776</v>
      </c>
    </row>
    <row r="2830">
      <c r="A2830" s="6">
        <v>2828.0</v>
      </c>
      <c r="B2830" s="17">
        <f t="array" ref="B2830">SUM(1-'Sparkling Model'!D$2:D$38^A2830)</f>
        <v>35.7201881</v>
      </c>
      <c r="C2830" s="8">
        <f t="array" ref="C2830">PRODUCT(1-'Sparkling Model'!D$2:D$38^A2830)</f>
        <v>0.2426153636</v>
      </c>
    </row>
    <row r="2831">
      <c r="A2831" s="6">
        <v>2829.0</v>
      </c>
      <c r="B2831" s="17">
        <f t="array" ref="B2831">SUM(1-'Sparkling Model'!D$2:D$38^A2831)</f>
        <v>35.72113111</v>
      </c>
      <c r="C2831" s="8">
        <f t="array" ref="C2831">PRODUCT(1-'Sparkling Model'!D$2:D$38^A2831)</f>
        <v>0.2428828762</v>
      </c>
    </row>
    <row r="2832">
      <c r="A2832" s="6">
        <v>2830.0</v>
      </c>
      <c r="B2832" s="17">
        <f t="array" ref="B2832">SUM(1-'Sparkling Model'!D$2:D$38^A2832)</f>
        <v>35.72207323</v>
      </c>
      <c r="C2832" s="8">
        <f t="array" ref="C2832">PRODUCT(1-'Sparkling Model'!D$2:D$38^A2832)</f>
        <v>0.243150415</v>
      </c>
    </row>
    <row r="2833">
      <c r="A2833" s="6">
        <v>2831.0</v>
      </c>
      <c r="B2833" s="17">
        <f t="array" ref="B2833">SUM(1-'Sparkling Model'!D$2:D$38^A2833)</f>
        <v>35.72301445</v>
      </c>
      <c r="C2833" s="8">
        <f t="array" ref="C2833">PRODUCT(1-'Sparkling Model'!D$2:D$38^A2833)</f>
        <v>0.2434179799</v>
      </c>
    </row>
    <row r="2834">
      <c r="A2834" s="6">
        <v>2832.0</v>
      </c>
      <c r="B2834" s="17">
        <f t="array" ref="B2834">SUM(1-'Sparkling Model'!D$2:D$38^A2834)</f>
        <v>35.72395477</v>
      </c>
      <c r="C2834" s="8">
        <f t="array" ref="C2834">PRODUCT(1-'Sparkling Model'!D$2:D$38^A2834)</f>
        <v>0.2436855706</v>
      </c>
    </row>
    <row r="2835">
      <c r="A2835" s="6">
        <v>2833.0</v>
      </c>
      <c r="B2835" s="17">
        <f t="array" ref="B2835">SUM(1-'Sparkling Model'!D$2:D$38^A2835)</f>
        <v>35.72489419</v>
      </c>
      <c r="C2835" s="8">
        <f t="array" ref="C2835">PRODUCT(1-'Sparkling Model'!D$2:D$38^A2835)</f>
        <v>0.243953187</v>
      </c>
    </row>
    <row r="2836">
      <c r="A2836" s="6">
        <v>2834.0</v>
      </c>
      <c r="B2836" s="17">
        <f t="array" ref="B2836">SUM(1-'Sparkling Model'!D$2:D$38^A2836)</f>
        <v>35.72583271</v>
      </c>
      <c r="C2836" s="8">
        <f t="array" ref="C2836">PRODUCT(1-'Sparkling Model'!D$2:D$38^A2836)</f>
        <v>0.2442208288</v>
      </c>
    </row>
    <row r="2837">
      <c r="A2837" s="6">
        <v>2835.0</v>
      </c>
      <c r="B2837" s="17">
        <f t="array" ref="B2837">SUM(1-'Sparkling Model'!D$2:D$38^A2837)</f>
        <v>35.72677034</v>
      </c>
      <c r="C2837" s="8">
        <f t="array" ref="C2837">PRODUCT(1-'Sparkling Model'!D$2:D$38^A2837)</f>
        <v>0.2444884957</v>
      </c>
    </row>
    <row r="2838">
      <c r="A2838" s="6">
        <v>2836.0</v>
      </c>
      <c r="B2838" s="17">
        <f t="array" ref="B2838">SUM(1-'Sparkling Model'!D$2:D$38^A2838)</f>
        <v>35.72770707</v>
      </c>
      <c r="C2838" s="8">
        <f t="array" ref="C2838">PRODUCT(1-'Sparkling Model'!D$2:D$38^A2838)</f>
        <v>0.2447561876</v>
      </c>
    </row>
    <row r="2839">
      <c r="A2839" s="6">
        <v>2837.0</v>
      </c>
      <c r="B2839" s="17">
        <f t="array" ref="B2839">SUM(1-'Sparkling Model'!D$2:D$38^A2839)</f>
        <v>35.72864291</v>
      </c>
      <c r="C2839" s="8">
        <f t="array" ref="C2839">PRODUCT(1-'Sparkling Model'!D$2:D$38^A2839)</f>
        <v>0.2450239043</v>
      </c>
    </row>
    <row r="2840">
      <c r="A2840" s="6">
        <v>2838.0</v>
      </c>
      <c r="B2840" s="17">
        <f t="array" ref="B2840">SUM(1-'Sparkling Model'!D$2:D$38^A2840)</f>
        <v>35.72957785</v>
      </c>
      <c r="C2840" s="8">
        <f t="array" ref="C2840">PRODUCT(1-'Sparkling Model'!D$2:D$38^A2840)</f>
        <v>0.2452916455</v>
      </c>
    </row>
    <row r="2841">
      <c r="A2841" s="6">
        <v>2839.0</v>
      </c>
      <c r="B2841" s="17">
        <f t="array" ref="B2841">SUM(1-'Sparkling Model'!D$2:D$38^A2841)</f>
        <v>35.73051191</v>
      </c>
      <c r="C2841" s="8">
        <f t="array" ref="C2841">PRODUCT(1-'Sparkling Model'!D$2:D$38^A2841)</f>
        <v>0.245559411</v>
      </c>
    </row>
    <row r="2842">
      <c r="A2842" s="6">
        <v>2840.0</v>
      </c>
      <c r="B2842" s="17">
        <f t="array" ref="B2842">SUM(1-'Sparkling Model'!D$2:D$38^A2842)</f>
        <v>35.73144507</v>
      </c>
      <c r="C2842" s="8">
        <f t="array" ref="C2842">PRODUCT(1-'Sparkling Model'!D$2:D$38^A2842)</f>
        <v>0.2458272007</v>
      </c>
    </row>
    <row r="2843">
      <c r="A2843" s="6">
        <v>2841.0</v>
      </c>
      <c r="B2843" s="17">
        <f t="array" ref="B2843">SUM(1-'Sparkling Model'!D$2:D$38^A2843)</f>
        <v>35.73237735</v>
      </c>
      <c r="C2843" s="8">
        <f t="array" ref="C2843">PRODUCT(1-'Sparkling Model'!D$2:D$38^A2843)</f>
        <v>0.2460950142</v>
      </c>
    </row>
    <row r="2844">
      <c r="A2844" s="6">
        <v>2842.0</v>
      </c>
      <c r="B2844" s="17">
        <f t="array" ref="B2844">SUM(1-'Sparkling Model'!D$2:D$38^A2844)</f>
        <v>35.73330874</v>
      </c>
      <c r="C2844" s="8">
        <f t="array" ref="C2844">PRODUCT(1-'Sparkling Model'!D$2:D$38^A2844)</f>
        <v>0.2463628514</v>
      </c>
    </row>
    <row r="2845">
      <c r="A2845" s="6">
        <v>2843.0</v>
      </c>
      <c r="B2845" s="17">
        <f t="array" ref="B2845">SUM(1-'Sparkling Model'!D$2:D$38^A2845)</f>
        <v>35.73423923</v>
      </c>
      <c r="C2845" s="8">
        <f t="array" ref="C2845">PRODUCT(1-'Sparkling Model'!D$2:D$38^A2845)</f>
        <v>0.246630712</v>
      </c>
    </row>
    <row r="2846">
      <c r="A2846" s="6">
        <v>2844.0</v>
      </c>
      <c r="B2846" s="17">
        <f t="array" ref="B2846">SUM(1-'Sparkling Model'!D$2:D$38^A2846)</f>
        <v>35.73516885</v>
      </c>
      <c r="C2846" s="8">
        <f t="array" ref="C2846">PRODUCT(1-'Sparkling Model'!D$2:D$38^A2846)</f>
        <v>0.2468985959</v>
      </c>
    </row>
    <row r="2847">
      <c r="A2847" s="6">
        <v>2845.0</v>
      </c>
      <c r="B2847" s="17">
        <f t="array" ref="B2847">SUM(1-'Sparkling Model'!D$2:D$38^A2847)</f>
        <v>35.73609758</v>
      </c>
      <c r="C2847" s="8">
        <f t="array" ref="C2847">PRODUCT(1-'Sparkling Model'!D$2:D$38^A2847)</f>
        <v>0.2471665028</v>
      </c>
    </row>
    <row r="2848">
      <c r="A2848" s="6">
        <v>2846.0</v>
      </c>
      <c r="B2848" s="17">
        <f t="array" ref="B2848">SUM(1-'Sparkling Model'!D$2:D$38^A2848)</f>
        <v>35.73702542</v>
      </c>
      <c r="C2848" s="8">
        <f t="array" ref="C2848">PRODUCT(1-'Sparkling Model'!D$2:D$38^A2848)</f>
        <v>0.2474344325</v>
      </c>
    </row>
    <row r="2849">
      <c r="A2849" s="6">
        <v>2847.0</v>
      </c>
      <c r="B2849" s="17">
        <f t="array" ref="B2849">SUM(1-'Sparkling Model'!D$2:D$38^A2849)</f>
        <v>35.73795239</v>
      </c>
      <c r="C2849" s="8">
        <f t="array" ref="C2849">PRODUCT(1-'Sparkling Model'!D$2:D$38^A2849)</f>
        <v>0.2477023848</v>
      </c>
    </row>
    <row r="2850">
      <c r="A2850" s="6">
        <v>2848.0</v>
      </c>
      <c r="B2850" s="17">
        <f t="array" ref="B2850">SUM(1-'Sparkling Model'!D$2:D$38^A2850)</f>
        <v>35.73887847</v>
      </c>
      <c r="C2850" s="8">
        <f t="array" ref="C2850">PRODUCT(1-'Sparkling Model'!D$2:D$38^A2850)</f>
        <v>0.2479703594</v>
      </c>
    </row>
    <row r="2851">
      <c r="A2851" s="6">
        <v>2849.0</v>
      </c>
      <c r="B2851" s="17">
        <f t="array" ref="B2851">SUM(1-'Sparkling Model'!D$2:D$38^A2851)</f>
        <v>35.73980367</v>
      </c>
      <c r="C2851" s="8">
        <f t="array" ref="C2851">PRODUCT(1-'Sparkling Model'!D$2:D$38^A2851)</f>
        <v>0.2482383563</v>
      </c>
    </row>
    <row r="2852">
      <c r="A2852" s="6">
        <v>2850.0</v>
      </c>
      <c r="B2852" s="17">
        <f t="array" ref="B2852">SUM(1-'Sparkling Model'!D$2:D$38^A2852)</f>
        <v>35.74072799</v>
      </c>
      <c r="C2852" s="8">
        <f t="array" ref="C2852">PRODUCT(1-'Sparkling Model'!D$2:D$38^A2852)</f>
        <v>0.2485063751</v>
      </c>
    </row>
    <row r="2853">
      <c r="A2853" s="6">
        <v>2851.0</v>
      </c>
      <c r="B2853" s="17">
        <f t="array" ref="B2853">SUM(1-'Sparkling Model'!D$2:D$38^A2853)</f>
        <v>35.74165143</v>
      </c>
      <c r="C2853" s="8">
        <f t="array" ref="C2853">PRODUCT(1-'Sparkling Model'!D$2:D$38^A2853)</f>
        <v>0.2487744156</v>
      </c>
    </row>
    <row r="2854">
      <c r="A2854" s="6">
        <v>2852.0</v>
      </c>
      <c r="B2854" s="17">
        <f t="array" ref="B2854">SUM(1-'Sparkling Model'!D$2:D$38^A2854)</f>
        <v>35.742574</v>
      </c>
      <c r="C2854" s="8">
        <f t="array" ref="C2854">PRODUCT(1-'Sparkling Model'!D$2:D$38^A2854)</f>
        <v>0.2490424776</v>
      </c>
    </row>
    <row r="2855">
      <c r="A2855" s="6">
        <v>2853.0</v>
      </c>
      <c r="B2855" s="17">
        <f t="array" ref="B2855">SUM(1-'Sparkling Model'!D$2:D$38^A2855)</f>
        <v>35.74349569</v>
      </c>
      <c r="C2855" s="8">
        <f t="array" ref="C2855">PRODUCT(1-'Sparkling Model'!D$2:D$38^A2855)</f>
        <v>0.249310561</v>
      </c>
    </row>
    <row r="2856">
      <c r="A2856" s="6">
        <v>2854.0</v>
      </c>
      <c r="B2856" s="17">
        <f t="array" ref="B2856">SUM(1-'Sparkling Model'!D$2:D$38^A2856)</f>
        <v>35.7444165</v>
      </c>
      <c r="C2856" s="8">
        <f t="array" ref="C2856">PRODUCT(1-'Sparkling Model'!D$2:D$38^A2856)</f>
        <v>0.2495786655</v>
      </c>
    </row>
    <row r="2857">
      <c r="A2857" s="6">
        <v>2855.0</v>
      </c>
      <c r="B2857" s="17">
        <f t="array" ref="B2857">SUM(1-'Sparkling Model'!D$2:D$38^A2857)</f>
        <v>35.74533644</v>
      </c>
      <c r="C2857" s="8">
        <f t="array" ref="C2857">PRODUCT(1-'Sparkling Model'!D$2:D$38^A2857)</f>
        <v>0.2498467908</v>
      </c>
    </row>
    <row r="2858">
      <c r="A2858" s="6">
        <v>2856.0</v>
      </c>
      <c r="B2858" s="17">
        <f t="array" ref="B2858">SUM(1-'Sparkling Model'!D$2:D$38^A2858)</f>
        <v>35.74625551</v>
      </c>
      <c r="C2858" s="8">
        <f t="array" ref="C2858">PRODUCT(1-'Sparkling Model'!D$2:D$38^A2858)</f>
        <v>0.2501149368</v>
      </c>
    </row>
    <row r="2859">
      <c r="A2859" s="6">
        <v>2857.0</v>
      </c>
      <c r="B2859" s="17">
        <f t="array" ref="B2859">SUM(1-'Sparkling Model'!D$2:D$38^A2859)</f>
        <v>35.7471737</v>
      </c>
      <c r="C2859" s="8">
        <f t="array" ref="C2859">PRODUCT(1-'Sparkling Model'!D$2:D$38^A2859)</f>
        <v>0.2503831033</v>
      </c>
    </row>
    <row r="2860">
      <c r="A2860" s="6">
        <v>2858.0</v>
      </c>
      <c r="B2860" s="17">
        <f t="array" ref="B2860">SUM(1-'Sparkling Model'!D$2:D$38^A2860)</f>
        <v>35.74809102</v>
      </c>
      <c r="C2860" s="8">
        <f t="array" ref="C2860">PRODUCT(1-'Sparkling Model'!D$2:D$38^A2860)</f>
        <v>0.25065129</v>
      </c>
    </row>
    <row r="2861">
      <c r="A2861" s="6">
        <v>2859.0</v>
      </c>
      <c r="B2861" s="17">
        <f t="array" ref="B2861">SUM(1-'Sparkling Model'!D$2:D$38^A2861)</f>
        <v>35.74900748</v>
      </c>
      <c r="C2861" s="8">
        <f t="array" ref="C2861">PRODUCT(1-'Sparkling Model'!D$2:D$38^A2861)</f>
        <v>0.2509194967</v>
      </c>
    </row>
    <row r="2862">
      <c r="A2862" s="6">
        <v>2860.0</v>
      </c>
      <c r="B2862" s="17">
        <f t="array" ref="B2862">SUM(1-'Sparkling Model'!D$2:D$38^A2862)</f>
        <v>35.74992306</v>
      </c>
      <c r="C2862" s="8">
        <f t="array" ref="C2862">PRODUCT(1-'Sparkling Model'!D$2:D$38^A2862)</f>
        <v>0.2511877233</v>
      </c>
    </row>
    <row r="2863">
      <c r="A2863" s="6">
        <v>2861.0</v>
      </c>
      <c r="B2863" s="17">
        <f t="array" ref="B2863">SUM(1-'Sparkling Model'!D$2:D$38^A2863)</f>
        <v>35.75083778</v>
      </c>
      <c r="C2863" s="8">
        <f t="array" ref="C2863">PRODUCT(1-'Sparkling Model'!D$2:D$38^A2863)</f>
        <v>0.2514559695</v>
      </c>
    </row>
    <row r="2864">
      <c r="A2864" s="6">
        <v>2862.0</v>
      </c>
      <c r="B2864" s="17">
        <f t="array" ref="B2864">SUM(1-'Sparkling Model'!D$2:D$38^A2864)</f>
        <v>35.75175163</v>
      </c>
      <c r="C2864" s="8">
        <f t="array" ref="C2864">PRODUCT(1-'Sparkling Model'!D$2:D$38^A2864)</f>
        <v>0.2517242351</v>
      </c>
    </row>
    <row r="2865">
      <c r="A2865" s="6">
        <v>2863.0</v>
      </c>
      <c r="B2865" s="17">
        <f t="array" ref="B2865">SUM(1-'Sparkling Model'!D$2:D$38^A2865)</f>
        <v>35.75266462</v>
      </c>
      <c r="C2865" s="8">
        <f t="array" ref="C2865">PRODUCT(1-'Sparkling Model'!D$2:D$38^A2865)</f>
        <v>0.2519925199</v>
      </c>
    </row>
    <row r="2866">
      <c r="A2866" s="6">
        <v>2864.0</v>
      </c>
      <c r="B2866" s="17">
        <f t="array" ref="B2866">SUM(1-'Sparkling Model'!D$2:D$38^A2866)</f>
        <v>35.75357674</v>
      </c>
      <c r="C2866" s="8">
        <f t="array" ref="C2866">PRODUCT(1-'Sparkling Model'!D$2:D$38^A2866)</f>
        <v>0.2522608237</v>
      </c>
    </row>
    <row r="2867">
      <c r="A2867" s="6">
        <v>2865.0</v>
      </c>
      <c r="B2867" s="17">
        <f t="array" ref="B2867">SUM(1-'Sparkling Model'!D$2:D$38^A2867)</f>
        <v>35.754488</v>
      </c>
      <c r="C2867" s="8">
        <f t="array" ref="C2867">PRODUCT(1-'Sparkling Model'!D$2:D$38^A2867)</f>
        <v>0.2525291462</v>
      </c>
    </row>
    <row r="2868">
      <c r="A2868" s="6">
        <v>2866.0</v>
      </c>
      <c r="B2868" s="17">
        <f t="array" ref="B2868">SUM(1-'Sparkling Model'!D$2:D$38^A2868)</f>
        <v>35.75539839</v>
      </c>
      <c r="C2868" s="8">
        <f t="array" ref="C2868">PRODUCT(1-'Sparkling Model'!D$2:D$38^A2868)</f>
        <v>0.2527974873</v>
      </c>
    </row>
    <row r="2869">
      <c r="A2869" s="6">
        <v>2867.0</v>
      </c>
      <c r="B2869" s="17">
        <f t="array" ref="B2869">SUM(1-'Sparkling Model'!D$2:D$38^A2869)</f>
        <v>35.75630793</v>
      </c>
      <c r="C2869" s="8">
        <f t="array" ref="C2869">PRODUCT(1-'Sparkling Model'!D$2:D$38^A2869)</f>
        <v>0.2530658468</v>
      </c>
    </row>
    <row r="2870">
      <c r="A2870" s="6">
        <v>2868.0</v>
      </c>
      <c r="B2870" s="17">
        <f t="array" ref="B2870">SUM(1-'Sparkling Model'!D$2:D$38^A2870)</f>
        <v>35.7572166</v>
      </c>
      <c r="C2870" s="8">
        <f t="array" ref="C2870">PRODUCT(1-'Sparkling Model'!D$2:D$38^A2870)</f>
        <v>0.2533342244</v>
      </c>
    </row>
    <row r="2871">
      <c r="A2871" s="6">
        <v>2869.0</v>
      </c>
      <c r="B2871" s="17">
        <f t="array" ref="B2871">SUM(1-'Sparkling Model'!D$2:D$38^A2871)</f>
        <v>35.75812442</v>
      </c>
      <c r="C2871" s="8">
        <f t="array" ref="C2871">PRODUCT(1-'Sparkling Model'!D$2:D$38^A2871)</f>
        <v>0.2536026199</v>
      </c>
    </row>
    <row r="2872">
      <c r="A2872" s="6">
        <v>2870.0</v>
      </c>
      <c r="B2872" s="17">
        <f t="array" ref="B2872">SUM(1-'Sparkling Model'!D$2:D$38^A2872)</f>
        <v>35.75903137</v>
      </c>
      <c r="C2872" s="8">
        <f t="array" ref="C2872">PRODUCT(1-'Sparkling Model'!D$2:D$38^A2872)</f>
        <v>0.2538710332</v>
      </c>
    </row>
    <row r="2873">
      <c r="A2873" s="6">
        <v>2871.0</v>
      </c>
      <c r="B2873" s="17">
        <f t="array" ref="B2873">SUM(1-'Sparkling Model'!D$2:D$38^A2873)</f>
        <v>35.75993747</v>
      </c>
      <c r="C2873" s="8">
        <f t="array" ref="C2873">PRODUCT(1-'Sparkling Model'!D$2:D$38^A2873)</f>
        <v>0.254139464</v>
      </c>
    </row>
    <row r="2874">
      <c r="A2874" s="6">
        <v>2872.0</v>
      </c>
      <c r="B2874" s="17">
        <f t="array" ref="B2874">SUM(1-'Sparkling Model'!D$2:D$38^A2874)</f>
        <v>35.76084272</v>
      </c>
      <c r="C2874" s="8">
        <f t="array" ref="C2874">PRODUCT(1-'Sparkling Model'!D$2:D$38^A2874)</f>
        <v>0.2544079121</v>
      </c>
    </row>
    <row r="2875">
      <c r="A2875" s="6">
        <v>2873.0</v>
      </c>
      <c r="B2875" s="17">
        <f t="array" ref="B2875">SUM(1-'Sparkling Model'!D$2:D$38^A2875)</f>
        <v>35.76174711</v>
      </c>
      <c r="C2875" s="8">
        <f t="array" ref="C2875">PRODUCT(1-'Sparkling Model'!D$2:D$38^A2875)</f>
        <v>0.2546763773</v>
      </c>
    </row>
    <row r="2876">
      <c r="A2876" s="6">
        <v>2874.0</v>
      </c>
      <c r="B2876" s="17">
        <f t="array" ref="B2876">SUM(1-'Sparkling Model'!D$2:D$38^A2876)</f>
        <v>35.76265064</v>
      </c>
      <c r="C2876" s="8">
        <f t="array" ref="C2876">PRODUCT(1-'Sparkling Model'!D$2:D$38^A2876)</f>
        <v>0.2549448594</v>
      </c>
    </row>
    <row r="2877">
      <c r="A2877" s="6">
        <v>2875.0</v>
      </c>
      <c r="B2877" s="17">
        <f t="array" ref="B2877">SUM(1-'Sparkling Model'!D$2:D$38^A2877)</f>
        <v>35.76355332</v>
      </c>
      <c r="C2877" s="8">
        <f t="array" ref="C2877">PRODUCT(1-'Sparkling Model'!D$2:D$38^A2877)</f>
        <v>0.2552133582</v>
      </c>
    </row>
    <row r="2878">
      <c r="A2878" s="6">
        <v>2876.0</v>
      </c>
      <c r="B2878" s="17">
        <f t="array" ref="B2878">SUM(1-'Sparkling Model'!D$2:D$38^A2878)</f>
        <v>35.76445515</v>
      </c>
      <c r="C2878" s="8">
        <f t="array" ref="C2878">PRODUCT(1-'Sparkling Model'!D$2:D$38^A2878)</f>
        <v>0.2554818735</v>
      </c>
    </row>
    <row r="2879">
      <c r="A2879" s="6">
        <v>2877.0</v>
      </c>
      <c r="B2879" s="17">
        <f t="array" ref="B2879">SUM(1-'Sparkling Model'!D$2:D$38^A2879)</f>
        <v>35.76535613</v>
      </c>
      <c r="C2879" s="8">
        <f t="array" ref="C2879">PRODUCT(1-'Sparkling Model'!D$2:D$38^A2879)</f>
        <v>0.2557504051</v>
      </c>
    </row>
    <row r="2880">
      <c r="A2880" s="6">
        <v>2878.0</v>
      </c>
      <c r="B2880" s="17">
        <f t="array" ref="B2880">SUM(1-'Sparkling Model'!D$2:D$38^A2880)</f>
        <v>35.76625626</v>
      </c>
      <c r="C2880" s="8">
        <f t="array" ref="C2880">PRODUCT(1-'Sparkling Model'!D$2:D$38^A2880)</f>
        <v>0.2560189527</v>
      </c>
    </row>
    <row r="2881">
      <c r="A2881" s="6">
        <v>2879.0</v>
      </c>
      <c r="B2881" s="17">
        <f t="array" ref="B2881">SUM(1-'Sparkling Model'!D$2:D$38^A2881)</f>
        <v>35.76715554</v>
      </c>
      <c r="C2881" s="8">
        <f t="array" ref="C2881">PRODUCT(1-'Sparkling Model'!D$2:D$38^A2881)</f>
        <v>0.2562875162</v>
      </c>
    </row>
    <row r="2882">
      <c r="A2882" s="6">
        <v>2880.0</v>
      </c>
      <c r="B2882" s="17">
        <f t="array" ref="B2882">SUM(1-'Sparkling Model'!D$2:D$38^A2882)</f>
        <v>35.76805397</v>
      </c>
      <c r="C2882" s="8">
        <f t="array" ref="C2882">PRODUCT(1-'Sparkling Model'!D$2:D$38^A2882)</f>
        <v>0.2565560953</v>
      </c>
    </row>
    <row r="2883">
      <c r="A2883" s="6">
        <v>2881.0</v>
      </c>
      <c r="B2883" s="17">
        <f t="array" ref="B2883">SUM(1-'Sparkling Model'!D$2:D$38^A2883)</f>
        <v>35.76895156</v>
      </c>
      <c r="C2883" s="8">
        <f t="array" ref="C2883">PRODUCT(1-'Sparkling Model'!D$2:D$38^A2883)</f>
        <v>0.2568246899</v>
      </c>
    </row>
    <row r="2884">
      <c r="A2884" s="6">
        <v>2882.0</v>
      </c>
      <c r="B2884" s="17">
        <f t="array" ref="B2884">SUM(1-'Sparkling Model'!D$2:D$38^A2884)</f>
        <v>35.7698483</v>
      </c>
      <c r="C2884" s="8">
        <f t="array" ref="C2884">PRODUCT(1-'Sparkling Model'!D$2:D$38^A2884)</f>
        <v>0.2570932998</v>
      </c>
    </row>
    <row r="2885">
      <c r="A2885" s="6">
        <v>2883.0</v>
      </c>
      <c r="B2885" s="17">
        <f t="array" ref="B2885">SUM(1-'Sparkling Model'!D$2:D$38^A2885)</f>
        <v>35.77074419</v>
      </c>
      <c r="C2885" s="8">
        <f t="array" ref="C2885">PRODUCT(1-'Sparkling Model'!D$2:D$38^A2885)</f>
        <v>0.2573619247</v>
      </c>
    </row>
    <row r="2886">
      <c r="A2886" s="6">
        <v>2884.0</v>
      </c>
      <c r="B2886" s="17">
        <f t="array" ref="B2886">SUM(1-'Sparkling Model'!D$2:D$38^A2886)</f>
        <v>35.77163925</v>
      </c>
      <c r="C2886" s="8">
        <f t="array" ref="C2886">PRODUCT(1-'Sparkling Model'!D$2:D$38^A2886)</f>
        <v>0.2576305644</v>
      </c>
    </row>
    <row r="2887">
      <c r="A2887" s="6">
        <v>2885.0</v>
      </c>
      <c r="B2887" s="17">
        <f t="array" ref="B2887">SUM(1-'Sparkling Model'!D$2:D$38^A2887)</f>
        <v>35.77253346</v>
      </c>
      <c r="C2887" s="8">
        <f t="array" ref="C2887">PRODUCT(1-'Sparkling Model'!D$2:D$38^A2887)</f>
        <v>0.2578992188</v>
      </c>
    </row>
    <row r="2888">
      <c r="A2888" s="6">
        <v>2886.0</v>
      </c>
      <c r="B2888" s="17">
        <f t="array" ref="B2888">SUM(1-'Sparkling Model'!D$2:D$38^A2888)</f>
        <v>35.77342682</v>
      </c>
      <c r="C2888" s="8">
        <f t="array" ref="C2888">PRODUCT(1-'Sparkling Model'!D$2:D$38^A2888)</f>
        <v>0.2581678876</v>
      </c>
    </row>
    <row r="2889">
      <c r="A2889" s="6">
        <v>2887.0</v>
      </c>
      <c r="B2889" s="17">
        <f t="array" ref="B2889">SUM(1-'Sparkling Model'!D$2:D$38^A2889)</f>
        <v>35.77431935</v>
      </c>
      <c r="C2889" s="8">
        <f t="array" ref="C2889">PRODUCT(1-'Sparkling Model'!D$2:D$38^A2889)</f>
        <v>0.2584365706</v>
      </c>
    </row>
    <row r="2890">
      <c r="A2890" s="6">
        <v>2888.0</v>
      </c>
      <c r="B2890" s="17">
        <f t="array" ref="B2890">SUM(1-'Sparkling Model'!D$2:D$38^A2890)</f>
        <v>35.77521104</v>
      </c>
      <c r="C2890" s="8">
        <f t="array" ref="C2890">PRODUCT(1-'Sparkling Model'!D$2:D$38^A2890)</f>
        <v>0.2587052676</v>
      </c>
    </row>
    <row r="2891">
      <c r="A2891" s="6">
        <v>2889.0</v>
      </c>
      <c r="B2891" s="17">
        <f t="array" ref="B2891">SUM(1-'Sparkling Model'!D$2:D$38^A2891)</f>
        <v>35.77610189</v>
      </c>
      <c r="C2891" s="8">
        <f t="array" ref="C2891">PRODUCT(1-'Sparkling Model'!D$2:D$38^A2891)</f>
        <v>0.2589739785</v>
      </c>
    </row>
    <row r="2892">
      <c r="A2892" s="6">
        <v>2890.0</v>
      </c>
      <c r="B2892" s="17">
        <f t="array" ref="B2892">SUM(1-'Sparkling Model'!D$2:D$38^A2892)</f>
        <v>35.7769919</v>
      </c>
      <c r="C2892" s="8">
        <f t="array" ref="C2892">PRODUCT(1-'Sparkling Model'!D$2:D$38^A2892)</f>
        <v>0.259242703</v>
      </c>
    </row>
    <row r="2893">
      <c r="A2893" s="6">
        <v>2891.0</v>
      </c>
      <c r="B2893" s="17">
        <f t="array" ref="B2893">SUM(1-'Sparkling Model'!D$2:D$38^A2893)</f>
        <v>35.77788107</v>
      </c>
      <c r="C2893" s="8">
        <f t="array" ref="C2893">PRODUCT(1-'Sparkling Model'!D$2:D$38^A2893)</f>
        <v>0.2595114409</v>
      </c>
    </row>
    <row r="2894">
      <c r="A2894" s="6">
        <v>2892.0</v>
      </c>
      <c r="B2894" s="17">
        <f t="array" ref="B2894">SUM(1-'Sparkling Model'!D$2:D$38^A2894)</f>
        <v>35.77876941</v>
      </c>
      <c r="C2894" s="8">
        <f t="array" ref="C2894">PRODUCT(1-'Sparkling Model'!D$2:D$38^A2894)</f>
        <v>0.259780192</v>
      </c>
    </row>
    <row r="2895">
      <c r="A2895" s="6">
        <v>2893.0</v>
      </c>
      <c r="B2895" s="17">
        <f t="array" ref="B2895">SUM(1-'Sparkling Model'!D$2:D$38^A2895)</f>
        <v>35.77965692</v>
      </c>
      <c r="C2895" s="8">
        <f t="array" ref="C2895">PRODUCT(1-'Sparkling Model'!D$2:D$38^A2895)</f>
        <v>0.2600489561</v>
      </c>
    </row>
    <row r="2896">
      <c r="A2896" s="6">
        <v>2894.0</v>
      </c>
      <c r="B2896" s="17">
        <f t="array" ref="B2896">SUM(1-'Sparkling Model'!D$2:D$38^A2896)</f>
        <v>35.78054359</v>
      </c>
      <c r="C2896" s="8">
        <f t="array" ref="C2896">PRODUCT(1-'Sparkling Model'!D$2:D$38^A2896)</f>
        <v>0.2603177331</v>
      </c>
    </row>
    <row r="2897">
      <c r="A2897" s="6">
        <v>2895.0</v>
      </c>
      <c r="B2897" s="17">
        <f t="array" ref="B2897">SUM(1-'Sparkling Model'!D$2:D$38^A2897)</f>
        <v>35.78142943</v>
      </c>
      <c r="C2897" s="8">
        <f t="array" ref="C2897">PRODUCT(1-'Sparkling Model'!D$2:D$38^A2897)</f>
        <v>0.2605865226</v>
      </c>
    </row>
    <row r="2898">
      <c r="A2898" s="6">
        <v>2896.0</v>
      </c>
      <c r="B2898" s="17">
        <f t="array" ref="B2898">SUM(1-'Sparkling Model'!D$2:D$38^A2898)</f>
        <v>35.78231444</v>
      </c>
      <c r="C2898" s="8">
        <f t="array" ref="C2898">PRODUCT(1-'Sparkling Model'!D$2:D$38^A2898)</f>
        <v>0.2608553245</v>
      </c>
    </row>
    <row r="2899">
      <c r="A2899" s="6">
        <v>2897.0</v>
      </c>
      <c r="B2899" s="17">
        <f t="array" ref="B2899">SUM(1-'Sparkling Model'!D$2:D$38^A2899)</f>
        <v>35.78319862</v>
      </c>
      <c r="C2899" s="8">
        <f t="array" ref="C2899">PRODUCT(1-'Sparkling Model'!D$2:D$38^A2899)</f>
        <v>0.2611241387</v>
      </c>
    </row>
    <row r="2900">
      <c r="A2900" s="6">
        <v>2898.0</v>
      </c>
      <c r="B2900" s="17">
        <f t="array" ref="B2900">SUM(1-'Sparkling Model'!D$2:D$38^A2900)</f>
        <v>35.78408196</v>
      </c>
      <c r="C2900" s="8">
        <f t="array" ref="C2900">PRODUCT(1-'Sparkling Model'!D$2:D$38^A2900)</f>
        <v>0.2613929648</v>
      </c>
    </row>
    <row r="2901">
      <c r="A2901" s="6">
        <v>2899.0</v>
      </c>
      <c r="B2901" s="17">
        <f t="array" ref="B2901">SUM(1-'Sparkling Model'!D$2:D$38^A2901)</f>
        <v>35.78496448</v>
      </c>
      <c r="C2901" s="8">
        <f t="array" ref="C2901">PRODUCT(1-'Sparkling Model'!D$2:D$38^A2901)</f>
        <v>0.2616618028</v>
      </c>
    </row>
    <row r="2902">
      <c r="A2902" s="6">
        <v>2900.0</v>
      </c>
      <c r="B2902" s="17">
        <f t="array" ref="B2902">SUM(1-'Sparkling Model'!D$2:D$38^A2902)</f>
        <v>35.78584618</v>
      </c>
      <c r="C2902" s="8">
        <f t="array" ref="C2902">PRODUCT(1-'Sparkling Model'!D$2:D$38^A2902)</f>
        <v>0.2619306524</v>
      </c>
    </row>
    <row r="2903">
      <c r="A2903" s="6">
        <v>2901.0</v>
      </c>
      <c r="B2903" s="17">
        <f t="array" ref="B2903">SUM(1-'Sparkling Model'!D$2:D$38^A2903)</f>
        <v>35.78672704</v>
      </c>
      <c r="C2903" s="8">
        <f t="array" ref="C2903">PRODUCT(1-'Sparkling Model'!D$2:D$38^A2903)</f>
        <v>0.2621995133</v>
      </c>
    </row>
    <row r="2904">
      <c r="A2904" s="6">
        <v>2902.0</v>
      </c>
      <c r="B2904" s="17">
        <f t="array" ref="B2904">SUM(1-'Sparkling Model'!D$2:D$38^A2904)</f>
        <v>35.78760708</v>
      </c>
      <c r="C2904" s="8">
        <f t="array" ref="C2904">PRODUCT(1-'Sparkling Model'!D$2:D$38^A2904)</f>
        <v>0.2624683855</v>
      </c>
    </row>
    <row r="2905">
      <c r="A2905" s="6">
        <v>2903.0</v>
      </c>
      <c r="B2905" s="17">
        <f t="array" ref="B2905">SUM(1-'Sparkling Model'!D$2:D$38^A2905)</f>
        <v>35.7884863</v>
      </c>
      <c r="C2905" s="8">
        <f t="array" ref="C2905">PRODUCT(1-'Sparkling Model'!D$2:D$38^A2905)</f>
        <v>0.2627372686</v>
      </c>
    </row>
    <row r="2906">
      <c r="A2906" s="6">
        <v>2904.0</v>
      </c>
      <c r="B2906" s="17">
        <f t="array" ref="B2906">SUM(1-'Sparkling Model'!D$2:D$38^A2906)</f>
        <v>35.78936469</v>
      </c>
      <c r="C2906" s="8">
        <f t="array" ref="C2906">PRODUCT(1-'Sparkling Model'!D$2:D$38^A2906)</f>
        <v>0.2630061626</v>
      </c>
    </row>
    <row r="2907">
      <c r="A2907" s="6">
        <v>2905.0</v>
      </c>
      <c r="B2907" s="17">
        <f t="array" ref="B2907">SUM(1-'Sparkling Model'!D$2:D$38^A2907)</f>
        <v>35.79024226</v>
      </c>
      <c r="C2907" s="8">
        <f t="array" ref="C2907">PRODUCT(1-'Sparkling Model'!D$2:D$38^A2907)</f>
        <v>0.2632750672</v>
      </c>
    </row>
    <row r="2908">
      <c r="A2908" s="6">
        <v>2906.0</v>
      </c>
      <c r="B2908" s="17">
        <f t="array" ref="B2908">SUM(1-'Sparkling Model'!D$2:D$38^A2908)</f>
        <v>35.79111901</v>
      </c>
      <c r="C2908" s="8">
        <f t="array" ref="C2908">PRODUCT(1-'Sparkling Model'!D$2:D$38^A2908)</f>
        <v>0.2635439822</v>
      </c>
    </row>
    <row r="2909">
      <c r="A2909" s="6">
        <v>2907.0</v>
      </c>
      <c r="B2909" s="17">
        <f t="array" ref="B2909">SUM(1-'Sparkling Model'!D$2:D$38^A2909)</f>
        <v>35.79199494</v>
      </c>
      <c r="C2909" s="8">
        <f t="array" ref="C2909">PRODUCT(1-'Sparkling Model'!D$2:D$38^A2909)</f>
        <v>0.2638129074</v>
      </c>
    </row>
    <row r="2910">
      <c r="A2910" s="6">
        <v>2908.0</v>
      </c>
      <c r="B2910" s="17">
        <f t="array" ref="B2910">SUM(1-'Sparkling Model'!D$2:D$38^A2910)</f>
        <v>35.79287005</v>
      </c>
      <c r="C2910" s="8">
        <f t="array" ref="C2910">PRODUCT(1-'Sparkling Model'!D$2:D$38^A2910)</f>
        <v>0.2640818426</v>
      </c>
    </row>
    <row r="2911">
      <c r="A2911" s="6">
        <v>2909.0</v>
      </c>
      <c r="B2911" s="17">
        <f t="array" ref="B2911">SUM(1-'Sparkling Model'!D$2:D$38^A2911)</f>
        <v>35.79374434</v>
      </c>
      <c r="C2911" s="8">
        <f t="array" ref="C2911">PRODUCT(1-'Sparkling Model'!D$2:D$38^A2911)</f>
        <v>0.2643507876</v>
      </c>
    </row>
    <row r="2912">
      <c r="A2912" s="6">
        <v>2910.0</v>
      </c>
      <c r="B2912" s="17">
        <f t="array" ref="B2912">SUM(1-'Sparkling Model'!D$2:D$38^A2912)</f>
        <v>35.79461782</v>
      </c>
      <c r="C2912" s="8">
        <f t="array" ref="C2912">PRODUCT(1-'Sparkling Model'!D$2:D$38^A2912)</f>
        <v>0.2646197423</v>
      </c>
    </row>
    <row r="2913">
      <c r="A2913" s="6">
        <v>2911.0</v>
      </c>
      <c r="B2913" s="17">
        <f t="array" ref="B2913">SUM(1-'Sparkling Model'!D$2:D$38^A2913)</f>
        <v>35.79549048</v>
      </c>
      <c r="C2913" s="8">
        <f t="array" ref="C2913">PRODUCT(1-'Sparkling Model'!D$2:D$38^A2913)</f>
        <v>0.2648887063</v>
      </c>
    </row>
    <row r="2914">
      <c r="A2914" s="6">
        <v>2912.0</v>
      </c>
      <c r="B2914" s="17">
        <f t="array" ref="B2914">SUM(1-'Sparkling Model'!D$2:D$38^A2914)</f>
        <v>35.79636232</v>
      </c>
      <c r="C2914" s="8">
        <f t="array" ref="C2914">PRODUCT(1-'Sparkling Model'!D$2:D$38^A2914)</f>
        <v>0.2651576796</v>
      </c>
    </row>
    <row r="2915">
      <c r="A2915" s="6">
        <v>2913.0</v>
      </c>
      <c r="B2915" s="17">
        <f t="array" ref="B2915">SUM(1-'Sparkling Model'!D$2:D$38^A2915)</f>
        <v>35.79723334</v>
      </c>
      <c r="C2915" s="8">
        <f t="array" ref="C2915">PRODUCT(1-'Sparkling Model'!D$2:D$38^A2915)</f>
        <v>0.2654266619</v>
      </c>
    </row>
    <row r="2916">
      <c r="A2916" s="6">
        <v>2914.0</v>
      </c>
      <c r="B2916" s="17">
        <f t="array" ref="B2916">SUM(1-'Sparkling Model'!D$2:D$38^A2916)</f>
        <v>35.79810356</v>
      </c>
      <c r="C2916" s="8">
        <f t="array" ref="C2916">PRODUCT(1-'Sparkling Model'!D$2:D$38^A2916)</f>
        <v>0.2656956531</v>
      </c>
    </row>
    <row r="2917">
      <c r="A2917" s="6">
        <v>2915.0</v>
      </c>
      <c r="B2917" s="17">
        <f t="array" ref="B2917">SUM(1-'Sparkling Model'!D$2:D$38^A2917)</f>
        <v>35.79897296</v>
      </c>
      <c r="C2917" s="8">
        <f t="array" ref="C2917">PRODUCT(1-'Sparkling Model'!D$2:D$38^A2917)</f>
        <v>0.2659646528</v>
      </c>
    </row>
    <row r="2918">
      <c r="A2918" s="6">
        <v>2916.0</v>
      </c>
      <c r="B2918" s="17">
        <f t="array" ref="B2918">SUM(1-'Sparkling Model'!D$2:D$38^A2918)</f>
        <v>35.79984155</v>
      </c>
      <c r="C2918" s="8">
        <f t="array" ref="C2918">PRODUCT(1-'Sparkling Model'!D$2:D$38^A2918)</f>
        <v>0.2662336611</v>
      </c>
    </row>
    <row r="2919">
      <c r="A2919" s="6">
        <v>2917.0</v>
      </c>
      <c r="B2919" s="17">
        <f t="array" ref="B2919">SUM(1-'Sparkling Model'!D$2:D$38^A2919)</f>
        <v>35.80070933</v>
      </c>
      <c r="C2919" s="8">
        <f t="array" ref="C2919">PRODUCT(1-'Sparkling Model'!D$2:D$38^A2919)</f>
        <v>0.2665026775</v>
      </c>
    </row>
    <row r="2920">
      <c r="A2920" s="6">
        <v>2918.0</v>
      </c>
      <c r="B2920" s="17">
        <f t="array" ref="B2920">SUM(1-'Sparkling Model'!D$2:D$38^A2920)</f>
        <v>35.8015763</v>
      </c>
      <c r="C2920" s="8">
        <f t="array" ref="C2920">PRODUCT(1-'Sparkling Model'!D$2:D$38^A2920)</f>
        <v>0.266771702</v>
      </c>
    </row>
    <row r="2921">
      <c r="A2921" s="6">
        <v>2919.0</v>
      </c>
      <c r="B2921" s="17">
        <f t="array" ref="B2921">SUM(1-'Sparkling Model'!D$2:D$38^A2921)</f>
        <v>35.80244246</v>
      </c>
      <c r="C2921" s="8">
        <f t="array" ref="C2921">PRODUCT(1-'Sparkling Model'!D$2:D$38^A2921)</f>
        <v>0.2670407344</v>
      </c>
    </row>
    <row r="2922">
      <c r="A2922" s="6">
        <v>2920.0</v>
      </c>
      <c r="B2922" s="17">
        <f t="array" ref="B2922">SUM(1-'Sparkling Model'!D$2:D$38^A2922)</f>
        <v>35.80330782</v>
      </c>
      <c r="C2922" s="8">
        <f t="array" ref="C2922">PRODUCT(1-'Sparkling Model'!D$2:D$38^A2922)</f>
        <v>0.2673097744</v>
      </c>
    </row>
    <row r="2923">
      <c r="A2923" s="6">
        <v>2921.0</v>
      </c>
      <c r="B2923" s="17">
        <f t="array" ref="B2923">SUM(1-'Sparkling Model'!D$2:D$38^A2923)</f>
        <v>35.80417236</v>
      </c>
      <c r="C2923" s="8">
        <f t="array" ref="C2923">PRODUCT(1-'Sparkling Model'!D$2:D$38^A2923)</f>
        <v>0.2675788219</v>
      </c>
    </row>
    <row r="2924">
      <c r="A2924" s="6">
        <v>2922.0</v>
      </c>
      <c r="B2924" s="17">
        <f t="array" ref="B2924">SUM(1-'Sparkling Model'!D$2:D$38^A2924)</f>
        <v>35.8050361</v>
      </c>
      <c r="C2924" s="8">
        <f t="array" ref="C2924">PRODUCT(1-'Sparkling Model'!D$2:D$38^A2924)</f>
        <v>0.2678478766</v>
      </c>
    </row>
    <row r="2925">
      <c r="A2925" s="6">
        <v>2923.0</v>
      </c>
      <c r="B2925" s="17">
        <f t="array" ref="B2925">SUM(1-'Sparkling Model'!D$2:D$38^A2925)</f>
        <v>35.80589904</v>
      </c>
      <c r="C2925" s="8">
        <f t="array" ref="C2925">PRODUCT(1-'Sparkling Model'!D$2:D$38^A2925)</f>
        <v>0.2681169384</v>
      </c>
    </row>
    <row r="2926">
      <c r="A2926" s="6">
        <v>2924.0</v>
      </c>
      <c r="B2926" s="17">
        <f t="array" ref="B2926">SUM(1-'Sparkling Model'!D$2:D$38^A2926)</f>
        <v>35.80676117</v>
      </c>
      <c r="C2926" s="8">
        <f t="array" ref="C2926">PRODUCT(1-'Sparkling Model'!D$2:D$38^A2926)</f>
        <v>0.2683860072</v>
      </c>
    </row>
    <row r="2927">
      <c r="A2927" s="6">
        <v>2925.0</v>
      </c>
      <c r="B2927" s="17">
        <f t="array" ref="B2927">SUM(1-'Sparkling Model'!D$2:D$38^A2927)</f>
        <v>35.80762251</v>
      </c>
      <c r="C2927" s="8">
        <f t="array" ref="C2927">PRODUCT(1-'Sparkling Model'!D$2:D$38^A2927)</f>
        <v>0.2686550826</v>
      </c>
    </row>
    <row r="2928">
      <c r="A2928" s="6">
        <v>2926.0</v>
      </c>
      <c r="B2928" s="17">
        <f t="array" ref="B2928">SUM(1-'Sparkling Model'!D$2:D$38^A2928)</f>
        <v>35.80848303</v>
      </c>
      <c r="C2928" s="8">
        <f t="array" ref="C2928">PRODUCT(1-'Sparkling Model'!D$2:D$38^A2928)</f>
        <v>0.2689241644</v>
      </c>
    </row>
    <row r="2929">
      <c r="A2929" s="6">
        <v>2927.0</v>
      </c>
      <c r="B2929" s="17">
        <f t="array" ref="B2929">SUM(1-'Sparkling Model'!D$2:D$38^A2929)</f>
        <v>35.80934276</v>
      </c>
      <c r="C2929" s="8">
        <f t="array" ref="C2929">PRODUCT(1-'Sparkling Model'!D$2:D$38^A2929)</f>
        <v>0.2691932526</v>
      </c>
    </row>
    <row r="2930">
      <c r="A2930" s="6">
        <v>2928.0</v>
      </c>
      <c r="B2930" s="17">
        <f t="array" ref="B2930">SUM(1-'Sparkling Model'!D$2:D$38^A2930)</f>
        <v>35.81020169</v>
      </c>
      <c r="C2930" s="8">
        <f t="array" ref="C2930">PRODUCT(1-'Sparkling Model'!D$2:D$38^A2930)</f>
        <v>0.269462347</v>
      </c>
    </row>
    <row r="2931">
      <c r="A2931" s="6">
        <v>2929.0</v>
      </c>
      <c r="B2931" s="17">
        <f t="array" ref="B2931">SUM(1-'Sparkling Model'!D$2:D$38^A2931)</f>
        <v>35.81105982</v>
      </c>
      <c r="C2931" s="8">
        <f t="array" ref="C2931">PRODUCT(1-'Sparkling Model'!D$2:D$38^A2931)</f>
        <v>0.2697314472</v>
      </c>
    </row>
    <row r="2932">
      <c r="A2932" s="6">
        <v>2930.0</v>
      </c>
      <c r="B2932" s="17">
        <f t="array" ref="B2932">SUM(1-'Sparkling Model'!D$2:D$38^A2932)</f>
        <v>35.81191715</v>
      </c>
      <c r="C2932" s="8">
        <f t="array" ref="C2932">PRODUCT(1-'Sparkling Model'!D$2:D$38^A2932)</f>
        <v>0.2700005531</v>
      </c>
    </row>
    <row r="2933">
      <c r="A2933" s="6">
        <v>2931.0</v>
      </c>
      <c r="B2933" s="17">
        <f t="array" ref="B2933">SUM(1-'Sparkling Model'!D$2:D$38^A2933)</f>
        <v>35.81277368</v>
      </c>
      <c r="C2933" s="8">
        <f t="array" ref="C2933">PRODUCT(1-'Sparkling Model'!D$2:D$38^A2933)</f>
        <v>0.2702696646</v>
      </c>
    </row>
    <row r="2934">
      <c r="A2934" s="6">
        <v>2932.0</v>
      </c>
      <c r="B2934" s="17">
        <f t="array" ref="B2934">SUM(1-'Sparkling Model'!D$2:D$38^A2934)</f>
        <v>35.81362942</v>
      </c>
      <c r="C2934" s="8">
        <f t="array" ref="C2934">PRODUCT(1-'Sparkling Model'!D$2:D$38^A2934)</f>
        <v>0.2705387815</v>
      </c>
    </row>
    <row r="2935">
      <c r="A2935" s="6">
        <v>2933.0</v>
      </c>
      <c r="B2935" s="17">
        <f t="array" ref="B2935">SUM(1-'Sparkling Model'!D$2:D$38^A2935)</f>
        <v>35.81448437</v>
      </c>
      <c r="C2935" s="8">
        <f t="array" ref="C2935">PRODUCT(1-'Sparkling Model'!D$2:D$38^A2935)</f>
        <v>0.2708079035</v>
      </c>
    </row>
    <row r="2936">
      <c r="A2936" s="6">
        <v>2934.0</v>
      </c>
      <c r="B2936" s="17">
        <f t="array" ref="B2936">SUM(1-'Sparkling Model'!D$2:D$38^A2936)</f>
        <v>35.81533852</v>
      </c>
      <c r="C2936" s="8">
        <f t="array" ref="C2936">PRODUCT(1-'Sparkling Model'!D$2:D$38^A2936)</f>
        <v>0.2710770304</v>
      </c>
    </row>
    <row r="2937">
      <c r="A2937" s="6">
        <v>2935.0</v>
      </c>
      <c r="B2937" s="17">
        <f t="array" ref="B2937">SUM(1-'Sparkling Model'!D$2:D$38^A2937)</f>
        <v>35.81619187</v>
      </c>
      <c r="C2937" s="8">
        <f t="array" ref="C2937">PRODUCT(1-'Sparkling Model'!D$2:D$38^A2937)</f>
        <v>0.2713461621</v>
      </c>
    </row>
    <row r="2938">
      <c r="A2938" s="6">
        <v>2936.0</v>
      </c>
      <c r="B2938" s="17">
        <f t="array" ref="B2938">SUM(1-'Sparkling Model'!D$2:D$38^A2938)</f>
        <v>35.81704444</v>
      </c>
      <c r="C2938" s="8">
        <f t="array" ref="C2938">PRODUCT(1-'Sparkling Model'!D$2:D$38^A2938)</f>
        <v>0.2716152985</v>
      </c>
    </row>
    <row r="2939">
      <c r="A2939" s="6">
        <v>2937.0</v>
      </c>
      <c r="B2939" s="17">
        <f t="array" ref="B2939">SUM(1-'Sparkling Model'!D$2:D$38^A2939)</f>
        <v>35.81789621</v>
      </c>
      <c r="C2939" s="8">
        <f t="array" ref="C2939">PRODUCT(1-'Sparkling Model'!D$2:D$38^A2939)</f>
        <v>0.2718844392</v>
      </c>
    </row>
    <row r="2940">
      <c r="A2940" s="6">
        <v>2938.0</v>
      </c>
      <c r="B2940" s="17">
        <f t="array" ref="B2940">SUM(1-'Sparkling Model'!D$2:D$38^A2940)</f>
        <v>35.81874719</v>
      </c>
      <c r="C2940" s="8">
        <f t="array" ref="C2940">PRODUCT(1-'Sparkling Model'!D$2:D$38^A2940)</f>
        <v>0.2721535841</v>
      </c>
    </row>
    <row r="2941">
      <c r="A2941" s="6">
        <v>2939.0</v>
      </c>
      <c r="B2941" s="17">
        <f t="array" ref="B2941">SUM(1-'Sparkling Model'!D$2:D$38^A2941)</f>
        <v>35.81959738</v>
      </c>
      <c r="C2941" s="8">
        <f t="array" ref="C2941">PRODUCT(1-'Sparkling Model'!D$2:D$38^A2941)</f>
        <v>0.272422733</v>
      </c>
    </row>
    <row r="2942">
      <c r="A2942" s="6">
        <v>2940.0</v>
      </c>
      <c r="B2942" s="17">
        <f t="array" ref="B2942">SUM(1-'Sparkling Model'!D$2:D$38^A2942)</f>
        <v>35.82044679</v>
      </c>
      <c r="C2942" s="8">
        <f t="array" ref="C2942">PRODUCT(1-'Sparkling Model'!D$2:D$38^A2942)</f>
        <v>0.2726918857</v>
      </c>
    </row>
    <row r="2943">
      <c r="A2943" s="6">
        <v>2941.0</v>
      </c>
      <c r="B2943" s="17">
        <f t="array" ref="B2943">SUM(1-'Sparkling Model'!D$2:D$38^A2943)</f>
        <v>35.8212954</v>
      </c>
      <c r="C2943" s="8">
        <f t="array" ref="C2943">PRODUCT(1-'Sparkling Model'!D$2:D$38^A2943)</f>
        <v>0.2729610421</v>
      </c>
    </row>
    <row r="2944">
      <c r="A2944" s="6">
        <v>2942.0</v>
      </c>
      <c r="B2944" s="17">
        <f t="array" ref="B2944">SUM(1-'Sparkling Model'!D$2:D$38^A2944)</f>
        <v>35.82214324</v>
      </c>
      <c r="C2944" s="8">
        <f t="array" ref="C2944">PRODUCT(1-'Sparkling Model'!D$2:D$38^A2944)</f>
        <v>0.2732302019</v>
      </c>
    </row>
    <row r="2945">
      <c r="A2945" s="6">
        <v>2943.0</v>
      </c>
      <c r="B2945" s="17">
        <f t="array" ref="B2945">SUM(1-'Sparkling Model'!D$2:D$38^A2945)</f>
        <v>35.82299028</v>
      </c>
      <c r="C2945" s="8">
        <f t="array" ref="C2945">PRODUCT(1-'Sparkling Model'!D$2:D$38^A2945)</f>
        <v>0.273499365</v>
      </c>
    </row>
    <row r="2946">
      <c r="A2946" s="6">
        <v>2944.0</v>
      </c>
      <c r="B2946" s="17">
        <f t="array" ref="B2946">SUM(1-'Sparkling Model'!D$2:D$38^A2946)</f>
        <v>35.82383654</v>
      </c>
      <c r="C2946" s="8">
        <f t="array" ref="C2946">PRODUCT(1-'Sparkling Model'!D$2:D$38^A2946)</f>
        <v>0.2737685312</v>
      </c>
    </row>
    <row r="2947">
      <c r="A2947" s="6">
        <v>2945.0</v>
      </c>
      <c r="B2947" s="17">
        <f t="array" ref="B2947">SUM(1-'Sparkling Model'!D$2:D$38^A2947)</f>
        <v>35.82468202</v>
      </c>
      <c r="C2947" s="8">
        <f t="array" ref="C2947">PRODUCT(1-'Sparkling Model'!D$2:D$38^A2947)</f>
        <v>0.2740377002</v>
      </c>
    </row>
    <row r="2948">
      <c r="A2948" s="6">
        <v>2946.0</v>
      </c>
      <c r="B2948" s="17">
        <f t="array" ref="B2948">SUM(1-'Sparkling Model'!D$2:D$38^A2948)</f>
        <v>35.82552671</v>
      </c>
      <c r="C2948" s="8">
        <f t="array" ref="C2948">PRODUCT(1-'Sparkling Model'!D$2:D$38^A2948)</f>
        <v>0.2743068719</v>
      </c>
    </row>
    <row r="2949">
      <c r="A2949" s="6">
        <v>2947.0</v>
      </c>
      <c r="B2949" s="17">
        <f t="array" ref="B2949">SUM(1-'Sparkling Model'!D$2:D$38^A2949)</f>
        <v>35.82637062</v>
      </c>
      <c r="C2949" s="8">
        <f t="array" ref="C2949">PRODUCT(1-'Sparkling Model'!D$2:D$38^A2949)</f>
        <v>0.2745760462</v>
      </c>
    </row>
    <row r="2950">
      <c r="A2950" s="6">
        <v>2948.0</v>
      </c>
      <c r="B2950" s="17">
        <f t="array" ref="B2950">SUM(1-'Sparkling Model'!D$2:D$38^A2950)</f>
        <v>35.82721376</v>
      </c>
      <c r="C2950" s="8">
        <f t="array" ref="C2950">PRODUCT(1-'Sparkling Model'!D$2:D$38^A2950)</f>
        <v>0.2748452227</v>
      </c>
    </row>
    <row r="2951">
      <c r="A2951" s="6">
        <v>2949.0</v>
      </c>
      <c r="B2951" s="17">
        <f t="array" ref="B2951">SUM(1-'Sparkling Model'!D$2:D$38^A2951)</f>
        <v>35.82805611</v>
      </c>
      <c r="C2951" s="8">
        <f t="array" ref="C2951">PRODUCT(1-'Sparkling Model'!D$2:D$38^A2951)</f>
        <v>0.2751144014</v>
      </c>
    </row>
    <row r="2952">
      <c r="A2952" s="6">
        <v>2950.0</v>
      </c>
      <c r="B2952" s="17">
        <f t="array" ref="B2952">SUM(1-'Sparkling Model'!D$2:D$38^A2952)</f>
        <v>35.82889768</v>
      </c>
      <c r="C2952" s="8">
        <f t="array" ref="C2952">PRODUCT(1-'Sparkling Model'!D$2:D$38^A2952)</f>
        <v>0.2753835821</v>
      </c>
    </row>
    <row r="2953">
      <c r="A2953" s="6">
        <v>2951.0</v>
      </c>
      <c r="B2953" s="17">
        <f t="array" ref="B2953">SUM(1-'Sparkling Model'!D$2:D$38^A2953)</f>
        <v>35.82973847</v>
      </c>
      <c r="C2953" s="8">
        <f t="array" ref="C2953">PRODUCT(1-'Sparkling Model'!D$2:D$38^A2953)</f>
        <v>0.2756527645</v>
      </c>
    </row>
    <row r="2954">
      <c r="A2954" s="6">
        <v>2952.0</v>
      </c>
      <c r="B2954" s="17">
        <f t="array" ref="B2954">SUM(1-'Sparkling Model'!D$2:D$38^A2954)</f>
        <v>35.83057849</v>
      </c>
      <c r="C2954" s="8">
        <f t="array" ref="C2954">PRODUCT(1-'Sparkling Model'!D$2:D$38^A2954)</f>
        <v>0.2759219485</v>
      </c>
    </row>
    <row r="2955">
      <c r="A2955" s="6">
        <v>2953.0</v>
      </c>
      <c r="B2955" s="17">
        <f t="array" ref="B2955">SUM(1-'Sparkling Model'!D$2:D$38^A2955)</f>
        <v>35.83141773</v>
      </c>
      <c r="C2955" s="8">
        <f t="array" ref="C2955">PRODUCT(1-'Sparkling Model'!D$2:D$38^A2955)</f>
        <v>0.2761911339</v>
      </c>
    </row>
    <row r="2956">
      <c r="A2956" s="6">
        <v>2954.0</v>
      </c>
      <c r="B2956" s="17">
        <f t="array" ref="B2956">SUM(1-'Sparkling Model'!D$2:D$38^A2956)</f>
        <v>35.8322562</v>
      </c>
      <c r="C2956" s="8">
        <f t="array" ref="C2956">PRODUCT(1-'Sparkling Model'!D$2:D$38^A2956)</f>
        <v>0.2764603204</v>
      </c>
    </row>
    <row r="2957">
      <c r="A2957" s="6">
        <v>2955.0</v>
      </c>
      <c r="B2957" s="17">
        <f t="array" ref="B2957">SUM(1-'Sparkling Model'!D$2:D$38^A2957)</f>
        <v>35.83309389</v>
      </c>
      <c r="C2957" s="8">
        <f t="array" ref="C2957">PRODUCT(1-'Sparkling Model'!D$2:D$38^A2957)</f>
        <v>0.276729508</v>
      </c>
    </row>
    <row r="2958">
      <c r="A2958" s="6">
        <v>2956.0</v>
      </c>
      <c r="B2958" s="17">
        <f t="array" ref="B2958">SUM(1-'Sparkling Model'!D$2:D$38^A2958)</f>
        <v>35.83393081</v>
      </c>
      <c r="C2958" s="8">
        <f t="array" ref="C2958">PRODUCT(1-'Sparkling Model'!D$2:D$38^A2958)</f>
        <v>0.2769986965</v>
      </c>
    </row>
    <row r="2959">
      <c r="A2959" s="6">
        <v>2957.0</v>
      </c>
      <c r="B2959" s="17">
        <f t="array" ref="B2959">SUM(1-'Sparkling Model'!D$2:D$38^A2959)</f>
        <v>35.83476695</v>
      </c>
      <c r="C2959" s="8">
        <f t="array" ref="C2959">PRODUCT(1-'Sparkling Model'!D$2:D$38^A2959)</f>
        <v>0.2772678856</v>
      </c>
    </row>
    <row r="2960">
      <c r="A2960" s="6">
        <v>2958.0</v>
      </c>
      <c r="B2960" s="17">
        <f t="array" ref="B2960">SUM(1-'Sparkling Model'!D$2:D$38^A2960)</f>
        <v>35.83560233</v>
      </c>
      <c r="C2960" s="8">
        <f t="array" ref="C2960">PRODUCT(1-'Sparkling Model'!D$2:D$38^A2960)</f>
        <v>0.2775370751</v>
      </c>
    </row>
    <row r="2961">
      <c r="A2961" s="6">
        <v>2959.0</v>
      </c>
      <c r="B2961" s="17">
        <f t="array" ref="B2961">SUM(1-'Sparkling Model'!D$2:D$38^A2961)</f>
        <v>35.83643693</v>
      </c>
      <c r="C2961" s="8">
        <f t="array" ref="C2961">PRODUCT(1-'Sparkling Model'!D$2:D$38^A2961)</f>
        <v>0.277806265</v>
      </c>
    </row>
    <row r="2962">
      <c r="A2962" s="6">
        <v>2960.0</v>
      </c>
      <c r="B2962" s="17">
        <f t="array" ref="B2962">SUM(1-'Sparkling Model'!D$2:D$38^A2962)</f>
        <v>35.83727076</v>
      </c>
      <c r="C2962" s="8">
        <f t="array" ref="C2962">PRODUCT(1-'Sparkling Model'!D$2:D$38^A2962)</f>
        <v>0.2780754549</v>
      </c>
    </row>
    <row r="2963">
      <c r="A2963" s="6">
        <v>2961.0</v>
      </c>
      <c r="B2963" s="17">
        <f t="array" ref="B2963">SUM(1-'Sparkling Model'!D$2:D$38^A2963)</f>
        <v>35.83810383</v>
      </c>
      <c r="C2963" s="8">
        <f t="array" ref="C2963">PRODUCT(1-'Sparkling Model'!D$2:D$38^A2963)</f>
        <v>0.2783446448</v>
      </c>
    </row>
    <row r="2964">
      <c r="A2964" s="6">
        <v>2962.0</v>
      </c>
      <c r="B2964" s="17">
        <f t="array" ref="B2964">SUM(1-'Sparkling Model'!D$2:D$38^A2964)</f>
        <v>35.83893613</v>
      </c>
      <c r="C2964" s="8">
        <f t="array" ref="C2964">PRODUCT(1-'Sparkling Model'!D$2:D$38^A2964)</f>
        <v>0.2786138344</v>
      </c>
    </row>
    <row r="2965">
      <c r="A2965" s="6">
        <v>2963.0</v>
      </c>
      <c r="B2965" s="17">
        <f t="array" ref="B2965">SUM(1-'Sparkling Model'!D$2:D$38^A2965)</f>
        <v>35.83976766</v>
      </c>
      <c r="C2965" s="8">
        <f t="array" ref="C2965">PRODUCT(1-'Sparkling Model'!D$2:D$38^A2965)</f>
        <v>0.2788830236</v>
      </c>
    </row>
    <row r="2966">
      <c r="A2966" s="6">
        <v>2964.0</v>
      </c>
      <c r="B2966" s="17">
        <f t="array" ref="B2966">SUM(1-'Sparkling Model'!D$2:D$38^A2966)</f>
        <v>35.84059842</v>
      </c>
      <c r="C2966" s="8">
        <f t="array" ref="C2966">PRODUCT(1-'Sparkling Model'!D$2:D$38^A2966)</f>
        <v>0.2791522121</v>
      </c>
    </row>
    <row r="2967">
      <c r="A2967" s="6">
        <v>2965.0</v>
      </c>
      <c r="B2967" s="17">
        <f t="array" ref="B2967">SUM(1-'Sparkling Model'!D$2:D$38^A2967)</f>
        <v>35.84142842</v>
      </c>
      <c r="C2967" s="8">
        <f t="array" ref="C2967">PRODUCT(1-'Sparkling Model'!D$2:D$38^A2967)</f>
        <v>0.2794213998</v>
      </c>
    </row>
    <row r="2968">
      <c r="A2968" s="6">
        <v>2966.0</v>
      </c>
      <c r="B2968" s="17">
        <f t="array" ref="B2968">SUM(1-'Sparkling Model'!D$2:D$38^A2968)</f>
        <v>35.84225765</v>
      </c>
      <c r="C2968" s="8">
        <f t="array" ref="C2968">PRODUCT(1-'Sparkling Model'!D$2:D$38^A2968)</f>
        <v>0.2796905865</v>
      </c>
    </row>
    <row r="2969">
      <c r="A2969" s="6">
        <v>2967.0</v>
      </c>
      <c r="B2969" s="17">
        <f t="array" ref="B2969">SUM(1-'Sparkling Model'!D$2:D$38^A2969)</f>
        <v>35.84308612</v>
      </c>
      <c r="C2969" s="8">
        <f t="array" ref="C2969">PRODUCT(1-'Sparkling Model'!D$2:D$38^A2969)</f>
        <v>0.279959772</v>
      </c>
    </row>
    <row r="2970">
      <c r="A2970" s="6">
        <v>2968.0</v>
      </c>
      <c r="B2970" s="17">
        <f t="array" ref="B2970">SUM(1-'Sparkling Model'!D$2:D$38^A2970)</f>
        <v>35.84391383</v>
      </c>
      <c r="C2970" s="8">
        <f t="array" ref="C2970">PRODUCT(1-'Sparkling Model'!D$2:D$38^A2970)</f>
        <v>0.2802289562</v>
      </c>
    </row>
    <row r="2971">
      <c r="A2971" s="6">
        <v>2969.0</v>
      </c>
      <c r="B2971" s="17">
        <f t="array" ref="B2971">SUM(1-'Sparkling Model'!D$2:D$38^A2971)</f>
        <v>35.84474078</v>
      </c>
      <c r="C2971" s="8">
        <f t="array" ref="C2971">PRODUCT(1-'Sparkling Model'!D$2:D$38^A2971)</f>
        <v>0.2804981389</v>
      </c>
    </row>
    <row r="2972">
      <c r="A2972" s="6">
        <v>2970.0</v>
      </c>
      <c r="B2972" s="17">
        <f t="array" ref="B2972">SUM(1-'Sparkling Model'!D$2:D$38^A2972)</f>
        <v>35.84556697</v>
      </c>
      <c r="C2972" s="8">
        <f t="array" ref="C2972">PRODUCT(1-'Sparkling Model'!D$2:D$38^A2972)</f>
        <v>0.2807673198</v>
      </c>
    </row>
    <row r="2973">
      <c r="A2973" s="6">
        <v>2971.0</v>
      </c>
      <c r="B2973" s="17">
        <f t="array" ref="B2973">SUM(1-'Sparkling Model'!D$2:D$38^A2973)</f>
        <v>35.84639239</v>
      </c>
      <c r="C2973" s="8">
        <f t="array" ref="C2973">PRODUCT(1-'Sparkling Model'!D$2:D$38^A2973)</f>
        <v>0.2810364988</v>
      </c>
    </row>
    <row r="2974">
      <c r="A2974" s="6">
        <v>2972.0</v>
      </c>
      <c r="B2974" s="17">
        <f t="array" ref="B2974">SUM(1-'Sparkling Model'!D$2:D$38^A2974)</f>
        <v>35.84721706</v>
      </c>
      <c r="C2974" s="8">
        <f t="array" ref="C2974">PRODUCT(1-'Sparkling Model'!D$2:D$38^A2974)</f>
        <v>0.2813056757</v>
      </c>
    </row>
    <row r="2975">
      <c r="A2975" s="6">
        <v>2973.0</v>
      </c>
      <c r="B2975" s="17">
        <f t="array" ref="B2975">SUM(1-'Sparkling Model'!D$2:D$38^A2975)</f>
        <v>35.84804097</v>
      </c>
      <c r="C2975" s="8">
        <f t="array" ref="C2975">PRODUCT(1-'Sparkling Model'!D$2:D$38^A2975)</f>
        <v>0.2815748504</v>
      </c>
    </row>
    <row r="2976">
      <c r="A2976" s="6">
        <v>2974.0</v>
      </c>
      <c r="B2976" s="17">
        <f t="array" ref="B2976">SUM(1-'Sparkling Model'!D$2:D$38^A2976)</f>
        <v>35.84886412</v>
      </c>
      <c r="C2976" s="8">
        <f t="array" ref="C2976">PRODUCT(1-'Sparkling Model'!D$2:D$38^A2976)</f>
        <v>0.2818440227</v>
      </c>
    </row>
    <row r="2977">
      <c r="A2977" s="6">
        <v>2975.0</v>
      </c>
      <c r="B2977" s="17">
        <f t="array" ref="B2977">SUM(1-'Sparkling Model'!D$2:D$38^A2977)</f>
        <v>35.84968652</v>
      </c>
      <c r="C2977" s="8">
        <f t="array" ref="C2977">PRODUCT(1-'Sparkling Model'!D$2:D$38^A2977)</f>
        <v>0.2821131923</v>
      </c>
    </row>
    <row r="2978">
      <c r="A2978" s="6">
        <v>2976.0</v>
      </c>
      <c r="B2978" s="17">
        <f t="array" ref="B2978">SUM(1-'Sparkling Model'!D$2:D$38^A2978)</f>
        <v>35.85050816</v>
      </c>
      <c r="C2978" s="8">
        <f t="array" ref="C2978">PRODUCT(1-'Sparkling Model'!D$2:D$38^A2978)</f>
        <v>0.2823823591</v>
      </c>
    </row>
    <row r="2979">
      <c r="A2979" s="6">
        <v>2977.0</v>
      </c>
      <c r="B2979" s="17">
        <f t="array" ref="B2979">SUM(1-'Sparkling Model'!D$2:D$38^A2979)</f>
        <v>35.85132905</v>
      </c>
      <c r="C2979" s="8">
        <f t="array" ref="C2979">PRODUCT(1-'Sparkling Model'!D$2:D$38^A2979)</f>
        <v>0.2826515229</v>
      </c>
    </row>
    <row r="2980">
      <c r="A2980" s="6">
        <v>2978.0</v>
      </c>
      <c r="B2980" s="17">
        <f t="array" ref="B2980">SUM(1-'Sparkling Model'!D$2:D$38^A2980)</f>
        <v>35.85214918</v>
      </c>
      <c r="C2980" s="8">
        <f t="array" ref="C2980">PRODUCT(1-'Sparkling Model'!D$2:D$38^A2980)</f>
        <v>0.2829206836</v>
      </c>
    </row>
    <row r="2981">
      <c r="A2981" s="6">
        <v>2979.0</v>
      </c>
      <c r="B2981" s="17">
        <f t="array" ref="B2981">SUM(1-'Sparkling Model'!D$2:D$38^A2981)</f>
        <v>35.85296856</v>
      </c>
      <c r="C2981" s="8">
        <f t="array" ref="C2981">PRODUCT(1-'Sparkling Model'!D$2:D$38^A2981)</f>
        <v>0.283189841</v>
      </c>
    </row>
    <row r="2982">
      <c r="A2982" s="6">
        <v>2980.0</v>
      </c>
      <c r="B2982" s="17">
        <f t="array" ref="B2982">SUM(1-'Sparkling Model'!D$2:D$38^A2982)</f>
        <v>35.85378719</v>
      </c>
      <c r="C2982" s="8">
        <f t="array" ref="C2982">PRODUCT(1-'Sparkling Model'!D$2:D$38^A2982)</f>
        <v>0.2834589948</v>
      </c>
    </row>
    <row r="2983">
      <c r="A2983" s="6">
        <v>2981.0</v>
      </c>
      <c r="B2983" s="17">
        <f t="array" ref="B2983">SUM(1-'Sparkling Model'!D$2:D$38^A2983)</f>
        <v>35.85460507</v>
      </c>
      <c r="C2983" s="8">
        <f t="array" ref="C2983">PRODUCT(1-'Sparkling Model'!D$2:D$38^A2983)</f>
        <v>0.283728145</v>
      </c>
    </row>
    <row r="2984">
      <c r="A2984" s="6">
        <v>2982.0</v>
      </c>
      <c r="B2984" s="17">
        <f t="array" ref="B2984">SUM(1-'Sparkling Model'!D$2:D$38^A2984)</f>
        <v>35.8554222</v>
      </c>
      <c r="C2984" s="8">
        <f t="array" ref="C2984">PRODUCT(1-'Sparkling Model'!D$2:D$38^A2984)</f>
        <v>0.2839972913</v>
      </c>
    </row>
    <row r="2985">
      <c r="A2985" s="6">
        <v>2983.0</v>
      </c>
      <c r="B2985" s="17">
        <f t="array" ref="B2985">SUM(1-'Sparkling Model'!D$2:D$38^A2985)</f>
        <v>35.85623858</v>
      </c>
      <c r="C2985" s="8">
        <f t="array" ref="C2985">PRODUCT(1-'Sparkling Model'!D$2:D$38^A2985)</f>
        <v>0.2842664335</v>
      </c>
    </row>
    <row r="2986">
      <c r="A2986" s="6">
        <v>2984.0</v>
      </c>
      <c r="B2986" s="17">
        <f t="array" ref="B2986">SUM(1-'Sparkling Model'!D$2:D$38^A2986)</f>
        <v>35.85705422</v>
      </c>
      <c r="C2986" s="8">
        <f t="array" ref="C2986">PRODUCT(1-'Sparkling Model'!D$2:D$38^A2986)</f>
        <v>0.2845355715</v>
      </c>
    </row>
    <row r="2987">
      <c r="A2987" s="6">
        <v>2985.0</v>
      </c>
      <c r="B2987" s="17">
        <f t="array" ref="B2987">SUM(1-'Sparkling Model'!D$2:D$38^A2987)</f>
        <v>35.8578691</v>
      </c>
      <c r="C2987" s="8">
        <f t="array" ref="C2987">PRODUCT(1-'Sparkling Model'!D$2:D$38^A2987)</f>
        <v>0.2848047051</v>
      </c>
    </row>
    <row r="2988">
      <c r="A2988" s="6">
        <v>2986.0</v>
      </c>
      <c r="B2988" s="17">
        <f t="array" ref="B2988">SUM(1-'Sparkling Model'!D$2:D$38^A2988)</f>
        <v>35.85868324</v>
      </c>
      <c r="C2988" s="8">
        <f t="array" ref="C2988">PRODUCT(1-'Sparkling Model'!D$2:D$38^A2988)</f>
        <v>0.2850738341</v>
      </c>
    </row>
    <row r="2989">
      <c r="A2989" s="6">
        <v>2987.0</v>
      </c>
      <c r="B2989" s="17">
        <f t="array" ref="B2989">SUM(1-'Sparkling Model'!D$2:D$38^A2989)</f>
        <v>35.85949663</v>
      </c>
      <c r="C2989" s="8">
        <f t="array" ref="C2989">PRODUCT(1-'Sparkling Model'!D$2:D$38^A2989)</f>
        <v>0.2853429584</v>
      </c>
    </row>
    <row r="2990">
      <c r="A2990" s="6">
        <v>2988.0</v>
      </c>
      <c r="B2990" s="17">
        <f t="array" ref="B2990">SUM(1-'Sparkling Model'!D$2:D$38^A2990)</f>
        <v>35.86030928</v>
      </c>
      <c r="C2990" s="8">
        <f t="array" ref="C2990">PRODUCT(1-'Sparkling Model'!D$2:D$38^A2990)</f>
        <v>0.2856120778</v>
      </c>
    </row>
    <row r="2991">
      <c r="A2991" s="6">
        <v>2989.0</v>
      </c>
      <c r="B2991" s="17">
        <f t="array" ref="B2991">SUM(1-'Sparkling Model'!D$2:D$38^A2991)</f>
        <v>35.86112119</v>
      </c>
      <c r="C2991" s="8">
        <f t="array" ref="C2991">PRODUCT(1-'Sparkling Model'!D$2:D$38^A2991)</f>
        <v>0.285881192</v>
      </c>
    </row>
    <row r="2992">
      <c r="A2992" s="6">
        <v>2990.0</v>
      </c>
      <c r="B2992" s="17">
        <f t="array" ref="B2992">SUM(1-'Sparkling Model'!D$2:D$38^A2992)</f>
        <v>35.86193235</v>
      </c>
      <c r="C2992" s="8">
        <f t="array" ref="C2992">PRODUCT(1-'Sparkling Model'!D$2:D$38^A2992)</f>
        <v>0.286150301</v>
      </c>
    </row>
    <row r="2993">
      <c r="A2993" s="6">
        <v>2991.0</v>
      </c>
      <c r="B2993" s="17">
        <f t="array" ref="B2993">SUM(1-'Sparkling Model'!D$2:D$38^A2993)</f>
        <v>35.86274277</v>
      </c>
      <c r="C2993" s="8">
        <f t="array" ref="C2993">PRODUCT(1-'Sparkling Model'!D$2:D$38^A2993)</f>
        <v>0.2864194045</v>
      </c>
    </row>
    <row r="2994">
      <c r="A2994" s="6">
        <v>2992.0</v>
      </c>
      <c r="B2994" s="17">
        <f t="array" ref="B2994">SUM(1-'Sparkling Model'!D$2:D$38^A2994)</f>
        <v>35.86355245</v>
      </c>
      <c r="C2994" s="8">
        <f t="array" ref="C2994">PRODUCT(1-'Sparkling Model'!D$2:D$38^A2994)</f>
        <v>0.2866885024</v>
      </c>
    </row>
    <row r="2995">
      <c r="A2995" s="6">
        <v>2993.0</v>
      </c>
      <c r="B2995" s="17">
        <f t="array" ref="B2995">SUM(1-'Sparkling Model'!D$2:D$38^A2995)</f>
        <v>35.86436139</v>
      </c>
      <c r="C2995" s="8">
        <f t="array" ref="C2995">PRODUCT(1-'Sparkling Model'!D$2:D$38^A2995)</f>
        <v>0.2869575945</v>
      </c>
    </row>
    <row r="2996">
      <c r="A2996" s="6">
        <v>2994.0</v>
      </c>
      <c r="B2996" s="17">
        <f t="array" ref="B2996">SUM(1-'Sparkling Model'!D$2:D$38^A2996)</f>
        <v>35.86516959</v>
      </c>
      <c r="C2996" s="8">
        <f t="array" ref="C2996">PRODUCT(1-'Sparkling Model'!D$2:D$38^A2996)</f>
        <v>0.2872266806</v>
      </c>
    </row>
    <row r="2997">
      <c r="A2997" s="6">
        <v>2995.0</v>
      </c>
      <c r="B2997" s="17">
        <f t="array" ref="B2997">SUM(1-'Sparkling Model'!D$2:D$38^A2997)</f>
        <v>35.86597705</v>
      </c>
      <c r="C2997" s="8">
        <f t="array" ref="C2997">PRODUCT(1-'Sparkling Model'!D$2:D$38^A2997)</f>
        <v>0.2874957606</v>
      </c>
    </row>
    <row r="2998">
      <c r="A2998" s="6">
        <v>2996.0</v>
      </c>
      <c r="B2998" s="17">
        <f t="array" ref="B2998">SUM(1-'Sparkling Model'!D$2:D$38^A2998)</f>
        <v>35.86678377</v>
      </c>
      <c r="C2998" s="8">
        <f t="array" ref="C2998">PRODUCT(1-'Sparkling Model'!D$2:D$38^A2998)</f>
        <v>0.2877648343</v>
      </c>
    </row>
    <row r="2999">
      <c r="A2999" s="6">
        <v>2997.0</v>
      </c>
      <c r="B2999" s="17">
        <f t="array" ref="B2999">SUM(1-'Sparkling Model'!D$2:D$38^A2999)</f>
        <v>35.86758976</v>
      </c>
      <c r="C2999" s="8">
        <f t="array" ref="C2999">PRODUCT(1-'Sparkling Model'!D$2:D$38^A2999)</f>
        <v>0.2880339014</v>
      </c>
    </row>
    <row r="3000">
      <c r="A3000" s="6">
        <v>2998.0</v>
      </c>
      <c r="B3000" s="17">
        <f t="array" ref="B3000">SUM(1-'Sparkling Model'!D$2:D$38^A3000)</f>
        <v>35.86839501</v>
      </c>
      <c r="C3000" s="8">
        <f t="array" ref="C3000">PRODUCT(1-'Sparkling Model'!D$2:D$38^A3000)</f>
        <v>0.2883029619</v>
      </c>
    </row>
    <row r="3001">
      <c r="A3001" s="6">
        <v>2999.0</v>
      </c>
      <c r="B3001" s="17">
        <f t="array" ref="B3001">SUM(1-'Sparkling Model'!D$2:D$38^A3001)</f>
        <v>35.86919953</v>
      </c>
      <c r="C3001" s="8">
        <f t="array" ref="C3001">PRODUCT(1-'Sparkling Model'!D$2:D$38^A3001)</f>
        <v>0.2885720155</v>
      </c>
    </row>
    <row r="3002">
      <c r="A3002" s="6">
        <v>3000.0</v>
      </c>
      <c r="B3002" s="17">
        <f t="array" ref="B3002">SUM(1-'Sparkling Model'!D$2:D$38^A3002)</f>
        <v>35.87000331</v>
      </c>
      <c r="C3002" s="8">
        <f t="array" ref="C3002">PRODUCT(1-'Sparkling Model'!D$2:D$38^A3002)</f>
        <v>0.2888410621</v>
      </c>
    </row>
    <row r="3003">
      <c r="A3003" s="6">
        <v>3001.0</v>
      </c>
      <c r="B3003" s="17">
        <f t="array" ref="B3003">SUM(1-'Sparkling Model'!D$2:D$38^A3003)</f>
        <v>35.87080636</v>
      </c>
      <c r="C3003" s="8">
        <f t="array" ref="C3003">PRODUCT(1-'Sparkling Model'!D$2:D$38^A3003)</f>
        <v>0.2891101015</v>
      </c>
    </row>
    <row r="3004">
      <c r="A3004" s="6">
        <v>3002.0</v>
      </c>
      <c r="B3004" s="17">
        <f t="array" ref="B3004">SUM(1-'Sparkling Model'!D$2:D$38^A3004)</f>
        <v>35.87160868</v>
      </c>
      <c r="C3004" s="8">
        <f t="array" ref="C3004">PRODUCT(1-'Sparkling Model'!D$2:D$38^A3004)</f>
        <v>0.2893791336</v>
      </c>
    </row>
    <row r="3005">
      <c r="A3005" s="6">
        <v>3003.0</v>
      </c>
      <c r="B3005" s="17">
        <f t="array" ref="B3005">SUM(1-'Sparkling Model'!D$2:D$38^A3005)</f>
        <v>35.87241027</v>
      </c>
      <c r="C3005" s="8">
        <f t="array" ref="C3005">PRODUCT(1-'Sparkling Model'!D$2:D$38^A3005)</f>
        <v>0.2896481581</v>
      </c>
    </row>
    <row r="3006">
      <c r="A3006" s="6">
        <v>3004.0</v>
      </c>
      <c r="B3006" s="17">
        <f t="array" ref="B3006">SUM(1-'Sparkling Model'!D$2:D$38^A3006)</f>
        <v>35.87321112</v>
      </c>
      <c r="C3006" s="8">
        <f t="array" ref="C3006">PRODUCT(1-'Sparkling Model'!D$2:D$38^A3006)</f>
        <v>0.2899171749</v>
      </c>
    </row>
    <row r="3007">
      <c r="A3007" s="6">
        <v>3005.0</v>
      </c>
      <c r="B3007" s="17">
        <f t="array" ref="B3007">SUM(1-'Sparkling Model'!D$2:D$38^A3007)</f>
        <v>35.87401125</v>
      </c>
      <c r="C3007" s="8">
        <f t="array" ref="C3007">PRODUCT(1-'Sparkling Model'!D$2:D$38^A3007)</f>
        <v>0.2901861838</v>
      </c>
    </row>
    <row r="3008">
      <c r="A3008" s="6">
        <v>3006.0</v>
      </c>
      <c r="B3008" s="17">
        <f t="array" ref="B3008">SUM(1-'Sparkling Model'!D$2:D$38^A3008)</f>
        <v>35.87481065</v>
      </c>
      <c r="C3008" s="8">
        <f t="array" ref="C3008">PRODUCT(1-'Sparkling Model'!D$2:D$38^A3008)</f>
        <v>0.2904551847</v>
      </c>
    </row>
    <row r="3009">
      <c r="A3009" s="6">
        <v>3007.0</v>
      </c>
      <c r="B3009" s="17">
        <f t="array" ref="B3009">SUM(1-'Sparkling Model'!D$2:D$38^A3009)</f>
        <v>35.87560931</v>
      </c>
      <c r="C3009" s="8">
        <f t="array" ref="C3009">PRODUCT(1-'Sparkling Model'!D$2:D$38^A3009)</f>
        <v>0.2907241774</v>
      </c>
    </row>
    <row r="3010">
      <c r="A3010" s="6">
        <v>3008.0</v>
      </c>
      <c r="B3010" s="17">
        <f t="array" ref="B3010">SUM(1-'Sparkling Model'!D$2:D$38^A3010)</f>
        <v>35.87640726</v>
      </c>
      <c r="C3010" s="8">
        <f t="array" ref="C3010">PRODUCT(1-'Sparkling Model'!D$2:D$38^A3010)</f>
        <v>0.2909931617</v>
      </c>
    </row>
    <row r="3011">
      <c r="A3011" s="6">
        <v>3009.0</v>
      </c>
      <c r="B3011" s="17">
        <f t="array" ref="B3011">SUM(1-'Sparkling Model'!D$2:D$38^A3011)</f>
        <v>35.87720447</v>
      </c>
      <c r="C3011" s="8">
        <f t="array" ref="C3011">PRODUCT(1-'Sparkling Model'!D$2:D$38^A3011)</f>
        <v>0.2912621374</v>
      </c>
    </row>
    <row r="3012">
      <c r="A3012" s="6">
        <v>3010.0</v>
      </c>
      <c r="B3012" s="17">
        <f t="array" ref="B3012">SUM(1-'Sparkling Model'!D$2:D$38^A3012)</f>
        <v>35.87800096</v>
      </c>
      <c r="C3012" s="8">
        <f t="array" ref="C3012">PRODUCT(1-'Sparkling Model'!D$2:D$38^A3012)</f>
        <v>0.2915311044</v>
      </c>
    </row>
    <row r="3013">
      <c r="A3013" s="6">
        <v>3011.0</v>
      </c>
      <c r="B3013" s="17">
        <f t="array" ref="B3013">SUM(1-'Sparkling Model'!D$2:D$38^A3013)</f>
        <v>35.87879673</v>
      </c>
      <c r="C3013" s="8">
        <f t="array" ref="C3013">PRODUCT(1-'Sparkling Model'!D$2:D$38^A3013)</f>
        <v>0.2918000625</v>
      </c>
    </row>
    <row r="3014">
      <c r="A3014" s="6">
        <v>3012.0</v>
      </c>
      <c r="B3014" s="17">
        <f t="array" ref="B3014">SUM(1-'Sparkling Model'!D$2:D$38^A3014)</f>
        <v>35.87959177</v>
      </c>
      <c r="C3014" s="8">
        <f t="array" ref="C3014">PRODUCT(1-'Sparkling Model'!D$2:D$38^A3014)</f>
        <v>0.2920690116</v>
      </c>
    </row>
    <row r="3015">
      <c r="A3015" s="6">
        <v>3013.0</v>
      </c>
      <c r="B3015" s="17">
        <f t="array" ref="B3015">SUM(1-'Sparkling Model'!D$2:D$38^A3015)</f>
        <v>35.88038609</v>
      </c>
      <c r="C3015" s="8">
        <f t="array" ref="C3015">PRODUCT(1-'Sparkling Model'!D$2:D$38^A3015)</f>
        <v>0.2923379514</v>
      </c>
    </row>
    <row r="3016">
      <c r="A3016" s="6">
        <v>3014.0</v>
      </c>
      <c r="B3016" s="17">
        <f t="array" ref="B3016">SUM(1-'Sparkling Model'!D$2:D$38^A3016)</f>
        <v>35.88117969</v>
      </c>
      <c r="C3016" s="8">
        <f t="array" ref="C3016">PRODUCT(1-'Sparkling Model'!D$2:D$38^A3016)</f>
        <v>0.2926068818</v>
      </c>
    </row>
    <row r="3017">
      <c r="A3017" s="6">
        <v>3015.0</v>
      </c>
      <c r="B3017" s="17">
        <f t="array" ref="B3017">SUM(1-'Sparkling Model'!D$2:D$38^A3017)</f>
        <v>35.88197256</v>
      </c>
      <c r="C3017" s="8">
        <f t="array" ref="C3017">PRODUCT(1-'Sparkling Model'!D$2:D$38^A3017)</f>
        <v>0.2928758026</v>
      </c>
    </row>
    <row r="3018">
      <c r="A3018" s="6">
        <v>3016.0</v>
      </c>
      <c r="B3018" s="17">
        <f t="array" ref="B3018">SUM(1-'Sparkling Model'!D$2:D$38^A3018)</f>
        <v>35.88276472</v>
      </c>
      <c r="C3018" s="8">
        <f t="array" ref="C3018">PRODUCT(1-'Sparkling Model'!D$2:D$38^A3018)</f>
        <v>0.2931447137</v>
      </c>
    </row>
    <row r="3019">
      <c r="A3019" s="6">
        <v>3017.0</v>
      </c>
      <c r="B3019" s="17">
        <f t="array" ref="B3019">SUM(1-'Sparkling Model'!D$2:D$38^A3019)</f>
        <v>35.88355615</v>
      </c>
      <c r="C3019" s="8">
        <f t="array" ref="C3019">PRODUCT(1-'Sparkling Model'!D$2:D$38^A3019)</f>
        <v>0.2934136148</v>
      </c>
    </row>
    <row r="3020">
      <c r="A3020" s="6">
        <v>3018.0</v>
      </c>
      <c r="B3020" s="17">
        <f t="array" ref="B3020">SUM(1-'Sparkling Model'!D$2:D$38^A3020)</f>
        <v>35.88434687</v>
      </c>
      <c r="C3020" s="8">
        <f t="array" ref="C3020">PRODUCT(1-'Sparkling Model'!D$2:D$38^A3020)</f>
        <v>0.2936825059</v>
      </c>
    </row>
    <row r="3021">
      <c r="A3021" s="6">
        <v>3019.0</v>
      </c>
      <c r="B3021" s="17">
        <f t="array" ref="B3021">SUM(1-'Sparkling Model'!D$2:D$38^A3021)</f>
        <v>35.88513687</v>
      </c>
      <c r="C3021" s="8">
        <f t="array" ref="C3021">PRODUCT(1-'Sparkling Model'!D$2:D$38^A3021)</f>
        <v>0.2939513868</v>
      </c>
    </row>
    <row r="3022">
      <c r="A3022" s="6">
        <v>3020.0</v>
      </c>
      <c r="B3022" s="17">
        <f t="array" ref="B3022">SUM(1-'Sparkling Model'!D$2:D$38^A3022)</f>
        <v>35.88592615</v>
      </c>
      <c r="C3022" s="8">
        <f t="array" ref="C3022">PRODUCT(1-'Sparkling Model'!D$2:D$38^A3022)</f>
        <v>0.2942202572</v>
      </c>
    </row>
    <row r="3023">
      <c r="A3023" s="6">
        <v>3021.0</v>
      </c>
      <c r="B3023" s="17">
        <f t="array" ref="B3023">SUM(1-'Sparkling Model'!D$2:D$38^A3023)</f>
        <v>35.88671472</v>
      </c>
      <c r="C3023" s="8">
        <f t="array" ref="C3023">PRODUCT(1-'Sparkling Model'!D$2:D$38^A3023)</f>
        <v>0.294489117</v>
      </c>
    </row>
    <row r="3024">
      <c r="A3024" s="6">
        <v>3022.0</v>
      </c>
      <c r="B3024" s="17">
        <f t="array" ref="B3024">SUM(1-'Sparkling Model'!D$2:D$38^A3024)</f>
        <v>35.88750257</v>
      </c>
      <c r="C3024" s="8">
        <f t="array" ref="C3024">PRODUCT(1-'Sparkling Model'!D$2:D$38^A3024)</f>
        <v>0.2947579661</v>
      </c>
    </row>
    <row r="3025">
      <c r="A3025" s="6">
        <v>3023.0</v>
      </c>
      <c r="B3025" s="17">
        <f t="array" ref="B3025">SUM(1-'Sparkling Model'!D$2:D$38^A3025)</f>
        <v>35.88828971</v>
      </c>
      <c r="C3025" s="8">
        <f t="array" ref="C3025">PRODUCT(1-'Sparkling Model'!D$2:D$38^A3025)</f>
        <v>0.2950268043</v>
      </c>
    </row>
    <row r="3026">
      <c r="A3026" s="6">
        <v>3024.0</v>
      </c>
      <c r="B3026" s="17">
        <f t="array" ref="B3026">SUM(1-'Sparkling Model'!D$2:D$38^A3026)</f>
        <v>35.88907613</v>
      </c>
      <c r="C3026" s="8">
        <f t="array" ref="C3026">PRODUCT(1-'Sparkling Model'!D$2:D$38^A3026)</f>
        <v>0.2952956314</v>
      </c>
    </row>
    <row r="3027">
      <c r="A3027" s="6">
        <v>3025.0</v>
      </c>
      <c r="B3027" s="17">
        <f t="array" ref="B3027">SUM(1-'Sparkling Model'!D$2:D$38^A3027)</f>
        <v>35.88986184</v>
      </c>
      <c r="C3027" s="8">
        <f t="array" ref="C3027">PRODUCT(1-'Sparkling Model'!D$2:D$38^A3027)</f>
        <v>0.2955644473</v>
      </c>
    </row>
    <row r="3028">
      <c r="A3028" s="6">
        <v>3026.0</v>
      </c>
      <c r="B3028" s="17">
        <f t="array" ref="B3028">SUM(1-'Sparkling Model'!D$2:D$38^A3028)</f>
        <v>35.89064684</v>
      </c>
      <c r="C3028" s="8">
        <f t="array" ref="C3028">PRODUCT(1-'Sparkling Model'!D$2:D$38^A3028)</f>
        <v>0.2958332518</v>
      </c>
    </row>
    <row r="3029">
      <c r="A3029" s="6">
        <v>3027.0</v>
      </c>
      <c r="B3029" s="17">
        <f t="array" ref="B3029">SUM(1-'Sparkling Model'!D$2:D$38^A3029)</f>
        <v>35.89143113</v>
      </c>
      <c r="C3029" s="8">
        <f t="array" ref="C3029">PRODUCT(1-'Sparkling Model'!D$2:D$38^A3029)</f>
        <v>0.2961020446</v>
      </c>
    </row>
    <row r="3030">
      <c r="A3030" s="6">
        <v>3028.0</v>
      </c>
      <c r="B3030" s="17">
        <f t="array" ref="B3030">SUM(1-'Sparkling Model'!D$2:D$38^A3030)</f>
        <v>35.8922147</v>
      </c>
      <c r="C3030" s="8">
        <f t="array" ref="C3030">PRODUCT(1-'Sparkling Model'!D$2:D$38^A3030)</f>
        <v>0.2963708258</v>
      </c>
    </row>
    <row r="3031">
      <c r="A3031" s="6">
        <v>3029.0</v>
      </c>
      <c r="B3031" s="17">
        <f t="array" ref="B3031">SUM(1-'Sparkling Model'!D$2:D$38^A3031)</f>
        <v>35.89299757</v>
      </c>
      <c r="C3031" s="8">
        <f t="array" ref="C3031">PRODUCT(1-'Sparkling Model'!D$2:D$38^A3031)</f>
        <v>0.296639595</v>
      </c>
    </row>
    <row r="3032">
      <c r="A3032" s="6">
        <v>3030.0</v>
      </c>
      <c r="B3032" s="17">
        <f t="array" ref="B3032">SUM(1-'Sparkling Model'!D$2:D$38^A3032)</f>
        <v>35.89377973</v>
      </c>
      <c r="C3032" s="8">
        <f t="array" ref="C3032">PRODUCT(1-'Sparkling Model'!D$2:D$38^A3032)</f>
        <v>0.2969083522</v>
      </c>
    </row>
    <row r="3033">
      <c r="A3033" s="6">
        <v>3031.0</v>
      </c>
      <c r="B3033" s="17">
        <f t="array" ref="B3033">SUM(1-'Sparkling Model'!D$2:D$38^A3033)</f>
        <v>35.89456118</v>
      </c>
      <c r="C3033" s="8">
        <f t="array" ref="C3033">PRODUCT(1-'Sparkling Model'!D$2:D$38^A3033)</f>
        <v>0.2971770971</v>
      </c>
    </row>
    <row r="3034">
      <c r="A3034" s="6">
        <v>3032.0</v>
      </c>
      <c r="B3034" s="17">
        <f t="array" ref="B3034">SUM(1-'Sparkling Model'!D$2:D$38^A3034)</f>
        <v>35.89534193</v>
      </c>
      <c r="C3034" s="8">
        <f t="array" ref="C3034">PRODUCT(1-'Sparkling Model'!D$2:D$38^A3034)</f>
        <v>0.2974458296</v>
      </c>
    </row>
    <row r="3035">
      <c r="A3035" s="6">
        <v>3033.0</v>
      </c>
      <c r="B3035" s="17">
        <f t="array" ref="B3035">SUM(1-'Sparkling Model'!D$2:D$38^A3035)</f>
        <v>35.89612197</v>
      </c>
      <c r="C3035" s="8">
        <f t="array" ref="C3035">PRODUCT(1-'Sparkling Model'!D$2:D$38^A3035)</f>
        <v>0.2977145496</v>
      </c>
    </row>
    <row r="3036">
      <c r="A3036" s="6">
        <v>3034.0</v>
      </c>
      <c r="B3036" s="17">
        <f t="array" ref="B3036">SUM(1-'Sparkling Model'!D$2:D$38^A3036)</f>
        <v>35.8969013</v>
      </c>
      <c r="C3036" s="8">
        <f t="array" ref="C3036">PRODUCT(1-'Sparkling Model'!D$2:D$38^A3036)</f>
        <v>0.2979832568</v>
      </c>
    </row>
    <row r="3037">
      <c r="A3037" s="6">
        <v>3035.0</v>
      </c>
      <c r="B3037" s="17">
        <f t="array" ref="B3037">SUM(1-'Sparkling Model'!D$2:D$38^A3037)</f>
        <v>35.89767993</v>
      </c>
      <c r="C3037" s="8">
        <f t="array" ref="C3037">PRODUCT(1-'Sparkling Model'!D$2:D$38^A3037)</f>
        <v>0.2982519512</v>
      </c>
    </row>
    <row r="3038">
      <c r="A3038" s="6">
        <v>3036.0</v>
      </c>
      <c r="B3038" s="17">
        <f t="array" ref="B3038">SUM(1-'Sparkling Model'!D$2:D$38^A3038)</f>
        <v>35.89845785</v>
      </c>
      <c r="C3038" s="8">
        <f t="array" ref="C3038">PRODUCT(1-'Sparkling Model'!D$2:D$38^A3038)</f>
        <v>0.2985206325</v>
      </c>
    </row>
    <row r="3039">
      <c r="A3039" s="6">
        <v>3037.0</v>
      </c>
      <c r="B3039" s="17">
        <f t="array" ref="B3039">SUM(1-'Sparkling Model'!D$2:D$38^A3039)</f>
        <v>35.89923508</v>
      </c>
      <c r="C3039" s="8">
        <f t="array" ref="C3039">PRODUCT(1-'Sparkling Model'!D$2:D$38^A3039)</f>
        <v>0.2987893006</v>
      </c>
    </row>
    <row r="3040">
      <c r="A3040" s="6">
        <v>3038.0</v>
      </c>
      <c r="B3040" s="17">
        <f t="array" ref="B3040">SUM(1-'Sparkling Model'!D$2:D$38^A3040)</f>
        <v>35.9000116</v>
      </c>
      <c r="C3040" s="8">
        <f t="array" ref="C3040">PRODUCT(1-'Sparkling Model'!D$2:D$38^A3040)</f>
        <v>0.2990579553</v>
      </c>
    </row>
    <row r="3041">
      <c r="A3041" s="6">
        <v>3039.0</v>
      </c>
      <c r="B3041" s="17">
        <f t="array" ref="B3041">SUM(1-'Sparkling Model'!D$2:D$38^A3041)</f>
        <v>35.90078742</v>
      </c>
      <c r="C3041" s="8">
        <f t="array" ref="C3041">PRODUCT(1-'Sparkling Model'!D$2:D$38^A3041)</f>
        <v>0.2993265964</v>
      </c>
    </row>
    <row r="3042">
      <c r="A3042" s="6">
        <v>3040.0</v>
      </c>
      <c r="B3042" s="17">
        <f t="array" ref="B3042">SUM(1-'Sparkling Model'!D$2:D$38^A3042)</f>
        <v>35.90156254</v>
      </c>
      <c r="C3042" s="8">
        <f t="array" ref="C3042">PRODUCT(1-'Sparkling Model'!D$2:D$38^A3042)</f>
        <v>0.2995952239</v>
      </c>
    </row>
    <row r="3043">
      <c r="A3043" s="6">
        <v>3041.0</v>
      </c>
      <c r="B3043" s="17">
        <f t="array" ref="B3043">SUM(1-'Sparkling Model'!D$2:D$38^A3043)</f>
        <v>35.90233696</v>
      </c>
      <c r="C3043" s="8">
        <f t="array" ref="C3043">PRODUCT(1-'Sparkling Model'!D$2:D$38^A3043)</f>
        <v>0.2998638375</v>
      </c>
    </row>
    <row r="3044">
      <c r="A3044" s="6">
        <v>3042.0</v>
      </c>
      <c r="B3044" s="17">
        <f t="array" ref="B3044">SUM(1-'Sparkling Model'!D$2:D$38^A3044)</f>
        <v>35.90311068</v>
      </c>
      <c r="C3044" s="8">
        <f t="array" ref="C3044">PRODUCT(1-'Sparkling Model'!D$2:D$38^A3044)</f>
        <v>0.3001324371</v>
      </c>
    </row>
    <row r="3045">
      <c r="A3045" s="6">
        <v>3043.0</v>
      </c>
      <c r="B3045" s="17">
        <f t="array" ref="B3045">SUM(1-'Sparkling Model'!D$2:D$38^A3045)</f>
        <v>35.9038837</v>
      </c>
      <c r="C3045" s="8">
        <f t="array" ref="C3045">PRODUCT(1-'Sparkling Model'!D$2:D$38^A3045)</f>
        <v>0.3004010225</v>
      </c>
    </row>
    <row r="3046">
      <c r="A3046" s="6">
        <v>3044.0</v>
      </c>
      <c r="B3046" s="17">
        <f t="array" ref="B3046">SUM(1-'Sparkling Model'!D$2:D$38^A3046)</f>
        <v>35.90465603</v>
      </c>
      <c r="C3046" s="8">
        <f t="array" ref="C3046">PRODUCT(1-'Sparkling Model'!D$2:D$38^A3046)</f>
        <v>0.3006695935</v>
      </c>
    </row>
    <row r="3047">
      <c r="A3047" s="6">
        <v>3045.0</v>
      </c>
      <c r="B3047" s="17">
        <f t="array" ref="B3047">SUM(1-'Sparkling Model'!D$2:D$38^A3047)</f>
        <v>35.90542766</v>
      </c>
      <c r="C3047" s="8">
        <f t="array" ref="C3047">PRODUCT(1-'Sparkling Model'!D$2:D$38^A3047)</f>
        <v>0.3009381501</v>
      </c>
    </row>
    <row r="3048">
      <c r="A3048" s="6">
        <v>3046.0</v>
      </c>
      <c r="B3048" s="17">
        <f t="array" ref="B3048">SUM(1-'Sparkling Model'!D$2:D$38^A3048)</f>
        <v>35.90619859</v>
      </c>
      <c r="C3048" s="8">
        <f t="array" ref="C3048">PRODUCT(1-'Sparkling Model'!D$2:D$38^A3048)</f>
        <v>0.301206692</v>
      </c>
    </row>
    <row r="3049">
      <c r="A3049" s="6">
        <v>3047.0</v>
      </c>
      <c r="B3049" s="17">
        <f t="array" ref="B3049">SUM(1-'Sparkling Model'!D$2:D$38^A3049)</f>
        <v>35.90696883</v>
      </c>
      <c r="C3049" s="8">
        <f t="array" ref="C3049">PRODUCT(1-'Sparkling Model'!D$2:D$38^A3049)</f>
        <v>0.301475219</v>
      </c>
    </row>
    <row r="3050">
      <c r="A3050" s="6">
        <v>3048.0</v>
      </c>
      <c r="B3050" s="17">
        <f t="array" ref="B3050">SUM(1-'Sparkling Model'!D$2:D$38^A3050)</f>
        <v>35.90773838</v>
      </c>
      <c r="C3050" s="8">
        <f t="array" ref="C3050">PRODUCT(1-'Sparkling Model'!D$2:D$38^A3050)</f>
        <v>0.3017437311</v>
      </c>
    </row>
    <row r="3051">
      <c r="A3051" s="6">
        <v>3049.0</v>
      </c>
      <c r="B3051" s="17">
        <f t="array" ref="B3051">SUM(1-'Sparkling Model'!D$2:D$38^A3051)</f>
        <v>35.90850723</v>
      </c>
      <c r="C3051" s="8">
        <f t="array" ref="C3051">PRODUCT(1-'Sparkling Model'!D$2:D$38^A3051)</f>
        <v>0.302012228</v>
      </c>
    </row>
    <row r="3052">
      <c r="A3052" s="6">
        <v>3050.0</v>
      </c>
      <c r="B3052" s="17">
        <f t="array" ref="B3052">SUM(1-'Sparkling Model'!D$2:D$38^A3052)</f>
        <v>35.90927539</v>
      </c>
      <c r="C3052" s="8">
        <f t="array" ref="C3052">PRODUCT(1-'Sparkling Model'!D$2:D$38^A3052)</f>
        <v>0.3022807096</v>
      </c>
    </row>
    <row r="3053">
      <c r="A3053" s="6">
        <v>3051.0</v>
      </c>
      <c r="B3053" s="17">
        <f t="array" ref="B3053">SUM(1-'Sparkling Model'!D$2:D$38^A3053)</f>
        <v>35.91004286</v>
      </c>
      <c r="C3053" s="8">
        <f t="array" ref="C3053">PRODUCT(1-'Sparkling Model'!D$2:D$38^A3053)</f>
        <v>0.3025491757</v>
      </c>
    </row>
    <row r="3054">
      <c r="A3054" s="6">
        <v>3052.0</v>
      </c>
      <c r="B3054" s="17">
        <f t="array" ref="B3054">SUM(1-'Sparkling Model'!D$2:D$38^A3054)</f>
        <v>35.91080964</v>
      </c>
      <c r="C3054" s="8">
        <f t="array" ref="C3054">PRODUCT(1-'Sparkling Model'!D$2:D$38^A3054)</f>
        <v>0.3028176263</v>
      </c>
    </row>
    <row r="3055">
      <c r="A3055" s="6">
        <v>3053.0</v>
      </c>
      <c r="B3055" s="17">
        <f t="array" ref="B3055">SUM(1-'Sparkling Model'!D$2:D$38^A3055)</f>
        <v>35.91157573</v>
      </c>
      <c r="C3055" s="8">
        <f t="array" ref="C3055">PRODUCT(1-'Sparkling Model'!D$2:D$38^A3055)</f>
        <v>0.303086061</v>
      </c>
    </row>
    <row r="3056">
      <c r="A3056" s="6">
        <v>3054.0</v>
      </c>
      <c r="B3056" s="17">
        <f t="array" ref="B3056">SUM(1-'Sparkling Model'!D$2:D$38^A3056)</f>
        <v>35.91234113</v>
      </c>
      <c r="C3056" s="8">
        <f t="array" ref="C3056">PRODUCT(1-'Sparkling Model'!D$2:D$38^A3056)</f>
        <v>0.3033544798</v>
      </c>
    </row>
    <row r="3057">
      <c r="A3057" s="6">
        <v>3055.0</v>
      </c>
      <c r="B3057" s="17">
        <f t="array" ref="B3057">SUM(1-'Sparkling Model'!D$2:D$38^A3057)</f>
        <v>35.91310584</v>
      </c>
      <c r="C3057" s="8">
        <f t="array" ref="C3057">PRODUCT(1-'Sparkling Model'!D$2:D$38^A3057)</f>
        <v>0.3036228825</v>
      </c>
    </row>
    <row r="3058">
      <c r="A3058" s="6">
        <v>3056.0</v>
      </c>
      <c r="B3058" s="17">
        <f t="array" ref="B3058">SUM(1-'Sparkling Model'!D$2:D$38^A3058)</f>
        <v>35.91386986</v>
      </c>
      <c r="C3058" s="8">
        <f t="array" ref="C3058">PRODUCT(1-'Sparkling Model'!D$2:D$38^A3058)</f>
        <v>0.303891269</v>
      </c>
    </row>
    <row r="3059">
      <c r="A3059" s="6">
        <v>3057.0</v>
      </c>
      <c r="B3059" s="17">
        <f t="array" ref="B3059">SUM(1-'Sparkling Model'!D$2:D$38^A3059)</f>
        <v>35.9146332</v>
      </c>
      <c r="C3059" s="8">
        <f t="array" ref="C3059">PRODUCT(1-'Sparkling Model'!D$2:D$38^A3059)</f>
        <v>0.304159639</v>
      </c>
    </row>
    <row r="3060">
      <c r="A3060" s="6">
        <v>3058.0</v>
      </c>
      <c r="B3060" s="17">
        <f t="array" ref="B3060">SUM(1-'Sparkling Model'!D$2:D$38^A3060)</f>
        <v>35.91539585</v>
      </c>
      <c r="C3060" s="8">
        <f t="array" ref="C3060">PRODUCT(1-'Sparkling Model'!D$2:D$38^A3060)</f>
        <v>0.3044279925</v>
      </c>
    </row>
    <row r="3061">
      <c r="A3061" s="6">
        <v>3059.0</v>
      </c>
      <c r="B3061" s="17">
        <f t="array" ref="B3061">SUM(1-'Sparkling Model'!D$2:D$38^A3061)</f>
        <v>35.91615782</v>
      </c>
      <c r="C3061" s="8">
        <f t="array" ref="C3061">PRODUCT(1-'Sparkling Model'!D$2:D$38^A3061)</f>
        <v>0.3046963292</v>
      </c>
    </row>
    <row r="3062">
      <c r="A3062" s="6">
        <v>3060.0</v>
      </c>
      <c r="B3062" s="17">
        <f t="array" ref="B3062">SUM(1-'Sparkling Model'!D$2:D$38^A3062)</f>
        <v>35.9169191</v>
      </c>
      <c r="C3062" s="8">
        <f t="array" ref="C3062">PRODUCT(1-'Sparkling Model'!D$2:D$38^A3062)</f>
        <v>0.3049646491</v>
      </c>
    </row>
    <row r="3063">
      <c r="A3063" s="6">
        <v>3061.0</v>
      </c>
      <c r="B3063" s="17">
        <f t="array" ref="B3063">SUM(1-'Sparkling Model'!D$2:D$38^A3063)</f>
        <v>35.9176797</v>
      </c>
      <c r="C3063" s="8">
        <f t="array" ref="C3063">PRODUCT(1-'Sparkling Model'!D$2:D$38^A3063)</f>
        <v>0.3052329519</v>
      </c>
    </row>
    <row r="3064">
      <c r="A3064" s="6">
        <v>3062.0</v>
      </c>
      <c r="B3064" s="17">
        <f t="array" ref="B3064">SUM(1-'Sparkling Model'!D$2:D$38^A3064)</f>
        <v>35.91843962</v>
      </c>
      <c r="C3064" s="8">
        <f t="array" ref="C3064">PRODUCT(1-'Sparkling Model'!D$2:D$38^A3064)</f>
        <v>0.3055012375</v>
      </c>
    </row>
    <row r="3065">
      <c r="A3065" s="6">
        <v>3063.0</v>
      </c>
      <c r="B3065" s="17">
        <f t="array" ref="B3065">SUM(1-'Sparkling Model'!D$2:D$38^A3065)</f>
        <v>35.91919885</v>
      </c>
      <c r="C3065" s="8">
        <f t="array" ref="C3065">PRODUCT(1-'Sparkling Model'!D$2:D$38^A3065)</f>
        <v>0.3057695058</v>
      </c>
    </row>
    <row r="3066">
      <c r="A3066" s="6">
        <v>3064.0</v>
      </c>
      <c r="B3066" s="17">
        <f t="array" ref="B3066">SUM(1-'Sparkling Model'!D$2:D$38^A3066)</f>
        <v>35.91995741</v>
      </c>
      <c r="C3066" s="8">
        <f t="array" ref="C3066">PRODUCT(1-'Sparkling Model'!D$2:D$38^A3066)</f>
        <v>0.3060377566</v>
      </c>
    </row>
    <row r="3067">
      <c r="A3067" s="6">
        <v>3065.0</v>
      </c>
      <c r="B3067" s="17">
        <f t="array" ref="B3067">SUM(1-'Sparkling Model'!D$2:D$38^A3067)</f>
        <v>35.92071528</v>
      </c>
      <c r="C3067" s="8">
        <f t="array" ref="C3067">PRODUCT(1-'Sparkling Model'!D$2:D$38^A3067)</f>
        <v>0.3063059897</v>
      </c>
    </row>
    <row r="3068">
      <c r="A3068" s="6">
        <v>3066.0</v>
      </c>
      <c r="B3068" s="17">
        <f t="array" ref="B3068">SUM(1-'Sparkling Model'!D$2:D$38^A3068)</f>
        <v>35.92147248</v>
      </c>
      <c r="C3068" s="8">
        <f t="array" ref="C3068">PRODUCT(1-'Sparkling Model'!D$2:D$38^A3068)</f>
        <v>0.3065742049</v>
      </c>
    </row>
    <row r="3069">
      <c r="A3069" s="6">
        <v>3067.0</v>
      </c>
      <c r="B3069" s="17">
        <f t="array" ref="B3069">SUM(1-'Sparkling Model'!D$2:D$38^A3069)</f>
        <v>35.92222899</v>
      </c>
      <c r="C3069" s="8">
        <f t="array" ref="C3069">PRODUCT(1-'Sparkling Model'!D$2:D$38^A3069)</f>
        <v>0.3068424023</v>
      </c>
    </row>
    <row r="3070">
      <c r="A3070" s="6">
        <v>3068.0</v>
      </c>
      <c r="B3070" s="17">
        <f t="array" ref="B3070">SUM(1-'Sparkling Model'!D$2:D$38^A3070)</f>
        <v>35.92298483</v>
      </c>
      <c r="C3070" s="8">
        <f t="array" ref="C3070">PRODUCT(1-'Sparkling Model'!D$2:D$38^A3070)</f>
        <v>0.3071105815</v>
      </c>
    </row>
    <row r="3071">
      <c r="A3071" s="6">
        <v>3069.0</v>
      </c>
      <c r="B3071" s="17">
        <f t="array" ref="B3071">SUM(1-'Sparkling Model'!D$2:D$38^A3071)</f>
        <v>35.92373999</v>
      </c>
      <c r="C3071" s="8">
        <f t="array" ref="C3071">PRODUCT(1-'Sparkling Model'!D$2:D$38^A3071)</f>
        <v>0.3073787424</v>
      </c>
    </row>
    <row r="3072">
      <c r="A3072" s="6">
        <v>3070.0</v>
      </c>
      <c r="B3072" s="17">
        <f t="array" ref="B3072">SUM(1-'Sparkling Model'!D$2:D$38^A3072)</f>
        <v>35.92449447</v>
      </c>
      <c r="C3072" s="8">
        <f t="array" ref="C3072">PRODUCT(1-'Sparkling Model'!D$2:D$38^A3072)</f>
        <v>0.3076468848</v>
      </c>
    </row>
    <row r="3073">
      <c r="A3073" s="6">
        <v>3071.0</v>
      </c>
      <c r="B3073" s="17">
        <f t="array" ref="B3073">SUM(1-'Sparkling Model'!D$2:D$38^A3073)</f>
        <v>35.92524828</v>
      </c>
      <c r="C3073" s="8">
        <f t="array" ref="C3073">PRODUCT(1-'Sparkling Model'!D$2:D$38^A3073)</f>
        <v>0.3079150087</v>
      </c>
    </row>
    <row r="3074">
      <c r="A3074" s="6">
        <v>3072.0</v>
      </c>
      <c r="B3074" s="17">
        <f t="array" ref="B3074">SUM(1-'Sparkling Model'!D$2:D$38^A3074)</f>
        <v>35.92600142</v>
      </c>
      <c r="C3074" s="8">
        <f t="array" ref="C3074">PRODUCT(1-'Sparkling Model'!D$2:D$38^A3074)</f>
        <v>0.3081831139</v>
      </c>
    </row>
    <row r="3075">
      <c r="A3075" s="6">
        <v>3073.0</v>
      </c>
      <c r="B3075" s="17">
        <f t="array" ref="B3075">SUM(1-'Sparkling Model'!D$2:D$38^A3075)</f>
        <v>35.92675388</v>
      </c>
      <c r="C3075" s="8">
        <f t="array" ref="C3075">PRODUCT(1-'Sparkling Model'!D$2:D$38^A3075)</f>
        <v>0.3084512001</v>
      </c>
    </row>
    <row r="3076">
      <c r="A3076" s="6">
        <v>3074.0</v>
      </c>
      <c r="B3076" s="17">
        <f t="array" ref="B3076">SUM(1-'Sparkling Model'!D$2:D$38^A3076)</f>
        <v>35.92750567</v>
      </c>
      <c r="C3076" s="8">
        <f t="array" ref="C3076">PRODUCT(1-'Sparkling Model'!D$2:D$38^A3076)</f>
        <v>0.3087192673</v>
      </c>
    </row>
    <row r="3077">
      <c r="A3077" s="6">
        <v>3075.0</v>
      </c>
      <c r="B3077" s="17">
        <f t="array" ref="B3077">SUM(1-'Sparkling Model'!D$2:D$38^A3077)</f>
        <v>35.92825678</v>
      </c>
      <c r="C3077" s="8">
        <f t="array" ref="C3077">PRODUCT(1-'Sparkling Model'!D$2:D$38^A3077)</f>
        <v>0.3089873153</v>
      </c>
    </row>
    <row r="3078">
      <c r="A3078" s="6">
        <v>3076.0</v>
      </c>
      <c r="B3078" s="17">
        <f t="array" ref="B3078">SUM(1-'Sparkling Model'!D$2:D$38^A3078)</f>
        <v>35.92900722</v>
      </c>
      <c r="C3078" s="8">
        <f t="array" ref="C3078">PRODUCT(1-'Sparkling Model'!D$2:D$38^A3078)</f>
        <v>0.309255344</v>
      </c>
    </row>
    <row r="3079">
      <c r="A3079" s="6">
        <v>3077.0</v>
      </c>
      <c r="B3079" s="17">
        <f t="array" ref="B3079">SUM(1-'Sparkling Model'!D$2:D$38^A3079)</f>
        <v>35.929757</v>
      </c>
      <c r="C3079" s="8">
        <f t="array" ref="C3079">PRODUCT(1-'Sparkling Model'!D$2:D$38^A3079)</f>
        <v>0.3095233531</v>
      </c>
    </row>
    <row r="3080">
      <c r="A3080" s="6">
        <v>3078.0</v>
      </c>
      <c r="B3080" s="17">
        <f t="array" ref="B3080">SUM(1-'Sparkling Model'!D$2:D$38^A3080)</f>
        <v>35.9305061</v>
      </c>
      <c r="C3080" s="8">
        <f t="array" ref="C3080">PRODUCT(1-'Sparkling Model'!D$2:D$38^A3080)</f>
        <v>0.3097913426</v>
      </c>
    </row>
    <row r="3081">
      <c r="A3081" s="6">
        <v>3079.0</v>
      </c>
      <c r="B3081" s="17">
        <f t="array" ref="B3081">SUM(1-'Sparkling Model'!D$2:D$38^A3081)</f>
        <v>35.93125453</v>
      </c>
      <c r="C3081" s="8">
        <f t="array" ref="C3081">PRODUCT(1-'Sparkling Model'!D$2:D$38^A3081)</f>
        <v>0.3100593123</v>
      </c>
    </row>
    <row r="3082">
      <c r="A3082" s="6">
        <v>3080.0</v>
      </c>
      <c r="B3082" s="17">
        <f t="array" ref="B3082">SUM(1-'Sparkling Model'!D$2:D$38^A3082)</f>
        <v>35.9320023</v>
      </c>
      <c r="C3082" s="8">
        <f t="array" ref="C3082">PRODUCT(1-'Sparkling Model'!D$2:D$38^A3082)</f>
        <v>0.310327262</v>
      </c>
    </row>
    <row r="3083">
      <c r="A3083" s="6">
        <v>3081.0</v>
      </c>
      <c r="B3083" s="17">
        <f t="array" ref="B3083">SUM(1-'Sparkling Model'!D$2:D$38^A3083)</f>
        <v>35.93274939</v>
      </c>
      <c r="C3083" s="8">
        <f t="array" ref="C3083">PRODUCT(1-'Sparkling Model'!D$2:D$38^A3083)</f>
        <v>0.3105951916</v>
      </c>
    </row>
    <row r="3084">
      <c r="A3084" s="6">
        <v>3082.0</v>
      </c>
      <c r="B3084" s="17">
        <f t="array" ref="B3084">SUM(1-'Sparkling Model'!D$2:D$38^A3084)</f>
        <v>35.93349582</v>
      </c>
      <c r="C3084" s="8">
        <f t="array" ref="C3084">PRODUCT(1-'Sparkling Model'!D$2:D$38^A3084)</f>
        <v>0.310863101</v>
      </c>
    </row>
    <row r="3085">
      <c r="A3085" s="6">
        <v>3083.0</v>
      </c>
      <c r="B3085" s="17">
        <f t="array" ref="B3085">SUM(1-'Sparkling Model'!D$2:D$38^A3085)</f>
        <v>35.93424159</v>
      </c>
      <c r="C3085" s="8">
        <f t="array" ref="C3085">PRODUCT(1-'Sparkling Model'!D$2:D$38^A3085)</f>
        <v>0.3111309899</v>
      </c>
    </row>
    <row r="3086">
      <c r="A3086" s="6">
        <v>3084.0</v>
      </c>
      <c r="B3086" s="17">
        <f t="array" ref="B3086">SUM(1-'Sparkling Model'!D$2:D$38^A3086)</f>
        <v>35.93498669</v>
      </c>
      <c r="C3086" s="8">
        <f t="array" ref="C3086">PRODUCT(1-'Sparkling Model'!D$2:D$38^A3086)</f>
        <v>0.3113988583</v>
      </c>
    </row>
    <row r="3087">
      <c r="A3087" s="6">
        <v>3085.0</v>
      </c>
      <c r="B3087" s="17">
        <f t="array" ref="B3087">SUM(1-'Sparkling Model'!D$2:D$38^A3087)</f>
        <v>35.93573112</v>
      </c>
      <c r="C3087" s="8">
        <f t="array" ref="C3087">PRODUCT(1-'Sparkling Model'!D$2:D$38^A3087)</f>
        <v>0.3116667059</v>
      </c>
    </row>
    <row r="3088">
      <c r="A3088" s="6">
        <v>3086.0</v>
      </c>
      <c r="B3088" s="17">
        <f t="array" ref="B3088">SUM(1-'Sparkling Model'!D$2:D$38^A3088)</f>
        <v>35.93647489</v>
      </c>
      <c r="C3088" s="8">
        <f t="array" ref="C3088">PRODUCT(1-'Sparkling Model'!D$2:D$38^A3088)</f>
        <v>0.3119345327</v>
      </c>
    </row>
    <row r="3089">
      <c r="A3089" s="6">
        <v>3087.0</v>
      </c>
      <c r="B3089" s="17">
        <f t="array" ref="B3089">SUM(1-'Sparkling Model'!D$2:D$38^A3089)</f>
        <v>35.937218</v>
      </c>
      <c r="C3089" s="8">
        <f t="array" ref="C3089">PRODUCT(1-'Sparkling Model'!D$2:D$38^A3089)</f>
        <v>0.3122023385</v>
      </c>
    </row>
    <row r="3090">
      <c r="A3090" s="6">
        <v>3088.0</v>
      </c>
      <c r="B3090" s="17">
        <f t="array" ref="B3090">SUM(1-'Sparkling Model'!D$2:D$38^A3090)</f>
        <v>35.93796044</v>
      </c>
      <c r="C3090" s="8">
        <f t="array" ref="C3090">PRODUCT(1-'Sparkling Model'!D$2:D$38^A3090)</f>
        <v>0.3124701232</v>
      </c>
    </row>
    <row r="3091">
      <c r="A3091" s="6">
        <v>3089.0</v>
      </c>
      <c r="B3091" s="17">
        <f t="array" ref="B3091">SUM(1-'Sparkling Model'!D$2:D$38^A3091)</f>
        <v>35.93870222</v>
      </c>
      <c r="C3091" s="8">
        <f t="array" ref="C3091">PRODUCT(1-'Sparkling Model'!D$2:D$38^A3091)</f>
        <v>0.3127378865</v>
      </c>
    </row>
    <row r="3092">
      <c r="A3092" s="6">
        <v>3090.0</v>
      </c>
      <c r="B3092" s="17">
        <f t="array" ref="B3092">SUM(1-'Sparkling Model'!D$2:D$38^A3092)</f>
        <v>35.93944334</v>
      </c>
      <c r="C3092" s="8">
        <f t="array" ref="C3092">PRODUCT(1-'Sparkling Model'!D$2:D$38^A3092)</f>
        <v>0.3130056283</v>
      </c>
    </row>
    <row r="3093">
      <c r="A3093" s="6">
        <v>3091.0</v>
      </c>
      <c r="B3093" s="17">
        <f t="array" ref="B3093">SUM(1-'Sparkling Model'!D$2:D$38^A3093)</f>
        <v>35.94018381</v>
      </c>
      <c r="C3093" s="8">
        <f t="array" ref="C3093">PRODUCT(1-'Sparkling Model'!D$2:D$38^A3093)</f>
        <v>0.3132733486</v>
      </c>
    </row>
    <row r="3094">
      <c r="A3094" s="6">
        <v>3092.0</v>
      </c>
      <c r="B3094" s="17">
        <f t="array" ref="B3094">SUM(1-'Sparkling Model'!D$2:D$38^A3094)</f>
        <v>35.94092361</v>
      </c>
      <c r="C3094" s="8">
        <f t="array" ref="C3094">PRODUCT(1-'Sparkling Model'!D$2:D$38^A3094)</f>
        <v>0.3135410471</v>
      </c>
    </row>
    <row r="3095">
      <c r="A3095" s="6">
        <v>3093.0</v>
      </c>
      <c r="B3095" s="17">
        <f t="array" ref="B3095">SUM(1-'Sparkling Model'!D$2:D$38^A3095)</f>
        <v>35.94166275</v>
      </c>
      <c r="C3095" s="8">
        <f t="array" ref="C3095">PRODUCT(1-'Sparkling Model'!D$2:D$38^A3095)</f>
        <v>0.3138087237</v>
      </c>
    </row>
    <row r="3096">
      <c r="A3096" s="6">
        <v>3094.0</v>
      </c>
      <c r="B3096" s="17">
        <f t="array" ref="B3096">SUM(1-'Sparkling Model'!D$2:D$38^A3096)</f>
        <v>35.94240124</v>
      </c>
      <c r="C3096" s="8">
        <f t="array" ref="C3096">PRODUCT(1-'Sparkling Model'!D$2:D$38^A3096)</f>
        <v>0.3140763782</v>
      </c>
    </row>
    <row r="3097">
      <c r="A3097" s="6">
        <v>3095.0</v>
      </c>
      <c r="B3097" s="17">
        <f t="array" ref="B3097">SUM(1-'Sparkling Model'!D$2:D$38^A3097)</f>
        <v>35.94313907</v>
      </c>
      <c r="C3097" s="8">
        <f t="array" ref="C3097">PRODUCT(1-'Sparkling Model'!D$2:D$38^A3097)</f>
        <v>0.3143440105</v>
      </c>
    </row>
    <row r="3098">
      <c r="A3098" s="6">
        <v>3096.0</v>
      </c>
      <c r="B3098" s="17">
        <f t="array" ref="B3098">SUM(1-'Sparkling Model'!D$2:D$38^A3098)</f>
        <v>35.94387624</v>
      </c>
      <c r="C3098" s="8">
        <f t="array" ref="C3098">PRODUCT(1-'Sparkling Model'!D$2:D$38^A3098)</f>
        <v>0.3146116205</v>
      </c>
    </row>
    <row r="3099">
      <c r="A3099" s="6">
        <v>3097.0</v>
      </c>
      <c r="B3099" s="17">
        <f t="array" ref="B3099">SUM(1-'Sparkling Model'!D$2:D$38^A3099)</f>
        <v>35.94461276</v>
      </c>
      <c r="C3099" s="8">
        <f t="array" ref="C3099">PRODUCT(1-'Sparkling Model'!D$2:D$38^A3099)</f>
        <v>0.314879208</v>
      </c>
    </row>
    <row r="3100">
      <c r="A3100" s="6">
        <v>3098.0</v>
      </c>
      <c r="B3100" s="17">
        <f t="array" ref="B3100">SUM(1-'Sparkling Model'!D$2:D$38^A3100)</f>
        <v>35.94534862</v>
      </c>
      <c r="C3100" s="8">
        <f t="array" ref="C3100">PRODUCT(1-'Sparkling Model'!D$2:D$38^A3100)</f>
        <v>0.3151467729</v>
      </c>
    </row>
    <row r="3101">
      <c r="A3101" s="6">
        <v>3099.0</v>
      </c>
      <c r="B3101" s="17">
        <f t="array" ref="B3101">SUM(1-'Sparkling Model'!D$2:D$38^A3101)</f>
        <v>35.94608383</v>
      </c>
      <c r="C3101" s="8">
        <f t="array" ref="C3101">PRODUCT(1-'Sparkling Model'!D$2:D$38^A3101)</f>
        <v>0.315414315</v>
      </c>
    </row>
    <row r="3102">
      <c r="A3102" s="6">
        <v>3100.0</v>
      </c>
      <c r="B3102" s="17">
        <f t="array" ref="B3102">SUM(1-'Sparkling Model'!D$2:D$38^A3102)</f>
        <v>35.94681839</v>
      </c>
      <c r="C3102" s="8">
        <f t="array" ref="C3102">PRODUCT(1-'Sparkling Model'!D$2:D$38^A3102)</f>
        <v>0.3156818341</v>
      </c>
    </row>
    <row r="3103">
      <c r="A3103" s="6">
        <v>3101.0</v>
      </c>
      <c r="B3103" s="17">
        <f t="array" ref="B3103">SUM(1-'Sparkling Model'!D$2:D$38^A3103)</f>
        <v>35.94755229</v>
      </c>
      <c r="C3103" s="8">
        <f t="array" ref="C3103">PRODUCT(1-'Sparkling Model'!D$2:D$38^A3103)</f>
        <v>0.3159493302</v>
      </c>
    </row>
    <row r="3104">
      <c r="A3104" s="6">
        <v>3102.0</v>
      </c>
      <c r="B3104" s="17">
        <f t="array" ref="B3104">SUM(1-'Sparkling Model'!D$2:D$38^A3104)</f>
        <v>35.94828554</v>
      </c>
      <c r="C3104" s="8">
        <f t="array" ref="C3104">PRODUCT(1-'Sparkling Model'!D$2:D$38^A3104)</f>
        <v>0.316216803</v>
      </c>
    </row>
    <row r="3105">
      <c r="A3105" s="6">
        <v>3103.0</v>
      </c>
      <c r="B3105" s="17">
        <f t="array" ref="B3105">SUM(1-'Sparkling Model'!D$2:D$38^A3105)</f>
        <v>35.94901814</v>
      </c>
      <c r="C3105" s="8">
        <f t="array" ref="C3105">PRODUCT(1-'Sparkling Model'!D$2:D$38^A3105)</f>
        <v>0.3164842525</v>
      </c>
    </row>
    <row r="3106">
      <c r="A3106" s="6">
        <v>3104.0</v>
      </c>
      <c r="B3106" s="17">
        <f t="array" ref="B3106">SUM(1-'Sparkling Model'!D$2:D$38^A3106)</f>
        <v>35.94975009</v>
      </c>
      <c r="C3106" s="8">
        <f t="array" ref="C3106">PRODUCT(1-'Sparkling Model'!D$2:D$38^A3106)</f>
        <v>0.3167516785</v>
      </c>
    </row>
    <row r="3107">
      <c r="A3107" s="6">
        <v>3105.0</v>
      </c>
      <c r="B3107" s="17">
        <f t="array" ref="B3107">SUM(1-'Sparkling Model'!D$2:D$38^A3107)</f>
        <v>35.95048139</v>
      </c>
      <c r="C3107" s="8">
        <f t="array" ref="C3107">PRODUCT(1-'Sparkling Model'!D$2:D$38^A3107)</f>
        <v>0.3170190808</v>
      </c>
    </row>
    <row r="3108">
      <c r="A3108" s="6">
        <v>3106.0</v>
      </c>
      <c r="B3108" s="17">
        <f t="array" ref="B3108">SUM(1-'Sparkling Model'!D$2:D$38^A3108)</f>
        <v>35.95121204</v>
      </c>
      <c r="C3108" s="8">
        <f t="array" ref="C3108">PRODUCT(1-'Sparkling Model'!D$2:D$38^A3108)</f>
        <v>0.3172864593</v>
      </c>
    </row>
    <row r="3109">
      <c r="A3109" s="6">
        <v>3107.0</v>
      </c>
      <c r="B3109" s="17">
        <f t="array" ref="B3109">SUM(1-'Sparkling Model'!D$2:D$38^A3109)</f>
        <v>35.95194205</v>
      </c>
      <c r="C3109" s="8">
        <f t="array" ref="C3109">PRODUCT(1-'Sparkling Model'!D$2:D$38^A3109)</f>
        <v>0.3175538138</v>
      </c>
    </row>
    <row r="3110">
      <c r="A3110" s="6">
        <v>3108.0</v>
      </c>
      <c r="B3110" s="17">
        <f t="array" ref="B3110">SUM(1-'Sparkling Model'!D$2:D$38^A3110)</f>
        <v>35.9526714</v>
      </c>
      <c r="C3110" s="8">
        <f t="array" ref="C3110">PRODUCT(1-'Sparkling Model'!D$2:D$38^A3110)</f>
        <v>0.3178211443</v>
      </c>
    </row>
    <row r="3111">
      <c r="A3111" s="6">
        <v>3109.0</v>
      </c>
      <c r="B3111" s="17">
        <f t="array" ref="B3111">SUM(1-'Sparkling Model'!D$2:D$38^A3111)</f>
        <v>35.95340011</v>
      </c>
      <c r="C3111" s="8">
        <f t="array" ref="C3111">PRODUCT(1-'Sparkling Model'!D$2:D$38^A3111)</f>
        <v>0.3180884505</v>
      </c>
    </row>
    <row r="3112">
      <c r="A3112" s="6">
        <v>3110.0</v>
      </c>
      <c r="B3112" s="17">
        <f t="array" ref="B3112">SUM(1-'Sparkling Model'!D$2:D$38^A3112)</f>
        <v>35.95412818</v>
      </c>
      <c r="C3112" s="8">
        <f t="array" ref="C3112">PRODUCT(1-'Sparkling Model'!D$2:D$38^A3112)</f>
        <v>0.3183557323</v>
      </c>
    </row>
    <row r="3113">
      <c r="A3113" s="6">
        <v>3111.0</v>
      </c>
      <c r="B3113" s="17">
        <f t="array" ref="B3113">SUM(1-'Sparkling Model'!D$2:D$38^A3113)</f>
        <v>35.9548556</v>
      </c>
      <c r="C3113" s="8">
        <f t="array" ref="C3113">PRODUCT(1-'Sparkling Model'!D$2:D$38^A3113)</f>
        <v>0.3186229896</v>
      </c>
    </row>
    <row r="3114">
      <c r="A3114" s="6">
        <v>3112.0</v>
      </c>
      <c r="B3114" s="17">
        <f t="array" ref="B3114">SUM(1-'Sparkling Model'!D$2:D$38^A3114)</f>
        <v>35.95558237</v>
      </c>
      <c r="C3114" s="8">
        <f t="array" ref="C3114">PRODUCT(1-'Sparkling Model'!D$2:D$38^A3114)</f>
        <v>0.3188902223</v>
      </c>
    </row>
    <row r="3115">
      <c r="A3115" s="6">
        <v>3113.0</v>
      </c>
      <c r="B3115" s="17">
        <f t="array" ref="B3115">SUM(1-'Sparkling Model'!D$2:D$38^A3115)</f>
        <v>35.9563085</v>
      </c>
      <c r="C3115" s="8">
        <f t="array" ref="C3115">PRODUCT(1-'Sparkling Model'!D$2:D$38^A3115)</f>
        <v>0.3191574301</v>
      </c>
    </row>
    <row r="3116">
      <c r="A3116" s="6">
        <v>3114.0</v>
      </c>
      <c r="B3116" s="17">
        <f t="array" ref="B3116">SUM(1-'Sparkling Model'!D$2:D$38^A3116)</f>
        <v>35.95703399</v>
      </c>
      <c r="C3116" s="8">
        <f t="array" ref="C3116">PRODUCT(1-'Sparkling Model'!D$2:D$38^A3116)</f>
        <v>0.319424613</v>
      </c>
    </row>
    <row r="3117">
      <c r="A3117" s="6">
        <v>3115.0</v>
      </c>
      <c r="B3117" s="17">
        <f t="array" ref="B3117">SUM(1-'Sparkling Model'!D$2:D$38^A3117)</f>
        <v>35.95775884</v>
      </c>
      <c r="C3117" s="8">
        <f t="array" ref="C3117">PRODUCT(1-'Sparkling Model'!D$2:D$38^A3117)</f>
        <v>0.3196917708</v>
      </c>
    </row>
    <row r="3118">
      <c r="A3118" s="6">
        <v>3116.0</v>
      </c>
      <c r="B3118" s="17">
        <f t="array" ref="B3118">SUM(1-'Sparkling Model'!D$2:D$38^A3118)</f>
        <v>35.95848304</v>
      </c>
      <c r="C3118" s="8">
        <f t="array" ref="C3118">PRODUCT(1-'Sparkling Model'!D$2:D$38^A3118)</f>
        <v>0.3199589033</v>
      </c>
    </row>
    <row r="3119">
      <c r="A3119" s="6">
        <v>3117.0</v>
      </c>
      <c r="B3119" s="17">
        <f t="array" ref="B3119">SUM(1-'Sparkling Model'!D$2:D$38^A3119)</f>
        <v>35.95920661</v>
      </c>
      <c r="C3119" s="8">
        <f t="array" ref="C3119">PRODUCT(1-'Sparkling Model'!D$2:D$38^A3119)</f>
        <v>0.3202260105</v>
      </c>
    </row>
    <row r="3120">
      <c r="A3120" s="6">
        <v>3118.0</v>
      </c>
      <c r="B3120" s="17">
        <f t="array" ref="B3120">SUM(1-'Sparkling Model'!D$2:D$38^A3120)</f>
        <v>35.95992953</v>
      </c>
      <c r="C3120" s="8">
        <f t="array" ref="C3120">PRODUCT(1-'Sparkling Model'!D$2:D$38^A3120)</f>
        <v>0.3204930922</v>
      </c>
    </row>
    <row r="3121">
      <c r="A3121" s="6">
        <v>3119.0</v>
      </c>
      <c r="B3121" s="17">
        <f t="array" ref="B3121">SUM(1-'Sparkling Model'!D$2:D$38^A3121)</f>
        <v>35.96065182</v>
      </c>
      <c r="C3121" s="8">
        <f t="array" ref="C3121">PRODUCT(1-'Sparkling Model'!D$2:D$38^A3121)</f>
        <v>0.3207601482</v>
      </c>
    </row>
    <row r="3122">
      <c r="A3122" s="6">
        <v>3120.0</v>
      </c>
      <c r="B3122" s="17">
        <f t="array" ref="B3122">SUM(1-'Sparkling Model'!D$2:D$38^A3122)</f>
        <v>35.96137346</v>
      </c>
      <c r="C3122" s="8">
        <f t="array" ref="C3122">PRODUCT(1-'Sparkling Model'!D$2:D$38^A3122)</f>
        <v>0.3210271784</v>
      </c>
    </row>
    <row r="3123">
      <c r="A3123" s="6">
        <v>3121.0</v>
      </c>
      <c r="B3123" s="17">
        <f t="array" ref="B3123">SUM(1-'Sparkling Model'!D$2:D$38^A3123)</f>
        <v>35.96209447</v>
      </c>
      <c r="C3123" s="8">
        <f t="array" ref="C3123">PRODUCT(1-'Sparkling Model'!D$2:D$38^A3123)</f>
        <v>0.3212941826</v>
      </c>
    </row>
    <row r="3124">
      <c r="A3124" s="6">
        <v>3122.0</v>
      </c>
      <c r="B3124" s="17">
        <f t="array" ref="B3124">SUM(1-'Sparkling Model'!D$2:D$38^A3124)</f>
        <v>35.96281484</v>
      </c>
      <c r="C3124" s="8">
        <f t="array" ref="C3124">PRODUCT(1-'Sparkling Model'!D$2:D$38^A3124)</f>
        <v>0.3215611608</v>
      </c>
    </row>
    <row r="3125">
      <c r="A3125" s="6">
        <v>3123.0</v>
      </c>
      <c r="B3125" s="17">
        <f t="array" ref="B3125">SUM(1-'Sparkling Model'!D$2:D$38^A3125)</f>
        <v>35.96353458</v>
      </c>
      <c r="C3125" s="8">
        <f t="array" ref="C3125">PRODUCT(1-'Sparkling Model'!D$2:D$38^A3125)</f>
        <v>0.3218281127</v>
      </c>
    </row>
    <row r="3126">
      <c r="A3126" s="6">
        <v>3124.0</v>
      </c>
      <c r="B3126" s="17">
        <f t="array" ref="B3126">SUM(1-'Sparkling Model'!D$2:D$38^A3126)</f>
        <v>35.96425368</v>
      </c>
      <c r="C3126" s="8">
        <f t="array" ref="C3126">PRODUCT(1-'Sparkling Model'!D$2:D$38^A3126)</f>
        <v>0.3220950383</v>
      </c>
    </row>
    <row r="3127">
      <c r="A3127" s="6">
        <v>3125.0</v>
      </c>
      <c r="B3127" s="17">
        <f t="array" ref="B3127">SUM(1-'Sparkling Model'!D$2:D$38^A3127)</f>
        <v>35.96497215</v>
      </c>
      <c r="C3127" s="8">
        <f t="array" ref="C3127">PRODUCT(1-'Sparkling Model'!D$2:D$38^A3127)</f>
        <v>0.3223619373</v>
      </c>
    </row>
    <row r="3128">
      <c r="A3128" s="6">
        <v>3126.0</v>
      </c>
      <c r="B3128" s="17">
        <f t="array" ref="B3128">SUM(1-'Sparkling Model'!D$2:D$38^A3128)</f>
        <v>35.96568998</v>
      </c>
      <c r="C3128" s="8">
        <f t="array" ref="C3128">PRODUCT(1-'Sparkling Model'!D$2:D$38^A3128)</f>
        <v>0.3226288098</v>
      </c>
    </row>
    <row r="3129">
      <c r="A3129" s="6">
        <v>3127.0</v>
      </c>
      <c r="B3129" s="17">
        <f t="array" ref="B3129">SUM(1-'Sparkling Model'!D$2:D$38^A3129)</f>
        <v>35.96640718</v>
      </c>
      <c r="C3129" s="8">
        <f t="array" ref="C3129">PRODUCT(1-'Sparkling Model'!D$2:D$38^A3129)</f>
        <v>0.3228956554</v>
      </c>
    </row>
    <row r="3130">
      <c r="A3130" s="6">
        <v>3128.0</v>
      </c>
      <c r="B3130" s="17">
        <f t="array" ref="B3130">SUM(1-'Sparkling Model'!D$2:D$38^A3130)</f>
        <v>35.96712374</v>
      </c>
      <c r="C3130" s="8">
        <f t="array" ref="C3130">PRODUCT(1-'Sparkling Model'!D$2:D$38^A3130)</f>
        <v>0.3231624741</v>
      </c>
    </row>
    <row r="3131">
      <c r="A3131" s="6">
        <v>3129.0</v>
      </c>
      <c r="B3131" s="17">
        <f t="array" ref="B3131">SUM(1-'Sparkling Model'!D$2:D$38^A3131)</f>
        <v>35.96783967</v>
      </c>
      <c r="C3131" s="8">
        <f t="array" ref="C3131">PRODUCT(1-'Sparkling Model'!D$2:D$38^A3131)</f>
        <v>0.3234292658</v>
      </c>
    </row>
    <row r="3132">
      <c r="A3132" s="6">
        <v>3130.0</v>
      </c>
      <c r="B3132" s="17">
        <f t="array" ref="B3132">SUM(1-'Sparkling Model'!D$2:D$38^A3132)</f>
        <v>35.96855498</v>
      </c>
      <c r="C3132" s="8">
        <f t="array" ref="C3132">PRODUCT(1-'Sparkling Model'!D$2:D$38^A3132)</f>
        <v>0.3236960303</v>
      </c>
    </row>
    <row r="3133">
      <c r="A3133" s="6">
        <v>3131.0</v>
      </c>
      <c r="B3133" s="17">
        <f t="array" ref="B3133">SUM(1-'Sparkling Model'!D$2:D$38^A3133)</f>
        <v>35.96926965</v>
      </c>
      <c r="C3133" s="8">
        <f t="array" ref="C3133">PRODUCT(1-'Sparkling Model'!D$2:D$38^A3133)</f>
        <v>0.3239627674</v>
      </c>
    </row>
    <row r="3134">
      <c r="A3134" s="6">
        <v>3132.0</v>
      </c>
      <c r="B3134" s="17">
        <f t="array" ref="B3134">SUM(1-'Sparkling Model'!D$2:D$38^A3134)</f>
        <v>35.96998369</v>
      </c>
      <c r="C3134" s="8">
        <f t="array" ref="C3134">PRODUCT(1-'Sparkling Model'!D$2:D$38^A3134)</f>
        <v>0.324229477</v>
      </c>
    </row>
    <row r="3135">
      <c r="A3135" s="6">
        <v>3133.0</v>
      </c>
      <c r="B3135" s="17">
        <f t="array" ref="B3135">SUM(1-'Sparkling Model'!D$2:D$38^A3135)</f>
        <v>35.97069711</v>
      </c>
      <c r="C3135" s="8">
        <f t="array" ref="C3135">PRODUCT(1-'Sparkling Model'!D$2:D$38^A3135)</f>
        <v>0.3244961591</v>
      </c>
    </row>
    <row r="3136">
      <c r="A3136" s="6">
        <v>3134.0</v>
      </c>
      <c r="B3136" s="17">
        <f t="array" ref="B3136">SUM(1-'Sparkling Model'!D$2:D$38^A3136)</f>
        <v>35.97140989</v>
      </c>
      <c r="C3136" s="8">
        <f t="array" ref="C3136">PRODUCT(1-'Sparkling Model'!D$2:D$38^A3136)</f>
        <v>0.3247628133</v>
      </c>
    </row>
    <row r="3137">
      <c r="A3137" s="6">
        <v>3135.0</v>
      </c>
      <c r="B3137" s="17">
        <f t="array" ref="B3137">SUM(1-'Sparkling Model'!D$2:D$38^A3137)</f>
        <v>35.97212205</v>
      </c>
      <c r="C3137" s="8">
        <f t="array" ref="C3137">PRODUCT(1-'Sparkling Model'!D$2:D$38^A3137)</f>
        <v>0.3250294397</v>
      </c>
    </row>
    <row r="3138">
      <c r="A3138" s="6">
        <v>3136.0</v>
      </c>
      <c r="B3138" s="17">
        <f t="array" ref="B3138">SUM(1-'Sparkling Model'!D$2:D$38^A3138)</f>
        <v>35.97283358</v>
      </c>
      <c r="C3138" s="8">
        <f t="array" ref="C3138">PRODUCT(1-'Sparkling Model'!D$2:D$38^A3138)</f>
        <v>0.3252960381</v>
      </c>
    </row>
    <row r="3139">
      <c r="A3139" s="6">
        <v>3137.0</v>
      </c>
      <c r="B3139" s="17">
        <f t="array" ref="B3139">SUM(1-'Sparkling Model'!D$2:D$38^A3139)</f>
        <v>35.97354448</v>
      </c>
      <c r="C3139" s="8">
        <f t="array" ref="C3139">PRODUCT(1-'Sparkling Model'!D$2:D$38^A3139)</f>
        <v>0.3255626083</v>
      </c>
    </row>
    <row r="3140">
      <c r="A3140" s="6">
        <v>3138.0</v>
      </c>
      <c r="B3140" s="17">
        <f t="array" ref="B3140">SUM(1-'Sparkling Model'!D$2:D$38^A3140)</f>
        <v>35.97425476</v>
      </c>
      <c r="C3140" s="8">
        <f t="array" ref="C3140">PRODUCT(1-'Sparkling Model'!D$2:D$38^A3140)</f>
        <v>0.3258291502</v>
      </c>
    </row>
    <row r="3141">
      <c r="A3141" s="6">
        <v>3139.0</v>
      </c>
      <c r="B3141" s="17">
        <f t="array" ref="B3141">SUM(1-'Sparkling Model'!D$2:D$38^A3141)</f>
        <v>35.97496442</v>
      </c>
      <c r="C3141" s="8">
        <f t="array" ref="C3141">PRODUCT(1-'Sparkling Model'!D$2:D$38^A3141)</f>
        <v>0.3260956637</v>
      </c>
    </row>
    <row r="3142">
      <c r="A3142" s="6">
        <v>3140.0</v>
      </c>
      <c r="B3142" s="17">
        <f t="array" ref="B3142">SUM(1-'Sparkling Model'!D$2:D$38^A3142)</f>
        <v>35.97567345</v>
      </c>
      <c r="C3142" s="8">
        <f t="array" ref="C3142">PRODUCT(1-'Sparkling Model'!D$2:D$38^A3142)</f>
        <v>0.3263621486</v>
      </c>
    </row>
    <row r="3143">
      <c r="A3143" s="6">
        <v>3141.0</v>
      </c>
      <c r="B3143" s="17">
        <f t="array" ref="B3143">SUM(1-'Sparkling Model'!D$2:D$38^A3143)</f>
        <v>35.97638185</v>
      </c>
      <c r="C3143" s="8">
        <f t="array" ref="C3143">PRODUCT(1-'Sparkling Model'!D$2:D$38^A3143)</f>
        <v>0.3266286048</v>
      </c>
    </row>
    <row r="3144">
      <c r="A3144" s="6">
        <v>3142.0</v>
      </c>
      <c r="B3144" s="17">
        <f t="array" ref="B3144">SUM(1-'Sparkling Model'!D$2:D$38^A3144)</f>
        <v>35.97708964</v>
      </c>
      <c r="C3144" s="8">
        <f t="array" ref="C3144">PRODUCT(1-'Sparkling Model'!D$2:D$38^A3144)</f>
        <v>0.3268950321</v>
      </c>
    </row>
    <row r="3145">
      <c r="A3145" s="6">
        <v>3143.0</v>
      </c>
      <c r="B3145" s="17">
        <f t="array" ref="B3145">SUM(1-'Sparkling Model'!D$2:D$38^A3145)</f>
        <v>35.9777968</v>
      </c>
      <c r="C3145" s="8">
        <f t="array" ref="C3145">PRODUCT(1-'Sparkling Model'!D$2:D$38^A3145)</f>
        <v>0.3271614305</v>
      </c>
    </row>
    <row r="3146">
      <c r="A3146" s="6">
        <v>3144.0</v>
      </c>
      <c r="B3146" s="17">
        <f t="array" ref="B3146">SUM(1-'Sparkling Model'!D$2:D$38^A3146)</f>
        <v>35.97850334</v>
      </c>
      <c r="C3146" s="8">
        <f t="array" ref="C3146">PRODUCT(1-'Sparkling Model'!D$2:D$38^A3146)</f>
        <v>0.3274277997</v>
      </c>
    </row>
    <row r="3147">
      <c r="A3147" s="6">
        <v>3145.0</v>
      </c>
      <c r="B3147" s="17">
        <f t="array" ref="B3147">SUM(1-'Sparkling Model'!D$2:D$38^A3147)</f>
        <v>35.97920926</v>
      </c>
      <c r="C3147" s="8">
        <f t="array" ref="C3147">PRODUCT(1-'Sparkling Model'!D$2:D$38^A3147)</f>
        <v>0.3276941397</v>
      </c>
    </row>
    <row r="3148">
      <c r="A3148" s="6">
        <v>3146.0</v>
      </c>
      <c r="B3148" s="17">
        <f t="array" ref="B3148">SUM(1-'Sparkling Model'!D$2:D$38^A3148)</f>
        <v>35.97991456</v>
      </c>
      <c r="C3148" s="8">
        <f t="array" ref="C3148">PRODUCT(1-'Sparkling Model'!D$2:D$38^A3148)</f>
        <v>0.3279604503</v>
      </c>
    </row>
    <row r="3149">
      <c r="A3149" s="6">
        <v>3147.0</v>
      </c>
      <c r="B3149" s="17">
        <f t="array" ref="B3149">SUM(1-'Sparkling Model'!D$2:D$38^A3149)</f>
        <v>35.98061925</v>
      </c>
      <c r="C3149" s="8">
        <f t="array" ref="C3149">PRODUCT(1-'Sparkling Model'!D$2:D$38^A3149)</f>
        <v>0.3282267314</v>
      </c>
    </row>
    <row r="3150">
      <c r="A3150" s="6">
        <v>3148.0</v>
      </c>
      <c r="B3150" s="17">
        <f t="array" ref="B3150">SUM(1-'Sparkling Model'!D$2:D$38^A3150)</f>
        <v>35.98132331</v>
      </c>
      <c r="C3150" s="8">
        <f t="array" ref="C3150">PRODUCT(1-'Sparkling Model'!D$2:D$38^A3150)</f>
        <v>0.3284929829</v>
      </c>
    </row>
    <row r="3151">
      <c r="A3151" s="6">
        <v>3149.0</v>
      </c>
      <c r="B3151" s="17">
        <f t="array" ref="B3151">SUM(1-'Sparkling Model'!D$2:D$38^A3151)</f>
        <v>35.98202676</v>
      </c>
      <c r="C3151" s="8">
        <f t="array" ref="C3151">PRODUCT(1-'Sparkling Model'!D$2:D$38^A3151)</f>
        <v>0.3287592046</v>
      </c>
    </row>
    <row r="3152">
      <c r="A3152" s="6">
        <v>3150.0</v>
      </c>
      <c r="B3152" s="17">
        <f t="array" ref="B3152">SUM(1-'Sparkling Model'!D$2:D$38^A3152)</f>
        <v>35.98272958</v>
      </c>
      <c r="C3152" s="8">
        <f t="array" ref="C3152">PRODUCT(1-'Sparkling Model'!D$2:D$38^A3152)</f>
        <v>0.3290253963</v>
      </c>
    </row>
    <row r="3153">
      <c r="A3153" s="6">
        <v>3151.0</v>
      </c>
      <c r="B3153" s="17">
        <f t="array" ref="B3153">SUM(1-'Sparkling Model'!D$2:D$38^A3153)</f>
        <v>35.9834318</v>
      </c>
      <c r="C3153" s="8">
        <f t="array" ref="C3153">PRODUCT(1-'Sparkling Model'!D$2:D$38^A3153)</f>
        <v>0.329291558</v>
      </c>
    </row>
    <row r="3154">
      <c r="A3154" s="6">
        <v>3152.0</v>
      </c>
      <c r="B3154" s="17">
        <f t="array" ref="B3154">SUM(1-'Sparkling Model'!D$2:D$38^A3154)</f>
        <v>35.98413339</v>
      </c>
      <c r="C3154" s="8">
        <f t="array" ref="C3154">PRODUCT(1-'Sparkling Model'!D$2:D$38^A3154)</f>
        <v>0.3295576895</v>
      </c>
    </row>
    <row r="3155">
      <c r="A3155" s="6">
        <v>3153.0</v>
      </c>
      <c r="B3155" s="17">
        <f t="array" ref="B3155">SUM(1-'Sparkling Model'!D$2:D$38^A3155)</f>
        <v>35.98483438</v>
      </c>
      <c r="C3155" s="8">
        <f t="array" ref="C3155">PRODUCT(1-'Sparkling Model'!D$2:D$38^A3155)</f>
        <v>0.3298237907</v>
      </c>
    </row>
    <row r="3156">
      <c r="A3156" s="6">
        <v>3154.0</v>
      </c>
      <c r="B3156" s="17">
        <f t="array" ref="B3156">SUM(1-'Sparkling Model'!D$2:D$38^A3156)</f>
        <v>35.98553474</v>
      </c>
      <c r="C3156" s="8">
        <f t="array" ref="C3156">PRODUCT(1-'Sparkling Model'!D$2:D$38^A3156)</f>
        <v>0.3300898614</v>
      </c>
    </row>
    <row r="3157">
      <c r="A3157" s="6">
        <v>3155.0</v>
      </c>
      <c r="B3157" s="17">
        <f t="array" ref="B3157">SUM(1-'Sparkling Model'!D$2:D$38^A3157)</f>
        <v>35.9862345</v>
      </c>
      <c r="C3157" s="8">
        <f t="array" ref="C3157">PRODUCT(1-'Sparkling Model'!D$2:D$38^A3157)</f>
        <v>0.3303559016</v>
      </c>
    </row>
    <row r="3158">
      <c r="A3158" s="6">
        <v>3156.0</v>
      </c>
      <c r="B3158" s="17">
        <f t="array" ref="B3158">SUM(1-'Sparkling Model'!D$2:D$38^A3158)</f>
        <v>35.98693364</v>
      </c>
      <c r="C3158" s="8">
        <f t="array" ref="C3158">PRODUCT(1-'Sparkling Model'!D$2:D$38^A3158)</f>
        <v>0.330621911</v>
      </c>
    </row>
    <row r="3159">
      <c r="A3159" s="6">
        <v>3157.0</v>
      </c>
      <c r="B3159" s="17">
        <f t="array" ref="B3159">SUM(1-'Sparkling Model'!D$2:D$38^A3159)</f>
        <v>35.98763217</v>
      </c>
      <c r="C3159" s="8">
        <f t="array" ref="C3159">PRODUCT(1-'Sparkling Model'!D$2:D$38^A3159)</f>
        <v>0.3308878896</v>
      </c>
    </row>
    <row r="3160">
      <c r="A3160" s="6">
        <v>3158.0</v>
      </c>
      <c r="B3160" s="17">
        <f t="array" ref="B3160">SUM(1-'Sparkling Model'!D$2:D$38^A3160)</f>
        <v>35.98833009</v>
      </c>
      <c r="C3160" s="8">
        <f t="array" ref="C3160">PRODUCT(1-'Sparkling Model'!D$2:D$38^A3160)</f>
        <v>0.3311538372</v>
      </c>
    </row>
    <row r="3161">
      <c r="A3161" s="6">
        <v>3159.0</v>
      </c>
      <c r="B3161" s="17">
        <f t="array" ref="B3161">SUM(1-'Sparkling Model'!D$2:D$38^A3161)</f>
        <v>35.9890274</v>
      </c>
      <c r="C3161" s="8">
        <f t="array" ref="C3161">PRODUCT(1-'Sparkling Model'!D$2:D$38^A3161)</f>
        <v>0.3314197537</v>
      </c>
    </row>
    <row r="3162">
      <c r="A3162" s="6">
        <v>3160.0</v>
      </c>
      <c r="B3162" s="17">
        <f t="array" ref="B3162">SUM(1-'Sparkling Model'!D$2:D$38^A3162)</f>
        <v>35.9897241</v>
      </c>
      <c r="C3162" s="8">
        <f t="array" ref="C3162">PRODUCT(1-'Sparkling Model'!D$2:D$38^A3162)</f>
        <v>0.331685639</v>
      </c>
    </row>
    <row r="3163">
      <c r="A3163" s="6">
        <v>3161.0</v>
      </c>
      <c r="B3163" s="17">
        <f t="array" ref="B3163">SUM(1-'Sparkling Model'!D$2:D$38^A3163)</f>
        <v>35.99042018</v>
      </c>
      <c r="C3163" s="8">
        <f t="array" ref="C3163">PRODUCT(1-'Sparkling Model'!D$2:D$38^A3163)</f>
        <v>0.3319514929</v>
      </c>
    </row>
    <row r="3164">
      <c r="A3164" s="6">
        <v>3162.0</v>
      </c>
      <c r="B3164" s="17">
        <f t="array" ref="B3164">SUM(1-'Sparkling Model'!D$2:D$38^A3164)</f>
        <v>35.99111566</v>
      </c>
      <c r="C3164" s="8">
        <f t="array" ref="C3164">PRODUCT(1-'Sparkling Model'!D$2:D$38^A3164)</f>
        <v>0.3322173153</v>
      </c>
    </row>
    <row r="3165">
      <c r="A3165" s="6">
        <v>3163.0</v>
      </c>
      <c r="B3165" s="17">
        <f t="array" ref="B3165">SUM(1-'Sparkling Model'!D$2:D$38^A3165)</f>
        <v>35.99181054</v>
      </c>
      <c r="C3165" s="8">
        <f t="array" ref="C3165">PRODUCT(1-'Sparkling Model'!D$2:D$38^A3165)</f>
        <v>0.332483106</v>
      </c>
    </row>
    <row r="3166">
      <c r="A3166" s="6">
        <v>3164.0</v>
      </c>
      <c r="B3166" s="17">
        <f t="array" ref="B3166">SUM(1-'Sparkling Model'!D$2:D$38^A3166)</f>
        <v>35.9925048</v>
      </c>
      <c r="C3166" s="8">
        <f t="array" ref="C3166">PRODUCT(1-'Sparkling Model'!D$2:D$38^A3166)</f>
        <v>0.332748865</v>
      </c>
    </row>
    <row r="3167">
      <c r="A3167" s="6">
        <v>3165.0</v>
      </c>
      <c r="B3167" s="17">
        <f t="array" ref="B3167">SUM(1-'Sparkling Model'!D$2:D$38^A3167)</f>
        <v>35.99319846</v>
      </c>
      <c r="C3167" s="8">
        <f t="array" ref="C3167">PRODUCT(1-'Sparkling Model'!D$2:D$38^A3167)</f>
        <v>0.3330145921</v>
      </c>
    </row>
    <row r="3168">
      <c r="A3168" s="6">
        <v>3166.0</v>
      </c>
      <c r="B3168" s="17">
        <f t="array" ref="B3168">SUM(1-'Sparkling Model'!D$2:D$38^A3168)</f>
        <v>35.99389151</v>
      </c>
      <c r="C3168" s="8">
        <f t="array" ref="C3168">PRODUCT(1-'Sparkling Model'!D$2:D$38^A3168)</f>
        <v>0.3332802872</v>
      </c>
    </row>
    <row r="3169">
      <c r="A3169" s="6">
        <v>3167.0</v>
      </c>
      <c r="B3169" s="17">
        <f t="array" ref="B3169">SUM(1-'Sparkling Model'!D$2:D$38^A3169)</f>
        <v>35.99458396</v>
      </c>
      <c r="C3169" s="8">
        <f t="array" ref="C3169">PRODUCT(1-'Sparkling Model'!D$2:D$38^A3169)</f>
        <v>0.3335459501</v>
      </c>
    </row>
    <row r="3170">
      <c r="A3170" s="6">
        <v>3168.0</v>
      </c>
      <c r="B3170" s="17">
        <f t="array" ref="B3170">SUM(1-'Sparkling Model'!D$2:D$38^A3170)</f>
        <v>35.9952758</v>
      </c>
      <c r="C3170" s="8">
        <f t="array" ref="C3170">PRODUCT(1-'Sparkling Model'!D$2:D$38^A3170)</f>
        <v>0.3338115807</v>
      </c>
    </row>
    <row r="3171">
      <c r="A3171" s="6">
        <v>3169.0</v>
      </c>
      <c r="B3171" s="17">
        <f t="array" ref="B3171">SUM(1-'Sparkling Model'!D$2:D$38^A3171)</f>
        <v>35.99596704</v>
      </c>
      <c r="C3171" s="8">
        <f t="array" ref="C3171">PRODUCT(1-'Sparkling Model'!D$2:D$38^A3171)</f>
        <v>0.334077179</v>
      </c>
    </row>
    <row r="3172">
      <c r="A3172" s="6">
        <v>3170.0</v>
      </c>
      <c r="B3172" s="17">
        <f t="array" ref="B3172">SUM(1-'Sparkling Model'!D$2:D$38^A3172)</f>
        <v>35.99665767</v>
      </c>
      <c r="C3172" s="8">
        <f t="array" ref="C3172">PRODUCT(1-'Sparkling Model'!D$2:D$38^A3172)</f>
        <v>0.3343427446</v>
      </c>
    </row>
    <row r="3173">
      <c r="A3173" s="6">
        <v>3171.0</v>
      </c>
      <c r="B3173" s="17">
        <f t="array" ref="B3173">SUM(1-'Sparkling Model'!D$2:D$38^A3173)</f>
        <v>35.99734771</v>
      </c>
      <c r="C3173" s="8">
        <f t="array" ref="C3173">PRODUCT(1-'Sparkling Model'!D$2:D$38^A3173)</f>
        <v>0.3346082777</v>
      </c>
    </row>
    <row r="3174">
      <c r="A3174" s="6">
        <v>3172.0</v>
      </c>
      <c r="B3174" s="17">
        <f t="array" ref="B3174">SUM(1-'Sparkling Model'!D$2:D$38^A3174)</f>
        <v>35.99803714</v>
      </c>
      <c r="C3174" s="8">
        <f t="array" ref="C3174">PRODUCT(1-'Sparkling Model'!D$2:D$38^A3174)</f>
        <v>0.3348737779</v>
      </c>
    </row>
    <row r="3175">
      <c r="A3175" s="6">
        <v>3173.0</v>
      </c>
      <c r="B3175" s="17">
        <f t="array" ref="B3175">SUM(1-'Sparkling Model'!D$2:D$38^A3175)</f>
        <v>35.99872597</v>
      </c>
      <c r="C3175" s="8">
        <f t="array" ref="C3175">PRODUCT(1-'Sparkling Model'!D$2:D$38^A3175)</f>
        <v>0.3351392452</v>
      </c>
    </row>
    <row r="3176">
      <c r="A3176" s="6">
        <v>3174.0</v>
      </c>
      <c r="B3176" s="17">
        <f t="array" ref="B3176">SUM(1-'Sparkling Model'!D$2:D$38^A3176)</f>
        <v>35.9994142</v>
      </c>
      <c r="C3176" s="8">
        <f t="array" ref="C3176">PRODUCT(1-'Sparkling Model'!D$2:D$38^A3176)</f>
        <v>0.3354046794</v>
      </c>
    </row>
    <row r="3177">
      <c r="A3177" s="6">
        <v>3175.0</v>
      </c>
      <c r="B3177" s="17">
        <f t="array" ref="B3177">SUM(1-'Sparkling Model'!D$2:D$38^A3177)</f>
        <v>36.00010183</v>
      </c>
      <c r="C3177" s="8">
        <f t="array" ref="C3177">PRODUCT(1-'Sparkling Model'!D$2:D$38^A3177)</f>
        <v>0.3356700805</v>
      </c>
    </row>
    <row r="3178">
      <c r="A3178" s="6">
        <v>3176.0</v>
      </c>
      <c r="B3178" s="17">
        <f t="array" ref="B3178">SUM(1-'Sparkling Model'!D$2:D$38^A3178)</f>
        <v>36.00078886</v>
      </c>
      <c r="C3178" s="8">
        <f t="array" ref="C3178">PRODUCT(1-'Sparkling Model'!D$2:D$38^A3178)</f>
        <v>0.3359354482</v>
      </c>
    </row>
    <row r="3179">
      <c r="A3179" s="6">
        <v>3177.0</v>
      </c>
      <c r="B3179" s="17">
        <f t="array" ref="B3179">SUM(1-'Sparkling Model'!D$2:D$38^A3179)</f>
        <v>36.00147529</v>
      </c>
      <c r="C3179" s="8">
        <f t="array" ref="C3179">PRODUCT(1-'Sparkling Model'!D$2:D$38^A3179)</f>
        <v>0.3362007825</v>
      </c>
    </row>
    <row r="3180">
      <c r="A3180" s="6">
        <v>3178.0</v>
      </c>
      <c r="B3180" s="17">
        <f t="array" ref="B3180">SUM(1-'Sparkling Model'!D$2:D$38^A3180)</f>
        <v>36.00216113</v>
      </c>
      <c r="C3180" s="8">
        <f t="array" ref="C3180">PRODUCT(1-'Sparkling Model'!D$2:D$38^A3180)</f>
        <v>0.3364660833</v>
      </c>
    </row>
    <row r="3181">
      <c r="A3181" s="6">
        <v>3179.0</v>
      </c>
      <c r="B3181" s="17">
        <f t="array" ref="B3181">SUM(1-'Sparkling Model'!D$2:D$38^A3181)</f>
        <v>36.00284637</v>
      </c>
      <c r="C3181" s="8">
        <f t="array" ref="C3181">PRODUCT(1-'Sparkling Model'!D$2:D$38^A3181)</f>
        <v>0.3367313504</v>
      </c>
    </row>
    <row r="3182">
      <c r="A3182" s="6">
        <v>3180.0</v>
      </c>
      <c r="B3182" s="17">
        <f t="array" ref="B3182">SUM(1-'Sparkling Model'!D$2:D$38^A3182)</f>
        <v>36.00353101</v>
      </c>
      <c r="C3182" s="8">
        <f t="array" ref="C3182">PRODUCT(1-'Sparkling Model'!D$2:D$38^A3182)</f>
        <v>0.3369965836</v>
      </c>
    </row>
    <row r="3183">
      <c r="A3183" s="6">
        <v>3181.0</v>
      </c>
      <c r="B3183" s="17">
        <f t="array" ref="B3183">SUM(1-'Sparkling Model'!D$2:D$38^A3183)</f>
        <v>36.00421505</v>
      </c>
      <c r="C3183" s="8">
        <f t="array" ref="C3183">PRODUCT(1-'Sparkling Model'!D$2:D$38^A3183)</f>
        <v>0.337261783</v>
      </c>
    </row>
    <row r="3184">
      <c r="A3184" s="6">
        <v>3182.0</v>
      </c>
      <c r="B3184" s="17">
        <f t="array" ref="B3184">SUM(1-'Sparkling Model'!D$2:D$38^A3184)</f>
        <v>36.0048985</v>
      </c>
      <c r="C3184" s="8">
        <f t="array" ref="C3184">PRODUCT(1-'Sparkling Model'!D$2:D$38^A3184)</f>
        <v>0.3375269482</v>
      </c>
    </row>
    <row r="3185">
      <c r="A3185" s="6">
        <v>3183.0</v>
      </c>
      <c r="B3185" s="17">
        <f t="array" ref="B3185">SUM(1-'Sparkling Model'!D$2:D$38^A3185)</f>
        <v>36.00558136</v>
      </c>
      <c r="C3185" s="8">
        <f t="array" ref="C3185">PRODUCT(1-'Sparkling Model'!D$2:D$38^A3185)</f>
        <v>0.3377920793</v>
      </c>
    </row>
    <row r="3186">
      <c r="A3186" s="6">
        <v>3184.0</v>
      </c>
      <c r="B3186" s="17">
        <f t="array" ref="B3186">SUM(1-'Sparkling Model'!D$2:D$38^A3186)</f>
        <v>36.00626362</v>
      </c>
      <c r="C3186" s="8">
        <f t="array" ref="C3186">PRODUCT(1-'Sparkling Model'!D$2:D$38^A3186)</f>
        <v>0.338057176</v>
      </c>
    </row>
    <row r="3187">
      <c r="A3187" s="6">
        <v>3185.0</v>
      </c>
      <c r="B3187" s="17">
        <f t="array" ref="B3187">SUM(1-'Sparkling Model'!D$2:D$38^A3187)</f>
        <v>36.00694529</v>
      </c>
      <c r="C3187" s="8">
        <f t="array" ref="C3187">PRODUCT(1-'Sparkling Model'!D$2:D$38^A3187)</f>
        <v>0.3383222383</v>
      </c>
    </row>
    <row r="3188">
      <c r="A3188" s="6">
        <v>3186.0</v>
      </c>
      <c r="B3188" s="17">
        <f t="array" ref="B3188">SUM(1-'Sparkling Model'!D$2:D$38^A3188)</f>
        <v>36.00762637</v>
      </c>
      <c r="C3188" s="8">
        <f t="array" ref="C3188">PRODUCT(1-'Sparkling Model'!D$2:D$38^A3188)</f>
        <v>0.338587266</v>
      </c>
    </row>
    <row r="3189">
      <c r="A3189" s="6">
        <v>3187.0</v>
      </c>
      <c r="B3189" s="17">
        <f t="array" ref="B3189">SUM(1-'Sparkling Model'!D$2:D$38^A3189)</f>
        <v>36.00830686</v>
      </c>
      <c r="C3189" s="8">
        <f t="array" ref="C3189">PRODUCT(1-'Sparkling Model'!D$2:D$38^A3189)</f>
        <v>0.3388522591</v>
      </c>
    </row>
    <row r="3190">
      <c r="A3190" s="6">
        <v>3188.0</v>
      </c>
      <c r="B3190" s="17">
        <f t="array" ref="B3190">SUM(1-'Sparkling Model'!D$2:D$38^A3190)</f>
        <v>36.00898675</v>
      </c>
      <c r="C3190" s="8">
        <f t="array" ref="C3190">PRODUCT(1-'Sparkling Model'!D$2:D$38^A3190)</f>
        <v>0.3391172173</v>
      </c>
    </row>
    <row r="3191">
      <c r="A3191" s="6">
        <v>3189.0</v>
      </c>
      <c r="B3191" s="17">
        <f t="array" ref="B3191">SUM(1-'Sparkling Model'!D$2:D$38^A3191)</f>
        <v>36.00966605</v>
      </c>
      <c r="C3191" s="8">
        <f t="array" ref="C3191">PRODUCT(1-'Sparkling Model'!D$2:D$38^A3191)</f>
        <v>0.3393821406</v>
      </c>
    </row>
    <row r="3192">
      <c r="A3192" s="6">
        <v>3190.0</v>
      </c>
      <c r="B3192" s="17">
        <f t="array" ref="B3192">SUM(1-'Sparkling Model'!D$2:D$38^A3192)</f>
        <v>36.01034477</v>
      </c>
      <c r="C3192" s="8">
        <f t="array" ref="C3192">PRODUCT(1-'Sparkling Model'!D$2:D$38^A3192)</f>
        <v>0.3396470288</v>
      </c>
    </row>
    <row r="3193">
      <c r="A3193" s="6">
        <v>3191.0</v>
      </c>
      <c r="B3193" s="17">
        <f t="array" ref="B3193">SUM(1-'Sparkling Model'!D$2:D$38^A3193)</f>
        <v>36.01102289</v>
      </c>
      <c r="C3193" s="8">
        <f t="array" ref="C3193">PRODUCT(1-'Sparkling Model'!D$2:D$38^A3193)</f>
        <v>0.3399118819</v>
      </c>
    </row>
    <row r="3194">
      <c r="A3194" s="6">
        <v>3192.0</v>
      </c>
      <c r="B3194" s="17">
        <f t="array" ref="B3194">SUM(1-'Sparkling Model'!D$2:D$38^A3194)</f>
        <v>36.01170043</v>
      </c>
      <c r="C3194" s="8">
        <f t="array" ref="C3194">PRODUCT(1-'Sparkling Model'!D$2:D$38^A3194)</f>
        <v>0.3401766996</v>
      </c>
    </row>
    <row r="3195">
      <c r="A3195" s="6">
        <v>3193.0</v>
      </c>
      <c r="B3195" s="17">
        <f t="array" ref="B3195">SUM(1-'Sparkling Model'!D$2:D$38^A3195)</f>
        <v>36.01237738</v>
      </c>
      <c r="C3195" s="8">
        <f t="array" ref="C3195">PRODUCT(1-'Sparkling Model'!D$2:D$38^A3195)</f>
        <v>0.3404414819</v>
      </c>
    </row>
    <row r="3196">
      <c r="A3196" s="6">
        <v>3194.0</v>
      </c>
      <c r="B3196" s="17">
        <f t="array" ref="B3196">SUM(1-'Sparkling Model'!D$2:D$38^A3196)</f>
        <v>36.01305374</v>
      </c>
      <c r="C3196" s="8">
        <f t="array" ref="C3196">PRODUCT(1-'Sparkling Model'!D$2:D$38^A3196)</f>
        <v>0.3407062286</v>
      </c>
    </row>
    <row r="3197">
      <c r="A3197" s="6">
        <v>3195.0</v>
      </c>
      <c r="B3197" s="17">
        <f t="array" ref="B3197">SUM(1-'Sparkling Model'!D$2:D$38^A3197)</f>
        <v>36.01372952</v>
      </c>
      <c r="C3197" s="8">
        <f t="array" ref="C3197">PRODUCT(1-'Sparkling Model'!D$2:D$38^A3197)</f>
        <v>0.3409709397</v>
      </c>
    </row>
    <row r="3198">
      <c r="A3198" s="6">
        <v>3196.0</v>
      </c>
      <c r="B3198" s="17">
        <f t="array" ref="B3198">SUM(1-'Sparkling Model'!D$2:D$38^A3198)</f>
        <v>36.01440471</v>
      </c>
      <c r="C3198" s="8">
        <f t="array" ref="C3198">PRODUCT(1-'Sparkling Model'!D$2:D$38^A3198)</f>
        <v>0.3412356149</v>
      </c>
    </row>
    <row r="3199">
      <c r="A3199" s="6">
        <v>3197.0</v>
      </c>
      <c r="B3199" s="17">
        <f t="array" ref="B3199">SUM(1-'Sparkling Model'!D$2:D$38^A3199)</f>
        <v>36.01507932</v>
      </c>
      <c r="C3199" s="8">
        <f t="array" ref="C3199">PRODUCT(1-'Sparkling Model'!D$2:D$38^A3199)</f>
        <v>0.3415002542</v>
      </c>
    </row>
    <row r="3200">
      <c r="A3200" s="6">
        <v>3198.0</v>
      </c>
      <c r="B3200" s="17">
        <f t="array" ref="B3200">SUM(1-'Sparkling Model'!D$2:D$38^A3200)</f>
        <v>36.01575334</v>
      </c>
      <c r="C3200" s="8">
        <f t="array" ref="C3200">PRODUCT(1-'Sparkling Model'!D$2:D$38^A3200)</f>
        <v>0.3417648575</v>
      </c>
    </row>
    <row r="3201">
      <c r="A3201" s="6">
        <v>3199.0</v>
      </c>
      <c r="B3201" s="17">
        <f t="array" ref="B3201">SUM(1-'Sparkling Model'!D$2:D$38^A3201)</f>
        <v>36.01642677</v>
      </c>
      <c r="C3201" s="8">
        <f t="array" ref="C3201">PRODUCT(1-'Sparkling Model'!D$2:D$38^A3201)</f>
        <v>0.3420294246</v>
      </c>
    </row>
    <row r="3202">
      <c r="A3202" s="6">
        <v>3200.0</v>
      </c>
      <c r="B3202" s="17">
        <f t="array" ref="B3202">SUM(1-'Sparkling Model'!D$2:D$38^A3202)</f>
        <v>36.01709963</v>
      </c>
      <c r="C3202" s="8">
        <f t="array" ref="C3202">PRODUCT(1-'Sparkling Model'!D$2:D$38^A3202)</f>
        <v>0.3422939554</v>
      </c>
    </row>
    <row r="3203">
      <c r="A3203" s="6">
        <v>3201.0</v>
      </c>
      <c r="B3203" s="17">
        <f t="array" ref="B3203">SUM(1-'Sparkling Model'!D$2:D$38^A3203)</f>
        <v>36.0177719</v>
      </c>
      <c r="C3203" s="8">
        <f t="array" ref="C3203">PRODUCT(1-'Sparkling Model'!D$2:D$38^A3203)</f>
        <v>0.3425584499</v>
      </c>
    </row>
    <row r="3204">
      <c r="A3204" s="6">
        <v>3202.0</v>
      </c>
      <c r="B3204" s="17">
        <f t="array" ref="B3204">SUM(1-'Sparkling Model'!D$2:D$38^A3204)</f>
        <v>36.01844359</v>
      </c>
      <c r="C3204" s="8">
        <f t="array" ref="C3204">PRODUCT(1-'Sparkling Model'!D$2:D$38^A3204)</f>
        <v>0.3428229077</v>
      </c>
    </row>
    <row r="3205">
      <c r="A3205" s="6">
        <v>3203.0</v>
      </c>
      <c r="B3205" s="17">
        <f t="array" ref="B3205">SUM(1-'Sparkling Model'!D$2:D$38^A3205)</f>
        <v>36.0191147</v>
      </c>
      <c r="C3205" s="8">
        <f t="array" ref="C3205">PRODUCT(1-'Sparkling Model'!D$2:D$38^A3205)</f>
        <v>0.343087329</v>
      </c>
    </row>
    <row r="3206">
      <c r="A3206" s="6">
        <v>3204.0</v>
      </c>
      <c r="B3206" s="17">
        <f t="array" ref="B3206">SUM(1-'Sparkling Model'!D$2:D$38^A3206)</f>
        <v>36.01978522</v>
      </c>
      <c r="C3206" s="8">
        <f t="array" ref="C3206">PRODUCT(1-'Sparkling Model'!D$2:D$38^A3206)</f>
        <v>0.3433517134</v>
      </c>
    </row>
    <row r="3207">
      <c r="A3207" s="6">
        <v>3205.0</v>
      </c>
      <c r="B3207" s="17">
        <f t="array" ref="B3207">SUM(1-'Sparkling Model'!D$2:D$38^A3207)</f>
        <v>36.02045517</v>
      </c>
      <c r="C3207" s="8">
        <f t="array" ref="C3207">PRODUCT(1-'Sparkling Model'!D$2:D$38^A3207)</f>
        <v>0.343616061</v>
      </c>
    </row>
    <row r="3208">
      <c r="A3208" s="6">
        <v>3206.0</v>
      </c>
      <c r="B3208" s="17">
        <f t="array" ref="B3208">SUM(1-'Sparkling Model'!D$2:D$38^A3208)</f>
        <v>36.02112454</v>
      </c>
      <c r="C3208" s="8">
        <f t="array" ref="C3208">PRODUCT(1-'Sparkling Model'!D$2:D$38^A3208)</f>
        <v>0.3438803715</v>
      </c>
    </row>
    <row r="3209">
      <c r="A3209" s="6">
        <v>3207.0</v>
      </c>
      <c r="B3209" s="17">
        <f t="array" ref="B3209">SUM(1-'Sparkling Model'!D$2:D$38^A3209)</f>
        <v>36.02179333</v>
      </c>
      <c r="C3209" s="8">
        <f t="array" ref="C3209">PRODUCT(1-'Sparkling Model'!D$2:D$38^A3209)</f>
        <v>0.3441446449</v>
      </c>
    </row>
    <row r="3210">
      <c r="A3210" s="6">
        <v>3208.0</v>
      </c>
      <c r="B3210" s="17">
        <f t="array" ref="B3210">SUM(1-'Sparkling Model'!D$2:D$38^A3210)</f>
        <v>36.02246154</v>
      </c>
      <c r="C3210" s="8">
        <f t="array" ref="C3210">PRODUCT(1-'Sparkling Model'!D$2:D$38^A3210)</f>
        <v>0.3444088811</v>
      </c>
    </row>
    <row r="3211">
      <c r="A3211" s="6">
        <v>3209.0</v>
      </c>
      <c r="B3211" s="17">
        <f t="array" ref="B3211">SUM(1-'Sparkling Model'!D$2:D$38^A3211)</f>
        <v>36.02312918</v>
      </c>
      <c r="C3211" s="8">
        <f t="array" ref="C3211">PRODUCT(1-'Sparkling Model'!D$2:D$38^A3211)</f>
        <v>0.3446730798</v>
      </c>
    </row>
    <row r="3212">
      <c r="A3212" s="6">
        <v>3210.0</v>
      </c>
      <c r="B3212" s="17">
        <f t="array" ref="B3212">SUM(1-'Sparkling Model'!D$2:D$38^A3212)</f>
        <v>36.02379624</v>
      </c>
      <c r="C3212" s="8">
        <f t="array" ref="C3212">PRODUCT(1-'Sparkling Model'!D$2:D$38^A3212)</f>
        <v>0.3449372411</v>
      </c>
    </row>
    <row r="3213">
      <c r="A3213" s="6">
        <v>3211.0</v>
      </c>
      <c r="B3213" s="17">
        <f t="array" ref="B3213">SUM(1-'Sparkling Model'!D$2:D$38^A3213)</f>
        <v>36.02446272</v>
      </c>
      <c r="C3213" s="8">
        <f t="array" ref="C3213">PRODUCT(1-'Sparkling Model'!D$2:D$38^A3213)</f>
        <v>0.3452013648</v>
      </c>
    </row>
    <row r="3214">
      <c r="A3214" s="6">
        <v>3212.0</v>
      </c>
      <c r="B3214" s="17">
        <f t="array" ref="B3214">SUM(1-'Sparkling Model'!D$2:D$38^A3214)</f>
        <v>36.02512863</v>
      </c>
      <c r="C3214" s="8">
        <f t="array" ref="C3214">PRODUCT(1-'Sparkling Model'!D$2:D$38^A3214)</f>
        <v>0.3454654507</v>
      </c>
    </row>
    <row r="3215">
      <c r="A3215" s="6">
        <v>3213.0</v>
      </c>
      <c r="B3215" s="17">
        <f t="array" ref="B3215">SUM(1-'Sparkling Model'!D$2:D$38^A3215)</f>
        <v>36.02579396</v>
      </c>
      <c r="C3215" s="8">
        <f t="array" ref="C3215">PRODUCT(1-'Sparkling Model'!D$2:D$38^A3215)</f>
        <v>0.3457294988</v>
      </c>
    </row>
    <row r="3216">
      <c r="A3216" s="6">
        <v>3214.0</v>
      </c>
      <c r="B3216" s="17">
        <f t="array" ref="B3216">SUM(1-'Sparkling Model'!D$2:D$38^A3216)</f>
        <v>36.02645872</v>
      </c>
      <c r="C3216" s="8">
        <f t="array" ref="C3216">PRODUCT(1-'Sparkling Model'!D$2:D$38^A3216)</f>
        <v>0.345993509</v>
      </c>
    </row>
    <row r="3217">
      <c r="A3217" s="6">
        <v>3215.0</v>
      </c>
      <c r="B3217" s="17">
        <f t="array" ref="B3217">SUM(1-'Sparkling Model'!D$2:D$38^A3217)</f>
        <v>36.0271229</v>
      </c>
      <c r="C3217" s="8">
        <f t="array" ref="C3217">PRODUCT(1-'Sparkling Model'!D$2:D$38^A3217)</f>
        <v>0.346257481</v>
      </c>
    </row>
    <row r="3218">
      <c r="A3218" s="6">
        <v>3216.0</v>
      </c>
      <c r="B3218" s="17">
        <f t="array" ref="B3218">SUM(1-'Sparkling Model'!D$2:D$38^A3218)</f>
        <v>36.02778651</v>
      </c>
      <c r="C3218" s="8">
        <f t="array" ref="C3218">PRODUCT(1-'Sparkling Model'!D$2:D$38^A3218)</f>
        <v>0.3465214148</v>
      </c>
    </row>
    <row r="3219">
      <c r="A3219" s="6">
        <v>3217.0</v>
      </c>
      <c r="B3219" s="17">
        <f t="array" ref="B3219">SUM(1-'Sparkling Model'!D$2:D$38^A3219)</f>
        <v>36.02844955</v>
      </c>
      <c r="C3219" s="8">
        <f t="array" ref="C3219">PRODUCT(1-'Sparkling Model'!D$2:D$38^A3219)</f>
        <v>0.3467853104</v>
      </c>
    </row>
    <row r="3220">
      <c r="A3220" s="6">
        <v>3218.0</v>
      </c>
      <c r="B3220" s="17">
        <f t="array" ref="B3220">SUM(1-'Sparkling Model'!D$2:D$38^A3220)</f>
        <v>36.02911202</v>
      </c>
      <c r="C3220" s="8">
        <f t="array" ref="C3220">PRODUCT(1-'Sparkling Model'!D$2:D$38^A3220)</f>
        <v>0.3470491674</v>
      </c>
    </row>
    <row r="3221">
      <c r="A3221" s="6">
        <v>3219.0</v>
      </c>
      <c r="B3221" s="17">
        <f t="array" ref="B3221">SUM(1-'Sparkling Model'!D$2:D$38^A3221)</f>
        <v>36.02977392</v>
      </c>
      <c r="C3221" s="8">
        <f t="array" ref="C3221">PRODUCT(1-'Sparkling Model'!D$2:D$38^A3221)</f>
        <v>0.347312986</v>
      </c>
    </row>
    <row r="3222">
      <c r="A3222" s="6">
        <v>3220.0</v>
      </c>
      <c r="B3222" s="17">
        <f t="array" ref="B3222">SUM(1-'Sparkling Model'!D$2:D$38^A3222)</f>
        <v>36.03043525</v>
      </c>
      <c r="C3222" s="8">
        <f t="array" ref="C3222">PRODUCT(1-'Sparkling Model'!D$2:D$38^A3222)</f>
        <v>0.3475767658</v>
      </c>
    </row>
    <row r="3223">
      <c r="A3223" s="6">
        <v>3221.0</v>
      </c>
      <c r="B3223" s="17">
        <f t="array" ref="B3223">SUM(1-'Sparkling Model'!D$2:D$38^A3223)</f>
        <v>36.03109601</v>
      </c>
      <c r="C3223" s="8">
        <f t="array" ref="C3223">PRODUCT(1-'Sparkling Model'!D$2:D$38^A3223)</f>
        <v>0.3478405069</v>
      </c>
    </row>
    <row r="3224">
      <c r="A3224" s="6">
        <v>3222.0</v>
      </c>
      <c r="B3224" s="17">
        <f t="array" ref="B3224">SUM(1-'Sparkling Model'!D$2:D$38^A3224)</f>
        <v>36.0317562</v>
      </c>
      <c r="C3224" s="8">
        <f t="array" ref="C3224">PRODUCT(1-'Sparkling Model'!D$2:D$38^A3224)</f>
        <v>0.348104209</v>
      </c>
    </row>
    <row r="3225">
      <c r="A3225" s="6">
        <v>3223.0</v>
      </c>
      <c r="B3225" s="17">
        <f t="array" ref="B3225">SUM(1-'Sparkling Model'!D$2:D$38^A3225)</f>
        <v>36.03241582</v>
      </c>
      <c r="C3225" s="8">
        <f t="array" ref="C3225">PRODUCT(1-'Sparkling Model'!D$2:D$38^A3225)</f>
        <v>0.3483678722</v>
      </c>
    </row>
    <row r="3226">
      <c r="A3226" s="6">
        <v>3224.0</v>
      </c>
      <c r="B3226" s="17">
        <f t="array" ref="B3226">SUM(1-'Sparkling Model'!D$2:D$38^A3226)</f>
        <v>36.03307487</v>
      </c>
      <c r="C3226" s="8">
        <f t="array" ref="C3226">PRODUCT(1-'Sparkling Model'!D$2:D$38^A3226)</f>
        <v>0.3486314962</v>
      </c>
    </row>
    <row r="3227">
      <c r="A3227" s="6">
        <v>3225.0</v>
      </c>
      <c r="B3227" s="17">
        <f t="array" ref="B3227">SUM(1-'Sparkling Model'!D$2:D$38^A3227)</f>
        <v>36.03373335</v>
      </c>
      <c r="C3227" s="8">
        <f t="array" ref="C3227">PRODUCT(1-'Sparkling Model'!D$2:D$38^A3227)</f>
        <v>0.3488950809</v>
      </c>
    </row>
    <row r="3228">
      <c r="A3228" s="6">
        <v>3226.0</v>
      </c>
      <c r="B3228" s="17">
        <f t="array" ref="B3228">SUM(1-'Sparkling Model'!D$2:D$38^A3228)</f>
        <v>36.03439127</v>
      </c>
      <c r="C3228" s="8">
        <f t="array" ref="C3228">PRODUCT(1-'Sparkling Model'!D$2:D$38^A3228)</f>
        <v>0.3491586263</v>
      </c>
    </row>
    <row r="3229">
      <c r="A3229" s="6">
        <v>3227.0</v>
      </c>
      <c r="B3229" s="17">
        <f t="array" ref="B3229">SUM(1-'Sparkling Model'!D$2:D$38^A3229)</f>
        <v>36.03504863</v>
      </c>
      <c r="C3229" s="8">
        <f t="array" ref="C3229">PRODUCT(1-'Sparkling Model'!D$2:D$38^A3229)</f>
        <v>0.3494221322</v>
      </c>
    </row>
    <row r="3230">
      <c r="A3230" s="6">
        <v>3228.0</v>
      </c>
      <c r="B3230" s="17">
        <f t="array" ref="B3230">SUM(1-'Sparkling Model'!D$2:D$38^A3230)</f>
        <v>36.03570542</v>
      </c>
      <c r="C3230" s="8">
        <f t="array" ref="C3230">PRODUCT(1-'Sparkling Model'!D$2:D$38^A3230)</f>
        <v>0.3496855985</v>
      </c>
    </row>
    <row r="3231">
      <c r="A3231" s="6">
        <v>3229.0</v>
      </c>
      <c r="B3231" s="17">
        <f t="array" ref="B3231">SUM(1-'Sparkling Model'!D$2:D$38^A3231)</f>
        <v>36.03636164</v>
      </c>
      <c r="C3231" s="8">
        <f t="array" ref="C3231">PRODUCT(1-'Sparkling Model'!D$2:D$38^A3231)</f>
        <v>0.3499490251</v>
      </c>
    </row>
    <row r="3232">
      <c r="A3232" s="6">
        <v>3230.0</v>
      </c>
      <c r="B3232" s="17">
        <f t="array" ref="B3232">SUM(1-'Sparkling Model'!D$2:D$38^A3232)</f>
        <v>36.0370173</v>
      </c>
      <c r="C3232" s="8">
        <f t="array" ref="C3232">PRODUCT(1-'Sparkling Model'!D$2:D$38^A3232)</f>
        <v>0.3502124118</v>
      </c>
    </row>
    <row r="3233">
      <c r="A3233" s="6">
        <v>3231.0</v>
      </c>
      <c r="B3233" s="17">
        <f t="array" ref="B3233">SUM(1-'Sparkling Model'!D$2:D$38^A3233)</f>
        <v>36.0376724</v>
      </c>
      <c r="C3233" s="8">
        <f t="array" ref="C3233">PRODUCT(1-'Sparkling Model'!D$2:D$38^A3233)</f>
        <v>0.3504757586</v>
      </c>
    </row>
    <row r="3234">
      <c r="A3234" s="6">
        <v>3232.0</v>
      </c>
      <c r="B3234" s="17">
        <f t="array" ref="B3234">SUM(1-'Sparkling Model'!D$2:D$38^A3234)</f>
        <v>36.03832693</v>
      </c>
      <c r="C3234" s="8">
        <f t="array" ref="C3234">PRODUCT(1-'Sparkling Model'!D$2:D$38^A3234)</f>
        <v>0.3507390654</v>
      </c>
    </row>
    <row r="3235">
      <c r="A3235" s="6">
        <v>3233.0</v>
      </c>
      <c r="B3235" s="17">
        <f t="array" ref="B3235">SUM(1-'Sparkling Model'!D$2:D$38^A3235)</f>
        <v>36.0389809</v>
      </c>
      <c r="C3235" s="8">
        <f t="array" ref="C3235">PRODUCT(1-'Sparkling Model'!D$2:D$38^A3235)</f>
        <v>0.351002332</v>
      </c>
    </row>
    <row r="3236">
      <c r="A3236" s="6">
        <v>3234.0</v>
      </c>
      <c r="B3236" s="17">
        <f t="array" ref="B3236">SUM(1-'Sparkling Model'!D$2:D$38^A3236)</f>
        <v>36.03963431</v>
      </c>
      <c r="C3236" s="8">
        <f t="array" ref="C3236">PRODUCT(1-'Sparkling Model'!D$2:D$38^A3236)</f>
        <v>0.3512655583</v>
      </c>
    </row>
    <row r="3237">
      <c r="A3237" s="6">
        <v>3235.0</v>
      </c>
      <c r="B3237" s="17">
        <f t="array" ref="B3237">SUM(1-'Sparkling Model'!D$2:D$38^A3237)</f>
        <v>36.04028716</v>
      </c>
      <c r="C3237" s="8">
        <f t="array" ref="C3237">PRODUCT(1-'Sparkling Model'!D$2:D$38^A3237)</f>
        <v>0.3515287442</v>
      </c>
    </row>
    <row r="3238">
      <c r="A3238" s="6">
        <v>3236.0</v>
      </c>
      <c r="B3238" s="17">
        <f t="array" ref="B3238">SUM(1-'Sparkling Model'!D$2:D$38^A3238)</f>
        <v>36.04093945</v>
      </c>
      <c r="C3238" s="8">
        <f t="array" ref="C3238">PRODUCT(1-'Sparkling Model'!D$2:D$38^A3238)</f>
        <v>0.3517918896</v>
      </c>
    </row>
    <row r="3239">
      <c r="A3239" s="6">
        <v>3237.0</v>
      </c>
      <c r="B3239" s="17">
        <f t="array" ref="B3239">SUM(1-'Sparkling Model'!D$2:D$38^A3239)</f>
        <v>36.04159118</v>
      </c>
      <c r="C3239" s="8">
        <f t="array" ref="C3239">PRODUCT(1-'Sparkling Model'!D$2:D$38^A3239)</f>
        <v>0.3520549944</v>
      </c>
    </row>
    <row r="3240">
      <c r="A3240" s="6">
        <v>3238.0</v>
      </c>
      <c r="B3240" s="17">
        <f t="array" ref="B3240">SUM(1-'Sparkling Model'!D$2:D$38^A3240)</f>
        <v>36.04224236</v>
      </c>
      <c r="C3240" s="8">
        <f t="array" ref="C3240">PRODUCT(1-'Sparkling Model'!D$2:D$38^A3240)</f>
        <v>0.3523180584</v>
      </c>
    </row>
    <row r="3241">
      <c r="A3241" s="6">
        <v>3239.0</v>
      </c>
      <c r="B3241" s="17">
        <f t="array" ref="B3241">SUM(1-'Sparkling Model'!D$2:D$38^A3241)</f>
        <v>36.04289297</v>
      </c>
      <c r="C3241" s="8">
        <f t="array" ref="C3241">PRODUCT(1-'Sparkling Model'!D$2:D$38^A3241)</f>
        <v>0.3525810816</v>
      </c>
    </row>
    <row r="3242">
      <c r="A3242" s="6">
        <v>3240.0</v>
      </c>
      <c r="B3242" s="17">
        <f t="array" ref="B3242">SUM(1-'Sparkling Model'!D$2:D$38^A3242)</f>
        <v>36.04354302</v>
      </c>
      <c r="C3242" s="8">
        <f t="array" ref="C3242">PRODUCT(1-'Sparkling Model'!D$2:D$38^A3242)</f>
        <v>0.3528440638</v>
      </c>
    </row>
    <row r="3243">
      <c r="A3243" s="6">
        <v>3241.0</v>
      </c>
      <c r="B3243" s="17">
        <f t="array" ref="B3243">SUM(1-'Sparkling Model'!D$2:D$38^A3243)</f>
        <v>36.04419252</v>
      </c>
      <c r="C3243" s="8">
        <f t="array" ref="C3243">PRODUCT(1-'Sparkling Model'!D$2:D$38^A3243)</f>
        <v>0.3531070049</v>
      </c>
    </row>
    <row r="3244">
      <c r="A3244" s="6">
        <v>3242.0</v>
      </c>
      <c r="B3244" s="17">
        <f t="array" ref="B3244">SUM(1-'Sparkling Model'!D$2:D$38^A3244)</f>
        <v>36.04484146</v>
      </c>
      <c r="C3244" s="8">
        <f t="array" ref="C3244">PRODUCT(1-'Sparkling Model'!D$2:D$38^A3244)</f>
        <v>0.3533699049</v>
      </c>
    </row>
    <row r="3245">
      <c r="A3245" s="6">
        <v>3243.0</v>
      </c>
      <c r="B3245" s="17">
        <f t="array" ref="B3245">SUM(1-'Sparkling Model'!D$2:D$38^A3245)</f>
        <v>36.04548985</v>
      </c>
      <c r="C3245" s="8">
        <f t="array" ref="C3245">PRODUCT(1-'Sparkling Model'!D$2:D$38^A3245)</f>
        <v>0.3536327636</v>
      </c>
    </row>
    <row r="3246">
      <c r="A3246" s="6">
        <v>3244.0</v>
      </c>
      <c r="B3246" s="17">
        <f t="array" ref="B3246">SUM(1-'Sparkling Model'!D$2:D$38^A3246)</f>
        <v>36.04613768</v>
      </c>
      <c r="C3246" s="8">
        <f t="array" ref="C3246">PRODUCT(1-'Sparkling Model'!D$2:D$38^A3246)</f>
        <v>0.3538955808</v>
      </c>
    </row>
    <row r="3247">
      <c r="A3247" s="6">
        <v>3245.0</v>
      </c>
      <c r="B3247" s="17">
        <f t="array" ref="B3247">SUM(1-'Sparkling Model'!D$2:D$38^A3247)</f>
        <v>36.04678496</v>
      </c>
      <c r="C3247" s="8">
        <f t="array" ref="C3247">PRODUCT(1-'Sparkling Model'!D$2:D$38^A3247)</f>
        <v>0.3541583566</v>
      </c>
    </row>
    <row r="3248">
      <c r="A3248" s="6">
        <v>3246.0</v>
      </c>
      <c r="B3248" s="17">
        <f t="array" ref="B3248">SUM(1-'Sparkling Model'!D$2:D$38^A3248)</f>
        <v>36.04743168</v>
      </c>
      <c r="C3248" s="8">
        <f t="array" ref="C3248">PRODUCT(1-'Sparkling Model'!D$2:D$38^A3248)</f>
        <v>0.3544210907</v>
      </c>
    </row>
    <row r="3249">
      <c r="A3249" s="6">
        <v>3247.0</v>
      </c>
      <c r="B3249" s="17">
        <f t="array" ref="B3249">SUM(1-'Sparkling Model'!D$2:D$38^A3249)</f>
        <v>36.04807785</v>
      </c>
      <c r="C3249" s="8">
        <f t="array" ref="C3249">PRODUCT(1-'Sparkling Model'!D$2:D$38^A3249)</f>
        <v>0.354683783</v>
      </c>
    </row>
    <row r="3250">
      <c r="A3250" s="6">
        <v>3248.0</v>
      </c>
      <c r="B3250" s="17">
        <f t="array" ref="B3250">SUM(1-'Sparkling Model'!D$2:D$38^A3250)</f>
        <v>36.04872346</v>
      </c>
      <c r="C3250" s="8">
        <f t="array" ref="C3250">PRODUCT(1-'Sparkling Model'!D$2:D$38^A3250)</f>
        <v>0.3549464335</v>
      </c>
    </row>
    <row r="3251">
      <c r="A3251" s="6">
        <v>3249.0</v>
      </c>
      <c r="B3251" s="17">
        <f t="array" ref="B3251">SUM(1-'Sparkling Model'!D$2:D$38^A3251)</f>
        <v>36.04936853</v>
      </c>
      <c r="C3251" s="8">
        <f t="array" ref="C3251">PRODUCT(1-'Sparkling Model'!D$2:D$38^A3251)</f>
        <v>0.3552090421</v>
      </c>
    </row>
    <row r="3252">
      <c r="A3252" s="6">
        <v>3250.0</v>
      </c>
      <c r="B3252" s="17">
        <f t="array" ref="B3252">SUM(1-'Sparkling Model'!D$2:D$38^A3252)</f>
        <v>36.05001304</v>
      </c>
      <c r="C3252" s="8">
        <f t="array" ref="C3252">PRODUCT(1-'Sparkling Model'!D$2:D$38^A3252)</f>
        <v>0.3554716086</v>
      </c>
    </row>
    <row r="3253">
      <c r="A3253" s="6">
        <v>3251.0</v>
      </c>
      <c r="B3253" s="17">
        <f t="array" ref="B3253">SUM(1-'Sparkling Model'!D$2:D$38^A3253)</f>
        <v>36.050657</v>
      </c>
      <c r="C3253" s="8">
        <f t="array" ref="C3253">PRODUCT(1-'Sparkling Model'!D$2:D$38^A3253)</f>
        <v>0.3557341329</v>
      </c>
    </row>
    <row r="3254">
      <c r="A3254" s="6">
        <v>3252.0</v>
      </c>
      <c r="B3254" s="17">
        <f t="array" ref="B3254">SUM(1-'Sparkling Model'!D$2:D$38^A3254)</f>
        <v>36.05130041</v>
      </c>
      <c r="C3254" s="8">
        <f t="array" ref="C3254">PRODUCT(1-'Sparkling Model'!D$2:D$38^A3254)</f>
        <v>0.3559966149</v>
      </c>
    </row>
    <row r="3255">
      <c r="A3255" s="6">
        <v>3253.0</v>
      </c>
      <c r="B3255" s="17">
        <f t="array" ref="B3255">SUM(1-'Sparkling Model'!D$2:D$38^A3255)</f>
        <v>36.05194327</v>
      </c>
      <c r="C3255" s="8">
        <f t="array" ref="C3255">PRODUCT(1-'Sparkling Model'!D$2:D$38^A3255)</f>
        <v>0.3562590545</v>
      </c>
    </row>
    <row r="3256">
      <c r="A3256" s="6">
        <v>3254.0</v>
      </c>
      <c r="B3256" s="17">
        <f t="array" ref="B3256">SUM(1-'Sparkling Model'!D$2:D$38^A3256)</f>
        <v>36.05258559</v>
      </c>
      <c r="C3256" s="8">
        <f t="array" ref="C3256">PRODUCT(1-'Sparkling Model'!D$2:D$38^A3256)</f>
        <v>0.3565214516</v>
      </c>
    </row>
    <row r="3257">
      <c r="A3257" s="6">
        <v>3255.0</v>
      </c>
      <c r="B3257" s="17">
        <f t="array" ref="B3257">SUM(1-'Sparkling Model'!D$2:D$38^A3257)</f>
        <v>36.05322735</v>
      </c>
      <c r="C3257" s="8">
        <f t="array" ref="C3257">PRODUCT(1-'Sparkling Model'!D$2:D$38^A3257)</f>
        <v>0.356783806</v>
      </c>
    </row>
    <row r="3258">
      <c r="A3258" s="6">
        <v>3256.0</v>
      </c>
      <c r="B3258" s="17">
        <f t="array" ref="B3258">SUM(1-'Sparkling Model'!D$2:D$38^A3258)</f>
        <v>36.05386857</v>
      </c>
      <c r="C3258" s="8">
        <f t="array" ref="C3258">PRODUCT(1-'Sparkling Model'!D$2:D$38^A3258)</f>
        <v>0.3570461178</v>
      </c>
    </row>
    <row r="3259">
      <c r="A3259" s="6">
        <v>3257.0</v>
      </c>
      <c r="B3259" s="17">
        <f t="array" ref="B3259">SUM(1-'Sparkling Model'!D$2:D$38^A3259)</f>
        <v>36.05450923</v>
      </c>
      <c r="C3259" s="8">
        <f t="array" ref="C3259">PRODUCT(1-'Sparkling Model'!D$2:D$38^A3259)</f>
        <v>0.3573083867</v>
      </c>
    </row>
    <row r="3260">
      <c r="A3260" s="6">
        <v>3258.0</v>
      </c>
      <c r="B3260" s="17">
        <f t="array" ref="B3260">SUM(1-'Sparkling Model'!D$2:D$38^A3260)</f>
        <v>36.05514936</v>
      </c>
      <c r="C3260" s="8">
        <f t="array" ref="C3260">PRODUCT(1-'Sparkling Model'!D$2:D$38^A3260)</f>
        <v>0.3575706127</v>
      </c>
    </row>
    <row r="3261">
      <c r="A3261" s="6">
        <v>3259.0</v>
      </c>
      <c r="B3261" s="17">
        <f t="array" ref="B3261">SUM(1-'Sparkling Model'!D$2:D$38^A3261)</f>
        <v>36.05578893</v>
      </c>
      <c r="C3261" s="8">
        <f t="array" ref="C3261">PRODUCT(1-'Sparkling Model'!D$2:D$38^A3261)</f>
        <v>0.3578327956</v>
      </c>
    </row>
    <row r="3262">
      <c r="A3262" s="6">
        <v>3260.0</v>
      </c>
      <c r="B3262" s="17">
        <f t="array" ref="B3262">SUM(1-'Sparkling Model'!D$2:D$38^A3262)</f>
        <v>36.05642796</v>
      </c>
      <c r="C3262" s="8">
        <f t="array" ref="C3262">PRODUCT(1-'Sparkling Model'!D$2:D$38^A3262)</f>
        <v>0.3580949353</v>
      </c>
    </row>
    <row r="3263">
      <c r="A3263" s="6">
        <v>3261.0</v>
      </c>
      <c r="B3263" s="17">
        <f t="array" ref="B3263">SUM(1-'Sparkling Model'!D$2:D$38^A3263)</f>
        <v>36.05706645</v>
      </c>
      <c r="C3263" s="8">
        <f t="array" ref="C3263">PRODUCT(1-'Sparkling Model'!D$2:D$38^A3263)</f>
        <v>0.3583570318</v>
      </c>
    </row>
    <row r="3264">
      <c r="A3264" s="6">
        <v>3262.0</v>
      </c>
      <c r="B3264" s="17">
        <f t="array" ref="B3264">SUM(1-'Sparkling Model'!D$2:D$38^A3264)</f>
        <v>36.05770439</v>
      </c>
      <c r="C3264" s="8">
        <f t="array" ref="C3264">PRODUCT(1-'Sparkling Model'!D$2:D$38^A3264)</f>
        <v>0.3586190849</v>
      </c>
    </row>
    <row r="3265">
      <c r="A3265" s="6">
        <v>3263.0</v>
      </c>
      <c r="B3265" s="17">
        <f t="array" ref="B3265">SUM(1-'Sparkling Model'!D$2:D$38^A3265)</f>
        <v>36.05834179</v>
      </c>
      <c r="C3265" s="8">
        <f t="array" ref="C3265">PRODUCT(1-'Sparkling Model'!D$2:D$38^A3265)</f>
        <v>0.3588810945</v>
      </c>
    </row>
    <row r="3266">
      <c r="A3266" s="6">
        <v>3264.0</v>
      </c>
      <c r="B3266" s="17">
        <f t="array" ref="B3266">SUM(1-'Sparkling Model'!D$2:D$38^A3266)</f>
        <v>36.05897864</v>
      </c>
      <c r="C3266" s="8">
        <f t="array" ref="C3266">PRODUCT(1-'Sparkling Model'!D$2:D$38^A3266)</f>
        <v>0.3591430606</v>
      </c>
    </row>
    <row r="3267">
      <c r="A3267" s="6">
        <v>3265.0</v>
      </c>
      <c r="B3267" s="17">
        <f t="array" ref="B3267">SUM(1-'Sparkling Model'!D$2:D$38^A3267)</f>
        <v>36.05961495</v>
      </c>
      <c r="C3267" s="8">
        <f t="array" ref="C3267">PRODUCT(1-'Sparkling Model'!D$2:D$38^A3267)</f>
        <v>0.3594049829</v>
      </c>
    </row>
    <row r="3268">
      <c r="A3268" s="6">
        <v>3266.0</v>
      </c>
      <c r="B3268" s="17">
        <f t="array" ref="B3268">SUM(1-'Sparkling Model'!D$2:D$38^A3268)</f>
        <v>36.06025072</v>
      </c>
      <c r="C3268" s="8">
        <f t="array" ref="C3268">PRODUCT(1-'Sparkling Model'!D$2:D$38^A3268)</f>
        <v>0.3596668615</v>
      </c>
    </row>
    <row r="3269">
      <c r="A3269" s="6">
        <v>3267.0</v>
      </c>
      <c r="B3269" s="17">
        <f t="array" ref="B3269">SUM(1-'Sparkling Model'!D$2:D$38^A3269)</f>
        <v>36.06088595</v>
      </c>
      <c r="C3269" s="8">
        <f t="array" ref="C3269">PRODUCT(1-'Sparkling Model'!D$2:D$38^A3269)</f>
        <v>0.3599286961</v>
      </c>
    </row>
    <row r="3270">
      <c r="A3270" s="6">
        <v>3268.0</v>
      </c>
      <c r="B3270" s="17">
        <f t="array" ref="B3270">SUM(1-'Sparkling Model'!D$2:D$38^A3270)</f>
        <v>36.06152064</v>
      </c>
      <c r="C3270" s="8">
        <f t="array" ref="C3270">PRODUCT(1-'Sparkling Model'!D$2:D$38^A3270)</f>
        <v>0.3601904867</v>
      </c>
    </row>
    <row r="3271">
      <c r="A3271" s="6">
        <v>3269.0</v>
      </c>
      <c r="B3271" s="17">
        <f t="array" ref="B3271">SUM(1-'Sparkling Model'!D$2:D$38^A3271)</f>
        <v>36.06215479</v>
      </c>
      <c r="C3271" s="8">
        <f t="array" ref="C3271">PRODUCT(1-'Sparkling Model'!D$2:D$38^A3271)</f>
        <v>0.3604522332</v>
      </c>
    </row>
    <row r="3272">
      <c r="A3272" s="6">
        <v>3270.0</v>
      </c>
      <c r="B3272" s="17">
        <f t="array" ref="B3272">SUM(1-'Sparkling Model'!D$2:D$38^A3272)</f>
        <v>36.0627884</v>
      </c>
      <c r="C3272" s="8">
        <f t="array" ref="C3272">PRODUCT(1-'Sparkling Model'!D$2:D$38^A3272)</f>
        <v>0.3607139355</v>
      </c>
    </row>
    <row r="3273">
      <c r="A3273" s="6">
        <v>3271.0</v>
      </c>
      <c r="B3273" s="17">
        <f t="array" ref="B3273">SUM(1-'Sparkling Model'!D$2:D$38^A3273)</f>
        <v>36.06342147</v>
      </c>
      <c r="C3273" s="8">
        <f t="array" ref="C3273">PRODUCT(1-'Sparkling Model'!D$2:D$38^A3273)</f>
        <v>0.3609755934</v>
      </c>
    </row>
    <row r="3274">
      <c r="A3274" s="6">
        <v>3272.0</v>
      </c>
      <c r="B3274" s="17">
        <f t="array" ref="B3274">SUM(1-'Sparkling Model'!D$2:D$38^A3274)</f>
        <v>36.064054</v>
      </c>
      <c r="C3274" s="8">
        <f t="array" ref="C3274">PRODUCT(1-'Sparkling Model'!D$2:D$38^A3274)</f>
        <v>0.3612372069</v>
      </c>
    </row>
    <row r="3275">
      <c r="A3275" s="6">
        <v>3273.0</v>
      </c>
      <c r="B3275" s="17">
        <f t="array" ref="B3275">SUM(1-'Sparkling Model'!D$2:D$38^A3275)</f>
        <v>36.06468599</v>
      </c>
      <c r="C3275" s="8">
        <f t="array" ref="C3275">PRODUCT(1-'Sparkling Model'!D$2:D$38^A3275)</f>
        <v>0.3614987758</v>
      </c>
    </row>
    <row r="3276">
      <c r="A3276" s="6">
        <v>3274.0</v>
      </c>
      <c r="B3276" s="17">
        <f t="array" ref="B3276">SUM(1-'Sparkling Model'!D$2:D$38^A3276)</f>
        <v>36.06531745</v>
      </c>
      <c r="C3276" s="8">
        <f t="array" ref="C3276">PRODUCT(1-'Sparkling Model'!D$2:D$38^A3276)</f>
        <v>0.3617603002</v>
      </c>
    </row>
    <row r="3277">
      <c r="A3277" s="6">
        <v>3275.0</v>
      </c>
      <c r="B3277" s="17">
        <f t="array" ref="B3277">SUM(1-'Sparkling Model'!D$2:D$38^A3277)</f>
        <v>36.06594837</v>
      </c>
      <c r="C3277" s="8">
        <f t="array" ref="C3277">PRODUCT(1-'Sparkling Model'!D$2:D$38^A3277)</f>
        <v>0.3620217797</v>
      </c>
    </row>
    <row r="3278">
      <c r="A3278" s="6">
        <v>3276.0</v>
      </c>
      <c r="B3278" s="17">
        <f t="array" ref="B3278">SUM(1-'Sparkling Model'!D$2:D$38^A3278)</f>
        <v>36.06657875</v>
      </c>
      <c r="C3278" s="8">
        <f t="array" ref="C3278">PRODUCT(1-'Sparkling Model'!D$2:D$38^A3278)</f>
        <v>0.3622832144</v>
      </c>
    </row>
    <row r="3279">
      <c r="A3279" s="6">
        <v>3277.0</v>
      </c>
      <c r="B3279" s="17">
        <f t="array" ref="B3279">SUM(1-'Sparkling Model'!D$2:D$38^A3279)</f>
        <v>36.0672086</v>
      </c>
      <c r="C3279" s="8">
        <f t="array" ref="C3279">PRODUCT(1-'Sparkling Model'!D$2:D$38^A3279)</f>
        <v>0.3625446042</v>
      </c>
    </row>
    <row r="3280">
      <c r="A3280" s="6">
        <v>3278.0</v>
      </c>
      <c r="B3280" s="17">
        <f t="array" ref="B3280">SUM(1-'Sparkling Model'!D$2:D$38^A3280)</f>
        <v>36.06783792</v>
      </c>
      <c r="C3280" s="8">
        <f t="array" ref="C3280">PRODUCT(1-'Sparkling Model'!D$2:D$38^A3280)</f>
        <v>0.3628059488</v>
      </c>
    </row>
    <row r="3281">
      <c r="A3281" s="6">
        <v>3279.0</v>
      </c>
      <c r="B3281" s="17">
        <f t="array" ref="B3281">SUM(1-'Sparkling Model'!D$2:D$38^A3281)</f>
        <v>36.0684667</v>
      </c>
      <c r="C3281" s="8">
        <f t="array" ref="C3281">PRODUCT(1-'Sparkling Model'!D$2:D$38^A3281)</f>
        <v>0.3630672483</v>
      </c>
    </row>
    <row r="3282">
      <c r="A3282" s="6">
        <v>3280.0</v>
      </c>
      <c r="B3282" s="17">
        <f t="array" ref="B3282">SUM(1-'Sparkling Model'!D$2:D$38^A3282)</f>
        <v>36.06909494</v>
      </c>
      <c r="C3282" s="8">
        <f t="array" ref="C3282">PRODUCT(1-'Sparkling Model'!D$2:D$38^A3282)</f>
        <v>0.3633285026</v>
      </c>
    </row>
    <row r="3283">
      <c r="A3283" s="6">
        <v>3281.0</v>
      </c>
      <c r="B3283" s="17">
        <f t="array" ref="B3283">SUM(1-'Sparkling Model'!D$2:D$38^A3283)</f>
        <v>36.06972266</v>
      </c>
      <c r="C3283" s="8">
        <f t="array" ref="C3283">PRODUCT(1-'Sparkling Model'!D$2:D$38^A3283)</f>
        <v>0.3635897114</v>
      </c>
    </row>
    <row r="3284">
      <c r="A3284" s="6">
        <v>3282.0</v>
      </c>
      <c r="B3284" s="17">
        <f t="array" ref="B3284">SUM(1-'Sparkling Model'!D$2:D$38^A3284)</f>
        <v>36.07034984</v>
      </c>
      <c r="C3284" s="8">
        <f t="array" ref="C3284">PRODUCT(1-'Sparkling Model'!D$2:D$38^A3284)</f>
        <v>0.3638508748</v>
      </c>
    </row>
    <row r="3285">
      <c r="A3285" s="6">
        <v>3283.0</v>
      </c>
      <c r="B3285" s="17">
        <f t="array" ref="B3285">SUM(1-'Sparkling Model'!D$2:D$38^A3285)</f>
        <v>36.07097649</v>
      </c>
      <c r="C3285" s="8">
        <f t="array" ref="C3285">PRODUCT(1-'Sparkling Model'!D$2:D$38^A3285)</f>
        <v>0.3641119926</v>
      </c>
    </row>
    <row r="3286">
      <c r="A3286" s="6">
        <v>3284.0</v>
      </c>
      <c r="B3286" s="17">
        <f t="array" ref="B3286">SUM(1-'Sparkling Model'!D$2:D$38^A3286)</f>
        <v>36.0716026</v>
      </c>
      <c r="C3286" s="8">
        <f t="array" ref="C3286">PRODUCT(1-'Sparkling Model'!D$2:D$38^A3286)</f>
        <v>0.3643730648</v>
      </c>
    </row>
    <row r="3287">
      <c r="A3287" s="6">
        <v>3285.0</v>
      </c>
      <c r="B3287" s="17">
        <f t="array" ref="B3287">SUM(1-'Sparkling Model'!D$2:D$38^A3287)</f>
        <v>36.07222819</v>
      </c>
      <c r="C3287" s="8">
        <f t="array" ref="C3287">PRODUCT(1-'Sparkling Model'!D$2:D$38^A3287)</f>
        <v>0.3646340911</v>
      </c>
    </row>
    <row r="3288">
      <c r="A3288" s="6">
        <v>3286.0</v>
      </c>
      <c r="B3288" s="17">
        <f t="array" ref="B3288">SUM(1-'Sparkling Model'!D$2:D$38^A3288)</f>
        <v>36.07285325</v>
      </c>
      <c r="C3288" s="8">
        <f t="array" ref="C3288">PRODUCT(1-'Sparkling Model'!D$2:D$38^A3288)</f>
        <v>0.3648950716</v>
      </c>
    </row>
    <row r="3289">
      <c r="A3289" s="6">
        <v>3287.0</v>
      </c>
      <c r="B3289" s="17">
        <f t="array" ref="B3289">SUM(1-'Sparkling Model'!D$2:D$38^A3289)</f>
        <v>36.07347777</v>
      </c>
      <c r="C3289" s="8">
        <f t="array" ref="C3289">PRODUCT(1-'Sparkling Model'!D$2:D$38^A3289)</f>
        <v>0.365156006</v>
      </c>
    </row>
    <row r="3290">
      <c r="A3290" s="6">
        <v>3288.0</v>
      </c>
      <c r="B3290" s="17">
        <f t="array" ref="B3290">SUM(1-'Sparkling Model'!D$2:D$38^A3290)</f>
        <v>36.07410177</v>
      </c>
      <c r="C3290" s="8">
        <f t="array" ref="C3290">PRODUCT(1-'Sparkling Model'!D$2:D$38^A3290)</f>
        <v>0.3654168944</v>
      </c>
    </row>
    <row r="3291">
      <c r="A3291" s="6">
        <v>3289.0</v>
      </c>
      <c r="B3291" s="17">
        <f t="array" ref="B3291">SUM(1-'Sparkling Model'!D$2:D$38^A3291)</f>
        <v>36.07472524</v>
      </c>
      <c r="C3291" s="8">
        <f t="array" ref="C3291">PRODUCT(1-'Sparkling Model'!D$2:D$38^A3291)</f>
        <v>0.3656777366</v>
      </c>
    </row>
    <row r="3292">
      <c r="A3292" s="6">
        <v>3290.0</v>
      </c>
      <c r="B3292" s="17">
        <f t="array" ref="B3292">SUM(1-'Sparkling Model'!D$2:D$38^A3292)</f>
        <v>36.07534818</v>
      </c>
      <c r="C3292" s="8">
        <f t="array" ref="C3292">PRODUCT(1-'Sparkling Model'!D$2:D$38^A3292)</f>
        <v>0.3659385325</v>
      </c>
    </row>
    <row r="3293">
      <c r="A3293" s="6">
        <v>3291.0</v>
      </c>
      <c r="B3293" s="17">
        <f t="array" ref="B3293">SUM(1-'Sparkling Model'!D$2:D$38^A3293)</f>
        <v>36.0759706</v>
      </c>
      <c r="C3293" s="8">
        <f t="array" ref="C3293">PRODUCT(1-'Sparkling Model'!D$2:D$38^A3293)</f>
        <v>0.366199282</v>
      </c>
    </row>
    <row r="3294">
      <c r="A3294" s="6">
        <v>3292.0</v>
      </c>
      <c r="B3294" s="17">
        <f t="array" ref="B3294">SUM(1-'Sparkling Model'!D$2:D$38^A3294)</f>
        <v>36.07659249</v>
      </c>
      <c r="C3294" s="8">
        <f t="array" ref="C3294">PRODUCT(1-'Sparkling Model'!D$2:D$38^A3294)</f>
        <v>0.366459985</v>
      </c>
    </row>
    <row r="3295">
      <c r="A3295" s="6">
        <v>3293.0</v>
      </c>
      <c r="B3295" s="17">
        <f t="array" ref="B3295">SUM(1-'Sparkling Model'!D$2:D$38^A3295)</f>
        <v>36.07721385</v>
      </c>
      <c r="C3295" s="8">
        <f t="array" ref="C3295">PRODUCT(1-'Sparkling Model'!D$2:D$38^A3295)</f>
        <v>0.3667206414</v>
      </c>
    </row>
    <row r="3296">
      <c r="A3296" s="6">
        <v>3294.0</v>
      </c>
      <c r="B3296" s="17">
        <f t="array" ref="B3296">SUM(1-'Sparkling Model'!D$2:D$38^A3296)</f>
        <v>36.07783469</v>
      </c>
      <c r="C3296" s="8">
        <f t="array" ref="C3296">PRODUCT(1-'Sparkling Model'!D$2:D$38^A3296)</f>
        <v>0.3669812511</v>
      </c>
    </row>
    <row r="3297">
      <c r="A3297" s="6">
        <v>3295.0</v>
      </c>
      <c r="B3297" s="17">
        <f t="array" ref="B3297">SUM(1-'Sparkling Model'!D$2:D$38^A3297)</f>
        <v>36.078455</v>
      </c>
      <c r="C3297" s="8">
        <f t="array" ref="C3297">PRODUCT(1-'Sparkling Model'!D$2:D$38^A3297)</f>
        <v>0.367241814</v>
      </c>
    </row>
    <row r="3298">
      <c r="A3298" s="6">
        <v>3296.0</v>
      </c>
      <c r="B3298" s="17">
        <f t="array" ref="B3298">SUM(1-'Sparkling Model'!D$2:D$38^A3298)</f>
        <v>36.07907479</v>
      </c>
      <c r="C3298" s="8">
        <f t="array" ref="C3298">PRODUCT(1-'Sparkling Model'!D$2:D$38^A3298)</f>
        <v>0.3675023301</v>
      </c>
    </row>
    <row r="3299">
      <c r="A3299" s="6">
        <v>3297.0</v>
      </c>
      <c r="B3299" s="17">
        <f t="array" ref="B3299">SUM(1-'Sparkling Model'!D$2:D$38^A3299)</f>
        <v>36.07969405</v>
      </c>
      <c r="C3299" s="8">
        <f t="array" ref="C3299">PRODUCT(1-'Sparkling Model'!D$2:D$38^A3299)</f>
        <v>0.3677627991</v>
      </c>
    </row>
    <row r="3300">
      <c r="A3300" s="6">
        <v>3298.0</v>
      </c>
      <c r="B3300" s="17">
        <f t="array" ref="B3300">SUM(1-'Sparkling Model'!D$2:D$38^A3300)</f>
        <v>36.08031279</v>
      </c>
      <c r="C3300" s="8">
        <f t="array" ref="C3300">PRODUCT(1-'Sparkling Model'!D$2:D$38^A3300)</f>
        <v>0.368023221</v>
      </c>
    </row>
    <row r="3301">
      <c r="A3301" s="6">
        <v>3299.0</v>
      </c>
      <c r="B3301" s="17">
        <f t="array" ref="B3301">SUM(1-'Sparkling Model'!D$2:D$38^A3301)</f>
        <v>36.08093101</v>
      </c>
      <c r="C3301" s="8">
        <f t="array" ref="C3301">PRODUCT(1-'Sparkling Model'!D$2:D$38^A3301)</f>
        <v>0.3682835957</v>
      </c>
    </row>
    <row r="3302">
      <c r="A3302" s="6">
        <v>3300.0</v>
      </c>
      <c r="B3302" s="17">
        <f t="array" ref="B3302">SUM(1-'Sparkling Model'!D$2:D$38^A3302)</f>
        <v>36.08154871</v>
      </c>
      <c r="C3302" s="8">
        <f t="array" ref="C3302">PRODUCT(1-'Sparkling Model'!D$2:D$38^A3302)</f>
        <v>0.3685439232</v>
      </c>
    </row>
    <row r="3303">
      <c r="A3303" s="6">
        <v>3301.0</v>
      </c>
      <c r="B3303" s="17">
        <f t="array" ref="B3303">SUM(1-'Sparkling Model'!D$2:D$38^A3303)</f>
        <v>36.08216588</v>
      </c>
      <c r="C3303" s="8">
        <f t="array" ref="C3303">PRODUCT(1-'Sparkling Model'!D$2:D$38^A3303)</f>
        <v>0.3688042032</v>
      </c>
    </row>
    <row r="3304">
      <c r="A3304" s="6">
        <v>3302.0</v>
      </c>
      <c r="B3304" s="17">
        <f t="array" ref="B3304">SUM(1-'Sparkling Model'!D$2:D$38^A3304)</f>
        <v>36.08278253</v>
      </c>
      <c r="C3304" s="8">
        <f t="array" ref="C3304">PRODUCT(1-'Sparkling Model'!D$2:D$38^A3304)</f>
        <v>0.3690644358</v>
      </c>
    </row>
    <row r="3305">
      <c r="A3305" s="6">
        <v>3303.0</v>
      </c>
      <c r="B3305" s="17">
        <f t="array" ref="B3305">SUM(1-'Sparkling Model'!D$2:D$38^A3305)</f>
        <v>36.08339867</v>
      </c>
      <c r="C3305" s="8">
        <f t="array" ref="C3305">PRODUCT(1-'Sparkling Model'!D$2:D$38^A3305)</f>
        <v>0.3693246208</v>
      </c>
    </row>
    <row r="3306">
      <c r="A3306" s="6">
        <v>3304.0</v>
      </c>
      <c r="B3306" s="17">
        <f t="array" ref="B3306">SUM(1-'Sparkling Model'!D$2:D$38^A3306)</f>
        <v>36.08401428</v>
      </c>
      <c r="C3306" s="8">
        <f t="array" ref="C3306">PRODUCT(1-'Sparkling Model'!D$2:D$38^A3306)</f>
        <v>0.369584758</v>
      </c>
    </row>
    <row r="3307">
      <c r="A3307" s="6">
        <v>3305.0</v>
      </c>
      <c r="B3307" s="17">
        <f t="array" ref="B3307">SUM(1-'Sparkling Model'!D$2:D$38^A3307)</f>
        <v>36.08462938</v>
      </c>
      <c r="C3307" s="8">
        <f t="array" ref="C3307">PRODUCT(1-'Sparkling Model'!D$2:D$38^A3307)</f>
        <v>0.3698448475</v>
      </c>
    </row>
    <row r="3308">
      <c r="A3308" s="6">
        <v>3306.0</v>
      </c>
      <c r="B3308" s="17">
        <f t="array" ref="B3308">SUM(1-'Sparkling Model'!D$2:D$38^A3308)</f>
        <v>36.08524395</v>
      </c>
      <c r="C3308" s="8">
        <f t="array" ref="C3308">PRODUCT(1-'Sparkling Model'!D$2:D$38^A3308)</f>
        <v>0.3701048891</v>
      </c>
    </row>
    <row r="3309">
      <c r="A3309" s="6">
        <v>3307.0</v>
      </c>
      <c r="B3309" s="17">
        <f t="array" ref="B3309">SUM(1-'Sparkling Model'!D$2:D$38^A3309)</f>
        <v>36.08585801</v>
      </c>
      <c r="C3309" s="8">
        <f t="array" ref="C3309">PRODUCT(1-'Sparkling Model'!D$2:D$38^A3309)</f>
        <v>0.3703648827</v>
      </c>
    </row>
    <row r="3310">
      <c r="A3310" s="6">
        <v>3308.0</v>
      </c>
      <c r="B3310" s="17">
        <f t="array" ref="B3310">SUM(1-'Sparkling Model'!D$2:D$38^A3310)</f>
        <v>36.08647155</v>
      </c>
      <c r="C3310" s="8">
        <f t="array" ref="C3310">PRODUCT(1-'Sparkling Model'!D$2:D$38^A3310)</f>
        <v>0.3706248283</v>
      </c>
    </row>
    <row r="3311">
      <c r="A3311" s="6">
        <v>3309.0</v>
      </c>
      <c r="B3311" s="17">
        <f t="array" ref="B3311">SUM(1-'Sparkling Model'!D$2:D$38^A3311)</f>
        <v>36.08708457</v>
      </c>
      <c r="C3311" s="8">
        <f t="array" ref="C3311">PRODUCT(1-'Sparkling Model'!D$2:D$38^A3311)</f>
        <v>0.3708847257</v>
      </c>
    </row>
    <row r="3312">
      <c r="A3312" s="6">
        <v>3310.0</v>
      </c>
      <c r="B3312" s="17">
        <f t="array" ref="B3312">SUM(1-'Sparkling Model'!D$2:D$38^A3312)</f>
        <v>36.08769708</v>
      </c>
      <c r="C3312" s="8">
        <f t="array" ref="C3312">PRODUCT(1-'Sparkling Model'!D$2:D$38^A3312)</f>
        <v>0.3711445747</v>
      </c>
    </row>
    <row r="3313">
      <c r="A3313" s="6">
        <v>3311.0</v>
      </c>
      <c r="B3313" s="17">
        <f t="array" ref="B3313">SUM(1-'Sparkling Model'!D$2:D$38^A3313)</f>
        <v>36.08830907</v>
      </c>
      <c r="C3313" s="8">
        <f t="array" ref="C3313">PRODUCT(1-'Sparkling Model'!D$2:D$38^A3313)</f>
        <v>0.3714043755</v>
      </c>
    </row>
    <row r="3314">
      <c r="A3314" s="6">
        <v>3312.0</v>
      </c>
      <c r="B3314" s="17">
        <f t="array" ref="B3314">SUM(1-'Sparkling Model'!D$2:D$38^A3314)</f>
        <v>36.08892055</v>
      </c>
      <c r="C3314" s="8">
        <f t="array" ref="C3314">PRODUCT(1-'Sparkling Model'!D$2:D$38^A3314)</f>
        <v>0.3716641277</v>
      </c>
    </row>
    <row r="3315">
      <c r="A3315" s="6">
        <v>3313.0</v>
      </c>
      <c r="B3315" s="17">
        <f t="array" ref="B3315">SUM(1-'Sparkling Model'!D$2:D$38^A3315)</f>
        <v>36.08953151</v>
      </c>
      <c r="C3315" s="8">
        <f t="array" ref="C3315">PRODUCT(1-'Sparkling Model'!D$2:D$38^A3315)</f>
        <v>0.3719238314</v>
      </c>
    </row>
    <row r="3316">
      <c r="A3316" s="6">
        <v>3314.0</v>
      </c>
      <c r="B3316" s="17">
        <f t="array" ref="B3316">SUM(1-'Sparkling Model'!D$2:D$38^A3316)</f>
        <v>36.09014196</v>
      </c>
      <c r="C3316" s="8">
        <f t="array" ref="C3316">PRODUCT(1-'Sparkling Model'!D$2:D$38^A3316)</f>
        <v>0.3721834865</v>
      </c>
    </row>
    <row r="3317">
      <c r="A3317" s="6">
        <v>3315.0</v>
      </c>
      <c r="B3317" s="17">
        <f t="array" ref="B3317">SUM(1-'Sparkling Model'!D$2:D$38^A3317)</f>
        <v>36.09075189</v>
      </c>
      <c r="C3317" s="8">
        <f t="array" ref="C3317">PRODUCT(1-'Sparkling Model'!D$2:D$38^A3317)</f>
        <v>0.3724430927</v>
      </c>
    </row>
    <row r="3318">
      <c r="A3318" s="6">
        <v>3316.0</v>
      </c>
      <c r="B3318" s="17">
        <f t="array" ref="B3318">SUM(1-'Sparkling Model'!D$2:D$38^A3318)</f>
        <v>36.09136131</v>
      </c>
      <c r="C3318" s="8">
        <f t="array" ref="C3318">PRODUCT(1-'Sparkling Model'!D$2:D$38^A3318)</f>
        <v>0.3727026502</v>
      </c>
    </row>
    <row r="3319">
      <c r="A3319" s="6">
        <v>3317.0</v>
      </c>
      <c r="B3319" s="17">
        <f t="array" ref="B3319">SUM(1-'Sparkling Model'!D$2:D$38^A3319)</f>
        <v>36.09197022</v>
      </c>
      <c r="C3319" s="8">
        <f t="array" ref="C3319">PRODUCT(1-'Sparkling Model'!D$2:D$38^A3319)</f>
        <v>0.3729621586</v>
      </c>
    </row>
    <row r="3320">
      <c r="A3320" s="6">
        <v>3318.0</v>
      </c>
      <c r="B3320" s="17">
        <f t="array" ref="B3320">SUM(1-'Sparkling Model'!D$2:D$38^A3320)</f>
        <v>36.09257861</v>
      </c>
      <c r="C3320" s="8">
        <f t="array" ref="C3320">PRODUCT(1-'Sparkling Model'!D$2:D$38^A3320)</f>
        <v>0.3732216181</v>
      </c>
    </row>
    <row r="3321">
      <c r="A3321" s="6">
        <v>3319.0</v>
      </c>
      <c r="B3321" s="17">
        <f t="array" ref="B3321">SUM(1-'Sparkling Model'!D$2:D$38^A3321)</f>
        <v>36.0931865</v>
      </c>
      <c r="C3321" s="8">
        <f t="array" ref="C3321">PRODUCT(1-'Sparkling Model'!D$2:D$38^A3321)</f>
        <v>0.3734810284</v>
      </c>
    </row>
    <row r="3322">
      <c r="A3322" s="6">
        <v>3320.0</v>
      </c>
      <c r="B3322" s="17">
        <f t="array" ref="B3322">SUM(1-'Sparkling Model'!D$2:D$38^A3322)</f>
        <v>36.09379387</v>
      </c>
      <c r="C3322" s="8">
        <f t="array" ref="C3322">PRODUCT(1-'Sparkling Model'!D$2:D$38^A3322)</f>
        <v>0.3737403894</v>
      </c>
    </row>
    <row r="3323">
      <c r="A3323" s="6">
        <v>3321.0</v>
      </c>
      <c r="B3323" s="17">
        <f t="array" ref="B3323">SUM(1-'Sparkling Model'!D$2:D$38^A3323)</f>
        <v>36.09440074</v>
      </c>
      <c r="C3323" s="8">
        <f t="array" ref="C3323">PRODUCT(1-'Sparkling Model'!D$2:D$38^A3323)</f>
        <v>0.3739997012</v>
      </c>
    </row>
    <row r="3324">
      <c r="A3324" s="6">
        <v>3322.0</v>
      </c>
      <c r="B3324" s="17">
        <f t="array" ref="B3324">SUM(1-'Sparkling Model'!D$2:D$38^A3324)</f>
        <v>36.09500709</v>
      </c>
      <c r="C3324" s="8">
        <f t="array" ref="C3324">PRODUCT(1-'Sparkling Model'!D$2:D$38^A3324)</f>
        <v>0.3742589635</v>
      </c>
    </row>
    <row r="3325">
      <c r="A3325" s="6">
        <v>3323.0</v>
      </c>
      <c r="B3325" s="17">
        <f t="array" ref="B3325">SUM(1-'Sparkling Model'!D$2:D$38^A3325)</f>
        <v>36.09561293</v>
      </c>
      <c r="C3325" s="8">
        <f t="array" ref="C3325">PRODUCT(1-'Sparkling Model'!D$2:D$38^A3325)</f>
        <v>0.3745181763</v>
      </c>
    </row>
    <row r="3326">
      <c r="A3326" s="6">
        <v>3324.0</v>
      </c>
      <c r="B3326" s="17">
        <f t="array" ref="B3326">SUM(1-'Sparkling Model'!D$2:D$38^A3326)</f>
        <v>36.09621827</v>
      </c>
      <c r="C3326" s="8">
        <f t="array" ref="C3326">PRODUCT(1-'Sparkling Model'!D$2:D$38^A3326)</f>
        <v>0.3747773395</v>
      </c>
    </row>
    <row r="3327">
      <c r="A3327" s="6">
        <v>3325.0</v>
      </c>
      <c r="B3327" s="17">
        <f t="array" ref="B3327">SUM(1-'Sparkling Model'!D$2:D$38^A3327)</f>
        <v>36.0968231</v>
      </c>
      <c r="C3327" s="8">
        <f t="array" ref="C3327">PRODUCT(1-'Sparkling Model'!D$2:D$38^A3327)</f>
        <v>0.375036453</v>
      </c>
    </row>
    <row r="3328">
      <c r="A3328" s="6">
        <v>3326.0</v>
      </c>
      <c r="B3328" s="17">
        <f t="array" ref="B3328">SUM(1-'Sparkling Model'!D$2:D$38^A3328)</f>
        <v>36.09742742</v>
      </c>
      <c r="C3328" s="8">
        <f t="array" ref="C3328">PRODUCT(1-'Sparkling Model'!D$2:D$38^A3328)</f>
        <v>0.3752955166</v>
      </c>
    </row>
    <row r="3329">
      <c r="A3329" s="6">
        <v>3327.0</v>
      </c>
      <c r="B3329" s="17">
        <f t="array" ref="B3329">SUM(1-'Sparkling Model'!D$2:D$38^A3329)</f>
        <v>36.09803123</v>
      </c>
      <c r="C3329" s="8">
        <f t="array" ref="C3329">PRODUCT(1-'Sparkling Model'!D$2:D$38^A3329)</f>
        <v>0.3755545304</v>
      </c>
    </row>
    <row r="3330">
      <c r="A3330" s="6">
        <v>3328.0</v>
      </c>
      <c r="B3330" s="17">
        <f t="array" ref="B3330">SUM(1-'Sparkling Model'!D$2:D$38^A3330)</f>
        <v>36.09863454</v>
      </c>
      <c r="C3330" s="8">
        <f t="array" ref="C3330">PRODUCT(1-'Sparkling Model'!D$2:D$38^A3330)</f>
        <v>0.3758134942</v>
      </c>
    </row>
    <row r="3331">
      <c r="A3331" s="6">
        <v>3329.0</v>
      </c>
      <c r="B3331" s="17">
        <f t="array" ref="B3331">SUM(1-'Sparkling Model'!D$2:D$38^A3331)</f>
        <v>36.09923734</v>
      </c>
      <c r="C3331" s="8">
        <f t="array" ref="C3331">PRODUCT(1-'Sparkling Model'!D$2:D$38^A3331)</f>
        <v>0.376072408</v>
      </c>
    </row>
    <row r="3332">
      <c r="A3332" s="6">
        <v>3330.0</v>
      </c>
      <c r="B3332" s="17">
        <f t="array" ref="B3332">SUM(1-'Sparkling Model'!D$2:D$38^A3332)</f>
        <v>36.09983964</v>
      </c>
      <c r="C3332" s="8">
        <f t="array" ref="C3332">PRODUCT(1-'Sparkling Model'!D$2:D$38^A3332)</f>
        <v>0.3763312715</v>
      </c>
    </row>
    <row r="3333">
      <c r="A3333" s="6">
        <v>3331.0</v>
      </c>
      <c r="B3333" s="17">
        <f t="array" ref="B3333">SUM(1-'Sparkling Model'!D$2:D$38^A3333)</f>
        <v>36.10044143</v>
      </c>
      <c r="C3333" s="8">
        <f t="array" ref="C3333">PRODUCT(1-'Sparkling Model'!D$2:D$38^A3333)</f>
        <v>0.3765900848</v>
      </c>
    </row>
    <row r="3334">
      <c r="A3334" s="6">
        <v>3332.0</v>
      </c>
      <c r="B3334" s="17">
        <f t="array" ref="B3334">SUM(1-'Sparkling Model'!D$2:D$38^A3334)</f>
        <v>36.10104272</v>
      </c>
      <c r="C3334" s="8">
        <f t="array" ref="C3334">PRODUCT(1-'Sparkling Model'!D$2:D$38^A3334)</f>
        <v>0.3768488478</v>
      </c>
    </row>
    <row r="3335">
      <c r="A3335" s="6">
        <v>3333.0</v>
      </c>
      <c r="B3335" s="17">
        <f t="array" ref="B3335">SUM(1-'Sparkling Model'!D$2:D$38^A3335)</f>
        <v>36.1016435</v>
      </c>
      <c r="C3335" s="8">
        <f t="array" ref="C3335">PRODUCT(1-'Sparkling Model'!D$2:D$38^A3335)</f>
        <v>0.3771075603</v>
      </c>
    </row>
    <row r="3336">
      <c r="A3336" s="6">
        <v>3334.0</v>
      </c>
      <c r="B3336" s="17">
        <f t="array" ref="B3336">SUM(1-'Sparkling Model'!D$2:D$38^A3336)</f>
        <v>36.10224378</v>
      </c>
      <c r="C3336" s="8">
        <f t="array" ref="C3336">PRODUCT(1-'Sparkling Model'!D$2:D$38^A3336)</f>
        <v>0.3773662222</v>
      </c>
    </row>
    <row r="3337">
      <c r="A3337" s="6">
        <v>3335.0</v>
      </c>
      <c r="B3337" s="17">
        <f t="array" ref="B3337">SUM(1-'Sparkling Model'!D$2:D$38^A3337)</f>
        <v>36.10284356</v>
      </c>
      <c r="C3337" s="8">
        <f t="array" ref="C3337">PRODUCT(1-'Sparkling Model'!D$2:D$38^A3337)</f>
        <v>0.3776248336</v>
      </c>
    </row>
    <row r="3338">
      <c r="A3338" s="6">
        <v>3336.0</v>
      </c>
      <c r="B3338" s="17">
        <f t="array" ref="B3338">SUM(1-'Sparkling Model'!D$2:D$38^A3338)</f>
        <v>36.10344284</v>
      </c>
      <c r="C3338" s="8">
        <f t="array" ref="C3338">PRODUCT(1-'Sparkling Model'!D$2:D$38^A3338)</f>
        <v>0.3778833942</v>
      </c>
    </row>
    <row r="3339">
      <c r="A3339" s="6">
        <v>3337.0</v>
      </c>
      <c r="B3339" s="17">
        <f t="array" ref="B3339">SUM(1-'Sparkling Model'!D$2:D$38^A3339)</f>
        <v>36.10404161</v>
      </c>
      <c r="C3339" s="8">
        <f t="array" ref="C3339">PRODUCT(1-'Sparkling Model'!D$2:D$38^A3339)</f>
        <v>0.378141904</v>
      </c>
    </row>
    <row r="3340">
      <c r="A3340" s="6">
        <v>3338.0</v>
      </c>
      <c r="B3340" s="17">
        <f t="array" ref="B3340">SUM(1-'Sparkling Model'!D$2:D$38^A3340)</f>
        <v>36.10463989</v>
      </c>
      <c r="C3340" s="8">
        <f t="array" ref="C3340">PRODUCT(1-'Sparkling Model'!D$2:D$38^A3340)</f>
        <v>0.3784003628</v>
      </c>
    </row>
    <row r="3341">
      <c r="A3341" s="6">
        <v>3339.0</v>
      </c>
      <c r="B3341" s="17">
        <f t="array" ref="B3341">SUM(1-'Sparkling Model'!D$2:D$38^A3341)</f>
        <v>36.10523766</v>
      </c>
      <c r="C3341" s="8">
        <f t="array" ref="C3341">PRODUCT(1-'Sparkling Model'!D$2:D$38^A3341)</f>
        <v>0.3786587707</v>
      </c>
    </row>
    <row r="3342">
      <c r="A3342" s="6">
        <v>3340.0</v>
      </c>
      <c r="B3342" s="17">
        <f t="array" ref="B3342">SUM(1-'Sparkling Model'!D$2:D$38^A3342)</f>
        <v>36.10583493</v>
      </c>
      <c r="C3342" s="8">
        <f t="array" ref="C3342">PRODUCT(1-'Sparkling Model'!D$2:D$38^A3342)</f>
        <v>0.3789171275</v>
      </c>
    </row>
    <row r="3343">
      <c r="A3343" s="6">
        <v>3341.0</v>
      </c>
      <c r="B3343" s="17">
        <f t="array" ref="B3343">SUM(1-'Sparkling Model'!D$2:D$38^A3343)</f>
        <v>36.10643171</v>
      </c>
      <c r="C3343" s="8">
        <f t="array" ref="C3343">PRODUCT(1-'Sparkling Model'!D$2:D$38^A3343)</f>
        <v>0.3791754331</v>
      </c>
    </row>
    <row r="3344">
      <c r="A3344" s="6">
        <v>3342.0</v>
      </c>
      <c r="B3344" s="17">
        <f t="array" ref="B3344">SUM(1-'Sparkling Model'!D$2:D$38^A3344)</f>
        <v>36.10702798</v>
      </c>
      <c r="C3344" s="8">
        <f t="array" ref="C3344">PRODUCT(1-'Sparkling Model'!D$2:D$38^A3344)</f>
        <v>0.3794336875</v>
      </c>
    </row>
    <row r="3345">
      <c r="A3345" s="6">
        <v>3343.0</v>
      </c>
      <c r="B3345" s="17">
        <f t="array" ref="B3345">SUM(1-'Sparkling Model'!D$2:D$38^A3345)</f>
        <v>36.10762376</v>
      </c>
      <c r="C3345" s="8">
        <f t="array" ref="C3345">PRODUCT(1-'Sparkling Model'!D$2:D$38^A3345)</f>
        <v>0.3796918905</v>
      </c>
    </row>
    <row r="3346">
      <c r="A3346" s="6">
        <v>3344.0</v>
      </c>
      <c r="B3346" s="17">
        <f t="array" ref="B3346">SUM(1-'Sparkling Model'!D$2:D$38^A3346)</f>
        <v>36.10821904</v>
      </c>
      <c r="C3346" s="8">
        <f t="array" ref="C3346">PRODUCT(1-'Sparkling Model'!D$2:D$38^A3346)</f>
        <v>0.379950042</v>
      </c>
    </row>
    <row r="3347">
      <c r="A3347" s="6">
        <v>3345.0</v>
      </c>
      <c r="B3347" s="17">
        <f t="array" ref="B3347">SUM(1-'Sparkling Model'!D$2:D$38^A3347)</f>
        <v>36.10881382</v>
      </c>
      <c r="C3347" s="8">
        <f t="array" ref="C3347">PRODUCT(1-'Sparkling Model'!D$2:D$38^A3347)</f>
        <v>0.380208142</v>
      </c>
    </row>
    <row r="3348">
      <c r="A3348" s="6">
        <v>3346.0</v>
      </c>
      <c r="B3348" s="17">
        <f t="array" ref="B3348">SUM(1-'Sparkling Model'!D$2:D$38^A3348)</f>
        <v>36.10940811</v>
      </c>
      <c r="C3348" s="8">
        <f t="array" ref="C3348">PRODUCT(1-'Sparkling Model'!D$2:D$38^A3348)</f>
        <v>0.3804661904</v>
      </c>
    </row>
    <row r="3349">
      <c r="A3349" s="6">
        <v>3347.0</v>
      </c>
      <c r="B3349" s="17">
        <f t="array" ref="B3349">SUM(1-'Sparkling Model'!D$2:D$38^A3349)</f>
        <v>36.1100019</v>
      </c>
      <c r="C3349" s="8">
        <f t="array" ref="C3349">PRODUCT(1-'Sparkling Model'!D$2:D$38^A3349)</f>
        <v>0.380724187</v>
      </c>
    </row>
    <row r="3350">
      <c r="A3350" s="6">
        <v>3348.0</v>
      </c>
      <c r="B3350" s="17">
        <f t="array" ref="B3350">SUM(1-'Sparkling Model'!D$2:D$38^A3350)</f>
        <v>36.11059519</v>
      </c>
      <c r="C3350" s="8">
        <f t="array" ref="C3350">PRODUCT(1-'Sparkling Model'!D$2:D$38^A3350)</f>
        <v>0.3809821319</v>
      </c>
    </row>
    <row r="3351">
      <c r="A3351" s="6">
        <v>3349.0</v>
      </c>
      <c r="B3351" s="17">
        <f t="array" ref="B3351">SUM(1-'Sparkling Model'!D$2:D$38^A3351)</f>
        <v>36.11118799</v>
      </c>
      <c r="C3351" s="8">
        <f t="array" ref="C3351">PRODUCT(1-'Sparkling Model'!D$2:D$38^A3351)</f>
        <v>0.3812400248</v>
      </c>
    </row>
    <row r="3352">
      <c r="A3352" s="6">
        <v>3350.0</v>
      </c>
      <c r="B3352" s="17">
        <f t="array" ref="B3352">SUM(1-'Sparkling Model'!D$2:D$38^A3352)</f>
        <v>36.1117803</v>
      </c>
      <c r="C3352" s="8">
        <f t="array" ref="C3352">PRODUCT(1-'Sparkling Model'!D$2:D$38^A3352)</f>
        <v>0.3814978658</v>
      </c>
    </row>
    <row r="3353">
      <c r="A3353" s="6">
        <v>3351.0</v>
      </c>
      <c r="B3353" s="17">
        <f t="array" ref="B3353">SUM(1-'Sparkling Model'!D$2:D$38^A3353)</f>
        <v>36.11237211</v>
      </c>
      <c r="C3353" s="8">
        <f t="array" ref="C3353">PRODUCT(1-'Sparkling Model'!D$2:D$38^A3353)</f>
        <v>0.3817556547</v>
      </c>
    </row>
    <row r="3354">
      <c r="A3354" s="6">
        <v>3352.0</v>
      </c>
      <c r="B3354" s="17">
        <f t="array" ref="B3354">SUM(1-'Sparkling Model'!D$2:D$38^A3354)</f>
        <v>36.11296343</v>
      </c>
      <c r="C3354" s="8">
        <f t="array" ref="C3354">PRODUCT(1-'Sparkling Model'!D$2:D$38^A3354)</f>
        <v>0.3820133914</v>
      </c>
    </row>
    <row r="3355">
      <c r="A3355" s="6">
        <v>3353.0</v>
      </c>
      <c r="B3355" s="17">
        <f t="array" ref="B3355">SUM(1-'Sparkling Model'!D$2:D$38^A3355)</f>
        <v>36.11355425</v>
      </c>
      <c r="C3355" s="8">
        <f t="array" ref="C3355">PRODUCT(1-'Sparkling Model'!D$2:D$38^A3355)</f>
        <v>0.3822710759</v>
      </c>
    </row>
    <row r="3356">
      <c r="A3356" s="6">
        <v>3354.0</v>
      </c>
      <c r="B3356" s="17">
        <f t="array" ref="B3356">SUM(1-'Sparkling Model'!D$2:D$38^A3356)</f>
        <v>36.11414458</v>
      </c>
      <c r="C3356" s="8">
        <f t="array" ref="C3356">PRODUCT(1-'Sparkling Model'!D$2:D$38^A3356)</f>
        <v>0.382528708</v>
      </c>
    </row>
    <row r="3357">
      <c r="A3357" s="6">
        <v>3355.0</v>
      </c>
      <c r="B3357" s="17">
        <f t="array" ref="B3357">SUM(1-'Sparkling Model'!D$2:D$38^A3357)</f>
        <v>36.11473442</v>
      </c>
      <c r="C3357" s="8">
        <f t="array" ref="C3357">PRODUCT(1-'Sparkling Model'!D$2:D$38^A3357)</f>
        <v>0.3827862877</v>
      </c>
    </row>
    <row r="3358">
      <c r="A3358" s="6">
        <v>3356.0</v>
      </c>
      <c r="B3358" s="17">
        <f t="array" ref="B3358">SUM(1-'Sparkling Model'!D$2:D$38^A3358)</f>
        <v>36.11532377</v>
      </c>
      <c r="C3358" s="8">
        <f t="array" ref="C3358">PRODUCT(1-'Sparkling Model'!D$2:D$38^A3358)</f>
        <v>0.3830438149</v>
      </c>
    </row>
    <row r="3359">
      <c r="A3359" s="6">
        <v>3357.0</v>
      </c>
      <c r="B3359" s="17">
        <f t="array" ref="B3359">SUM(1-'Sparkling Model'!D$2:D$38^A3359)</f>
        <v>36.11591263</v>
      </c>
      <c r="C3359" s="8">
        <f t="array" ref="C3359">PRODUCT(1-'Sparkling Model'!D$2:D$38^A3359)</f>
        <v>0.3833012895</v>
      </c>
    </row>
    <row r="3360">
      <c r="A3360" s="6">
        <v>3358.0</v>
      </c>
      <c r="B3360" s="17">
        <f t="array" ref="B3360">SUM(1-'Sparkling Model'!D$2:D$38^A3360)</f>
        <v>36.116501</v>
      </c>
      <c r="C3360" s="8">
        <f t="array" ref="C3360">PRODUCT(1-'Sparkling Model'!D$2:D$38^A3360)</f>
        <v>0.3835587114</v>
      </c>
    </row>
    <row r="3361">
      <c r="A3361" s="6">
        <v>3359.0</v>
      </c>
      <c r="B3361" s="17">
        <f t="array" ref="B3361">SUM(1-'Sparkling Model'!D$2:D$38^A3361)</f>
        <v>36.11708888</v>
      </c>
      <c r="C3361" s="8">
        <f t="array" ref="C3361">PRODUCT(1-'Sparkling Model'!D$2:D$38^A3361)</f>
        <v>0.3838160805</v>
      </c>
    </row>
    <row r="3362">
      <c r="A3362" s="6">
        <v>3360.0</v>
      </c>
      <c r="B3362" s="17">
        <f t="array" ref="B3362">SUM(1-'Sparkling Model'!D$2:D$38^A3362)</f>
        <v>36.11767627</v>
      </c>
      <c r="C3362" s="8">
        <f t="array" ref="C3362">PRODUCT(1-'Sparkling Model'!D$2:D$38^A3362)</f>
        <v>0.3840733968</v>
      </c>
    </row>
    <row r="3363">
      <c r="A3363" s="6">
        <v>3361.0</v>
      </c>
      <c r="B3363" s="17">
        <f t="array" ref="B3363">SUM(1-'Sparkling Model'!D$2:D$38^A3363)</f>
        <v>36.11826317</v>
      </c>
      <c r="C3363" s="8">
        <f t="array" ref="C3363">PRODUCT(1-'Sparkling Model'!D$2:D$38^A3363)</f>
        <v>0.3843306601</v>
      </c>
    </row>
    <row r="3364">
      <c r="A3364" s="6">
        <v>3362.0</v>
      </c>
      <c r="B3364" s="17">
        <f t="array" ref="B3364">SUM(1-'Sparkling Model'!D$2:D$38^A3364)</f>
        <v>36.11884958</v>
      </c>
      <c r="C3364" s="8">
        <f t="array" ref="C3364">PRODUCT(1-'Sparkling Model'!D$2:D$38^A3364)</f>
        <v>0.3845878704</v>
      </c>
    </row>
    <row r="3365">
      <c r="A3365" s="6">
        <v>3363.0</v>
      </c>
      <c r="B3365" s="17">
        <f t="array" ref="B3365">SUM(1-'Sparkling Model'!D$2:D$38^A3365)</f>
        <v>36.11943551</v>
      </c>
      <c r="C3365" s="8">
        <f t="array" ref="C3365">PRODUCT(1-'Sparkling Model'!D$2:D$38^A3365)</f>
        <v>0.3848450275</v>
      </c>
    </row>
    <row r="3366">
      <c r="A3366" s="6">
        <v>3364.0</v>
      </c>
      <c r="B3366" s="17">
        <f t="array" ref="B3366">SUM(1-'Sparkling Model'!D$2:D$38^A3366)</f>
        <v>36.12002094</v>
      </c>
      <c r="C3366" s="8">
        <f t="array" ref="C3366">PRODUCT(1-'Sparkling Model'!D$2:D$38^A3366)</f>
        <v>0.3851021315</v>
      </c>
    </row>
    <row r="3367">
      <c r="A3367" s="6">
        <v>3365.0</v>
      </c>
      <c r="B3367" s="17">
        <f t="array" ref="B3367">SUM(1-'Sparkling Model'!D$2:D$38^A3367)</f>
        <v>36.1206059</v>
      </c>
      <c r="C3367" s="8">
        <f t="array" ref="C3367">PRODUCT(1-'Sparkling Model'!D$2:D$38^A3367)</f>
        <v>0.3853591822</v>
      </c>
    </row>
    <row r="3368">
      <c r="A3368" s="6">
        <v>3366.0</v>
      </c>
      <c r="B3368" s="17">
        <f t="array" ref="B3368">SUM(1-'Sparkling Model'!D$2:D$38^A3368)</f>
        <v>36.12119036</v>
      </c>
      <c r="C3368" s="8">
        <f t="array" ref="C3368">PRODUCT(1-'Sparkling Model'!D$2:D$38^A3368)</f>
        <v>0.3856161794</v>
      </c>
    </row>
    <row r="3369">
      <c r="A3369" s="6">
        <v>3367.0</v>
      </c>
      <c r="B3369" s="17">
        <f t="array" ref="B3369">SUM(1-'Sparkling Model'!D$2:D$38^A3369)</f>
        <v>36.12177434</v>
      </c>
      <c r="C3369" s="8">
        <f t="array" ref="C3369">PRODUCT(1-'Sparkling Model'!D$2:D$38^A3369)</f>
        <v>0.3858731232</v>
      </c>
    </row>
    <row r="3370">
      <c r="A3370" s="6">
        <v>3368.0</v>
      </c>
      <c r="B3370" s="17">
        <f t="array" ref="B3370">SUM(1-'Sparkling Model'!D$2:D$38^A3370)</f>
        <v>36.12235784</v>
      </c>
      <c r="C3370" s="8">
        <f t="array" ref="C3370">PRODUCT(1-'Sparkling Model'!D$2:D$38^A3370)</f>
        <v>0.3861300135</v>
      </c>
    </row>
    <row r="3371">
      <c r="A3371" s="6">
        <v>3369.0</v>
      </c>
      <c r="B3371" s="17">
        <f t="array" ref="B3371">SUM(1-'Sparkling Model'!D$2:D$38^A3371)</f>
        <v>36.12294085</v>
      </c>
      <c r="C3371" s="8">
        <f t="array" ref="C3371">PRODUCT(1-'Sparkling Model'!D$2:D$38^A3371)</f>
        <v>0.3863868501</v>
      </c>
    </row>
    <row r="3372">
      <c r="A3372" s="6">
        <v>3370.0</v>
      </c>
      <c r="B3372" s="17">
        <f t="array" ref="B3372">SUM(1-'Sparkling Model'!D$2:D$38^A3372)</f>
        <v>36.12352337</v>
      </c>
      <c r="C3372" s="8">
        <f t="array" ref="C3372">PRODUCT(1-'Sparkling Model'!D$2:D$38^A3372)</f>
        <v>0.386643633</v>
      </c>
    </row>
    <row r="3373">
      <c r="A3373" s="6">
        <v>3371.0</v>
      </c>
      <c r="B3373" s="17">
        <f t="array" ref="B3373">SUM(1-'Sparkling Model'!D$2:D$38^A3373)</f>
        <v>36.12410542</v>
      </c>
      <c r="C3373" s="8">
        <f t="array" ref="C3373">PRODUCT(1-'Sparkling Model'!D$2:D$38^A3373)</f>
        <v>0.3869003622</v>
      </c>
    </row>
    <row r="3374">
      <c r="A3374" s="6">
        <v>3372.0</v>
      </c>
      <c r="B3374" s="17">
        <f t="array" ref="B3374">SUM(1-'Sparkling Model'!D$2:D$38^A3374)</f>
        <v>36.12468698</v>
      </c>
      <c r="C3374" s="8">
        <f t="array" ref="C3374">PRODUCT(1-'Sparkling Model'!D$2:D$38^A3374)</f>
        <v>0.3871570374</v>
      </c>
    </row>
    <row r="3375">
      <c r="A3375" s="6">
        <v>3373.0</v>
      </c>
      <c r="B3375" s="17">
        <f t="array" ref="B3375">SUM(1-'Sparkling Model'!D$2:D$38^A3375)</f>
        <v>36.12526805</v>
      </c>
      <c r="C3375" s="8">
        <f t="array" ref="C3375">PRODUCT(1-'Sparkling Model'!D$2:D$38^A3375)</f>
        <v>0.3874136586</v>
      </c>
    </row>
    <row r="3376">
      <c r="A3376" s="6">
        <v>3374.0</v>
      </c>
      <c r="B3376" s="17">
        <f t="array" ref="B3376">SUM(1-'Sparkling Model'!D$2:D$38^A3376)</f>
        <v>36.12584865</v>
      </c>
      <c r="C3376" s="8">
        <f t="array" ref="C3376">PRODUCT(1-'Sparkling Model'!D$2:D$38^A3376)</f>
        <v>0.3876702258</v>
      </c>
    </row>
    <row r="3377">
      <c r="A3377" s="6">
        <v>3375.0</v>
      </c>
      <c r="B3377" s="17">
        <f t="array" ref="B3377">SUM(1-'Sparkling Model'!D$2:D$38^A3377)</f>
        <v>36.12642876</v>
      </c>
      <c r="C3377" s="8">
        <f t="array" ref="C3377">PRODUCT(1-'Sparkling Model'!D$2:D$38^A3377)</f>
        <v>0.3879267388</v>
      </c>
    </row>
    <row r="3378">
      <c r="A3378" s="6">
        <v>3376.0</v>
      </c>
      <c r="B3378" s="17">
        <f t="array" ref="B3378">SUM(1-'Sparkling Model'!D$2:D$38^A3378)</f>
        <v>36.1270084</v>
      </c>
      <c r="C3378" s="8">
        <f t="array" ref="C3378">PRODUCT(1-'Sparkling Model'!D$2:D$38^A3378)</f>
        <v>0.3881831976</v>
      </c>
    </row>
    <row r="3379">
      <c r="A3379" s="6">
        <v>3377.0</v>
      </c>
      <c r="B3379" s="17">
        <f t="array" ref="B3379">SUM(1-'Sparkling Model'!D$2:D$38^A3379)</f>
        <v>36.12758755</v>
      </c>
      <c r="C3379" s="8">
        <f t="array" ref="C3379">PRODUCT(1-'Sparkling Model'!D$2:D$38^A3379)</f>
        <v>0.3884396021</v>
      </c>
    </row>
    <row r="3380">
      <c r="A3380" s="6">
        <v>3378.0</v>
      </c>
      <c r="B3380" s="17">
        <f t="array" ref="B3380">SUM(1-'Sparkling Model'!D$2:D$38^A3380)</f>
        <v>36.12816622</v>
      </c>
      <c r="C3380" s="8">
        <f t="array" ref="C3380">PRODUCT(1-'Sparkling Model'!D$2:D$38^A3380)</f>
        <v>0.3886959523</v>
      </c>
    </row>
    <row r="3381">
      <c r="A3381" s="6">
        <v>3379.0</v>
      </c>
      <c r="B3381" s="17">
        <f t="array" ref="B3381">SUM(1-'Sparkling Model'!D$2:D$38^A3381)</f>
        <v>36.12874442</v>
      </c>
      <c r="C3381" s="8">
        <f t="array" ref="C3381">PRODUCT(1-'Sparkling Model'!D$2:D$38^A3381)</f>
        <v>0.3889522479</v>
      </c>
    </row>
    <row r="3382">
      <c r="A3382" s="6">
        <v>3380.0</v>
      </c>
      <c r="B3382" s="17">
        <f t="array" ref="B3382">SUM(1-'Sparkling Model'!D$2:D$38^A3382)</f>
        <v>36.12932213</v>
      </c>
      <c r="C3382" s="8">
        <f t="array" ref="C3382">PRODUCT(1-'Sparkling Model'!D$2:D$38^A3382)</f>
        <v>0.389208489</v>
      </c>
    </row>
    <row r="3383">
      <c r="A3383" s="6">
        <v>3381.0</v>
      </c>
      <c r="B3383" s="17">
        <f t="array" ref="B3383">SUM(1-'Sparkling Model'!D$2:D$38^A3383)</f>
        <v>36.12989937</v>
      </c>
      <c r="C3383" s="8">
        <f t="array" ref="C3383">PRODUCT(1-'Sparkling Model'!D$2:D$38^A3383)</f>
        <v>0.3894646754</v>
      </c>
    </row>
    <row r="3384">
      <c r="A3384" s="6">
        <v>3382.0</v>
      </c>
      <c r="B3384" s="17">
        <f t="array" ref="B3384">SUM(1-'Sparkling Model'!D$2:D$38^A3384)</f>
        <v>36.13047613</v>
      </c>
      <c r="C3384" s="8">
        <f t="array" ref="C3384">PRODUCT(1-'Sparkling Model'!D$2:D$38^A3384)</f>
        <v>0.3897208071</v>
      </c>
    </row>
    <row r="3385">
      <c r="A3385" s="6">
        <v>3383.0</v>
      </c>
      <c r="B3385" s="17">
        <f t="array" ref="B3385">SUM(1-'Sparkling Model'!D$2:D$38^A3385)</f>
        <v>36.13105241</v>
      </c>
      <c r="C3385" s="8">
        <f t="array" ref="C3385">PRODUCT(1-'Sparkling Model'!D$2:D$38^A3385)</f>
        <v>0.3899768841</v>
      </c>
    </row>
    <row r="3386">
      <c r="A3386" s="6">
        <v>3384.0</v>
      </c>
      <c r="B3386" s="17">
        <f t="array" ref="B3386">SUM(1-'Sparkling Model'!D$2:D$38^A3386)</f>
        <v>36.13162822</v>
      </c>
      <c r="C3386" s="8">
        <f t="array" ref="C3386">PRODUCT(1-'Sparkling Model'!D$2:D$38^A3386)</f>
        <v>0.3902329061</v>
      </c>
    </row>
    <row r="3387">
      <c r="A3387" s="6">
        <v>3385.0</v>
      </c>
      <c r="B3387" s="17">
        <f t="array" ref="B3387">SUM(1-'Sparkling Model'!D$2:D$38^A3387)</f>
        <v>36.13220355</v>
      </c>
      <c r="C3387" s="8">
        <f t="array" ref="C3387">PRODUCT(1-'Sparkling Model'!D$2:D$38^A3387)</f>
        <v>0.3904888731</v>
      </c>
    </row>
    <row r="3388">
      <c r="A3388" s="6">
        <v>3386.0</v>
      </c>
      <c r="B3388" s="17">
        <f t="array" ref="B3388">SUM(1-'Sparkling Model'!D$2:D$38^A3388)</f>
        <v>36.1327784</v>
      </c>
      <c r="C3388" s="8">
        <f t="array" ref="C3388">PRODUCT(1-'Sparkling Model'!D$2:D$38^A3388)</f>
        <v>0.3907447851</v>
      </c>
    </row>
    <row r="3389">
      <c r="A3389" s="6">
        <v>3387.0</v>
      </c>
      <c r="B3389" s="17">
        <f t="array" ref="B3389">SUM(1-'Sparkling Model'!D$2:D$38^A3389)</f>
        <v>36.13335278</v>
      </c>
      <c r="C3389" s="8">
        <f t="array" ref="C3389">PRODUCT(1-'Sparkling Model'!D$2:D$38^A3389)</f>
        <v>0.391000642</v>
      </c>
    </row>
    <row r="3390">
      <c r="A3390" s="6">
        <v>3388.0</v>
      </c>
      <c r="B3390" s="17">
        <f t="array" ref="B3390">SUM(1-'Sparkling Model'!D$2:D$38^A3390)</f>
        <v>36.13392668</v>
      </c>
      <c r="C3390" s="8">
        <f t="array" ref="C3390">PRODUCT(1-'Sparkling Model'!D$2:D$38^A3390)</f>
        <v>0.3912564437</v>
      </c>
    </row>
    <row r="3391">
      <c r="A3391" s="6">
        <v>3389.0</v>
      </c>
      <c r="B3391" s="17">
        <f t="array" ref="B3391">SUM(1-'Sparkling Model'!D$2:D$38^A3391)</f>
        <v>36.13450011</v>
      </c>
      <c r="C3391" s="8">
        <f t="array" ref="C3391">PRODUCT(1-'Sparkling Model'!D$2:D$38^A3391)</f>
        <v>0.39151219</v>
      </c>
    </row>
    <row r="3392">
      <c r="A3392" s="6">
        <v>3390.0</v>
      </c>
      <c r="B3392" s="17">
        <f t="array" ref="B3392">SUM(1-'Sparkling Model'!D$2:D$38^A3392)</f>
        <v>36.13507306</v>
      </c>
      <c r="C3392" s="8">
        <f t="array" ref="C3392">PRODUCT(1-'Sparkling Model'!D$2:D$38^A3392)</f>
        <v>0.391767881</v>
      </c>
    </row>
    <row r="3393">
      <c r="A3393" s="6">
        <v>3391.0</v>
      </c>
      <c r="B3393" s="17">
        <f t="array" ref="B3393">SUM(1-'Sparkling Model'!D$2:D$38^A3393)</f>
        <v>36.13564555</v>
      </c>
      <c r="C3393" s="8">
        <f t="array" ref="C3393">PRODUCT(1-'Sparkling Model'!D$2:D$38^A3393)</f>
        <v>0.3920235165</v>
      </c>
    </row>
    <row r="3394">
      <c r="A3394" s="6">
        <v>3392.0</v>
      </c>
      <c r="B3394" s="17">
        <f t="array" ref="B3394">SUM(1-'Sparkling Model'!D$2:D$38^A3394)</f>
        <v>36.13621756</v>
      </c>
      <c r="C3394" s="8">
        <f t="array" ref="C3394">PRODUCT(1-'Sparkling Model'!D$2:D$38^A3394)</f>
        <v>0.3922790965</v>
      </c>
    </row>
    <row r="3395">
      <c r="A3395" s="6">
        <v>3393.0</v>
      </c>
      <c r="B3395" s="17">
        <f t="array" ref="B3395">SUM(1-'Sparkling Model'!D$2:D$38^A3395)</f>
        <v>36.13678909</v>
      </c>
      <c r="C3395" s="8">
        <f t="array" ref="C3395">PRODUCT(1-'Sparkling Model'!D$2:D$38^A3395)</f>
        <v>0.3925346209</v>
      </c>
    </row>
    <row r="3396">
      <c r="A3396" s="6">
        <v>3394.0</v>
      </c>
      <c r="B3396" s="17">
        <f t="array" ref="B3396">SUM(1-'Sparkling Model'!D$2:D$38^A3396)</f>
        <v>36.13736016</v>
      </c>
      <c r="C3396" s="8">
        <f t="array" ref="C3396">PRODUCT(1-'Sparkling Model'!D$2:D$38^A3396)</f>
        <v>0.3927900895</v>
      </c>
    </row>
    <row r="3397">
      <c r="A3397" s="6">
        <v>3395.0</v>
      </c>
      <c r="B3397" s="17">
        <f t="array" ref="B3397">SUM(1-'Sparkling Model'!D$2:D$38^A3397)</f>
        <v>36.13793075</v>
      </c>
      <c r="C3397" s="8">
        <f t="array" ref="C3397">PRODUCT(1-'Sparkling Model'!D$2:D$38^A3397)</f>
        <v>0.3930455024</v>
      </c>
    </row>
    <row r="3398">
      <c r="A3398" s="6">
        <v>3396.0</v>
      </c>
      <c r="B3398" s="17">
        <f t="array" ref="B3398">SUM(1-'Sparkling Model'!D$2:D$38^A3398)</f>
        <v>36.13850088</v>
      </c>
      <c r="C3398" s="8">
        <f t="array" ref="C3398">PRODUCT(1-'Sparkling Model'!D$2:D$38^A3398)</f>
        <v>0.3933008595</v>
      </c>
    </row>
    <row r="3399">
      <c r="A3399" s="6">
        <v>3397.0</v>
      </c>
      <c r="B3399" s="17">
        <f t="array" ref="B3399">SUM(1-'Sparkling Model'!D$2:D$38^A3399)</f>
        <v>36.13907053</v>
      </c>
      <c r="C3399" s="8">
        <f t="array" ref="C3399">PRODUCT(1-'Sparkling Model'!D$2:D$38^A3399)</f>
        <v>0.3935561605</v>
      </c>
    </row>
    <row r="3400">
      <c r="A3400" s="6">
        <v>3398.0</v>
      </c>
      <c r="B3400" s="17">
        <f t="array" ref="B3400">SUM(1-'Sparkling Model'!D$2:D$38^A3400)</f>
        <v>36.13963971</v>
      </c>
      <c r="C3400" s="8">
        <f t="array" ref="C3400">PRODUCT(1-'Sparkling Model'!D$2:D$38^A3400)</f>
        <v>0.3938114056</v>
      </c>
    </row>
    <row r="3401">
      <c r="A3401" s="6">
        <v>3399.0</v>
      </c>
      <c r="B3401" s="17">
        <f t="array" ref="B3401">SUM(1-'Sparkling Model'!D$2:D$38^A3401)</f>
        <v>36.14020843</v>
      </c>
      <c r="C3401" s="8">
        <f t="array" ref="C3401">PRODUCT(1-'Sparkling Model'!D$2:D$38^A3401)</f>
        <v>0.3940665946</v>
      </c>
    </row>
    <row r="3402">
      <c r="A3402" s="6">
        <v>3400.0</v>
      </c>
      <c r="B3402" s="17">
        <f t="array" ref="B3402">SUM(1-'Sparkling Model'!D$2:D$38^A3402)</f>
        <v>36.14077667</v>
      </c>
      <c r="C3402" s="8">
        <f t="array" ref="C3402">PRODUCT(1-'Sparkling Model'!D$2:D$38^A3402)</f>
        <v>0.3943217274</v>
      </c>
    </row>
    <row r="3403">
      <c r="A3403" s="6">
        <v>3401.0</v>
      </c>
      <c r="B3403" s="17">
        <f t="array" ref="B3403">SUM(1-'Sparkling Model'!D$2:D$38^A3403)</f>
        <v>36.14134445</v>
      </c>
      <c r="C3403" s="8">
        <f t="array" ref="C3403">PRODUCT(1-'Sparkling Model'!D$2:D$38^A3403)</f>
        <v>0.3945768039</v>
      </c>
    </row>
    <row r="3404">
      <c r="A3404" s="6">
        <v>3402.0</v>
      </c>
      <c r="B3404" s="17">
        <f t="array" ref="B3404">SUM(1-'Sparkling Model'!D$2:D$38^A3404)</f>
        <v>36.14191176</v>
      </c>
      <c r="C3404" s="8">
        <f t="array" ref="C3404">PRODUCT(1-'Sparkling Model'!D$2:D$38^A3404)</f>
        <v>0.3948318241</v>
      </c>
    </row>
    <row r="3405">
      <c r="A3405" s="6">
        <v>3403.0</v>
      </c>
      <c r="B3405" s="17">
        <f t="array" ref="B3405">SUM(1-'Sparkling Model'!D$2:D$38^A3405)</f>
        <v>36.14247861</v>
      </c>
      <c r="C3405" s="8">
        <f t="array" ref="C3405">PRODUCT(1-'Sparkling Model'!D$2:D$38^A3405)</f>
        <v>0.3950867879</v>
      </c>
    </row>
    <row r="3406">
      <c r="A3406" s="6">
        <v>3404.0</v>
      </c>
      <c r="B3406" s="17">
        <f t="array" ref="B3406">SUM(1-'Sparkling Model'!D$2:D$38^A3406)</f>
        <v>36.14304498</v>
      </c>
      <c r="C3406" s="8">
        <f t="array" ref="C3406">PRODUCT(1-'Sparkling Model'!D$2:D$38^A3406)</f>
        <v>0.3953416952</v>
      </c>
    </row>
    <row r="3407">
      <c r="A3407" s="6">
        <v>3405.0</v>
      </c>
      <c r="B3407" s="17">
        <f t="array" ref="B3407">SUM(1-'Sparkling Model'!D$2:D$38^A3407)</f>
        <v>36.14361089</v>
      </c>
      <c r="C3407" s="8">
        <f t="array" ref="C3407">PRODUCT(1-'Sparkling Model'!D$2:D$38^A3407)</f>
        <v>0.395596546</v>
      </c>
    </row>
    <row r="3408">
      <c r="A3408" s="6">
        <v>3406.0</v>
      </c>
      <c r="B3408" s="17">
        <f t="array" ref="B3408">SUM(1-'Sparkling Model'!D$2:D$38^A3408)</f>
        <v>36.14417634</v>
      </c>
      <c r="C3408" s="8">
        <f t="array" ref="C3408">PRODUCT(1-'Sparkling Model'!D$2:D$38^A3408)</f>
        <v>0.3958513401</v>
      </c>
    </row>
    <row r="3409">
      <c r="A3409" s="6">
        <v>3407.0</v>
      </c>
      <c r="B3409" s="17">
        <f t="array" ref="B3409">SUM(1-'Sparkling Model'!D$2:D$38^A3409)</f>
        <v>36.14474132</v>
      </c>
      <c r="C3409" s="8">
        <f t="array" ref="C3409">PRODUCT(1-'Sparkling Model'!D$2:D$38^A3409)</f>
        <v>0.3961060774</v>
      </c>
    </row>
    <row r="3410">
      <c r="A3410" s="6">
        <v>3408.0</v>
      </c>
      <c r="B3410" s="17">
        <f t="array" ref="B3410">SUM(1-'Sparkling Model'!D$2:D$38^A3410)</f>
        <v>36.14530583</v>
      </c>
      <c r="C3410" s="8">
        <f t="array" ref="C3410">PRODUCT(1-'Sparkling Model'!D$2:D$38^A3410)</f>
        <v>0.396360758</v>
      </c>
    </row>
    <row r="3411">
      <c r="A3411" s="6">
        <v>3409.0</v>
      </c>
      <c r="B3411" s="17">
        <f t="array" ref="B3411">SUM(1-'Sparkling Model'!D$2:D$38^A3411)</f>
        <v>36.14586988</v>
      </c>
      <c r="C3411" s="8">
        <f t="array" ref="C3411">PRODUCT(1-'Sparkling Model'!D$2:D$38^A3411)</f>
        <v>0.3966153817</v>
      </c>
    </row>
    <row r="3412">
      <c r="A3412" s="6">
        <v>3410.0</v>
      </c>
      <c r="B3412" s="17">
        <f t="array" ref="B3412">SUM(1-'Sparkling Model'!D$2:D$38^A3412)</f>
        <v>36.14643347</v>
      </c>
      <c r="C3412" s="8">
        <f t="array" ref="C3412">PRODUCT(1-'Sparkling Model'!D$2:D$38^A3412)</f>
        <v>0.3968699484</v>
      </c>
    </row>
    <row r="3413">
      <c r="A3413" s="6">
        <v>3411.0</v>
      </c>
      <c r="B3413" s="17">
        <f t="array" ref="B3413">SUM(1-'Sparkling Model'!D$2:D$38^A3413)</f>
        <v>36.14699659</v>
      </c>
      <c r="C3413" s="8">
        <f t="array" ref="C3413">PRODUCT(1-'Sparkling Model'!D$2:D$38^A3413)</f>
        <v>0.3971244581</v>
      </c>
    </row>
    <row r="3414">
      <c r="A3414" s="6">
        <v>3412.0</v>
      </c>
      <c r="B3414" s="17">
        <f t="array" ref="B3414">SUM(1-'Sparkling Model'!D$2:D$38^A3414)</f>
        <v>36.14755925</v>
      </c>
      <c r="C3414" s="8">
        <f t="array" ref="C3414">PRODUCT(1-'Sparkling Model'!D$2:D$38^A3414)</f>
        <v>0.3973789107</v>
      </c>
    </row>
    <row r="3415">
      <c r="A3415" s="6">
        <v>3413.0</v>
      </c>
      <c r="B3415" s="17">
        <f t="array" ref="B3415">SUM(1-'Sparkling Model'!D$2:D$38^A3415)</f>
        <v>36.14812145</v>
      </c>
      <c r="C3415" s="8">
        <f t="array" ref="C3415">PRODUCT(1-'Sparkling Model'!D$2:D$38^A3415)</f>
        <v>0.3976333061</v>
      </c>
    </row>
    <row r="3416">
      <c r="A3416" s="6">
        <v>3414.0</v>
      </c>
      <c r="B3416" s="17">
        <f t="array" ref="B3416">SUM(1-'Sparkling Model'!D$2:D$38^A3416)</f>
        <v>36.14868318</v>
      </c>
      <c r="C3416" s="8">
        <f t="array" ref="C3416">PRODUCT(1-'Sparkling Model'!D$2:D$38^A3416)</f>
        <v>0.3978876442</v>
      </c>
    </row>
    <row r="3417">
      <c r="A3417" s="6">
        <v>3415.0</v>
      </c>
      <c r="B3417" s="17">
        <f t="array" ref="B3417">SUM(1-'Sparkling Model'!D$2:D$38^A3417)</f>
        <v>36.14924446</v>
      </c>
      <c r="C3417" s="8">
        <f t="array" ref="C3417">PRODUCT(1-'Sparkling Model'!D$2:D$38^A3417)</f>
        <v>0.398141925</v>
      </c>
    </row>
    <row r="3418">
      <c r="A3418" s="6">
        <v>3416.0</v>
      </c>
      <c r="B3418" s="17">
        <f t="array" ref="B3418">SUM(1-'Sparkling Model'!D$2:D$38^A3418)</f>
        <v>36.14980527</v>
      </c>
      <c r="C3418" s="8">
        <f t="array" ref="C3418">PRODUCT(1-'Sparkling Model'!D$2:D$38^A3418)</f>
        <v>0.3983961483</v>
      </c>
    </row>
    <row r="3419">
      <c r="A3419" s="6">
        <v>3417.0</v>
      </c>
      <c r="B3419" s="17">
        <f t="array" ref="B3419">SUM(1-'Sparkling Model'!D$2:D$38^A3419)</f>
        <v>36.15036563</v>
      </c>
      <c r="C3419" s="8">
        <f t="array" ref="C3419">PRODUCT(1-'Sparkling Model'!D$2:D$38^A3419)</f>
        <v>0.3986503142</v>
      </c>
    </row>
    <row r="3420">
      <c r="A3420" s="6">
        <v>3418.0</v>
      </c>
      <c r="B3420" s="17">
        <f t="array" ref="B3420">SUM(1-'Sparkling Model'!D$2:D$38^A3420)</f>
        <v>36.15092552</v>
      </c>
      <c r="C3420" s="8">
        <f t="array" ref="C3420">PRODUCT(1-'Sparkling Model'!D$2:D$38^A3420)</f>
        <v>0.3989044225</v>
      </c>
    </row>
    <row r="3421">
      <c r="A3421" s="6">
        <v>3419.0</v>
      </c>
      <c r="B3421" s="17">
        <f t="array" ref="B3421">SUM(1-'Sparkling Model'!D$2:D$38^A3421)</f>
        <v>36.15148496</v>
      </c>
      <c r="C3421" s="8">
        <f t="array" ref="C3421">PRODUCT(1-'Sparkling Model'!D$2:D$38^A3421)</f>
        <v>0.3991584732</v>
      </c>
    </row>
    <row r="3422">
      <c r="A3422" s="6">
        <v>3420.0</v>
      </c>
      <c r="B3422" s="17">
        <f t="array" ref="B3422">SUM(1-'Sparkling Model'!D$2:D$38^A3422)</f>
        <v>36.15204393</v>
      </c>
      <c r="C3422" s="8">
        <f t="array" ref="C3422">PRODUCT(1-'Sparkling Model'!D$2:D$38^A3422)</f>
        <v>0.3994124661</v>
      </c>
    </row>
    <row r="3423">
      <c r="A3423" s="6">
        <v>3421.0</v>
      </c>
      <c r="B3423" s="17">
        <f t="array" ref="B3423">SUM(1-'Sparkling Model'!D$2:D$38^A3423)</f>
        <v>36.15260245</v>
      </c>
      <c r="C3423" s="8">
        <f t="array" ref="C3423">PRODUCT(1-'Sparkling Model'!D$2:D$38^A3423)</f>
        <v>0.3996664013</v>
      </c>
    </row>
    <row r="3424">
      <c r="A3424" s="6">
        <v>3422.0</v>
      </c>
      <c r="B3424" s="17">
        <f t="array" ref="B3424">SUM(1-'Sparkling Model'!D$2:D$38^A3424)</f>
        <v>36.15316051</v>
      </c>
      <c r="C3424" s="8">
        <f t="array" ref="C3424">PRODUCT(1-'Sparkling Model'!D$2:D$38^A3424)</f>
        <v>0.3999202786</v>
      </c>
    </row>
    <row r="3425">
      <c r="A3425" s="6">
        <v>3423.0</v>
      </c>
      <c r="B3425" s="17">
        <f t="array" ref="B3425">SUM(1-'Sparkling Model'!D$2:D$38^A3425)</f>
        <v>36.15371811</v>
      </c>
      <c r="C3425" s="8">
        <f t="array" ref="C3425">PRODUCT(1-'Sparkling Model'!D$2:D$38^A3425)</f>
        <v>0.4001740979</v>
      </c>
    </row>
    <row r="3426">
      <c r="A3426" s="6">
        <v>3424.0</v>
      </c>
      <c r="B3426" s="17">
        <f t="array" ref="B3426">SUM(1-'Sparkling Model'!D$2:D$38^A3426)</f>
        <v>36.15427526</v>
      </c>
      <c r="C3426" s="8">
        <f t="array" ref="C3426">PRODUCT(1-'Sparkling Model'!D$2:D$38^A3426)</f>
        <v>0.4004278592</v>
      </c>
    </row>
    <row r="3427">
      <c r="A3427" s="6">
        <v>3425.0</v>
      </c>
      <c r="B3427" s="17">
        <f t="array" ref="B3427">SUM(1-'Sparkling Model'!D$2:D$38^A3427)</f>
        <v>36.15483195</v>
      </c>
      <c r="C3427" s="8">
        <f t="array" ref="C3427">PRODUCT(1-'Sparkling Model'!D$2:D$38^A3427)</f>
        <v>0.4006815624</v>
      </c>
    </row>
    <row r="3428">
      <c r="A3428" s="6">
        <v>3426.0</v>
      </c>
      <c r="B3428" s="17">
        <f t="array" ref="B3428">SUM(1-'Sparkling Model'!D$2:D$38^A3428)</f>
        <v>36.15538818</v>
      </c>
      <c r="C3428" s="8">
        <f t="array" ref="C3428">PRODUCT(1-'Sparkling Model'!D$2:D$38^A3428)</f>
        <v>0.4009352075</v>
      </c>
    </row>
    <row r="3429">
      <c r="A3429" s="6">
        <v>3427.0</v>
      </c>
      <c r="B3429" s="17">
        <f t="array" ref="B3429">SUM(1-'Sparkling Model'!D$2:D$38^A3429)</f>
        <v>36.15594396</v>
      </c>
      <c r="C3429" s="8">
        <f t="array" ref="C3429">PRODUCT(1-'Sparkling Model'!D$2:D$38^A3429)</f>
        <v>0.4011887943</v>
      </c>
    </row>
    <row r="3430">
      <c r="A3430" s="6">
        <v>3428.0</v>
      </c>
      <c r="B3430" s="17">
        <f t="array" ref="B3430">SUM(1-'Sparkling Model'!D$2:D$38^A3430)</f>
        <v>36.15649928</v>
      </c>
      <c r="C3430" s="8">
        <f t="array" ref="C3430">PRODUCT(1-'Sparkling Model'!D$2:D$38^A3430)</f>
        <v>0.4014423228</v>
      </c>
    </row>
    <row r="3431">
      <c r="A3431" s="6">
        <v>3429.0</v>
      </c>
      <c r="B3431" s="17">
        <f t="array" ref="B3431">SUM(1-'Sparkling Model'!D$2:D$38^A3431)</f>
        <v>36.15705415</v>
      </c>
      <c r="C3431" s="8">
        <f t="array" ref="C3431">PRODUCT(1-'Sparkling Model'!D$2:D$38^A3431)</f>
        <v>0.4016957929</v>
      </c>
    </row>
    <row r="3432">
      <c r="A3432" s="6">
        <v>3430.0</v>
      </c>
      <c r="B3432" s="17">
        <f t="array" ref="B3432">SUM(1-'Sparkling Model'!D$2:D$38^A3432)</f>
        <v>36.15760857</v>
      </c>
      <c r="C3432" s="8">
        <f t="array" ref="C3432">PRODUCT(1-'Sparkling Model'!D$2:D$38^A3432)</f>
        <v>0.4019492045</v>
      </c>
    </row>
    <row r="3433">
      <c r="A3433" s="6">
        <v>3431.0</v>
      </c>
      <c r="B3433" s="17">
        <f t="array" ref="B3433">SUM(1-'Sparkling Model'!D$2:D$38^A3433)</f>
        <v>36.15816253</v>
      </c>
      <c r="C3433" s="8">
        <f t="array" ref="C3433">PRODUCT(1-'Sparkling Model'!D$2:D$38^A3433)</f>
        <v>0.4022025576</v>
      </c>
    </row>
    <row r="3434">
      <c r="A3434" s="6">
        <v>3432.0</v>
      </c>
      <c r="B3434" s="17">
        <f t="array" ref="B3434">SUM(1-'Sparkling Model'!D$2:D$38^A3434)</f>
        <v>36.15871603</v>
      </c>
      <c r="C3434" s="8">
        <f t="array" ref="C3434">PRODUCT(1-'Sparkling Model'!D$2:D$38^A3434)</f>
        <v>0.4024558521</v>
      </c>
    </row>
    <row r="3435">
      <c r="A3435" s="6">
        <v>3433.0</v>
      </c>
      <c r="B3435" s="17">
        <f t="array" ref="B3435">SUM(1-'Sparkling Model'!D$2:D$38^A3435)</f>
        <v>36.15926909</v>
      </c>
      <c r="C3435" s="8">
        <f t="array" ref="C3435">PRODUCT(1-'Sparkling Model'!D$2:D$38^A3435)</f>
        <v>0.4027090879</v>
      </c>
    </row>
    <row r="3436">
      <c r="A3436" s="6">
        <v>3434.0</v>
      </c>
      <c r="B3436" s="17">
        <f t="array" ref="B3436">SUM(1-'Sparkling Model'!D$2:D$38^A3436)</f>
        <v>36.15982169</v>
      </c>
      <c r="C3436" s="8">
        <f t="array" ref="C3436">PRODUCT(1-'Sparkling Model'!D$2:D$38^A3436)</f>
        <v>0.402962265</v>
      </c>
    </row>
    <row r="3437">
      <c r="A3437" s="6">
        <v>3435.0</v>
      </c>
      <c r="B3437" s="17">
        <f t="array" ref="B3437">SUM(1-'Sparkling Model'!D$2:D$38^A3437)</f>
        <v>36.16037384</v>
      </c>
      <c r="C3437" s="8">
        <f t="array" ref="C3437">PRODUCT(1-'Sparkling Model'!D$2:D$38^A3437)</f>
        <v>0.4032153832</v>
      </c>
    </row>
    <row r="3438">
      <c r="A3438" s="6">
        <v>3436.0</v>
      </c>
      <c r="B3438" s="17">
        <f t="array" ref="B3438">SUM(1-'Sparkling Model'!D$2:D$38^A3438)</f>
        <v>36.16092554</v>
      </c>
      <c r="C3438" s="8">
        <f t="array" ref="C3438">PRODUCT(1-'Sparkling Model'!D$2:D$38^A3438)</f>
        <v>0.4034684425</v>
      </c>
    </row>
    <row r="3439">
      <c r="A3439" s="6">
        <v>3437.0</v>
      </c>
      <c r="B3439" s="17">
        <f t="array" ref="B3439">SUM(1-'Sparkling Model'!D$2:D$38^A3439)</f>
        <v>36.16147679</v>
      </c>
      <c r="C3439" s="8">
        <f t="array" ref="C3439">PRODUCT(1-'Sparkling Model'!D$2:D$38^A3439)</f>
        <v>0.4037214429</v>
      </c>
    </row>
    <row r="3440">
      <c r="A3440" s="6">
        <v>3438.0</v>
      </c>
      <c r="B3440" s="17">
        <f t="array" ref="B3440">SUM(1-'Sparkling Model'!D$2:D$38^A3440)</f>
        <v>36.16202759</v>
      </c>
      <c r="C3440" s="8">
        <f t="array" ref="C3440">PRODUCT(1-'Sparkling Model'!D$2:D$38^A3440)</f>
        <v>0.4039743842</v>
      </c>
    </row>
    <row r="3441">
      <c r="A3441" s="6">
        <v>3439.0</v>
      </c>
      <c r="B3441" s="17">
        <f t="array" ref="B3441">SUM(1-'Sparkling Model'!D$2:D$38^A3441)</f>
        <v>36.16257794</v>
      </c>
      <c r="C3441" s="8">
        <f t="array" ref="C3441">PRODUCT(1-'Sparkling Model'!D$2:D$38^A3441)</f>
        <v>0.4042272663</v>
      </c>
    </row>
    <row r="3442">
      <c r="A3442" s="6">
        <v>3440.0</v>
      </c>
      <c r="B3442" s="17">
        <f t="array" ref="B3442">SUM(1-'Sparkling Model'!D$2:D$38^A3442)</f>
        <v>36.16312784</v>
      </c>
      <c r="C3442" s="8">
        <f t="array" ref="C3442">PRODUCT(1-'Sparkling Model'!D$2:D$38^A3442)</f>
        <v>0.4044800893</v>
      </c>
    </row>
    <row r="3443">
      <c r="A3443" s="6">
        <v>3441.0</v>
      </c>
      <c r="B3443" s="17">
        <f t="array" ref="B3443">SUM(1-'Sparkling Model'!D$2:D$38^A3443)</f>
        <v>36.16367729</v>
      </c>
      <c r="C3443" s="8">
        <f t="array" ref="C3443">PRODUCT(1-'Sparkling Model'!D$2:D$38^A3443)</f>
        <v>0.4047328531</v>
      </c>
    </row>
    <row r="3444">
      <c r="A3444" s="6">
        <v>3442.0</v>
      </c>
      <c r="B3444" s="17">
        <f t="array" ref="B3444">SUM(1-'Sparkling Model'!D$2:D$38^A3444)</f>
        <v>36.1642263</v>
      </c>
      <c r="C3444" s="8">
        <f t="array" ref="C3444">PRODUCT(1-'Sparkling Model'!D$2:D$38^A3444)</f>
        <v>0.4049855575</v>
      </c>
    </row>
    <row r="3445">
      <c r="A3445" s="6">
        <v>3443.0</v>
      </c>
      <c r="B3445" s="17">
        <f t="array" ref="B3445">SUM(1-'Sparkling Model'!D$2:D$38^A3445)</f>
        <v>36.16477485</v>
      </c>
      <c r="C3445" s="8">
        <f t="array" ref="C3445">PRODUCT(1-'Sparkling Model'!D$2:D$38^A3445)</f>
        <v>0.4052382025</v>
      </c>
    </row>
    <row r="3446">
      <c r="A3446" s="6">
        <v>3444.0</v>
      </c>
      <c r="B3446" s="17">
        <f t="array" ref="B3446">SUM(1-'Sparkling Model'!D$2:D$38^A3446)</f>
        <v>36.16532296</v>
      </c>
      <c r="C3446" s="8">
        <f t="array" ref="C3446">PRODUCT(1-'Sparkling Model'!D$2:D$38^A3446)</f>
        <v>0.405490788</v>
      </c>
    </row>
    <row r="3447">
      <c r="A3447" s="6">
        <v>3445.0</v>
      </c>
      <c r="B3447" s="17">
        <f t="array" ref="B3447">SUM(1-'Sparkling Model'!D$2:D$38^A3447)</f>
        <v>36.16587062</v>
      </c>
      <c r="C3447" s="8">
        <f t="array" ref="C3447">PRODUCT(1-'Sparkling Model'!D$2:D$38^A3447)</f>
        <v>0.405743314</v>
      </c>
    </row>
    <row r="3448">
      <c r="A3448" s="6">
        <v>3446.0</v>
      </c>
      <c r="B3448" s="17">
        <f t="array" ref="B3448">SUM(1-'Sparkling Model'!D$2:D$38^A3448)</f>
        <v>36.16641784</v>
      </c>
      <c r="C3448" s="8">
        <f t="array" ref="C3448">PRODUCT(1-'Sparkling Model'!D$2:D$38^A3448)</f>
        <v>0.4059957803</v>
      </c>
    </row>
    <row r="3449">
      <c r="A3449" s="6">
        <v>3447.0</v>
      </c>
      <c r="B3449" s="17">
        <f t="array" ref="B3449">SUM(1-'Sparkling Model'!D$2:D$38^A3449)</f>
        <v>36.16696461</v>
      </c>
      <c r="C3449" s="8">
        <f t="array" ref="C3449">PRODUCT(1-'Sparkling Model'!D$2:D$38^A3449)</f>
        <v>0.406248187</v>
      </c>
    </row>
    <row r="3450">
      <c r="A3450" s="6">
        <v>3448.0</v>
      </c>
      <c r="B3450" s="17">
        <f t="array" ref="B3450">SUM(1-'Sparkling Model'!D$2:D$38^A3450)</f>
        <v>36.16751093</v>
      </c>
      <c r="C3450" s="8">
        <f t="array" ref="C3450">PRODUCT(1-'Sparkling Model'!D$2:D$38^A3450)</f>
        <v>0.4065005339</v>
      </c>
    </row>
    <row r="3451">
      <c r="A3451" s="6">
        <v>3449.0</v>
      </c>
      <c r="B3451" s="17">
        <f t="array" ref="B3451">SUM(1-'Sparkling Model'!D$2:D$38^A3451)</f>
        <v>36.16805681</v>
      </c>
      <c r="C3451" s="8">
        <f t="array" ref="C3451">PRODUCT(1-'Sparkling Model'!D$2:D$38^A3451)</f>
        <v>0.406752821</v>
      </c>
    </row>
    <row r="3452">
      <c r="A3452" s="6">
        <v>3450.0</v>
      </c>
      <c r="B3452" s="17">
        <f t="array" ref="B3452">SUM(1-'Sparkling Model'!D$2:D$38^A3452)</f>
        <v>36.16860224</v>
      </c>
      <c r="C3452" s="8">
        <f t="array" ref="C3452">PRODUCT(1-'Sparkling Model'!D$2:D$38^A3452)</f>
        <v>0.4070050482</v>
      </c>
    </row>
    <row r="3453">
      <c r="A3453" s="6">
        <v>3451.0</v>
      </c>
      <c r="B3453" s="17">
        <f t="array" ref="B3453">SUM(1-'Sparkling Model'!D$2:D$38^A3453)</f>
        <v>36.16914723</v>
      </c>
      <c r="C3453" s="8">
        <f t="array" ref="C3453">PRODUCT(1-'Sparkling Model'!D$2:D$38^A3453)</f>
        <v>0.4072572154</v>
      </c>
    </row>
    <row r="3454">
      <c r="A3454" s="6">
        <v>3452.0</v>
      </c>
      <c r="B3454" s="17">
        <f t="array" ref="B3454">SUM(1-'Sparkling Model'!D$2:D$38^A3454)</f>
        <v>36.16969178</v>
      </c>
      <c r="C3454" s="8">
        <f t="array" ref="C3454">PRODUCT(1-'Sparkling Model'!D$2:D$38^A3454)</f>
        <v>0.4075093226</v>
      </c>
    </row>
    <row r="3455">
      <c r="A3455" s="6">
        <v>3453.0</v>
      </c>
      <c r="B3455" s="17">
        <f t="array" ref="B3455">SUM(1-'Sparkling Model'!D$2:D$38^A3455)</f>
        <v>36.17023588</v>
      </c>
      <c r="C3455" s="8">
        <f t="array" ref="C3455">PRODUCT(1-'Sparkling Model'!D$2:D$38^A3455)</f>
        <v>0.4077613697</v>
      </c>
    </row>
    <row r="3456">
      <c r="A3456" s="6">
        <v>3454.0</v>
      </c>
      <c r="B3456" s="17">
        <f t="array" ref="B3456">SUM(1-'Sparkling Model'!D$2:D$38^A3456)</f>
        <v>36.17077954</v>
      </c>
      <c r="C3456" s="8">
        <f t="array" ref="C3456">PRODUCT(1-'Sparkling Model'!D$2:D$38^A3456)</f>
        <v>0.4080133566</v>
      </c>
    </row>
    <row r="3457">
      <c r="A3457" s="6">
        <v>3455.0</v>
      </c>
      <c r="B3457" s="17">
        <f t="array" ref="B3457">SUM(1-'Sparkling Model'!D$2:D$38^A3457)</f>
        <v>36.17132276</v>
      </c>
      <c r="C3457" s="8">
        <f t="array" ref="C3457">PRODUCT(1-'Sparkling Model'!D$2:D$38^A3457)</f>
        <v>0.4082652832</v>
      </c>
    </row>
    <row r="3458">
      <c r="A3458" s="6">
        <v>3456.0</v>
      </c>
      <c r="B3458" s="17">
        <f t="array" ref="B3458">SUM(1-'Sparkling Model'!D$2:D$38^A3458)</f>
        <v>36.17186554</v>
      </c>
      <c r="C3458" s="8">
        <f t="array" ref="C3458">PRODUCT(1-'Sparkling Model'!D$2:D$38^A3458)</f>
        <v>0.4085171496</v>
      </c>
    </row>
    <row r="3459">
      <c r="A3459" s="6">
        <v>3457.0</v>
      </c>
      <c r="B3459" s="17">
        <f t="array" ref="B3459">SUM(1-'Sparkling Model'!D$2:D$38^A3459)</f>
        <v>36.17240787</v>
      </c>
      <c r="C3459" s="8">
        <f t="array" ref="C3459">PRODUCT(1-'Sparkling Model'!D$2:D$38^A3459)</f>
        <v>0.4087689555</v>
      </c>
    </row>
    <row r="3460">
      <c r="A3460" s="6">
        <v>3458.0</v>
      </c>
      <c r="B3460" s="17">
        <f t="array" ref="B3460">SUM(1-'Sparkling Model'!D$2:D$38^A3460)</f>
        <v>36.17294976</v>
      </c>
      <c r="C3460" s="8">
        <f t="array" ref="C3460">PRODUCT(1-'Sparkling Model'!D$2:D$38^A3460)</f>
        <v>0.409020701</v>
      </c>
    </row>
    <row r="3461">
      <c r="A3461" s="6">
        <v>3459.0</v>
      </c>
      <c r="B3461" s="17">
        <f t="array" ref="B3461">SUM(1-'Sparkling Model'!D$2:D$38^A3461)</f>
        <v>36.17349122</v>
      </c>
      <c r="C3461" s="8">
        <f t="array" ref="C3461">PRODUCT(1-'Sparkling Model'!D$2:D$38^A3461)</f>
        <v>0.409272386</v>
      </c>
    </row>
    <row r="3462">
      <c r="A3462" s="6">
        <v>3460.0</v>
      </c>
      <c r="B3462" s="17">
        <f t="array" ref="B3462">SUM(1-'Sparkling Model'!D$2:D$38^A3462)</f>
        <v>36.17403223</v>
      </c>
      <c r="C3462" s="8">
        <f t="array" ref="C3462">PRODUCT(1-'Sparkling Model'!D$2:D$38^A3462)</f>
        <v>0.4095240104</v>
      </c>
    </row>
    <row r="3463">
      <c r="A3463" s="6">
        <v>3461.0</v>
      </c>
      <c r="B3463" s="17">
        <f t="array" ref="B3463">SUM(1-'Sparkling Model'!D$2:D$38^A3463)</f>
        <v>36.17457281</v>
      </c>
      <c r="C3463" s="8">
        <f t="array" ref="C3463">PRODUCT(1-'Sparkling Model'!D$2:D$38^A3463)</f>
        <v>0.4097755741</v>
      </c>
    </row>
    <row r="3464">
      <c r="A3464" s="6">
        <v>3462.0</v>
      </c>
      <c r="B3464" s="17">
        <f t="array" ref="B3464">SUM(1-'Sparkling Model'!D$2:D$38^A3464)</f>
        <v>36.17511294</v>
      </c>
      <c r="C3464" s="8">
        <f t="array" ref="C3464">PRODUCT(1-'Sparkling Model'!D$2:D$38^A3464)</f>
        <v>0.4100270772</v>
      </c>
    </row>
    <row r="3465">
      <c r="A3465" s="6">
        <v>3463.0</v>
      </c>
      <c r="B3465" s="17">
        <f t="array" ref="B3465">SUM(1-'Sparkling Model'!D$2:D$38^A3465)</f>
        <v>36.17565264</v>
      </c>
      <c r="C3465" s="8">
        <f t="array" ref="C3465">PRODUCT(1-'Sparkling Model'!D$2:D$38^A3465)</f>
        <v>0.4102785194</v>
      </c>
    </row>
    <row r="3466">
      <c r="A3466" s="6">
        <v>3464.0</v>
      </c>
      <c r="B3466" s="17">
        <f t="array" ref="B3466">SUM(1-'Sparkling Model'!D$2:D$38^A3466)</f>
        <v>36.1761919</v>
      </c>
      <c r="C3466" s="8">
        <f t="array" ref="C3466">PRODUCT(1-'Sparkling Model'!D$2:D$38^A3466)</f>
        <v>0.4105299008</v>
      </c>
    </row>
    <row r="3467">
      <c r="A3467" s="6">
        <v>3465.0</v>
      </c>
      <c r="B3467" s="17">
        <f t="array" ref="B3467">SUM(1-'Sparkling Model'!D$2:D$38^A3467)</f>
        <v>36.17673072</v>
      </c>
      <c r="C3467" s="8">
        <f t="array" ref="C3467">PRODUCT(1-'Sparkling Model'!D$2:D$38^A3467)</f>
        <v>0.4107812212</v>
      </c>
    </row>
    <row r="3468">
      <c r="A3468" s="6">
        <v>3466.0</v>
      </c>
      <c r="B3468" s="17">
        <f t="array" ref="B3468">SUM(1-'Sparkling Model'!D$2:D$38^A3468)</f>
        <v>36.1772691</v>
      </c>
      <c r="C3468" s="8">
        <f t="array" ref="C3468">PRODUCT(1-'Sparkling Model'!D$2:D$38^A3468)</f>
        <v>0.4110324806</v>
      </c>
    </row>
    <row r="3469">
      <c r="A3469" s="6">
        <v>3467.0</v>
      </c>
      <c r="B3469" s="17">
        <f t="array" ref="B3469">SUM(1-'Sparkling Model'!D$2:D$38^A3469)</f>
        <v>36.17780705</v>
      </c>
      <c r="C3469" s="8">
        <f t="array" ref="C3469">PRODUCT(1-'Sparkling Model'!D$2:D$38^A3469)</f>
        <v>0.411283679</v>
      </c>
    </row>
    <row r="3470">
      <c r="A3470" s="6">
        <v>3468.0</v>
      </c>
      <c r="B3470" s="17">
        <f t="array" ref="B3470">SUM(1-'Sparkling Model'!D$2:D$38^A3470)</f>
        <v>36.17834456</v>
      </c>
      <c r="C3470" s="8">
        <f t="array" ref="C3470">PRODUCT(1-'Sparkling Model'!D$2:D$38^A3470)</f>
        <v>0.4115348163</v>
      </c>
    </row>
    <row r="3471">
      <c r="A3471" s="6">
        <v>3469.0</v>
      </c>
      <c r="B3471" s="17">
        <f t="array" ref="B3471">SUM(1-'Sparkling Model'!D$2:D$38^A3471)</f>
        <v>36.17888164</v>
      </c>
      <c r="C3471" s="8">
        <f t="array" ref="C3471">PRODUCT(1-'Sparkling Model'!D$2:D$38^A3471)</f>
        <v>0.4117858923</v>
      </c>
    </row>
    <row r="3472">
      <c r="A3472" s="6">
        <v>3470.0</v>
      </c>
      <c r="B3472" s="17">
        <f t="array" ref="B3472">SUM(1-'Sparkling Model'!D$2:D$38^A3472)</f>
        <v>36.17941828</v>
      </c>
      <c r="C3472" s="8">
        <f t="array" ref="C3472">PRODUCT(1-'Sparkling Model'!D$2:D$38^A3472)</f>
        <v>0.4120369071</v>
      </c>
    </row>
    <row r="3473">
      <c r="A3473" s="6">
        <v>3471.0</v>
      </c>
      <c r="B3473" s="17">
        <f t="array" ref="B3473">SUM(1-'Sparkling Model'!D$2:D$38^A3473)</f>
        <v>36.17995448</v>
      </c>
      <c r="C3473" s="8">
        <f t="array" ref="C3473">PRODUCT(1-'Sparkling Model'!D$2:D$38^A3473)</f>
        <v>0.4122878606</v>
      </c>
    </row>
    <row r="3474">
      <c r="A3474" s="6">
        <v>3472.0</v>
      </c>
      <c r="B3474" s="17">
        <f t="array" ref="B3474">SUM(1-'Sparkling Model'!D$2:D$38^A3474)</f>
        <v>36.18049025</v>
      </c>
      <c r="C3474" s="8">
        <f t="array" ref="C3474">PRODUCT(1-'Sparkling Model'!D$2:D$38^A3474)</f>
        <v>0.4125387527</v>
      </c>
    </row>
    <row r="3475">
      <c r="A3475" s="6">
        <v>3473.0</v>
      </c>
      <c r="B3475" s="17">
        <f t="array" ref="B3475">SUM(1-'Sparkling Model'!D$2:D$38^A3475)</f>
        <v>36.18102559</v>
      </c>
      <c r="C3475" s="8">
        <f t="array" ref="C3475">PRODUCT(1-'Sparkling Model'!D$2:D$38^A3475)</f>
        <v>0.4127895833</v>
      </c>
    </row>
    <row r="3476">
      <c r="A3476" s="6">
        <v>3474.0</v>
      </c>
      <c r="B3476" s="17">
        <f t="array" ref="B3476">SUM(1-'Sparkling Model'!D$2:D$38^A3476)</f>
        <v>36.18156049</v>
      </c>
      <c r="C3476" s="8">
        <f t="array" ref="C3476">PRODUCT(1-'Sparkling Model'!D$2:D$38^A3476)</f>
        <v>0.4130403524</v>
      </c>
    </row>
    <row r="3477">
      <c r="A3477" s="6">
        <v>3475.0</v>
      </c>
      <c r="B3477" s="17">
        <f t="array" ref="B3477">SUM(1-'Sparkling Model'!D$2:D$38^A3477)</f>
        <v>36.18209496</v>
      </c>
      <c r="C3477" s="8">
        <f t="array" ref="C3477">PRODUCT(1-'Sparkling Model'!D$2:D$38^A3477)</f>
        <v>0.4132910599</v>
      </c>
    </row>
    <row r="3478">
      <c r="A3478" s="6">
        <v>3476.0</v>
      </c>
      <c r="B3478" s="17">
        <f t="array" ref="B3478">SUM(1-'Sparkling Model'!D$2:D$38^A3478)</f>
        <v>36.182629</v>
      </c>
      <c r="C3478" s="8">
        <f t="array" ref="C3478">PRODUCT(1-'Sparkling Model'!D$2:D$38^A3478)</f>
        <v>0.4135417057</v>
      </c>
    </row>
    <row r="3479">
      <c r="A3479" s="6">
        <v>3477.0</v>
      </c>
      <c r="B3479" s="17">
        <f t="array" ref="B3479">SUM(1-'Sparkling Model'!D$2:D$38^A3479)</f>
        <v>36.18316261</v>
      </c>
      <c r="C3479" s="8">
        <f t="array" ref="C3479">PRODUCT(1-'Sparkling Model'!D$2:D$38^A3479)</f>
        <v>0.4137922899</v>
      </c>
    </row>
    <row r="3480">
      <c r="A3480" s="6">
        <v>3478.0</v>
      </c>
      <c r="B3480" s="17">
        <f t="array" ref="B3480">SUM(1-'Sparkling Model'!D$2:D$38^A3480)</f>
        <v>36.18369578</v>
      </c>
      <c r="C3480" s="8">
        <f t="array" ref="C3480">PRODUCT(1-'Sparkling Model'!D$2:D$38^A3480)</f>
        <v>0.4140428122</v>
      </c>
    </row>
    <row r="3481">
      <c r="A3481" s="6">
        <v>3479.0</v>
      </c>
      <c r="B3481" s="17">
        <f t="array" ref="B3481">SUM(1-'Sparkling Model'!D$2:D$38^A3481)</f>
        <v>36.18422852</v>
      </c>
      <c r="C3481" s="8">
        <f t="array" ref="C3481">PRODUCT(1-'Sparkling Model'!D$2:D$38^A3481)</f>
        <v>0.4142932727</v>
      </c>
    </row>
    <row r="3482">
      <c r="A3482" s="6">
        <v>3480.0</v>
      </c>
      <c r="B3482" s="17">
        <f t="array" ref="B3482">SUM(1-'Sparkling Model'!D$2:D$38^A3482)</f>
        <v>36.18476084</v>
      </c>
      <c r="C3482" s="8">
        <f t="array" ref="C3482">PRODUCT(1-'Sparkling Model'!D$2:D$38^A3482)</f>
        <v>0.4145436712</v>
      </c>
    </row>
    <row r="3483">
      <c r="A3483" s="6">
        <v>3481.0</v>
      </c>
      <c r="B3483" s="17">
        <f t="array" ref="B3483">SUM(1-'Sparkling Model'!D$2:D$38^A3483)</f>
        <v>36.18529272</v>
      </c>
      <c r="C3483" s="8">
        <f t="array" ref="C3483">PRODUCT(1-'Sparkling Model'!D$2:D$38^A3483)</f>
        <v>0.4147940078</v>
      </c>
    </row>
    <row r="3484">
      <c r="A3484" s="6">
        <v>3482.0</v>
      </c>
      <c r="B3484" s="17">
        <f t="array" ref="B3484">SUM(1-'Sparkling Model'!D$2:D$38^A3484)</f>
        <v>36.18582417</v>
      </c>
      <c r="C3484" s="8">
        <f t="array" ref="C3484">PRODUCT(1-'Sparkling Model'!D$2:D$38^A3484)</f>
        <v>0.4150442823</v>
      </c>
    </row>
    <row r="3485">
      <c r="A3485" s="6">
        <v>3483.0</v>
      </c>
      <c r="B3485" s="17">
        <f t="array" ref="B3485">SUM(1-'Sparkling Model'!D$2:D$38^A3485)</f>
        <v>36.18635519</v>
      </c>
      <c r="C3485" s="8">
        <f t="array" ref="C3485">PRODUCT(1-'Sparkling Model'!D$2:D$38^A3485)</f>
        <v>0.4152944948</v>
      </c>
    </row>
    <row r="3486">
      <c r="A3486" s="6">
        <v>3484.0</v>
      </c>
      <c r="B3486" s="17">
        <f t="array" ref="B3486">SUM(1-'Sparkling Model'!D$2:D$38^A3486)</f>
        <v>36.18688578</v>
      </c>
      <c r="C3486" s="8">
        <f t="array" ref="C3486">PRODUCT(1-'Sparkling Model'!D$2:D$38^A3486)</f>
        <v>0.415544645</v>
      </c>
    </row>
    <row r="3487">
      <c r="A3487" s="6">
        <v>3485.0</v>
      </c>
      <c r="B3487" s="17">
        <f t="array" ref="B3487">SUM(1-'Sparkling Model'!D$2:D$38^A3487)</f>
        <v>36.18741595</v>
      </c>
      <c r="C3487" s="8">
        <f t="array" ref="C3487">PRODUCT(1-'Sparkling Model'!D$2:D$38^A3487)</f>
        <v>0.415794733</v>
      </c>
    </row>
    <row r="3488">
      <c r="A3488" s="6">
        <v>3486.0</v>
      </c>
      <c r="B3488" s="17">
        <f t="array" ref="B3488">SUM(1-'Sparkling Model'!D$2:D$38^A3488)</f>
        <v>36.18794568</v>
      </c>
      <c r="C3488" s="8">
        <f t="array" ref="C3488">PRODUCT(1-'Sparkling Model'!D$2:D$38^A3488)</f>
        <v>0.4160447587</v>
      </c>
    </row>
    <row r="3489">
      <c r="A3489" s="6">
        <v>3487.0</v>
      </c>
      <c r="B3489" s="17">
        <f t="array" ref="B3489">SUM(1-'Sparkling Model'!D$2:D$38^A3489)</f>
        <v>36.18847499</v>
      </c>
      <c r="C3489" s="8">
        <f t="array" ref="C3489">PRODUCT(1-'Sparkling Model'!D$2:D$38^A3489)</f>
        <v>0.4162947221</v>
      </c>
    </row>
    <row r="3490">
      <c r="A3490" s="6">
        <v>3488.0</v>
      </c>
      <c r="B3490" s="17">
        <f t="array" ref="B3490">SUM(1-'Sparkling Model'!D$2:D$38^A3490)</f>
        <v>36.18900387</v>
      </c>
      <c r="C3490" s="8">
        <f t="array" ref="C3490">PRODUCT(1-'Sparkling Model'!D$2:D$38^A3490)</f>
        <v>0.416544623</v>
      </c>
    </row>
    <row r="3491">
      <c r="A3491" s="6">
        <v>3489.0</v>
      </c>
      <c r="B3491" s="17">
        <f t="array" ref="B3491">SUM(1-'Sparkling Model'!D$2:D$38^A3491)</f>
        <v>36.18953233</v>
      </c>
      <c r="C3491" s="8">
        <f t="array" ref="C3491">PRODUCT(1-'Sparkling Model'!D$2:D$38^A3491)</f>
        <v>0.4167944614</v>
      </c>
    </row>
    <row r="3492">
      <c r="A3492" s="6">
        <v>3490.0</v>
      </c>
      <c r="B3492" s="17">
        <f t="array" ref="B3492">SUM(1-'Sparkling Model'!D$2:D$38^A3492)</f>
        <v>36.19006036</v>
      </c>
      <c r="C3492" s="8">
        <f t="array" ref="C3492">PRODUCT(1-'Sparkling Model'!D$2:D$38^A3492)</f>
        <v>0.4170442372</v>
      </c>
    </row>
    <row r="3493">
      <c r="A3493" s="6">
        <v>3491.0</v>
      </c>
      <c r="B3493" s="17">
        <f t="array" ref="B3493">SUM(1-'Sparkling Model'!D$2:D$38^A3493)</f>
        <v>36.19058796</v>
      </c>
      <c r="C3493" s="8">
        <f t="array" ref="C3493">PRODUCT(1-'Sparkling Model'!D$2:D$38^A3493)</f>
        <v>0.4172939505</v>
      </c>
    </row>
    <row r="3494">
      <c r="A3494" s="6">
        <v>3492.0</v>
      </c>
      <c r="B3494" s="17">
        <f t="array" ref="B3494">SUM(1-'Sparkling Model'!D$2:D$38^A3494)</f>
        <v>36.19111514</v>
      </c>
      <c r="C3494" s="8">
        <f t="array" ref="C3494">PRODUCT(1-'Sparkling Model'!D$2:D$38^A3494)</f>
        <v>0.417543601</v>
      </c>
    </row>
    <row r="3495">
      <c r="A3495" s="6">
        <v>3493.0</v>
      </c>
      <c r="B3495" s="17">
        <f t="array" ref="B3495">SUM(1-'Sparkling Model'!D$2:D$38^A3495)</f>
        <v>36.19164189</v>
      </c>
      <c r="C3495" s="8">
        <f t="array" ref="C3495">PRODUCT(1-'Sparkling Model'!D$2:D$38^A3495)</f>
        <v>0.4177931888</v>
      </c>
    </row>
    <row r="3496">
      <c r="A3496" s="6">
        <v>3494.0</v>
      </c>
      <c r="B3496" s="17">
        <f t="array" ref="B3496">SUM(1-'Sparkling Model'!D$2:D$38^A3496)</f>
        <v>36.19216821</v>
      </c>
      <c r="C3496" s="8">
        <f t="array" ref="C3496">PRODUCT(1-'Sparkling Model'!D$2:D$38^A3496)</f>
        <v>0.4180427138</v>
      </c>
    </row>
    <row r="3497">
      <c r="A3497" s="6">
        <v>3495.0</v>
      </c>
      <c r="B3497" s="17">
        <f t="array" ref="B3497">SUM(1-'Sparkling Model'!D$2:D$38^A3497)</f>
        <v>36.19269412</v>
      </c>
      <c r="C3497" s="8">
        <f t="array" ref="C3497">PRODUCT(1-'Sparkling Model'!D$2:D$38^A3497)</f>
        <v>0.418292176</v>
      </c>
    </row>
    <row r="3498">
      <c r="A3498" s="6">
        <v>3496.0</v>
      </c>
      <c r="B3498" s="17">
        <f t="array" ref="B3498">SUM(1-'Sparkling Model'!D$2:D$38^A3498)</f>
        <v>36.1932196</v>
      </c>
      <c r="C3498" s="8">
        <f t="array" ref="C3498">PRODUCT(1-'Sparkling Model'!D$2:D$38^A3498)</f>
        <v>0.4185415752</v>
      </c>
    </row>
    <row r="3499">
      <c r="A3499" s="6">
        <v>3497.0</v>
      </c>
      <c r="B3499" s="17">
        <f t="array" ref="B3499">SUM(1-'Sparkling Model'!D$2:D$38^A3499)</f>
        <v>36.19374465</v>
      </c>
      <c r="C3499" s="8">
        <f t="array" ref="C3499">PRODUCT(1-'Sparkling Model'!D$2:D$38^A3499)</f>
        <v>0.4187909114</v>
      </c>
    </row>
    <row r="3500">
      <c r="A3500" s="6">
        <v>3498.0</v>
      </c>
      <c r="B3500" s="17">
        <f t="array" ref="B3500">SUM(1-'Sparkling Model'!D$2:D$38^A3500)</f>
        <v>36.19426929</v>
      </c>
      <c r="C3500" s="8">
        <f t="array" ref="C3500">PRODUCT(1-'Sparkling Model'!D$2:D$38^A3500)</f>
        <v>0.4190401845</v>
      </c>
    </row>
    <row r="3501">
      <c r="A3501" s="6">
        <v>3499.0</v>
      </c>
      <c r="B3501" s="17">
        <f t="array" ref="B3501">SUM(1-'Sparkling Model'!D$2:D$38^A3501)</f>
        <v>36.1947935</v>
      </c>
      <c r="C3501" s="8">
        <f t="array" ref="C3501">PRODUCT(1-'Sparkling Model'!D$2:D$38^A3501)</f>
        <v>0.4192893946</v>
      </c>
    </row>
    <row r="3502">
      <c r="A3502" s="6">
        <v>3500.0</v>
      </c>
      <c r="B3502" s="17">
        <f t="array" ref="B3502">SUM(1-'Sparkling Model'!D$2:D$38^A3502)</f>
        <v>36.19531729</v>
      </c>
      <c r="C3502" s="8">
        <f t="array" ref="C3502">PRODUCT(1-'Sparkling Model'!D$2:D$38^A3502)</f>
        <v>0.4195385414</v>
      </c>
    </row>
    <row r="3503">
      <c r="A3503" s="6">
        <v>3501.0</v>
      </c>
      <c r="B3503" s="17">
        <f t="array" ref="B3503">SUM(1-'Sparkling Model'!D$2:D$38^A3503)</f>
        <v>36.19584065</v>
      </c>
      <c r="C3503" s="8">
        <f t="array" ref="C3503">PRODUCT(1-'Sparkling Model'!D$2:D$38^A3503)</f>
        <v>0.419787625</v>
      </c>
    </row>
    <row r="3504">
      <c r="A3504" s="6">
        <v>3502.0</v>
      </c>
      <c r="B3504" s="17">
        <f t="array" ref="B3504">SUM(1-'Sparkling Model'!D$2:D$38^A3504)</f>
        <v>36.1963636</v>
      </c>
      <c r="C3504" s="8">
        <f t="array" ref="C3504">PRODUCT(1-'Sparkling Model'!D$2:D$38^A3504)</f>
        <v>0.4200366453</v>
      </c>
    </row>
    <row r="3505">
      <c r="A3505" s="6">
        <v>3503.0</v>
      </c>
      <c r="B3505" s="17">
        <f t="array" ref="B3505">SUM(1-'Sparkling Model'!D$2:D$38^A3505)</f>
        <v>36.19688613</v>
      </c>
      <c r="C3505" s="8">
        <f t="array" ref="C3505">PRODUCT(1-'Sparkling Model'!D$2:D$38^A3505)</f>
        <v>0.4202856023</v>
      </c>
    </row>
    <row r="3506">
      <c r="A3506" s="6">
        <v>3504.0</v>
      </c>
      <c r="B3506" s="17">
        <f t="array" ref="B3506">SUM(1-'Sparkling Model'!D$2:D$38^A3506)</f>
        <v>36.19740823</v>
      </c>
      <c r="C3506" s="8">
        <f t="array" ref="C3506">PRODUCT(1-'Sparkling Model'!D$2:D$38^A3506)</f>
        <v>0.4205344958</v>
      </c>
    </row>
    <row r="3507">
      <c r="A3507" s="6">
        <v>3505.0</v>
      </c>
      <c r="B3507" s="17">
        <f t="array" ref="B3507">SUM(1-'Sparkling Model'!D$2:D$38^A3507)</f>
        <v>36.19792992</v>
      </c>
      <c r="C3507" s="8">
        <f t="array" ref="C3507">PRODUCT(1-'Sparkling Model'!D$2:D$38^A3507)</f>
        <v>0.4207833259</v>
      </c>
    </row>
    <row r="3508">
      <c r="A3508" s="6">
        <v>3506.0</v>
      </c>
      <c r="B3508" s="17">
        <f t="array" ref="B3508">SUM(1-'Sparkling Model'!D$2:D$38^A3508)</f>
        <v>36.19845118</v>
      </c>
      <c r="C3508" s="8">
        <f t="array" ref="C3508">PRODUCT(1-'Sparkling Model'!D$2:D$38^A3508)</f>
        <v>0.4210320924</v>
      </c>
    </row>
    <row r="3509">
      <c r="A3509" s="6">
        <v>3507.0</v>
      </c>
      <c r="B3509" s="17">
        <f t="array" ref="B3509">SUM(1-'Sparkling Model'!D$2:D$38^A3509)</f>
        <v>36.19897203</v>
      </c>
      <c r="C3509" s="8">
        <f t="array" ref="C3509">PRODUCT(1-'Sparkling Model'!D$2:D$38^A3509)</f>
        <v>0.4212807952</v>
      </c>
    </row>
    <row r="3510">
      <c r="A3510" s="6">
        <v>3508.0</v>
      </c>
      <c r="B3510" s="17">
        <f t="array" ref="B3510">SUM(1-'Sparkling Model'!D$2:D$38^A3510)</f>
        <v>36.19949246</v>
      </c>
      <c r="C3510" s="8">
        <f t="array" ref="C3510">PRODUCT(1-'Sparkling Model'!D$2:D$38^A3510)</f>
        <v>0.4215294345</v>
      </c>
    </row>
    <row r="3511">
      <c r="A3511" s="6">
        <v>3509.0</v>
      </c>
      <c r="B3511" s="17">
        <f t="array" ref="B3511">SUM(1-'Sparkling Model'!D$2:D$38^A3511)</f>
        <v>36.20001247</v>
      </c>
      <c r="C3511" s="8">
        <f t="array" ref="C3511">PRODUCT(1-'Sparkling Model'!D$2:D$38^A3511)</f>
        <v>0.42177801</v>
      </c>
    </row>
    <row r="3512">
      <c r="A3512" s="6">
        <v>3510.0</v>
      </c>
      <c r="B3512" s="17">
        <f t="array" ref="B3512">SUM(1-'Sparkling Model'!D$2:D$38^A3512)</f>
        <v>36.20053207</v>
      </c>
      <c r="C3512" s="8">
        <f t="array" ref="C3512">PRODUCT(1-'Sparkling Model'!D$2:D$38^A3512)</f>
        <v>0.4220265217</v>
      </c>
    </row>
    <row r="3513">
      <c r="A3513" s="6">
        <v>3511.0</v>
      </c>
      <c r="B3513" s="17">
        <f t="array" ref="B3513">SUM(1-'Sparkling Model'!D$2:D$38^A3513)</f>
        <v>36.20105124</v>
      </c>
      <c r="C3513" s="8">
        <f t="array" ref="C3513">PRODUCT(1-'Sparkling Model'!D$2:D$38^A3513)</f>
        <v>0.4222749695</v>
      </c>
    </row>
    <row r="3514">
      <c r="A3514" s="6">
        <v>3512.0</v>
      </c>
      <c r="B3514" s="17">
        <f t="array" ref="B3514">SUM(1-'Sparkling Model'!D$2:D$38^A3514)</f>
        <v>36.20157</v>
      </c>
      <c r="C3514" s="8">
        <f t="array" ref="C3514">PRODUCT(1-'Sparkling Model'!D$2:D$38^A3514)</f>
        <v>0.4225233535</v>
      </c>
    </row>
    <row r="3515">
      <c r="A3515" s="6">
        <v>3513.0</v>
      </c>
      <c r="B3515" s="17">
        <f t="array" ref="B3515">SUM(1-'Sparkling Model'!D$2:D$38^A3515)</f>
        <v>36.20208835</v>
      </c>
      <c r="C3515" s="8">
        <f t="array" ref="C3515">PRODUCT(1-'Sparkling Model'!D$2:D$38^A3515)</f>
        <v>0.4227716735</v>
      </c>
    </row>
    <row r="3516">
      <c r="A3516" s="6">
        <v>3514.0</v>
      </c>
      <c r="B3516" s="17">
        <f t="array" ref="B3516">SUM(1-'Sparkling Model'!D$2:D$38^A3516)</f>
        <v>36.20260627</v>
      </c>
      <c r="C3516" s="8">
        <f t="array" ref="C3516">PRODUCT(1-'Sparkling Model'!D$2:D$38^A3516)</f>
        <v>0.4230199295</v>
      </c>
    </row>
    <row r="3517">
      <c r="A3517" s="6">
        <v>3515.0</v>
      </c>
      <c r="B3517" s="17">
        <f t="array" ref="B3517">SUM(1-'Sparkling Model'!D$2:D$38^A3517)</f>
        <v>36.20312379</v>
      </c>
      <c r="C3517" s="8">
        <f t="array" ref="C3517">PRODUCT(1-'Sparkling Model'!D$2:D$38^A3517)</f>
        <v>0.4232681214</v>
      </c>
    </row>
    <row r="3518">
      <c r="A3518" s="6">
        <v>3516.0</v>
      </c>
      <c r="B3518" s="17">
        <f t="array" ref="B3518">SUM(1-'Sparkling Model'!D$2:D$38^A3518)</f>
        <v>36.20364088</v>
      </c>
      <c r="C3518" s="8">
        <f t="array" ref="C3518">PRODUCT(1-'Sparkling Model'!D$2:D$38^A3518)</f>
        <v>0.4235162491</v>
      </c>
    </row>
    <row r="3519">
      <c r="A3519" s="6">
        <v>3517.0</v>
      </c>
      <c r="B3519" s="17">
        <f t="array" ref="B3519">SUM(1-'Sparkling Model'!D$2:D$38^A3519)</f>
        <v>36.20415757</v>
      </c>
      <c r="C3519" s="8">
        <f t="array" ref="C3519">PRODUCT(1-'Sparkling Model'!D$2:D$38^A3519)</f>
        <v>0.4237643127</v>
      </c>
    </row>
    <row r="3520">
      <c r="A3520" s="6">
        <v>3518.0</v>
      </c>
      <c r="B3520" s="17">
        <f t="array" ref="B3520">SUM(1-'Sparkling Model'!D$2:D$38^A3520)</f>
        <v>36.20467383</v>
      </c>
      <c r="C3520" s="8">
        <f t="array" ref="C3520">PRODUCT(1-'Sparkling Model'!D$2:D$38^A3520)</f>
        <v>0.424012312</v>
      </c>
    </row>
    <row r="3521">
      <c r="A3521" s="6">
        <v>3519.0</v>
      </c>
      <c r="B3521" s="17">
        <f t="array" ref="B3521">SUM(1-'Sparkling Model'!D$2:D$38^A3521)</f>
        <v>36.20518969</v>
      </c>
      <c r="C3521" s="8">
        <f t="array" ref="C3521">PRODUCT(1-'Sparkling Model'!D$2:D$38^A3521)</f>
        <v>0.424260247</v>
      </c>
    </row>
    <row r="3522">
      <c r="A3522" s="6">
        <v>3520.0</v>
      </c>
      <c r="B3522" s="17">
        <f t="array" ref="B3522">SUM(1-'Sparkling Model'!D$2:D$38^A3522)</f>
        <v>36.20570513</v>
      </c>
      <c r="C3522" s="8">
        <f t="array" ref="C3522">PRODUCT(1-'Sparkling Model'!D$2:D$38^A3522)</f>
        <v>0.4245081176</v>
      </c>
    </row>
    <row r="3523">
      <c r="A3523" s="6">
        <v>3521.0</v>
      </c>
      <c r="B3523" s="17">
        <f t="array" ref="B3523">SUM(1-'Sparkling Model'!D$2:D$38^A3523)</f>
        <v>36.20622016</v>
      </c>
      <c r="C3523" s="8">
        <f t="array" ref="C3523">PRODUCT(1-'Sparkling Model'!D$2:D$38^A3523)</f>
        <v>0.4247559237</v>
      </c>
    </row>
    <row r="3524">
      <c r="A3524" s="6">
        <v>3522.0</v>
      </c>
      <c r="B3524" s="17">
        <f t="array" ref="B3524">SUM(1-'Sparkling Model'!D$2:D$38^A3524)</f>
        <v>36.20673477</v>
      </c>
      <c r="C3524" s="8">
        <f t="array" ref="C3524">PRODUCT(1-'Sparkling Model'!D$2:D$38^A3524)</f>
        <v>0.4250036654</v>
      </c>
    </row>
    <row r="3525">
      <c r="A3525" s="6">
        <v>3523.0</v>
      </c>
      <c r="B3525" s="17">
        <f t="array" ref="B3525">SUM(1-'Sparkling Model'!D$2:D$38^A3525)</f>
        <v>36.20724898</v>
      </c>
      <c r="C3525" s="8">
        <f t="array" ref="C3525">PRODUCT(1-'Sparkling Model'!D$2:D$38^A3525)</f>
        <v>0.4252513425</v>
      </c>
    </row>
    <row r="3526">
      <c r="A3526" s="6">
        <v>3524.0</v>
      </c>
      <c r="B3526" s="17">
        <f t="array" ref="B3526">SUM(1-'Sparkling Model'!D$2:D$38^A3526)</f>
        <v>36.20776277</v>
      </c>
      <c r="C3526" s="8">
        <f t="array" ref="C3526">PRODUCT(1-'Sparkling Model'!D$2:D$38^A3526)</f>
        <v>0.4254989551</v>
      </c>
    </row>
    <row r="3527">
      <c r="A3527" s="6">
        <v>3525.0</v>
      </c>
      <c r="B3527" s="17">
        <f t="array" ref="B3527">SUM(1-'Sparkling Model'!D$2:D$38^A3527)</f>
        <v>36.20827615</v>
      </c>
      <c r="C3527" s="8">
        <f t="array" ref="C3527">PRODUCT(1-'Sparkling Model'!D$2:D$38^A3527)</f>
        <v>0.4257465029</v>
      </c>
    </row>
    <row r="3528">
      <c r="A3528" s="6">
        <v>3526.0</v>
      </c>
      <c r="B3528" s="17">
        <f t="array" ref="B3528">SUM(1-'Sparkling Model'!D$2:D$38^A3528)</f>
        <v>36.20878912</v>
      </c>
      <c r="C3528" s="8">
        <f t="array" ref="C3528">PRODUCT(1-'Sparkling Model'!D$2:D$38^A3528)</f>
        <v>0.425993986</v>
      </c>
    </row>
    <row r="3529">
      <c r="A3529" s="6">
        <v>3527.0</v>
      </c>
      <c r="B3529" s="17">
        <f t="array" ref="B3529">SUM(1-'Sparkling Model'!D$2:D$38^A3529)</f>
        <v>36.20930168</v>
      </c>
      <c r="C3529" s="8">
        <f t="array" ref="C3529">PRODUCT(1-'Sparkling Model'!D$2:D$38^A3529)</f>
        <v>0.4262414044</v>
      </c>
    </row>
    <row r="3530">
      <c r="A3530" s="6">
        <v>3528.0</v>
      </c>
      <c r="B3530" s="17">
        <f t="array" ref="B3530">SUM(1-'Sparkling Model'!D$2:D$38^A3530)</f>
        <v>36.20981383</v>
      </c>
      <c r="C3530" s="8">
        <f t="array" ref="C3530">PRODUCT(1-'Sparkling Model'!D$2:D$38^A3530)</f>
        <v>0.4264887579</v>
      </c>
    </row>
    <row r="3531">
      <c r="A3531" s="6">
        <v>3529.0</v>
      </c>
      <c r="B3531" s="17">
        <f t="array" ref="B3531">SUM(1-'Sparkling Model'!D$2:D$38^A3531)</f>
        <v>36.21032557</v>
      </c>
      <c r="C3531" s="8">
        <f t="array" ref="C3531">PRODUCT(1-'Sparkling Model'!D$2:D$38^A3531)</f>
        <v>0.4267360466</v>
      </c>
    </row>
    <row r="3532">
      <c r="A3532" s="6">
        <v>3530.0</v>
      </c>
      <c r="B3532" s="17">
        <f t="array" ref="B3532">SUM(1-'Sparkling Model'!D$2:D$38^A3532)</f>
        <v>36.21083691</v>
      </c>
      <c r="C3532" s="8">
        <f t="array" ref="C3532">PRODUCT(1-'Sparkling Model'!D$2:D$38^A3532)</f>
        <v>0.4269832702</v>
      </c>
    </row>
    <row r="3533">
      <c r="A3533" s="6">
        <v>3531.0</v>
      </c>
      <c r="B3533" s="17">
        <f t="array" ref="B3533">SUM(1-'Sparkling Model'!D$2:D$38^A3533)</f>
        <v>36.21134783</v>
      </c>
      <c r="C3533" s="8">
        <f t="array" ref="C3533">PRODUCT(1-'Sparkling Model'!D$2:D$38^A3533)</f>
        <v>0.4272304289</v>
      </c>
    </row>
    <row r="3534">
      <c r="A3534" s="6">
        <v>3532.0</v>
      </c>
      <c r="B3534" s="17">
        <f t="array" ref="B3534">SUM(1-'Sparkling Model'!D$2:D$38^A3534)</f>
        <v>36.21185834</v>
      </c>
      <c r="C3534" s="8">
        <f t="array" ref="C3534">PRODUCT(1-'Sparkling Model'!D$2:D$38^A3534)</f>
        <v>0.4274775225</v>
      </c>
    </row>
    <row r="3535">
      <c r="A3535" s="6">
        <v>3533.0</v>
      </c>
      <c r="B3535" s="17">
        <f t="array" ref="B3535">SUM(1-'Sparkling Model'!D$2:D$38^A3535)</f>
        <v>36.21236845</v>
      </c>
      <c r="C3535" s="8">
        <f t="array" ref="C3535">PRODUCT(1-'Sparkling Model'!D$2:D$38^A3535)</f>
        <v>0.427724551</v>
      </c>
    </row>
    <row r="3536">
      <c r="A3536" s="6">
        <v>3534.0</v>
      </c>
      <c r="B3536" s="17">
        <f t="array" ref="B3536">SUM(1-'Sparkling Model'!D$2:D$38^A3536)</f>
        <v>36.21287815</v>
      </c>
      <c r="C3536" s="8">
        <f t="array" ref="C3536">PRODUCT(1-'Sparkling Model'!D$2:D$38^A3536)</f>
        <v>0.4279715143</v>
      </c>
    </row>
    <row r="3537">
      <c r="A3537" s="6">
        <v>3535.0</v>
      </c>
      <c r="B3537" s="17">
        <f t="array" ref="B3537">SUM(1-'Sparkling Model'!D$2:D$38^A3537)</f>
        <v>36.21338744</v>
      </c>
      <c r="C3537" s="8">
        <f t="array" ref="C3537">PRODUCT(1-'Sparkling Model'!D$2:D$38^A3537)</f>
        <v>0.4282184124</v>
      </c>
    </row>
    <row r="3538">
      <c r="A3538" s="6">
        <v>3536.0</v>
      </c>
      <c r="B3538" s="17">
        <f t="array" ref="B3538">SUM(1-'Sparkling Model'!D$2:D$38^A3538)</f>
        <v>36.21389633</v>
      </c>
      <c r="C3538" s="8">
        <f t="array" ref="C3538">PRODUCT(1-'Sparkling Model'!D$2:D$38^A3538)</f>
        <v>0.4284652452</v>
      </c>
    </row>
    <row r="3539">
      <c r="A3539" s="6">
        <v>3537.0</v>
      </c>
      <c r="B3539" s="17">
        <f t="array" ref="B3539">SUM(1-'Sparkling Model'!D$2:D$38^A3539)</f>
        <v>36.21440481</v>
      </c>
      <c r="C3539" s="8">
        <f t="array" ref="C3539">PRODUCT(1-'Sparkling Model'!D$2:D$38^A3539)</f>
        <v>0.4287120127</v>
      </c>
    </row>
    <row r="3540">
      <c r="A3540" s="6">
        <v>3538.0</v>
      </c>
      <c r="B3540" s="17">
        <f t="array" ref="B3540">SUM(1-'Sparkling Model'!D$2:D$38^A3540)</f>
        <v>36.21491288</v>
      </c>
      <c r="C3540" s="8">
        <f t="array" ref="C3540">PRODUCT(1-'Sparkling Model'!D$2:D$38^A3540)</f>
        <v>0.4289587147</v>
      </c>
    </row>
    <row r="3541">
      <c r="A3541" s="6">
        <v>3539.0</v>
      </c>
      <c r="B3541" s="17">
        <f t="array" ref="B3541">SUM(1-'Sparkling Model'!D$2:D$38^A3541)</f>
        <v>36.21542055</v>
      </c>
      <c r="C3541" s="8">
        <f t="array" ref="C3541">PRODUCT(1-'Sparkling Model'!D$2:D$38^A3541)</f>
        <v>0.4292053513</v>
      </c>
    </row>
    <row r="3542">
      <c r="A3542" s="6">
        <v>3540.0</v>
      </c>
      <c r="B3542" s="17">
        <f t="array" ref="B3542">SUM(1-'Sparkling Model'!D$2:D$38^A3542)</f>
        <v>36.21592782</v>
      </c>
      <c r="C3542" s="8">
        <f t="array" ref="C3542">PRODUCT(1-'Sparkling Model'!D$2:D$38^A3542)</f>
        <v>0.4294519224</v>
      </c>
    </row>
    <row r="3543">
      <c r="A3543" s="6">
        <v>3541.0</v>
      </c>
      <c r="B3543" s="17">
        <f t="array" ref="B3543">SUM(1-'Sparkling Model'!D$2:D$38^A3543)</f>
        <v>36.21643468</v>
      </c>
      <c r="C3543" s="8">
        <f t="array" ref="C3543">PRODUCT(1-'Sparkling Model'!D$2:D$38^A3543)</f>
        <v>0.429698428</v>
      </c>
    </row>
    <row r="3544">
      <c r="A3544" s="6">
        <v>3542.0</v>
      </c>
      <c r="B3544" s="17">
        <f t="array" ref="B3544">SUM(1-'Sparkling Model'!D$2:D$38^A3544)</f>
        <v>36.21694113</v>
      </c>
      <c r="C3544" s="8">
        <f t="array" ref="C3544">PRODUCT(1-'Sparkling Model'!D$2:D$38^A3544)</f>
        <v>0.4299448679</v>
      </c>
    </row>
    <row r="3545">
      <c r="A3545" s="6">
        <v>3543.0</v>
      </c>
      <c r="B3545" s="17">
        <f t="array" ref="B3545">SUM(1-'Sparkling Model'!D$2:D$38^A3545)</f>
        <v>36.21744718</v>
      </c>
      <c r="C3545" s="8">
        <f t="array" ref="C3545">PRODUCT(1-'Sparkling Model'!D$2:D$38^A3545)</f>
        <v>0.4301912422</v>
      </c>
    </row>
    <row r="3546">
      <c r="A3546" s="6">
        <v>3544.0</v>
      </c>
      <c r="B3546" s="17">
        <f t="array" ref="B3546">SUM(1-'Sparkling Model'!D$2:D$38^A3546)</f>
        <v>36.21795283</v>
      </c>
      <c r="C3546" s="8">
        <f t="array" ref="C3546">PRODUCT(1-'Sparkling Model'!D$2:D$38^A3546)</f>
        <v>0.4304375507</v>
      </c>
    </row>
    <row r="3547">
      <c r="A3547" s="6">
        <v>3545.0</v>
      </c>
      <c r="B3547" s="17">
        <f t="array" ref="B3547">SUM(1-'Sparkling Model'!D$2:D$38^A3547)</f>
        <v>36.21845808</v>
      </c>
      <c r="C3547" s="8">
        <f t="array" ref="C3547">PRODUCT(1-'Sparkling Model'!D$2:D$38^A3547)</f>
        <v>0.4306837934</v>
      </c>
    </row>
    <row r="3548">
      <c r="A3548" s="6">
        <v>3546.0</v>
      </c>
      <c r="B3548" s="17">
        <f t="array" ref="B3548">SUM(1-'Sparkling Model'!D$2:D$38^A3548)</f>
        <v>36.21896292</v>
      </c>
      <c r="C3548" s="8">
        <f t="array" ref="C3548">PRODUCT(1-'Sparkling Model'!D$2:D$38^A3548)</f>
        <v>0.4309299703</v>
      </c>
    </row>
    <row r="3549">
      <c r="A3549" s="6">
        <v>3547.0</v>
      </c>
      <c r="B3549" s="17">
        <f t="array" ref="B3549">SUM(1-'Sparkling Model'!D$2:D$38^A3549)</f>
        <v>36.21946737</v>
      </c>
      <c r="C3549" s="8">
        <f t="array" ref="C3549">PRODUCT(1-'Sparkling Model'!D$2:D$38^A3549)</f>
        <v>0.4311760813</v>
      </c>
    </row>
    <row r="3550">
      <c r="A3550" s="6">
        <v>3548.0</v>
      </c>
      <c r="B3550" s="17">
        <f t="array" ref="B3550">SUM(1-'Sparkling Model'!D$2:D$38^A3550)</f>
        <v>36.21997141</v>
      </c>
      <c r="C3550" s="8">
        <f t="array" ref="C3550">PRODUCT(1-'Sparkling Model'!D$2:D$38^A3550)</f>
        <v>0.4314221264</v>
      </c>
    </row>
    <row r="3551">
      <c r="A3551" s="6">
        <v>3549.0</v>
      </c>
      <c r="B3551" s="17">
        <f t="array" ref="B3551">SUM(1-'Sparkling Model'!D$2:D$38^A3551)</f>
        <v>36.22047504</v>
      </c>
      <c r="C3551" s="8">
        <f t="array" ref="C3551">PRODUCT(1-'Sparkling Model'!D$2:D$38^A3551)</f>
        <v>0.4316681055</v>
      </c>
    </row>
    <row r="3552">
      <c r="A3552" s="6">
        <v>3550.0</v>
      </c>
      <c r="B3552" s="17">
        <f t="array" ref="B3552">SUM(1-'Sparkling Model'!D$2:D$38^A3552)</f>
        <v>36.22097828</v>
      </c>
      <c r="C3552" s="8">
        <f t="array" ref="C3552">PRODUCT(1-'Sparkling Model'!D$2:D$38^A3552)</f>
        <v>0.4319140185</v>
      </c>
    </row>
    <row r="3553">
      <c r="A3553" s="6">
        <v>3551.0</v>
      </c>
      <c r="B3553" s="17">
        <f t="array" ref="B3553">SUM(1-'Sparkling Model'!D$2:D$38^A3553)</f>
        <v>36.22148112</v>
      </c>
      <c r="C3553" s="8">
        <f t="array" ref="C3553">PRODUCT(1-'Sparkling Model'!D$2:D$38^A3553)</f>
        <v>0.4321598654</v>
      </c>
    </row>
    <row r="3554">
      <c r="A3554" s="6">
        <v>3552.0</v>
      </c>
      <c r="B3554" s="17">
        <f t="array" ref="B3554">SUM(1-'Sparkling Model'!D$2:D$38^A3554)</f>
        <v>36.22198356</v>
      </c>
      <c r="C3554" s="8">
        <f t="array" ref="C3554">PRODUCT(1-'Sparkling Model'!D$2:D$38^A3554)</f>
        <v>0.4324056462</v>
      </c>
    </row>
    <row r="3555">
      <c r="A3555" s="6">
        <v>3553.0</v>
      </c>
      <c r="B3555" s="17">
        <f t="array" ref="B3555">SUM(1-'Sparkling Model'!D$2:D$38^A3555)</f>
        <v>36.2224856</v>
      </c>
      <c r="C3555" s="8">
        <f t="array" ref="C3555">PRODUCT(1-'Sparkling Model'!D$2:D$38^A3555)</f>
        <v>0.4326513608</v>
      </c>
    </row>
    <row r="3556">
      <c r="A3556" s="6">
        <v>3554.0</v>
      </c>
      <c r="B3556" s="17">
        <f t="array" ref="B3556">SUM(1-'Sparkling Model'!D$2:D$38^A3556)</f>
        <v>36.22298724</v>
      </c>
      <c r="C3556" s="8">
        <f t="array" ref="C3556">PRODUCT(1-'Sparkling Model'!D$2:D$38^A3556)</f>
        <v>0.4328970091</v>
      </c>
    </row>
    <row r="3557">
      <c r="A3557" s="6">
        <v>3555.0</v>
      </c>
      <c r="B3557" s="17">
        <f t="array" ref="B3557">SUM(1-'Sparkling Model'!D$2:D$38^A3557)</f>
        <v>36.22348848</v>
      </c>
      <c r="C3557" s="8">
        <f t="array" ref="C3557">PRODUCT(1-'Sparkling Model'!D$2:D$38^A3557)</f>
        <v>0.433142591</v>
      </c>
    </row>
    <row r="3558">
      <c r="A3558" s="6">
        <v>3556.0</v>
      </c>
      <c r="B3558" s="17">
        <f t="array" ref="B3558">SUM(1-'Sparkling Model'!D$2:D$38^A3558)</f>
        <v>36.22398932</v>
      </c>
      <c r="C3558" s="8">
        <f t="array" ref="C3558">PRODUCT(1-'Sparkling Model'!D$2:D$38^A3558)</f>
        <v>0.4333881066</v>
      </c>
    </row>
    <row r="3559">
      <c r="A3559" s="6">
        <v>3557.0</v>
      </c>
      <c r="B3559" s="17">
        <f t="array" ref="B3559">SUM(1-'Sparkling Model'!D$2:D$38^A3559)</f>
        <v>36.22448976</v>
      </c>
      <c r="C3559" s="8">
        <f t="array" ref="C3559">PRODUCT(1-'Sparkling Model'!D$2:D$38^A3559)</f>
        <v>0.4336335558</v>
      </c>
    </row>
    <row r="3560">
      <c r="A3560" s="6">
        <v>3558.0</v>
      </c>
      <c r="B3560" s="17">
        <f t="array" ref="B3560">SUM(1-'Sparkling Model'!D$2:D$38^A3560)</f>
        <v>36.22498981</v>
      </c>
      <c r="C3560" s="8">
        <f t="array" ref="C3560">PRODUCT(1-'Sparkling Model'!D$2:D$38^A3560)</f>
        <v>0.4338789385</v>
      </c>
    </row>
    <row r="3561">
      <c r="A3561" s="6">
        <v>3559.0</v>
      </c>
      <c r="B3561" s="17">
        <f t="array" ref="B3561">SUM(1-'Sparkling Model'!D$2:D$38^A3561)</f>
        <v>36.22548946</v>
      </c>
      <c r="C3561" s="8">
        <f t="array" ref="C3561">PRODUCT(1-'Sparkling Model'!D$2:D$38^A3561)</f>
        <v>0.4341242547</v>
      </c>
    </row>
    <row r="3562">
      <c r="A3562" s="6">
        <v>3560.0</v>
      </c>
      <c r="B3562" s="17">
        <f t="array" ref="B3562">SUM(1-'Sparkling Model'!D$2:D$38^A3562)</f>
        <v>36.22598871</v>
      </c>
      <c r="C3562" s="8">
        <f t="array" ref="C3562">PRODUCT(1-'Sparkling Model'!D$2:D$38^A3562)</f>
        <v>0.4343695043</v>
      </c>
    </row>
    <row r="3563">
      <c r="A3563" s="6">
        <v>3561.0</v>
      </c>
      <c r="B3563" s="17">
        <f t="array" ref="B3563">SUM(1-'Sparkling Model'!D$2:D$38^A3563)</f>
        <v>36.22648757</v>
      </c>
      <c r="C3563" s="8">
        <f t="array" ref="C3563">PRODUCT(1-'Sparkling Model'!D$2:D$38^A3563)</f>
        <v>0.4346146873</v>
      </c>
    </row>
    <row r="3564">
      <c r="A3564" s="6">
        <v>3562.0</v>
      </c>
      <c r="B3564" s="17">
        <f t="array" ref="B3564">SUM(1-'Sparkling Model'!D$2:D$38^A3564)</f>
        <v>36.22698603</v>
      </c>
      <c r="C3564" s="8">
        <f t="array" ref="C3564">PRODUCT(1-'Sparkling Model'!D$2:D$38^A3564)</f>
        <v>0.4348598036</v>
      </c>
    </row>
    <row r="3565">
      <c r="A3565" s="6">
        <v>3563.0</v>
      </c>
      <c r="B3565" s="17">
        <f t="array" ref="B3565">SUM(1-'Sparkling Model'!D$2:D$38^A3565)</f>
        <v>36.2274841</v>
      </c>
      <c r="C3565" s="8">
        <f t="array" ref="C3565">PRODUCT(1-'Sparkling Model'!D$2:D$38^A3565)</f>
        <v>0.4351048532</v>
      </c>
    </row>
    <row r="3566">
      <c r="A3566" s="6">
        <v>3564.0</v>
      </c>
      <c r="B3566" s="17">
        <f t="array" ref="B3566">SUM(1-'Sparkling Model'!D$2:D$38^A3566)</f>
        <v>36.22798177</v>
      </c>
      <c r="C3566" s="8">
        <f t="array" ref="C3566">PRODUCT(1-'Sparkling Model'!D$2:D$38^A3566)</f>
        <v>0.435349836</v>
      </c>
    </row>
    <row r="3567">
      <c r="A3567" s="6">
        <v>3565.0</v>
      </c>
      <c r="B3567" s="17">
        <f t="array" ref="B3567">SUM(1-'Sparkling Model'!D$2:D$38^A3567)</f>
        <v>36.22847904</v>
      </c>
      <c r="C3567" s="8">
        <f t="array" ref="C3567">PRODUCT(1-'Sparkling Model'!D$2:D$38^A3567)</f>
        <v>0.4355947519</v>
      </c>
    </row>
    <row r="3568">
      <c r="A3568" s="6">
        <v>3566.0</v>
      </c>
      <c r="B3568" s="17">
        <f t="array" ref="B3568">SUM(1-'Sparkling Model'!D$2:D$38^A3568)</f>
        <v>36.22897593</v>
      </c>
      <c r="C3568" s="8">
        <f t="array" ref="C3568">PRODUCT(1-'Sparkling Model'!D$2:D$38^A3568)</f>
        <v>0.435839601</v>
      </c>
    </row>
    <row r="3569">
      <c r="A3569" s="6">
        <v>3567.0</v>
      </c>
      <c r="B3569" s="17">
        <f t="array" ref="B3569">SUM(1-'Sparkling Model'!D$2:D$38^A3569)</f>
        <v>36.22947241</v>
      </c>
      <c r="C3569" s="8">
        <f t="array" ref="C3569">PRODUCT(1-'Sparkling Model'!D$2:D$38^A3569)</f>
        <v>0.4360843831</v>
      </c>
    </row>
    <row r="3570">
      <c r="A3570" s="6">
        <v>3568.0</v>
      </c>
      <c r="B3570" s="17">
        <f t="array" ref="B3570">SUM(1-'Sparkling Model'!D$2:D$38^A3570)</f>
        <v>36.22996851</v>
      </c>
      <c r="C3570" s="8">
        <f t="array" ref="C3570">PRODUCT(1-'Sparkling Model'!D$2:D$38^A3570)</f>
        <v>0.4363290982</v>
      </c>
    </row>
    <row r="3571">
      <c r="A3571" s="6">
        <v>3569.0</v>
      </c>
      <c r="B3571" s="17">
        <f t="array" ref="B3571">SUM(1-'Sparkling Model'!D$2:D$38^A3571)</f>
        <v>36.23046421</v>
      </c>
      <c r="C3571" s="8">
        <f t="array" ref="C3571">PRODUCT(1-'Sparkling Model'!D$2:D$38^A3571)</f>
        <v>0.4365737463</v>
      </c>
    </row>
    <row r="3572">
      <c r="A3572" s="6">
        <v>3570.0</v>
      </c>
      <c r="B3572" s="17">
        <f t="array" ref="B3572">SUM(1-'Sparkling Model'!D$2:D$38^A3572)</f>
        <v>36.23095952</v>
      </c>
      <c r="C3572" s="8">
        <f t="array" ref="C3572">PRODUCT(1-'Sparkling Model'!D$2:D$38^A3572)</f>
        <v>0.4368183273</v>
      </c>
    </row>
    <row r="3573">
      <c r="A3573" s="6">
        <v>3571.0</v>
      </c>
      <c r="B3573" s="17">
        <f t="array" ref="B3573">SUM(1-'Sparkling Model'!D$2:D$38^A3573)</f>
        <v>36.23145443</v>
      </c>
      <c r="C3573" s="8">
        <f t="array" ref="C3573">PRODUCT(1-'Sparkling Model'!D$2:D$38^A3573)</f>
        <v>0.4370628411</v>
      </c>
    </row>
    <row r="3574">
      <c r="A3574" s="6">
        <v>3572.0</v>
      </c>
      <c r="B3574" s="17">
        <f t="array" ref="B3574">SUM(1-'Sparkling Model'!D$2:D$38^A3574)</f>
        <v>36.23194896</v>
      </c>
      <c r="C3574" s="8">
        <f t="array" ref="C3574">PRODUCT(1-'Sparkling Model'!D$2:D$38^A3574)</f>
        <v>0.4373072878</v>
      </c>
    </row>
    <row r="3575">
      <c r="A3575" s="6">
        <v>3573.0</v>
      </c>
      <c r="B3575" s="17">
        <f t="array" ref="B3575">SUM(1-'Sparkling Model'!D$2:D$38^A3575)</f>
        <v>36.23244309</v>
      </c>
      <c r="C3575" s="8">
        <f t="array" ref="C3575">PRODUCT(1-'Sparkling Model'!D$2:D$38^A3575)</f>
        <v>0.4375516672</v>
      </c>
    </row>
    <row r="3576">
      <c r="A3576" s="6">
        <v>3574.0</v>
      </c>
      <c r="B3576" s="17">
        <f t="array" ref="B3576">SUM(1-'Sparkling Model'!D$2:D$38^A3576)</f>
        <v>36.23293683</v>
      </c>
      <c r="C3576" s="8">
        <f t="array" ref="C3576">PRODUCT(1-'Sparkling Model'!D$2:D$38^A3576)</f>
        <v>0.4377959794</v>
      </c>
    </row>
    <row r="3577">
      <c r="A3577" s="6">
        <v>3575.0</v>
      </c>
      <c r="B3577" s="17">
        <f t="array" ref="B3577">SUM(1-'Sparkling Model'!D$2:D$38^A3577)</f>
        <v>36.23343019</v>
      </c>
      <c r="C3577" s="8">
        <f t="array" ref="C3577">PRODUCT(1-'Sparkling Model'!D$2:D$38^A3577)</f>
        <v>0.4380402242</v>
      </c>
    </row>
    <row r="3578">
      <c r="A3578" s="6">
        <v>3576.0</v>
      </c>
      <c r="B3578" s="17">
        <f t="array" ref="B3578">SUM(1-'Sparkling Model'!D$2:D$38^A3578)</f>
        <v>36.23392315</v>
      </c>
      <c r="C3578" s="8">
        <f t="array" ref="C3578">PRODUCT(1-'Sparkling Model'!D$2:D$38^A3578)</f>
        <v>0.4382844016</v>
      </c>
    </row>
    <row r="3579">
      <c r="A3579" s="6">
        <v>3577.0</v>
      </c>
      <c r="B3579" s="17">
        <f t="array" ref="B3579">SUM(1-'Sparkling Model'!D$2:D$38^A3579)</f>
        <v>36.23441572</v>
      </c>
      <c r="C3579" s="8">
        <f t="array" ref="C3579">PRODUCT(1-'Sparkling Model'!D$2:D$38^A3579)</f>
        <v>0.4385285115</v>
      </c>
    </row>
    <row r="3580">
      <c r="A3580" s="6">
        <v>3578.0</v>
      </c>
      <c r="B3580" s="17">
        <f t="array" ref="B3580">SUM(1-'Sparkling Model'!D$2:D$38^A3580)</f>
        <v>36.2349079</v>
      </c>
      <c r="C3580" s="8">
        <f t="array" ref="C3580">PRODUCT(1-'Sparkling Model'!D$2:D$38^A3580)</f>
        <v>0.438772554</v>
      </c>
    </row>
    <row r="3581">
      <c r="A3581" s="6">
        <v>3579.0</v>
      </c>
      <c r="B3581" s="17">
        <f t="array" ref="B3581">SUM(1-'Sparkling Model'!D$2:D$38^A3581)</f>
        <v>36.23539969</v>
      </c>
      <c r="C3581" s="8">
        <f t="array" ref="C3581">PRODUCT(1-'Sparkling Model'!D$2:D$38^A3581)</f>
        <v>0.4390165289</v>
      </c>
    </row>
    <row r="3582">
      <c r="A3582" s="6">
        <v>3580.0</v>
      </c>
      <c r="B3582" s="17">
        <f t="array" ref="B3582">SUM(1-'Sparkling Model'!D$2:D$38^A3582)</f>
        <v>36.2358911</v>
      </c>
      <c r="C3582" s="8">
        <f t="array" ref="C3582">PRODUCT(1-'Sparkling Model'!D$2:D$38^A3582)</f>
        <v>0.4392604363</v>
      </c>
    </row>
    <row r="3583">
      <c r="A3583" s="6">
        <v>3581.0</v>
      </c>
      <c r="B3583" s="17">
        <f t="array" ref="B3583">SUM(1-'Sparkling Model'!D$2:D$38^A3583)</f>
        <v>36.23638211</v>
      </c>
      <c r="C3583" s="8">
        <f t="array" ref="C3583">PRODUCT(1-'Sparkling Model'!D$2:D$38^A3583)</f>
        <v>0.439504276</v>
      </c>
    </row>
    <row r="3584">
      <c r="A3584" s="6">
        <v>3582.0</v>
      </c>
      <c r="B3584" s="17">
        <f t="array" ref="B3584">SUM(1-'Sparkling Model'!D$2:D$38^A3584)</f>
        <v>36.23687274</v>
      </c>
      <c r="C3584" s="8">
        <f t="array" ref="C3584">PRODUCT(1-'Sparkling Model'!D$2:D$38^A3584)</f>
        <v>0.439748048</v>
      </c>
    </row>
    <row r="3585">
      <c r="A3585" s="6">
        <v>3583.0</v>
      </c>
      <c r="B3585" s="17">
        <f t="array" ref="B3585">SUM(1-'Sparkling Model'!D$2:D$38^A3585)</f>
        <v>36.23736298</v>
      </c>
      <c r="C3585" s="8">
        <f t="array" ref="C3585">PRODUCT(1-'Sparkling Model'!D$2:D$38^A3585)</f>
        <v>0.4399917523</v>
      </c>
    </row>
    <row r="3586">
      <c r="A3586" s="6">
        <v>3584.0</v>
      </c>
      <c r="B3586" s="17">
        <f t="array" ref="B3586">SUM(1-'Sparkling Model'!D$2:D$38^A3586)</f>
        <v>36.23785284</v>
      </c>
      <c r="C3586" s="8">
        <f t="array" ref="C3586">PRODUCT(1-'Sparkling Model'!D$2:D$38^A3586)</f>
        <v>0.4402353888</v>
      </c>
    </row>
    <row r="3587">
      <c r="A3587" s="6">
        <v>3585.0</v>
      </c>
      <c r="B3587" s="17">
        <f t="array" ref="B3587">SUM(1-'Sparkling Model'!D$2:D$38^A3587)</f>
        <v>36.2383423</v>
      </c>
      <c r="C3587" s="8">
        <f t="array" ref="C3587">PRODUCT(1-'Sparkling Model'!D$2:D$38^A3587)</f>
        <v>0.4404789575</v>
      </c>
    </row>
    <row r="3588">
      <c r="A3588" s="6">
        <v>3586.0</v>
      </c>
      <c r="B3588" s="17">
        <f t="array" ref="B3588">SUM(1-'Sparkling Model'!D$2:D$38^A3588)</f>
        <v>36.23883138</v>
      </c>
      <c r="C3588" s="8">
        <f t="array" ref="C3588">PRODUCT(1-'Sparkling Model'!D$2:D$38^A3588)</f>
        <v>0.4407224582</v>
      </c>
    </row>
    <row r="3589">
      <c r="A3589" s="6">
        <v>3587.0</v>
      </c>
      <c r="B3589" s="17">
        <f t="array" ref="B3589">SUM(1-'Sparkling Model'!D$2:D$38^A3589)</f>
        <v>36.23932008</v>
      </c>
      <c r="C3589" s="8">
        <f t="array" ref="C3589">PRODUCT(1-'Sparkling Model'!D$2:D$38^A3589)</f>
        <v>0.4409658911</v>
      </c>
    </row>
    <row r="3590">
      <c r="A3590" s="6">
        <v>3588.0</v>
      </c>
      <c r="B3590" s="17">
        <f t="array" ref="B3590">SUM(1-'Sparkling Model'!D$2:D$38^A3590)</f>
        <v>36.23980839</v>
      </c>
      <c r="C3590" s="8">
        <f t="array" ref="C3590">PRODUCT(1-'Sparkling Model'!D$2:D$38^A3590)</f>
        <v>0.441209256</v>
      </c>
    </row>
    <row r="3591">
      <c r="A3591" s="6">
        <v>3589.0</v>
      </c>
      <c r="B3591" s="17">
        <f t="array" ref="B3591">SUM(1-'Sparkling Model'!D$2:D$38^A3591)</f>
        <v>36.24029631</v>
      </c>
      <c r="C3591" s="8">
        <f t="array" ref="C3591">PRODUCT(1-'Sparkling Model'!D$2:D$38^A3591)</f>
        <v>0.4414525529</v>
      </c>
    </row>
    <row r="3592">
      <c r="A3592" s="6">
        <v>3590.0</v>
      </c>
      <c r="B3592" s="17">
        <f t="array" ref="B3592">SUM(1-'Sparkling Model'!D$2:D$38^A3592)</f>
        <v>36.24078385</v>
      </c>
      <c r="C3592" s="8">
        <f t="array" ref="C3592">PRODUCT(1-'Sparkling Model'!D$2:D$38^A3592)</f>
        <v>0.4416957816</v>
      </c>
    </row>
    <row r="3593">
      <c r="A3593" s="6">
        <v>3591.0</v>
      </c>
      <c r="B3593" s="17">
        <f t="array" ref="B3593">SUM(1-'Sparkling Model'!D$2:D$38^A3593)</f>
        <v>36.241271</v>
      </c>
      <c r="C3593" s="8">
        <f t="array" ref="C3593">PRODUCT(1-'Sparkling Model'!D$2:D$38^A3593)</f>
        <v>0.4419389423</v>
      </c>
    </row>
    <row r="3594">
      <c r="A3594" s="6">
        <v>3592.0</v>
      </c>
      <c r="B3594" s="17">
        <f t="array" ref="B3594">SUM(1-'Sparkling Model'!D$2:D$38^A3594)</f>
        <v>36.24175778</v>
      </c>
      <c r="C3594" s="8">
        <f t="array" ref="C3594">PRODUCT(1-'Sparkling Model'!D$2:D$38^A3594)</f>
        <v>0.4421820348</v>
      </c>
    </row>
    <row r="3595">
      <c r="A3595" s="6">
        <v>3593.0</v>
      </c>
      <c r="B3595" s="17">
        <f t="array" ref="B3595">SUM(1-'Sparkling Model'!D$2:D$38^A3595)</f>
        <v>36.24224416</v>
      </c>
      <c r="C3595" s="8">
        <f t="array" ref="C3595">PRODUCT(1-'Sparkling Model'!D$2:D$38^A3595)</f>
        <v>0.4424250591</v>
      </c>
    </row>
    <row r="3596">
      <c r="A3596" s="6">
        <v>3594.0</v>
      </c>
      <c r="B3596" s="17">
        <f t="array" ref="B3596">SUM(1-'Sparkling Model'!D$2:D$38^A3596)</f>
        <v>36.24273017</v>
      </c>
      <c r="C3596" s="8">
        <f t="array" ref="C3596">PRODUCT(1-'Sparkling Model'!D$2:D$38^A3596)</f>
        <v>0.4426680152</v>
      </c>
    </row>
    <row r="3597">
      <c r="A3597" s="6">
        <v>3595.0</v>
      </c>
      <c r="B3597" s="17">
        <f t="array" ref="B3597">SUM(1-'Sparkling Model'!D$2:D$38^A3597)</f>
        <v>36.24321579</v>
      </c>
      <c r="C3597" s="8">
        <f t="array" ref="C3597">PRODUCT(1-'Sparkling Model'!D$2:D$38^A3597)</f>
        <v>0.4429109029</v>
      </c>
    </row>
    <row r="3598">
      <c r="A3598" s="6">
        <v>3596.0</v>
      </c>
      <c r="B3598" s="17">
        <f t="array" ref="B3598">SUM(1-'Sparkling Model'!D$2:D$38^A3598)</f>
        <v>36.24370103</v>
      </c>
      <c r="C3598" s="8">
        <f t="array" ref="C3598">PRODUCT(1-'Sparkling Model'!D$2:D$38^A3598)</f>
        <v>0.4431537223</v>
      </c>
    </row>
    <row r="3599">
      <c r="A3599" s="6">
        <v>3597.0</v>
      </c>
      <c r="B3599" s="17">
        <f t="array" ref="B3599">SUM(1-'Sparkling Model'!D$2:D$38^A3599)</f>
        <v>36.24418588</v>
      </c>
      <c r="C3599" s="8">
        <f t="array" ref="C3599">PRODUCT(1-'Sparkling Model'!D$2:D$38^A3599)</f>
        <v>0.4433964732</v>
      </c>
    </row>
    <row r="3600">
      <c r="A3600" s="6">
        <v>3598.0</v>
      </c>
      <c r="B3600" s="17">
        <f t="array" ref="B3600">SUM(1-'Sparkling Model'!D$2:D$38^A3600)</f>
        <v>36.24467036</v>
      </c>
      <c r="C3600" s="8">
        <f t="array" ref="C3600">PRODUCT(1-'Sparkling Model'!D$2:D$38^A3600)</f>
        <v>0.4436391557</v>
      </c>
    </row>
    <row r="3601">
      <c r="A3601" s="6">
        <v>3599.0</v>
      </c>
      <c r="B3601" s="17">
        <f t="array" ref="B3601">SUM(1-'Sparkling Model'!D$2:D$38^A3601)</f>
        <v>36.24515445</v>
      </c>
      <c r="C3601" s="8">
        <f t="array" ref="C3601">PRODUCT(1-'Sparkling Model'!D$2:D$38^A3601)</f>
        <v>0.4438817698</v>
      </c>
    </row>
    <row r="3602">
      <c r="A3602" s="6">
        <v>3600.0</v>
      </c>
      <c r="B3602" s="17">
        <f t="array" ref="B3602">SUM(1-'Sparkling Model'!D$2:D$38^A3602)</f>
        <v>36.24563817</v>
      </c>
      <c r="C3602" s="8">
        <f t="array" ref="C3602">PRODUCT(1-'Sparkling Model'!D$2:D$38^A3602)</f>
        <v>0.4441243153</v>
      </c>
    </row>
    <row r="3603">
      <c r="A3603" s="6">
        <v>3601.0</v>
      </c>
      <c r="B3603" s="17">
        <f t="array" ref="B3603">SUM(1-'Sparkling Model'!D$2:D$38^A3603)</f>
        <v>36.2461215</v>
      </c>
      <c r="C3603" s="8">
        <f t="array" ref="C3603">PRODUCT(1-'Sparkling Model'!D$2:D$38^A3603)</f>
        <v>0.4443667922</v>
      </c>
    </row>
    <row r="3604">
      <c r="A3604" s="6">
        <v>3602.0</v>
      </c>
      <c r="B3604" s="17">
        <f t="array" ref="B3604">SUM(1-'Sparkling Model'!D$2:D$38^A3604)</f>
        <v>36.24660445</v>
      </c>
      <c r="C3604" s="8">
        <f t="array" ref="C3604">PRODUCT(1-'Sparkling Model'!D$2:D$38^A3604)</f>
        <v>0.4446092004</v>
      </c>
    </row>
    <row r="3605">
      <c r="A3605" s="6">
        <v>3603.0</v>
      </c>
      <c r="B3605" s="17">
        <f t="array" ref="B3605">SUM(1-'Sparkling Model'!D$2:D$38^A3605)</f>
        <v>36.24708702</v>
      </c>
      <c r="C3605" s="8">
        <f t="array" ref="C3605">PRODUCT(1-'Sparkling Model'!D$2:D$38^A3605)</f>
        <v>0.44485154</v>
      </c>
    </row>
    <row r="3606">
      <c r="A3606" s="6">
        <v>3604.0</v>
      </c>
      <c r="B3606" s="17">
        <f t="array" ref="B3606">SUM(1-'Sparkling Model'!D$2:D$38^A3606)</f>
        <v>36.24756922</v>
      </c>
      <c r="C3606" s="8">
        <f t="array" ref="C3606">PRODUCT(1-'Sparkling Model'!D$2:D$38^A3606)</f>
        <v>0.4450938109</v>
      </c>
    </row>
    <row r="3607">
      <c r="A3607" s="6">
        <v>3605.0</v>
      </c>
      <c r="B3607" s="17">
        <f t="array" ref="B3607">SUM(1-'Sparkling Model'!D$2:D$38^A3607)</f>
        <v>36.24805103</v>
      </c>
      <c r="C3607" s="8">
        <f t="array" ref="C3607">PRODUCT(1-'Sparkling Model'!D$2:D$38^A3607)</f>
        <v>0.445336013</v>
      </c>
    </row>
    <row r="3608">
      <c r="A3608" s="6">
        <v>3606.0</v>
      </c>
      <c r="B3608" s="17">
        <f t="array" ref="B3608">SUM(1-'Sparkling Model'!D$2:D$38^A3608)</f>
        <v>36.24853247</v>
      </c>
      <c r="C3608" s="8">
        <f t="array" ref="C3608">PRODUCT(1-'Sparkling Model'!D$2:D$38^A3608)</f>
        <v>0.4455781463</v>
      </c>
    </row>
    <row r="3609">
      <c r="A3609" s="6">
        <v>3607.0</v>
      </c>
      <c r="B3609" s="17">
        <f t="array" ref="B3609">SUM(1-'Sparkling Model'!D$2:D$38^A3609)</f>
        <v>36.24901353</v>
      </c>
      <c r="C3609" s="8">
        <f t="array" ref="C3609">PRODUCT(1-'Sparkling Model'!D$2:D$38^A3609)</f>
        <v>0.4458202107</v>
      </c>
    </row>
    <row r="3610">
      <c r="A3610" s="6">
        <v>3608.0</v>
      </c>
      <c r="B3610" s="17">
        <f t="array" ref="B3610">SUM(1-'Sparkling Model'!D$2:D$38^A3610)</f>
        <v>36.24949421</v>
      </c>
      <c r="C3610" s="8">
        <f t="array" ref="C3610">PRODUCT(1-'Sparkling Model'!D$2:D$38^A3610)</f>
        <v>0.4460622062</v>
      </c>
    </row>
    <row r="3611">
      <c r="A3611" s="6">
        <v>3609.0</v>
      </c>
      <c r="B3611" s="17">
        <f t="array" ref="B3611">SUM(1-'Sparkling Model'!D$2:D$38^A3611)</f>
        <v>36.24997451</v>
      </c>
      <c r="C3611" s="8">
        <f t="array" ref="C3611">PRODUCT(1-'Sparkling Model'!D$2:D$38^A3611)</f>
        <v>0.4463041328</v>
      </c>
    </row>
    <row r="3612">
      <c r="A3612" s="6">
        <v>3610.0</v>
      </c>
      <c r="B3612" s="17">
        <f t="array" ref="B3612">SUM(1-'Sparkling Model'!D$2:D$38^A3612)</f>
        <v>36.25045443</v>
      </c>
      <c r="C3612" s="8">
        <f t="array" ref="C3612">PRODUCT(1-'Sparkling Model'!D$2:D$38^A3612)</f>
        <v>0.4465459904</v>
      </c>
    </row>
    <row r="3613">
      <c r="A3613" s="6">
        <v>3611.0</v>
      </c>
      <c r="B3613" s="17">
        <f t="array" ref="B3613">SUM(1-'Sparkling Model'!D$2:D$38^A3613)</f>
        <v>36.25093398</v>
      </c>
      <c r="C3613" s="8">
        <f t="array" ref="C3613">PRODUCT(1-'Sparkling Model'!D$2:D$38^A3613)</f>
        <v>0.4467877789</v>
      </c>
    </row>
    <row r="3614">
      <c r="A3614" s="6">
        <v>3612.0</v>
      </c>
      <c r="B3614" s="17">
        <f t="array" ref="B3614">SUM(1-'Sparkling Model'!D$2:D$38^A3614)</f>
        <v>36.25141316</v>
      </c>
      <c r="C3614" s="8">
        <f t="array" ref="C3614">PRODUCT(1-'Sparkling Model'!D$2:D$38^A3614)</f>
        <v>0.4470294984</v>
      </c>
    </row>
    <row r="3615">
      <c r="A3615" s="6">
        <v>3613.0</v>
      </c>
      <c r="B3615" s="17">
        <f t="array" ref="B3615">SUM(1-'Sparkling Model'!D$2:D$38^A3615)</f>
        <v>36.25189195</v>
      </c>
      <c r="C3615" s="8">
        <f t="array" ref="C3615">PRODUCT(1-'Sparkling Model'!D$2:D$38^A3615)</f>
        <v>0.4472711487</v>
      </c>
    </row>
    <row r="3616">
      <c r="A3616" s="6">
        <v>3614.0</v>
      </c>
      <c r="B3616" s="17">
        <f t="array" ref="B3616">SUM(1-'Sparkling Model'!D$2:D$38^A3616)</f>
        <v>36.25237037</v>
      </c>
      <c r="C3616" s="8">
        <f t="array" ref="C3616">PRODUCT(1-'Sparkling Model'!D$2:D$38^A3616)</f>
        <v>0.4475127299</v>
      </c>
    </row>
    <row r="3617">
      <c r="A3617" s="6">
        <v>3615.0</v>
      </c>
      <c r="B3617" s="17">
        <f t="array" ref="B3617">SUM(1-'Sparkling Model'!D$2:D$38^A3617)</f>
        <v>36.25284842</v>
      </c>
      <c r="C3617" s="8">
        <f t="array" ref="C3617">PRODUCT(1-'Sparkling Model'!D$2:D$38^A3617)</f>
        <v>0.4477542418</v>
      </c>
    </row>
    <row r="3618">
      <c r="A3618" s="6">
        <v>3616.0</v>
      </c>
      <c r="B3618" s="17">
        <f t="array" ref="B3618">SUM(1-'Sparkling Model'!D$2:D$38^A3618)</f>
        <v>36.25332609</v>
      </c>
      <c r="C3618" s="8">
        <f t="array" ref="C3618">PRODUCT(1-'Sparkling Model'!D$2:D$38^A3618)</f>
        <v>0.4479956845</v>
      </c>
    </row>
    <row r="3619">
      <c r="A3619" s="6">
        <v>3617.0</v>
      </c>
      <c r="B3619" s="17">
        <f t="array" ref="B3619">SUM(1-'Sparkling Model'!D$2:D$38^A3619)</f>
        <v>36.25380339</v>
      </c>
      <c r="C3619" s="8">
        <f t="array" ref="C3619">PRODUCT(1-'Sparkling Model'!D$2:D$38^A3619)</f>
        <v>0.4482370578</v>
      </c>
    </row>
    <row r="3620">
      <c r="A3620" s="6">
        <v>3618.0</v>
      </c>
      <c r="B3620" s="17">
        <f t="array" ref="B3620">SUM(1-'Sparkling Model'!D$2:D$38^A3620)</f>
        <v>36.25428031</v>
      </c>
      <c r="C3620" s="8">
        <f t="array" ref="C3620">PRODUCT(1-'Sparkling Model'!D$2:D$38^A3620)</f>
        <v>0.4484783619</v>
      </c>
    </row>
    <row r="3621">
      <c r="A3621" s="6">
        <v>3619.0</v>
      </c>
      <c r="B3621" s="17">
        <f t="array" ref="B3621">SUM(1-'Sparkling Model'!D$2:D$38^A3621)</f>
        <v>36.25475686</v>
      </c>
      <c r="C3621" s="8">
        <f t="array" ref="C3621">PRODUCT(1-'Sparkling Model'!D$2:D$38^A3621)</f>
        <v>0.4487195965</v>
      </c>
    </row>
    <row r="3622">
      <c r="A3622" s="6">
        <v>3620.0</v>
      </c>
      <c r="B3622" s="17">
        <f t="array" ref="B3622">SUM(1-'Sparkling Model'!D$2:D$38^A3622)</f>
        <v>36.25523304</v>
      </c>
      <c r="C3622" s="8">
        <f t="array" ref="C3622">PRODUCT(1-'Sparkling Model'!D$2:D$38^A3622)</f>
        <v>0.4489607617</v>
      </c>
    </row>
    <row r="3623">
      <c r="A3623" s="6">
        <v>3621.0</v>
      </c>
      <c r="B3623" s="17">
        <f t="array" ref="B3623">SUM(1-'Sparkling Model'!D$2:D$38^A3623)</f>
        <v>36.25570884</v>
      </c>
      <c r="C3623" s="8">
        <f t="array" ref="C3623">PRODUCT(1-'Sparkling Model'!D$2:D$38^A3623)</f>
        <v>0.4492018574</v>
      </c>
    </row>
    <row r="3624">
      <c r="A3624" s="6">
        <v>3622.0</v>
      </c>
      <c r="B3624" s="17">
        <f t="array" ref="B3624">SUM(1-'Sparkling Model'!D$2:D$38^A3624)</f>
        <v>36.25618427</v>
      </c>
      <c r="C3624" s="8">
        <f t="array" ref="C3624">PRODUCT(1-'Sparkling Model'!D$2:D$38^A3624)</f>
        <v>0.4494428836</v>
      </c>
    </row>
    <row r="3625">
      <c r="A3625" s="6">
        <v>3623.0</v>
      </c>
      <c r="B3625" s="17">
        <f t="array" ref="B3625">SUM(1-'Sparkling Model'!D$2:D$38^A3625)</f>
        <v>36.25665933</v>
      </c>
      <c r="C3625" s="8">
        <f t="array" ref="C3625">PRODUCT(1-'Sparkling Model'!D$2:D$38^A3625)</f>
        <v>0.4496838402</v>
      </c>
    </row>
    <row r="3626">
      <c r="A3626" s="6">
        <v>3624.0</v>
      </c>
      <c r="B3626" s="17">
        <f t="array" ref="B3626">SUM(1-'Sparkling Model'!D$2:D$38^A3626)</f>
        <v>36.25713402</v>
      </c>
      <c r="C3626" s="8">
        <f t="array" ref="C3626">PRODUCT(1-'Sparkling Model'!D$2:D$38^A3626)</f>
        <v>0.4499247272</v>
      </c>
    </row>
    <row r="3627">
      <c r="A3627" s="6">
        <v>3625.0</v>
      </c>
      <c r="B3627" s="17">
        <f t="array" ref="B3627">SUM(1-'Sparkling Model'!D$2:D$38^A3627)</f>
        <v>36.25760833</v>
      </c>
      <c r="C3627" s="8">
        <f t="array" ref="C3627">PRODUCT(1-'Sparkling Model'!D$2:D$38^A3627)</f>
        <v>0.4501655446</v>
      </c>
    </row>
    <row r="3628">
      <c r="A3628" s="6">
        <v>3626.0</v>
      </c>
      <c r="B3628" s="17">
        <f t="array" ref="B3628">SUM(1-'Sparkling Model'!D$2:D$38^A3628)</f>
        <v>36.25808228</v>
      </c>
      <c r="C3628" s="8">
        <f t="array" ref="C3628">PRODUCT(1-'Sparkling Model'!D$2:D$38^A3628)</f>
        <v>0.4504062923</v>
      </c>
    </row>
    <row r="3629">
      <c r="A3629" s="6">
        <v>3627.0</v>
      </c>
      <c r="B3629" s="17">
        <f t="array" ref="B3629">SUM(1-'Sparkling Model'!D$2:D$38^A3629)</f>
        <v>36.25855585</v>
      </c>
      <c r="C3629" s="8">
        <f t="array" ref="C3629">PRODUCT(1-'Sparkling Model'!D$2:D$38^A3629)</f>
        <v>0.4506469702</v>
      </c>
    </row>
    <row r="3630">
      <c r="A3630" s="6">
        <v>3628.0</v>
      </c>
      <c r="B3630" s="17">
        <f t="array" ref="B3630">SUM(1-'Sparkling Model'!D$2:D$38^A3630)</f>
        <v>36.25902905</v>
      </c>
      <c r="C3630" s="8">
        <f t="array" ref="C3630">PRODUCT(1-'Sparkling Model'!D$2:D$38^A3630)</f>
        <v>0.4508875784</v>
      </c>
    </row>
    <row r="3631">
      <c r="A3631" s="6">
        <v>3629.0</v>
      </c>
      <c r="B3631" s="17">
        <f t="array" ref="B3631">SUM(1-'Sparkling Model'!D$2:D$38^A3631)</f>
        <v>36.25950189</v>
      </c>
      <c r="C3631" s="8">
        <f t="array" ref="C3631">PRODUCT(1-'Sparkling Model'!D$2:D$38^A3631)</f>
        <v>0.4511281167</v>
      </c>
    </row>
    <row r="3632">
      <c r="A3632" s="6">
        <v>3630.0</v>
      </c>
      <c r="B3632" s="17">
        <f t="array" ref="B3632">SUM(1-'Sparkling Model'!D$2:D$38^A3632)</f>
        <v>36.25997435</v>
      </c>
      <c r="C3632" s="8">
        <f t="array" ref="C3632">PRODUCT(1-'Sparkling Model'!D$2:D$38^A3632)</f>
        <v>0.4513685852</v>
      </c>
    </row>
    <row r="3633">
      <c r="A3633" s="6">
        <v>3631.0</v>
      </c>
      <c r="B3633" s="17">
        <f t="array" ref="B3633">SUM(1-'Sparkling Model'!D$2:D$38^A3633)</f>
        <v>36.26044645</v>
      </c>
      <c r="C3633" s="8">
        <f t="array" ref="C3633">PRODUCT(1-'Sparkling Model'!D$2:D$38^A3633)</f>
        <v>0.4516089838</v>
      </c>
    </row>
    <row r="3634">
      <c r="A3634" s="6">
        <v>3632.0</v>
      </c>
      <c r="B3634" s="17">
        <f t="array" ref="B3634">SUM(1-'Sparkling Model'!D$2:D$38^A3634)</f>
        <v>36.26091817</v>
      </c>
      <c r="C3634" s="8">
        <f t="array" ref="C3634">PRODUCT(1-'Sparkling Model'!D$2:D$38^A3634)</f>
        <v>0.4518493124</v>
      </c>
    </row>
    <row r="3635">
      <c r="A3635" s="6">
        <v>3633.0</v>
      </c>
      <c r="B3635" s="17">
        <f t="array" ref="B3635">SUM(1-'Sparkling Model'!D$2:D$38^A3635)</f>
        <v>36.26138953</v>
      </c>
      <c r="C3635" s="8">
        <f t="array" ref="C3635">PRODUCT(1-'Sparkling Model'!D$2:D$38^A3635)</f>
        <v>0.4520895711</v>
      </c>
    </row>
    <row r="3636">
      <c r="A3636" s="6">
        <v>3634.0</v>
      </c>
      <c r="B3636" s="17">
        <f t="array" ref="B3636">SUM(1-'Sparkling Model'!D$2:D$38^A3636)</f>
        <v>36.26186052</v>
      </c>
      <c r="C3636" s="8">
        <f t="array" ref="C3636">PRODUCT(1-'Sparkling Model'!D$2:D$38^A3636)</f>
        <v>0.4523297597</v>
      </c>
    </row>
    <row r="3637">
      <c r="A3637" s="6">
        <v>3635.0</v>
      </c>
      <c r="B3637" s="17">
        <f t="array" ref="B3637">SUM(1-'Sparkling Model'!D$2:D$38^A3637)</f>
        <v>36.26233114</v>
      </c>
      <c r="C3637" s="8">
        <f t="array" ref="C3637">PRODUCT(1-'Sparkling Model'!D$2:D$38^A3637)</f>
        <v>0.4525698782</v>
      </c>
    </row>
    <row r="3638">
      <c r="A3638" s="6">
        <v>3636.0</v>
      </c>
      <c r="B3638" s="17">
        <f t="array" ref="B3638">SUM(1-'Sparkling Model'!D$2:D$38^A3638)</f>
        <v>36.2628014</v>
      </c>
      <c r="C3638" s="8">
        <f t="array" ref="C3638">PRODUCT(1-'Sparkling Model'!D$2:D$38^A3638)</f>
        <v>0.4528099267</v>
      </c>
    </row>
    <row r="3639">
      <c r="A3639" s="6">
        <v>3637.0</v>
      </c>
      <c r="B3639" s="17">
        <f t="array" ref="B3639">SUM(1-'Sparkling Model'!D$2:D$38^A3639)</f>
        <v>36.26327128</v>
      </c>
      <c r="C3639" s="8">
        <f t="array" ref="C3639">PRODUCT(1-'Sparkling Model'!D$2:D$38^A3639)</f>
        <v>0.453049905</v>
      </c>
    </row>
    <row r="3640">
      <c r="A3640" s="6">
        <v>3638.0</v>
      </c>
      <c r="B3640" s="17">
        <f t="array" ref="B3640">SUM(1-'Sparkling Model'!D$2:D$38^A3640)</f>
        <v>36.2637408</v>
      </c>
      <c r="C3640" s="8">
        <f t="array" ref="C3640">PRODUCT(1-'Sparkling Model'!D$2:D$38^A3640)</f>
        <v>0.453289813</v>
      </c>
    </row>
    <row r="3641">
      <c r="A3641" s="6">
        <v>3639.0</v>
      </c>
      <c r="B3641" s="17">
        <f t="array" ref="B3641">SUM(1-'Sparkling Model'!D$2:D$38^A3641)</f>
        <v>36.26420996</v>
      </c>
      <c r="C3641" s="8">
        <f t="array" ref="C3641">PRODUCT(1-'Sparkling Model'!D$2:D$38^A3641)</f>
        <v>0.4535296509</v>
      </c>
    </row>
    <row r="3642">
      <c r="A3642" s="6">
        <v>3640.0</v>
      </c>
      <c r="B3642" s="17">
        <f t="array" ref="B3642">SUM(1-'Sparkling Model'!D$2:D$38^A3642)</f>
        <v>36.26467875</v>
      </c>
      <c r="C3642" s="8">
        <f t="array" ref="C3642">PRODUCT(1-'Sparkling Model'!D$2:D$38^A3642)</f>
        <v>0.4537694185</v>
      </c>
    </row>
    <row r="3643">
      <c r="A3643" s="6">
        <v>3641.0</v>
      </c>
      <c r="B3643" s="17">
        <f t="array" ref="B3643">SUM(1-'Sparkling Model'!D$2:D$38^A3643)</f>
        <v>36.26514717</v>
      </c>
      <c r="C3643" s="8">
        <f t="array" ref="C3643">PRODUCT(1-'Sparkling Model'!D$2:D$38^A3643)</f>
        <v>0.4540091157</v>
      </c>
    </row>
    <row r="3644">
      <c r="A3644" s="6">
        <v>3642.0</v>
      </c>
      <c r="B3644" s="17">
        <f t="array" ref="B3644">SUM(1-'Sparkling Model'!D$2:D$38^A3644)</f>
        <v>36.26561523</v>
      </c>
      <c r="C3644" s="8">
        <f t="array" ref="C3644">PRODUCT(1-'Sparkling Model'!D$2:D$38^A3644)</f>
        <v>0.4542487426</v>
      </c>
    </row>
    <row r="3645">
      <c r="A3645" s="6">
        <v>3643.0</v>
      </c>
      <c r="B3645" s="17">
        <f t="array" ref="B3645">SUM(1-'Sparkling Model'!D$2:D$38^A3645)</f>
        <v>36.26608292</v>
      </c>
      <c r="C3645" s="8">
        <f t="array" ref="C3645">PRODUCT(1-'Sparkling Model'!D$2:D$38^A3645)</f>
        <v>0.4544882991</v>
      </c>
    </row>
    <row r="3646">
      <c r="A3646" s="6">
        <v>3644.0</v>
      </c>
      <c r="B3646" s="17">
        <f t="array" ref="B3646">SUM(1-'Sparkling Model'!D$2:D$38^A3646)</f>
        <v>36.26655025</v>
      </c>
      <c r="C3646" s="8">
        <f t="array" ref="C3646">PRODUCT(1-'Sparkling Model'!D$2:D$38^A3646)</f>
        <v>0.4547277852</v>
      </c>
    </row>
    <row r="3647">
      <c r="A3647" s="6">
        <v>3645.0</v>
      </c>
      <c r="B3647" s="17">
        <f t="array" ref="B3647">SUM(1-'Sparkling Model'!D$2:D$38^A3647)</f>
        <v>36.26701722</v>
      </c>
      <c r="C3647" s="8">
        <f t="array" ref="C3647">PRODUCT(1-'Sparkling Model'!D$2:D$38^A3647)</f>
        <v>0.4549672008</v>
      </c>
    </row>
    <row r="3648">
      <c r="A3648" s="6">
        <v>3646.0</v>
      </c>
      <c r="B3648" s="17">
        <f t="array" ref="B3648">SUM(1-'Sparkling Model'!D$2:D$38^A3648)</f>
        <v>36.26748382</v>
      </c>
      <c r="C3648" s="8">
        <f t="array" ref="C3648">PRODUCT(1-'Sparkling Model'!D$2:D$38^A3648)</f>
        <v>0.4552065459</v>
      </c>
    </row>
    <row r="3649">
      <c r="A3649" s="6">
        <v>3647.0</v>
      </c>
      <c r="B3649" s="17">
        <f t="array" ref="B3649">SUM(1-'Sparkling Model'!D$2:D$38^A3649)</f>
        <v>36.26795006</v>
      </c>
      <c r="C3649" s="8">
        <f t="array" ref="C3649">PRODUCT(1-'Sparkling Model'!D$2:D$38^A3649)</f>
        <v>0.4554458204</v>
      </c>
    </row>
    <row r="3650">
      <c r="A3650" s="6">
        <v>3648.0</v>
      </c>
      <c r="B3650" s="17">
        <f t="array" ref="B3650">SUM(1-'Sparkling Model'!D$2:D$38^A3650)</f>
        <v>36.26841593</v>
      </c>
      <c r="C3650" s="8">
        <f t="array" ref="C3650">PRODUCT(1-'Sparkling Model'!D$2:D$38^A3650)</f>
        <v>0.4556850243</v>
      </c>
    </row>
    <row r="3651">
      <c r="A3651" s="6">
        <v>3649.0</v>
      </c>
      <c r="B3651" s="17">
        <f t="array" ref="B3651">SUM(1-'Sparkling Model'!D$2:D$38^A3651)</f>
        <v>36.26888145</v>
      </c>
      <c r="C3651" s="8">
        <f t="array" ref="C3651">PRODUCT(1-'Sparkling Model'!D$2:D$38^A3651)</f>
        <v>0.4559241576</v>
      </c>
    </row>
    <row r="3652">
      <c r="A3652" s="6">
        <v>3650.0</v>
      </c>
      <c r="B3652" s="17">
        <f t="array" ref="B3652">SUM(1-'Sparkling Model'!D$2:D$38^A3652)</f>
        <v>36.2693466</v>
      </c>
      <c r="C3652" s="8">
        <f t="array" ref="C3652">PRODUCT(1-'Sparkling Model'!D$2:D$38^A3652)</f>
        <v>0.4561632202</v>
      </c>
    </row>
    <row r="3653">
      <c r="A3653" s="6">
        <v>3651.0</v>
      </c>
      <c r="B3653" s="17">
        <f t="array" ref="B3653">SUM(1-'Sparkling Model'!D$2:D$38^A3653)</f>
        <v>36.26981139</v>
      </c>
      <c r="C3653" s="8">
        <f t="array" ref="C3653">PRODUCT(1-'Sparkling Model'!D$2:D$38^A3653)</f>
        <v>0.4564022121</v>
      </c>
    </row>
    <row r="3654">
      <c r="A3654" s="6">
        <v>3652.0</v>
      </c>
      <c r="B3654" s="17">
        <f t="array" ref="B3654">SUM(1-'Sparkling Model'!D$2:D$38^A3654)</f>
        <v>36.27027581</v>
      </c>
      <c r="C3654" s="8">
        <f t="array" ref="C3654">PRODUCT(1-'Sparkling Model'!D$2:D$38^A3654)</f>
        <v>0.4566411332</v>
      </c>
    </row>
    <row r="3655">
      <c r="A3655" s="6">
        <v>3653.0</v>
      </c>
      <c r="B3655" s="17">
        <f t="array" ref="B3655">SUM(1-'Sparkling Model'!D$2:D$38^A3655)</f>
        <v>36.27073988</v>
      </c>
      <c r="C3655" s="8">
        <f t="array" ref="C3655">PRODUCT(1-'Sparkling Model'!D$2:D$38^A3655)</f>
        <v>0.4568799836</v>
      </c>
    </row>
    <row r="3656">
      <c r="A3656" s="6">
        <v>3654.0</v>
      </c>
      <c r="B3656" s="17">
        <f t="array" ref="B3656">SUM(1-'Sparkling Model'!D$2:D$38^A3656)</f>
        <v>36.27120359</v>
      </c>
      <c r="C3656" s="8">
        <f t="array" ref="C3656">PRODUCT(1-'Sparkling Model'!D$2:D$38^A3656)</f>
        <v>0.4571187631</v>
      </c>
    </row>
    <row r="3657">
      <c r="A3657" s="6">
        <v>3655.0</v>
      </c>
      <c r="B3657" s="17">
        <f t="array" ref="B3657">SUM(1-'Sparkling Model'!D$2:D$38^A3657)</f>
        <v>36.27166693</v>
      </c>
      <c r="C3657" s="8">
        <f t="array" ref="C3657">PRODUCT(1-'Sparkling Model'!D$2:D$38^A3657)</f>
        <v>0.4573574717</v>
      </c>
    </row>
    <row r="3658">
      <c r="A3658" s="6">
        <v>3656.0</v>
      </c>
      <c r="B3658" s="17">
        <f t="array" ref="B3658">SUM(1-'Sparkling Model'!D$2:D$38^A3658)</f>
        <v>36.27212992</v>
      </c>
      <c r="C3658" s="8">
        <f t="array" ref="C3658">PRODUCT(1-'Sparkling Model'!D$2:D$38^A3658)</f>
        <v>0.4575961094</v>
      </c>
    </row>
    <row r="3659">
      <c r="A3659" s="6">
        <v>3657.0</v>
      </c>
      <c r="B3659" s="17">
        <f t="array" ref="B3659">SUM(1-'Sparkling Model'!D$2:D$38^A3659)</f>
        <v>36.27259254</v>
      </c>
      <c r="C3659" s="8">
        <f t="array" ref="C3659">PRODUCT(1-'Sparkling Model'!D$2:D$38^A3659)</f>
        <v>0.4578346762</v>
      </c>
    </row>
    <row r="3660">
      <c r="A3660" s="6">
        <v>3658.0</v>
      </c>
      <c r="B3660" s="17">
        <f t="array" ref="B3660">SUM(1-'Sparkling Model'!D$2:D$38^A3660)</f>
        <v>36.27305481</v>
      </c>
      <c r="C3660" s="8">
        <f t="array" ref="C3660">PRODUCT(1-'Sparkling Model'!D$2:D$38^A3660)</f>
        <v>0.458073172</v>
      </c>
    </row>
    <row r="3661">
      <c r="A3661" s="6">
        <v>3659.0</v>
      </c>
      <c r="B3661" s="17">
        <f t="array" ref="B3661">SUM(1-'Sparkling Model'!D$2:D$38^A3661)</f>
        <v>36.27351672</v>
      </c>
      <c r="C3661" s="8">
        <f t="array" ref="C3661">PRODUCT(1-'Sparkling Model'!D$2:D$38^A3661)</f>
        <v>0.4583115968</v>
      </c>
    </row>
    <row r="3662">
      <c r="A3662" s="6">
        <v>3660.0</v>
      </c>
      <c r="B3662" s="17">
        <f t="array" ref="B3662">SUM(1-'Sparkling Model'!D$2:D$38^A3662)</f>
        <v>36.27397826</v>
      </c>
      <c r="C3662" s="8">
        <f t="array" ref="C3662">PRODUCT(1-'Sparkling Model'!D$2:D$38^A3662)</f>
        <v>0.4585499505</v>
      </c>
    </row>
    <row r="3663">
      <c r="A3663" s="6">
        <v>3661.0</v>
      </c>
      <c r="B3663" s="17">
        <f t="array" ref="B3663">SUM(1-'Sparkling Model'!D$2:D$38^A3663)</f>
        <v>36.27443945</v>
      </c>
      <c r="C3663" s="8">
        <f t="array" ref="C3663">PRODUCT(1-'Sparkling Model'!D$2:D$38^A3663)</f>
        <v>0.4587882331</v>
      </c>
    </row>
    <row r="3664">
      <c r="A3664" s="6">
        <v>3662.0</v>
      </c>
      <c r="B3664" s="17">
        <f t="array" ref="B3664">SUM(1-'Sparkling Model'!D$2:D$38^A3664)</f>
        <v>36.27490029</v>
      </c>
      <c r="C3664" s="8">
        <f t="array" ref="C3664">PRODUCT(1-'Sparkling Model'!D$2:D$38^A3664)</f>
        <v>0.4590264446</v>
      </c>
    </row>
    <row r="3665">
      <c r="A3665" s="6">
        <v>3663.0</v>
      </c>
      <c r="B3665" s="17">
        <f t="array" ref="B3665">SUM(1-'Sparkling Model'!D$2:D$38^A3665)</f>
        <v>36.27536076</v>
      </c>
      <c r="C3665" s="8">
        <f t="array" ref="C3665">PRODUCT(1-'Sparkling Model'!D$2:D$38^A3665)</f>
        <v>0.4592645849</v>
      </c>
    </row>
    <row r="3666">
      <c r="A3666" s="6">
        <v>3664.0</v>
      </c>
      <c r="B3666" s="17">
        <f t="array" ref="B3666">SUM(1-'Sparkling Model'!D$2:D$38^A3666)</f>
        <v>36.27582088</v>
      </c>
      <c r="C3666" s="8">
        <f t="array" ref="C3666">PRODUCT(1-'Sparkling Model'!D$2:D$38^A3666)</f>
        <v>0.459502654</v>
      </c>
    </row>
    <row r="3667">
      <c r="A3667" s="6">
        <v>3665.0</v>
      </c>
      <c r="B3667" s="17">
        <f t="array" ref="B3667">SUM(1-'Sparkling Model'!D$2:D$38^A3667)</f>
        <v>36.27628064</v>
      </c>
      <c r="C3667" s="8">
        <f t="array" ref="C3667">PRODUCT(1-'Sparkling Model'!D$2:D$38^A3667)</f>
        <v>0.4597406518</v>
      </c>
    </row>
    <row r="3668">
      <c r="A3668" s="6">
        <v>3666.0</v>
      </c>
      <c r="B3668" s="17">
        <f t="array" ref="B3668">SUM(1-'Sparkling Model'!D$2:D$38^A3668)</f>
        <v>36.27674004</v>
      </c>
      <c r="C3668" s="8">
        <f t="array" ref="C3668">PRODUCT(1-'Sparkling Model'!D$2:D$38^A3668)</f>
        <v>0.4599785783</v>
      </c>
    </row>
    <row r="3669">
      <c r="A3669" s="6">
        <v>3667.0</v>
      </c>
      <c r="B3669" s="17">
        <f t="array" ref="B3669">SUM(1-'Sparkling Model'!D$2:D$38^A3669)</f>
        <v>36.27719909</v>
      </c>
      <c r="C3669" s="8">
        <f t="array" ref="C3669">PRODUCT(1-'Sparkling Model'!D$2:D$38^A3669)</f>
        <v>0.4602164335</v>
      </c>
    </row>
    <row r="3670">
      <c r="A3670" s="6">
        <v>3668.0</v>
      </c>
      <c r="B3670" s="17">
        <f t="array" ref="B3670">SUM(1-'Sparkling Model'!D$2:D$38^A3670)</f>
        <v>36.27765779</v>
      </c>
      <c r="C3670" s="8">
        <f t="array" ref="C3670">PRODUCT(1-'Sparkling Model'!D$2:D$38^A3670)</f>
        <v>0.4604542174</v>
      </c>
    </row>
    <row r="3671">
      <c r="A3671" s="6">
        <v>3669.0</v>
      </c>
      <c r="B3671" s="17">
        <f t="array" ref="B3671">SUM(1-'Sparkling Model'!D$2:D$38^A3671)</f>
        <v>36.27811612</v>
      </c>
      <c r="C3671" s="8">
        <f t="array" ref="C3671">PRODUCT(1-'Sparkling Model'!D$2:D$38^A3671)</f>
        <v>0.4606919298</v>
      </c>
    </row>
    <row r="3672">
      <c r="A3672" s="6">
        <v>3670.0</v>
      </c>
      <c r="B3672" s="17">
        <f t="array" ref="B3672">SUM(1-'Sparkling Model'!D$2:D$38^A3672)</f>
        <v>36.2785741</v>
      </c>
      <c r="C3672" s="8">
        <f t="array" ref="C3672">PRODUCT(1-'Sparkling Model'!D$2:D$38^A3672)</f>
        <v>0.4609295708</v>
      </c>
    </row>
    <row r="3673">
      <c r="A3673" s="6">
        <v>3671.0</v>
      </c>
      <c r="B3673" s="17">
        <f t="array" ref="B3673">SUM(1-'Sparkling Model'!D$2:D$38^A3673)</f>
        <v>36.27903173</v>
      </c>
      <c r="C3673" s="8">
        <f t="array" ref="C3673">PRODUCT(1-'Sparkling Model'!D$2:D$38^A3673)</f>
        <v>0.4611671404</v>
      </c>
    </row>
    <row r="3674">
      <c r="A3674" s="6">
        <v>3672.0</v>
      </c>
      <c r="B3674" s="17">
        <f t="array" ref="B3674">SUM(1-'Sparkling Model'!D$2:D$38^A3674)</f>
        <v>36.27948901</v>
      </c>
      <c r="C3674" s="8">
        <f t="array" ref="C3674">PRODUCT(1-'Sparkling Model'!D$2:D$38^A3674)</f>
        <v>0.4614046384</v>
      </c>
    </row>
    <row r="3675">
      <c r="A3675" s="6">
        <v>3673.0</v>
      </c>
      <c r="B3675" s="17">
        <f t="array" ref="B3675">SUM(1-'Sparkling Model'!D$2:D$38^A3675)</f>
        <v>36.27994592</v>
      </c>
      <c r="C3675" s="8">
        <f t="array" ref="C3675">PRODUCT(1-'Sparkling Model'!D$2:D$38^A3675)</f>
        <v>0.4616420649</v>
      </c>
    </row>
    <row r="3676">
      <c r="A3676" s="6">
        <v>3674.0</v>
      </c>
      <c r="B3676" s="17">
        <f t="array" ref="B3676">SUM(1-'Sparkling Model'!D$2:D$38^A3676)</f>
        <v>36.28040249</v>
      </c>
      <c r="C3676" s="8">
        <f t="array" ref="C3676">PRODUCT(1-'Sparkling Model'!D$2:D$38^A3676)</f>
        <v>0.4618794198</v>
      </c>
    </row>
    <row r="3677">
      <c r="A3677" s="6">
        <v>3675.0</v>
      </c>
      <c r="B3677" s="17">
        <f t="array" ref="B3677">SUM(1-'Sparkling Model'!D$2:D$38^A3677)</f>
        <v>36.2808587</v>
      </c>
      <c r="C3677" s="8">
        <f t="array" ref="C3677">PRODUCT(1-'Sparkling Model'!D$2:D$38^A3677)</f>
        <v>0.4621167031</v>
      </c>
    </row>
    <row r="3678">
      <c r="A3678" s="6">
        <v>3676.0</v>
      </c>
      <c r="B3678" s="17">
        <f t="array" ref="B3678">SUM(1-'Sparkling Model'!D$2:D$38^A3678)</f>
        <v>36.28131456</v>
      </c>
      <c r="C3678" s="8">
        <f t="array" ref="C3678">PRODUCT(1-'Sparkling Model'!D$2:D$38^A3678)</f>
        <v>0.4623539147</v>
      </c>
    </row>
    <row r="3679">
      <c r="A3679" s="6">
        <v>3677.0</v>
      </c>
      <c r="B3679" s="17">
        <f t="array" ref="B3679">SUM(1-'Sparkling Model'!D$2:D$38^A3679)</f>
        <v>36.28177007</v>
      </c>
      <c r="C3679" s="8">
        <f t="array" ref="C3679">PRODUCT(1-'Sparkling Model'!D$2:D$38^A3679)</f>
        <v>0.4625910546</v>
      </c>
    </row>
    <row r="3680">
      <c r="A3680" s="6">
        <v>3678.0</v>
      </c>
      <c r="B3680" s="17">
        <f t="array" ref="B3680">SUM(1-'Sparkling Model'!D$2:D$38^A3680)</f>
        <v>36.28222522</v>
      </c>
      <c r="C3680" s="8">
        <f t="array" ref="C3680">PRODUCT(1-'Sparkling Model'!D$2:D$38^A3680)</f>
        <v>0.4628281228</v>
      </c>
    </row>
    <row r="3681">
      <c r="A3681" s="6">
        <v>3679.0</v>
      </c>
      <c r="B3681" s="17">
        <f t="array" ref="B3681">SUM(1-'Sparkling Model'!D$2:D$38^A3681)</f>
        <v>36.28268002</v>
      </c>
      <c r="C3681" s="8">
        <f t="array" ref="C3681">PRODUCT(1-'Sparkling Model'!D$2:D$38^A3681)</f>
        <v>0.4630651193</v>
      </c>
    </row>
    <row r="3682">
      <c r="A3682" s="6">
        <v>3680.0</v>
      </c>
      <c r="B3682" s="17">
        <f t="array" ref="B3682">SUM(1-'Sparkling Model'!D$2:D$38^A3682)</f>
        <v>36.28313447</v>
      </c>
      <c r="C3682" s="8">
        <f t="array" ref="C3682">PRODUCT(1-'Sparkling Model'!D$2:D$38^A3682)</f>
        <v>0.4633020439</v>
      </c>
    </row>
    <row r="3683">
      <c r="A3683" s="6">
        <v>3681.0</v>
      </c>
      <c r="B3683" s="17">
        <f t="array" ref="B3683">SUM(1-'Sparkling Model'!D$2:D$38^A3683)</f>
        <v>36.28358857</v>
      </c>
      <c r="C3683" s="8">
        <f t="array" ref="C3683">PRODUCT(1-'Sparkling Model'!D$2:D$38^A3683)</f>
        <v>0.4635388967</v>
      </c>
    </row>
    <row r="3684">
      <c r="A3684" s="6">
        <v>3682.0</v>
      </c>
      <c r="B3684" s="17">
        <f t="array" ref="B3684">SUM(1-'Sparkling Model'!D$2:D$38^A3684)</f>
        <v>36.28404232</v>
      </c>
      <c r="C3684" s="8">
        <f t="array" ref="C3684">PRODUCT(1-'Sparkling Model'!D$2:D$38^A3684)</f>
        <v>0.4637756777</v>
      </c>
    </row>
    <row r="3685">
      <c r="A3685" s="6">
        <v>3683.0</v>
      </c>
      <c r="B3685" s="17">
        <f t="array" ref="B3685">SUM(1-'Sparkling Model'!D$2:D$38^A3685)</f>
        <v>36.28449572</v>
      </c>
      <c r="C3685" s="8">
        <f t="array" ref="C3685">PRODUCT(1-'Sparkling Model'!D$2:D$38^A3685)</f>
        <v>0.4640123867</v>
      </c>
    </row>
    <row r="3686">
      <c r="A3686" s="6">
        <v>3684.0</v>
      </c>
      <c r="B3686" s="17">
        <f t="array" ref="B3686">SUM(1-'Sparkling Model'!D$2:D$38^A3686)</f>
        <v>36.28494877</v>
      </c>
      <c r="C3686" s="8">
        <f t="array" ref="C3686">PRODUCT(1-'Sparkling Model'!D$2:D$38^A3686)</f>
        <v>0.4642490238</v>
      </c>
    </row>
    <row r="3687">
      <c r="A3687" s="6">
        <v>3685.0</v>
      </c>
      <c r="B3687" s="17">
        <f t="array" ref="B3687">SUM(1-'Sparkling Model'!D$2:D$38^A3687)</f>
        <v>36.28540147</v>
      </c>
      <c r="C3687" s="8">
        <f t="array" ref="C3687">PRODUCT(1-'Sparkling Model'!D$2:D$38^A3687)</f>
        <v>0.4644855889</v>
      </c>
    </row>
    <row r="3688">
      <c r="A3688" s="6">
        <v>3686.0</v>
      </c>
      <c r="B3688" s="17">
        <f t="array" ref="B3688">SUM(1-'Sparkling Model'!D$2:D$38^A3688)</f>
        <v>36.28585382</v>
      </c>
      <c r="C3688" s="8">
        <f t="array" ref="C3688">PRODUCT(1-'Sparkling Model'!D$2:D$38^A3688)</f>
        <v>0.464722082</v>
      </c>
    </row>
    <row r="3689">
      <c r="A3689" s="6">
        <v>3687.0</v>
      </c>
      <c r="B3689" s="17">
        <f t="array" ref="B3689">SUM(1-'Sparkling Model'!D$2:D$38^A3689)</f>
        <v>36.28630582</v>
      </c>
      <c r="C3689" s="8">
        <f t="array" ref="C3689">PRODUCT(1-'Sparkling Model'!D$2:D$38^A3689)</f>
        <v>0.4649585031</v>
      </c>
    </row>
    <row r="3690">
      <c r="A3690" s="6">
        <v>3688.0</v>
      </c>
      <c r="B3690" s="17">
        <f t="array" ref="B3690">SUM(1-'Sparkling Model'!D$2:D$38^A3690)</f>
        <v>36.28675747</v>
      </c>
      <c r="C3690" s="8">
        <f t="array" ref="C3690">PRODUCT(1-'Sparkling Model'!D$2:D$38^A3690)</f>
        <v>0.4651948521</v>
      </c>
    </row>
    <row r="3691">
      <c r="A3691" s="6">
        <v>3689.0</v>
      </c>
      <c r="B3691" s="17">
        <f t="array" ref="B3691">SUM(1-'Sparkling Model'!D$2:D$38^A3691)</f>
        <v>36.28720877</v>
      </c>
      <c r="C3691" s="8">
        <f t="array" ref="C3691">PRODUCT(1-'Sparkling Model'!D$2:D$38^A3691)</f>
        <v>0.465431129</v>
      </c>
    </row>
    <row r="3692">
      <c r="A3692" s="6">
        <v>3690.0</v>
      </c>
      <c r="B3692" s="17">
        <f t="array" ref="B3692">SUM(1-'Sparkling Model'!D$2:D$38^A3692)</f>
        <v>36.28765972</v>
      </c>
      <c r="C3692" s="8">
        <f t="array" ref="C3692">PRODUCT(1-'Sparkling Model'!D$2:D$38^A3692)</f>
        <v>0.4656673337</v>
      </c>
    </row>
    <row r="3693">
      <c r="A3693" s="6">
        <v>3691.0</v>
      </c>
      <c r="B3693" s="17">
        <f t="array" ref="B3693">SUM(1-'Sparkling Model'!D$2:D$38^A3693)</f>
        <v>36.28811033</v>
      </c>
      <c r="C3693" s="8">
        <f t="array" ref="C3693">PRODUCT(1-'Sparkling Model'!D$2:D$38^A3693)</f>
        <v>0.4659034662</v>
      </c>
    </row>
    <row r="3694">
      <c r="A3694" s="6">
        <v>3692.0</v>
      </c>
      <c r="B3694" s="17">
        <f t="array" ref="B3694">SUM(1-'Sparkling Model'!D$2:D$38^A3694)</f>
        <v>36.28856059</v>
      </c>
      <c r="C3694" s="8">
        <f t="array" ref="C3694">PRODUCT(1-'Sparkling Model'!D$2:D$38^A3694)</f>
        <v>0.4661395266</v>
      </c>
    </row>
    <row r="3695">
      <c r="A3695" s="6">
        <v>3693.0</v>
      </c>
      <c r="B3695" s="17">
        <f t="array" ref="B3695">SUM(1-'Sparkling Model'!D$2:D$38^A3695)</f>
        <v>36.2890105</v>
      </c>
      <c r="C3695" s="8">
        <f t="array" ref="C3695">PRODUCT(1-'Sparkling Model'!D$2:D$38^A3695)</f>
        <v>0.4663755146</v>
      </c>
    </row>
    <row r="3696">
      <c r="A3696" s="6">
        <v>3694.0</v>
      </c>
      <c r="B3696" s="17">
        <f t="array" ref="B3696">SUM(1-'Sparkling Model'!D$2:D$38^A3696)</f>
        <v>36.28946007</v>
      </c>
      <c r="C3696" s="8">
        <f t="array" ref="C3696">PRODUCT(1-'Sparkling Model'!D$2:D$38^A3696)</f>
        <v>0.4666114304</v>
      </c>
    </row>
    <row r="3697">
      <c r="A3697" s="6">
        <v>3695.0</v>
      </c>
      <c r="B3697" s="17">
        <f t="array" ref="B3697">SUM(1-'Sparkling Model'!D$2:D$38^A3697)</f>
        <v>36.28990929</v>
      </c>
      <c r="C3697" s="8">
        <f t="array" ref="C3697">PRODUCT(1-'Sparkling Model'!D$2:D$38^A3697)</f>
        <v>0.4668472739</v>
      </c>
    </row>
    <row r="3698">
      <c r="A3698" s="6">
        <v>3696.0</v>
      </c>
      <c r="B3698" s="17">
        <f t="array" ref="B3698">SUM(1-'Sparkling Model'!D$2:D$38^A3698)</f>
        <v>36.29035816</v>
      </c>
      <c r="C3698" s="8">
        <f t="array" ref="C3698">PRODUCT(1-'Sparkling Model'!D$2:D$38^A3698)</f>
        <v>0.467083045</v>
      </c>
    </row>
    <row r="3699">
      <c r="A3699" s="6">
        <v>3697.0</v>
      </c>
      <c r="B3699" s="17">
        <f t="array" ref="B3699">SUM(1-'Sparkling Model'!D$2:D$38^A3699)</f>
        <v>36.29080669</v>
      </c>
      <c r="C3699" s="8">
        <f t="array" ref="C3699">PRODUCT(1-'Sparkling Model'!D$2:D$38^A3699)</f>
        <v>0.4673187438</v>
      </c>
    </row>
    <row r="3700">
      <c r="A3700" s="6">
        <v>3698.0</v>
      </c>
      <c r="B3700" s="17">
        <f t="array" ref="B3700">SUM(1-'Sparkling Model'!D$2:D$38^A3700)</f>
        <v>36.29125487</v>
      </c>
      <c r="C3700" s="8">
        <f t="array" ref="C3700">PRODUCT(1-'Sparkling Model'!D$2:D$38^A3700)</f>
        <v>0.4675543701</v>
      </c>
    </row>
    <row r="3701">
      <c r="A3701" s="6">
        <v>3699.0</v>
      </c>
      <c r="B3701" s="17">
        <f t="array" ref="B3701">SUM(1-'Sparkling Model'!D$2:D$38^A3701)</f>
        <v>36.29170271</v>
      </c>
      <c r="C3701" s="8">
        <f t="array" ref="C3701">PRODUCT(1-'Sparkling Model'!D$2:D$38^A3701)</f>
        <v>0.467789924</v>
      </c>
    </row>
    <row r="3702">
      <c r="A3702" s="6">
        <v>3700.0</v>
      </c>
      <c r="B3702" s="17">
        <f t="array" ref="B3702">SUM(1-'Sparkling Model'!D$2:D$38^A3702)</f>
        <v>36.2921502</v>
      </c>
      <c r="C3702" s="8">
        <f t="array" ref="C3702">PRODUCT(1-'Sparkling Model'!D$2:D$38^A3702)</f>
        <v>0.4680254054</v>
      </c>
    </row>
    <row r="3703">
      <c r="A3703" s="6">
        <v>3701.0</v>
      </c>
      <c r="B3703" s="17">
        <f t="array" ref="B3703">SUM(1-'Sparkling Model'!D$2:D$38^A3703)</f>
        <v>36.29259735</v>
      </c>
      <c r="C3703" s="8">
        <f t="array" ref="C3703">PRODUCT(1-'Sparkling Model'!D$2:D$38^A3703)</f>
        <v>0.4682608143</v>
      </c>
    </row>
    <row r="3704">
      <c r="A3704" s="6">
        <v>3702.0</v>
      </c>
      <c r="B3704" s="17">
        <f t="array" ref="B3704">SUM(1-'Sparkling Model'!D$2:D$38^A3704)</f>
        <v>36.29304415</v>
      </c>
      <c r="C3704" s="8">
        <f t="array" ref="C3704">PRODUCT(1-'Sparkling Model'!D$2:D$38^A3704)</f>
        <v>0.4684961506</v>
      </c>
    </row>
    <row r="3705">
      <c r="A3705" s="6">
        <v>3703.0</v>
      </c>
      <c r="B3705" s="17">
        <f t="array" ref="B3705">SUM(1-'Sparkling Model'!D$2:D$38^A3705)</f>
        <v>36.29349061</v>
      </c>
      <c r="C3705" s="8">
        <f t="array" ref="C3705">PRODUCT(1-'Sparkling Model'!D$2:D$38^A3705)</f>
        <v>0.4687314143</v>
      </c>
    </row>
    <row r="3706">
      <c r="A3706" s="6">
        <v>3704.0</v>
      </c>
      <c r="B3706" s="17">
        <f t="array" ref="B3706">SUM(1-'Sparkling Model'!D$2:D$38^A3706)</f>
        <v>36.29393673</v>
      </c>
      <c r="C3706" s="8">
        <f t="array" ref="C3706">PRODUCT(1-'Sparkling Model'!D$2:D$38^A3706)</f>
        <v>0.4689666054</v>
      </c>
    </row>
    <row r="3707">
      <c r="A3707" s="6">
        <v>3705.0</v>
      </c>
      <c r="B3707" s="17">
        <f t="array" ref="B3707">SUM(1-'Sparkling Model'!D$2:D$38^A3707)</f>
        <v>36.2943825</v>
      </c>
      <c r="C3707" s="8">
        <f t="array" ref="C3707">PRODUCT(1-'Sparkling Model'!D$2:D$38^A3707)</f>
        <v>0.4692017239</v>
      </c>
    </row>
    <row r="3708">
      <c r="A3708" s="6">
        <v>3706.0</v>
      </c>
      <c r="B3708" s="17">
        <f t="array" ref="B3708">SUM(1-'Sparkling Model'!D$2:D$38^A3708)</f>
        <v>36.29482793</v>
      </c>
      <c r="C3708" s="8">
        <f t="array" ref="C3708">PRODUCT(1-'Sparkling Model'!D$2:D$38^A3708)</f>
        <v>0.4694367697</v>
      </c>
    </row>
    <row r="3709">
      <c r="A3709" s="6">
        <v>3707.0</v>
      </c>
      <c r="B3709" s="17">
        <f t="array" ref="B3709">SUM(1-'Sparkling Model'!D$2:D$38^A3709)</f>
        <v>36.29527302</v>
      </c>
      <c r="C3709" s="8">
        <f t="array" ref="C3709">PRODUCT(1-'Sparkling Model'!D$2:D$38^A3709)</f>
        <v>0.4696717428</v>
      </c>
    </row>
    <row r="3710">
      <c r="A3710" s="6">
        <v>3708.0</v>
      </c>
      <c r="B3710" s="17">
        <f t="array" ref="B3710">SUM(1-'Sparkling Model'!D$2:D$38^A3710)</f>
        <v>36.29571777</v>
      </c>
      <c r="C3710" s="8">
        <f t="array" ref="C3710">PRODUCT(1-'Sparkling Model'!D$2:D$38^A3710)</f>
        <v>0.4699066431</v>
      </c>
    </row>
    <row r="3711">
      <c r="A3711" s="6">
        <v>3709.0</v>
      </c>
      <c r="B3711" s="17">
        <f t="array" ref="B3711">SUM(1-'Sparkling Model'!D$2:D$38^A3711)</f>
        <v>36.29616217</v>
      </c>
      <c r="C3711" s="8">
        <f t="array" ref="C3711">PRODUCT(1-'Sparkling Model'!D$2:D$38^A3711)</f>
        <v>0.4701414707</v>
      </c>
    </row>
    <row r="3712">
      <c r="A3712" s="6">
        <v>3710.0</v>
      </c>
      <c r="B3712" s="17">
        <f t="array" ref="B3712">SUM(1-'Sparkling Model'!D$2:D$38^A3712)</f>
        <v>36.29660624</v>
      </c>
      <c r="C3712" s="8">
        <f t="array" ref="C3712">PRODUCT(1-'Sparkling Model'!D$2:D$38^A3712)</f>
        <v>0.4703762254</v>
      </c>
    </row>
    <row r="3713">
      <c r="A3713" s="6">
        <v>3711.0</v>
      </c>
      <c r="B3713" s="17">
        <f t="array" ref="B3713">SUM(1-'Sparkling Model'!D$2:D$38^A3713)</f>
        <v>36.29704996</v>
      </c>
      <c r="C3713" s="8">
        <f t="array" ref="C3713">PRODUCT(1-'Sparkling Model'!D$2:D$38^A3713)</f>
        <v>0.4706109074</v>
      </c>
    </row>
    <row r="3714">
      <c r="A3714" s="6">
        <v>3712.0</v>
      </c>
      <c r="B3714" s="17">
        <f t="array" ref="B3714">SUM(1-'Sparkling Model'!D$2:D$38^A3714)</f>
        <v>36.29749334</v>
      </c>
      <c r="C3714" s="8">
        <f t="array" ref="C3714">PRODUCT(1-'Sparkling Model'!D$2:D$38^A3714)</f>
        <v>0.4708455164</v>
      </c>
    </row>
    <row r="3715">
      <c r="A3715" s="6">
        <v>3713.0</v>
      </c>
      <c r="B3715" s="17">
        <f t="array" ref="B3715">SUM(1-'Sparkling Model'!D$2:D$38^A3715)</f>
        <v>36.29793639</v>
      </c>
      <c r="C3715" s="8">
        <f t="array" ref="C3715">PRODUCT(1-'Sparkling Model'!D$2:D$38^A3715)</f>
        <v>0.4710800525</v>
      </c>
    </row>
    <row r="3716">
      <c r="A3716" s="6">
        <v>3714.0</v>
      </c>
      <c r="B3716" s="17">
        <f t="array" ref="B3716">SUM(1-'Sparkling Model'!D$2:D$38^A3716)</f>
        <v>36.29837909</v>
      </c>
      <c r="C3716" s="8">
        <f t="array" ref="C3716">PRODUCT(1-'Sparkling Model'!D$2:D$38^A3716)</f>
        <v>0.4713145157</v>
      </c>
    </row>
    <row r="3717">
      <c r="A3717" s="6">
        <v>3715.0</v>
      </c>
      <c r="B3717" s="17">
        <f t="array" ref="B3717">SUM(1-'Sparkling Model'!D$2:D$38^A3717)</f>
        <v>36.29882145</v>
      </c>
      <c r="C3717" s="8">
        <f t="array" ref="C3717">PRODUCT(1-'Sparkling Model'!D$2:D$38^A3717)</f>
        <v>0.471548906</v>
      </c>
    </row>
    <row r="3718">
      <c r="A3718" s="6">
        <v>3716.0</v>
      </c>
      <c r="B3718" s="17">
        <f t="array" ref="B3718">SUM(1-'Sparkling Model'!D$2:D$38^A3718)</f>
        <v>36.29926348</v>
      </c>
      <c r="C3718" s="8">
        <f t="array" ref="C3718">PRODUCT(1-'Sparkling Model'!D$2:D$38^A3718)</f>
        <v>0.4717832232</v>
      </c>
    </row>
    <row r="3719">
      <c r="A3719" s="6">
        <v>3717.0</v>
      </c>
      <c r="B3719" s="17">
        <f t="array" ref="B3719">SUM(1-'Sparkling Model'!D$2:D$38^A3719)</f>
        <v>36.29970516</v>
      </c>
      <c r="C3719" s="8">
        <f t="array" ref="C3719">PRODUCT(1-'Sparkling Model'!D$2:D$38^A3719)</f>
        <v>0.4720174674</v>
      </c>
    </row>
    <row r="3720">
      <c r="A3720" s="6">
        <v>3718.0</v>
      </c>
      <c r="B3720" s="17">
        <f t="array" ref="B3720">SUM(1-'Sparkling Model'!D$2:D$38^A3720)</f>
        <v>36.30014651</v>
      </c>
      <c r="C3720" s="8">
        <f t="array" ref="C3720">PRODUCT(1-'Sparkling Model'!D$2:D$38^A3720)</f>
        <v>0.4722516385</v>
      </c>
    </row>
    <row r="3721">
      <c r="A3721" s="6">
        <v>3719.0</v>
      </c>
      <c r="B3721" s="17">
        <f t="array" ref="B3721">SUM(1-'Sparkling Model'!D$2:D$38^A3721)</f>
        <v>36.30058751</v>
      </c>
      <c r="C3721" s="8">
        <f t="array" ref="C3721">PRODUCT(1-'Sparkling Model'!D$2:D$38^A3721)</f>
        <v>0.4724857366</v>
      </c>
    </row>
    <row r="3722">
      <c r="A3722" s="6">
        <v>3720.0</v>
      </c>
      <c r="B3722" s="17">
        <f t="array" ref="B3722">SUM(1-'Sparkling Model'!D$2:D$38^A3722)</f>
        <v>36.30102818</v>
      </c>
      <c r="C3722" s="8">
        <f t="array" ref="C3722">PRODUCT(1-'Sparkling Model'!D$2:D$38^A3722)</f>
        <v>0.4727197615</v>
      </c>
    </row>
    <row r="3723">
      <c r="A3723" s="6">
        <v>3721.0</v>
      </c>
      <c r="B3723" s="17">
        <f t="array" ref="B3723">SUM(1-'Sparkling Model'!D$2:D$38^A3723)</f>
        <v>36.30146852</v>
      </c>
      <c r="C3723" s="8">
        <f t="array" ref="C3723">PRODUCT(1-'Sparkling Model'!D$2:D$38^A3723)</f>
        <v>0.4729537133</v>
      </c>
    </row>
    <row r="3724">
      <c r="A3724" s="6">
        <v>3722.0</v>
      </c>
      <c r="B3724" s="17">
        <f t="array" ref="B3724">SUM(1-'Sparkling Model'!D$2:D$38^A3724)</f>
        <v>36.30190851</v>
      </c>
      <c r="C3724" s="8">
        <f t="array" ref="C3724">PRODUCT(1-'Sparkling Model'!D$2:D$38^A3724)</f>
        <v>0.4731875919</v>
      </c>
    </row>
    <row r="3725">
      <c r="A3725" s="6">
        <v>3723.0</v>
      </c>
      <c r="B3725" s="17">
        <f t="array" ref="B3725">SUM(1-'Sparkling Model'!D$2:D$38^A3725)</f>
        <v>36.30234817</v>
      </c>
      <c r="C3725" s="8">
        <f t="array" ref="C3725">PRODUCT(1-'Sparkling Model'!D$2:D$38^A3725)</f>
        <v>0.4734213973</v>
      </c>
    </row>
    <row r="3726">
      <c r="A3726" s="6">
        <v>3724.0</v>
      </c>
      <c r="B3726" s="17">
        <f t="array" ref="B3726">SUM(1-'Sparkling Model'!D$2:D$38^A3726)</f>
        <v>36.30278749</v>
      </c>
      <c r="C3726" s="8">
        <f t="array" ref="C3726">PRODUCT(1-'Sparkling Model'!D$2:D$38^A3726)</f>
        <v>0.4736551294</v>
      </c>
    </row>
    <row r="3727">
      <c r="A3727" s="6">
        <v>3725.0</v>
      </c>
      <c r="B3727" s="17">
        <f t="array" ref="B3727">SUM(1-'Sparkling Model'!D$2:D$38^A3727)</f>
        <v>36.30322647</v>
      </c>
      <c r="C3727" s="8">
        <f t="array" ref="C3727">PRODUCT(1-'Sparkling Model'!D$2:D$38^A3727)</f>
        <v>0.4738887883</v>
      </c>
    </row>
    <row r="3728">
      <c r="A3728" s="6">
        <v>3726.0</v>
      </c>
      <c r="B3728" s="17">
        <f t="array" ref="B3728">SUM(1-'Sparkling Model'!D$2:D$38^A3728)</f>
        <v>36.30366512</v>
      </c>
      <c r="C3728" s="8">
        <f t="array" ref="C3728">PRODUCT(1-'Sparkling Model'!D$2:D$38^A3728)</f>
        <v>0.4741223739</v>
      </c>
    </row>
    <row r="3729">
      <c r="A3729" s="6">
        <v>3727.0</v>
      </c>
      <c r="B3729" s="17">
        <f t="array" ref="B3729">SUM(1-'Sparkling Model'!D$2:D$38^A3729)</f>
        <v>36.30410344</v>
      </c>
      <c r="C3729" s="8">
        <f t="array" ref="C3729">PRODUCT(1-'Sparkling Model'!D$2:D$38^A3729)</f>
        <v>0.4743558861</v>
      </c>
    </row>
    <row r="3730">
      <c r="A3730" s="6">
        <v>3728.0</v>
      </c>
      <c r="B3730" s="17">
        <f t="array" ref="B3730">SUM(1-'Sparkling Model'!D$2:D$38^A3730)</f>
        <v>36.30454141</v>
      </c>
      <c r="C3730" s="8">
        <f t="array" ref="C3730">PRODUCT(1-'Sparkling Model'!D$2:D$38^A3730)</f>
        <v>0.4745893249</v>
      </c>
    </row>
    <row r="3731">
      <c r="A3731" s="6">
        <v>3729.0</v>
      </c>
      <c r="B3731" s="17">
        <f t="array" ref="B3731">SUM(1-'Sparkling Model'!D$2:D$38^A3731)</f>
        <v>36.30497906</v>
      </c>
      <c r="C3731" s="8">
        <f t="array" ref="C3731">PRODUCT(1-'Sparkling Model'!D$2:D$38^A3731)</f>
        <v>0.4748226904</v>
      </c>
    </row>
    <row r="3732">
      <c r="A3732" s="6">
        <v>3730.0</v>
      </c>
      <c r="B3732" s="17">
        <f t="array" ref="B3732">SUM(1-'Sparkling Model'!D$2:D$38^A3732)</f>
        <v>36.30541637</v>
      </c>
      <c r="C3732" s="8">
        <f t="array" ref="C3732">PRODUCT(1-'Sparkling Model'!D$2:D$38^A3732)</f>
        <v>0.4750559825</v>
      </c>
    </row>
    <row r="3733">
      <c r="A3733" s="6">
        <v>3731.0</v>
      </c>
      <c r="B3733" s="17">
        <f t="array" ref="B3733">SUM(1-'Sparkling Model'!D$2:D$38^A3733)</f>
        <v>36.30585334</v>
      </c>
      <c r="C3733" s="8">
        <f t="array" ref="C3733">PRODUCT(1-'Sparkling Model'!D$2:D$38^A3733)</f>
        <v>0.4752892011</v>
      </c>
    </row>
    <row r="3734">
      <c r="A3734" s="6">
        <v>3732.0</v>
      </c>
      <c r="B3734" s="17">
        <f t="array" ref="B3734">SUM(1-'Sparkling Model'!D$2:D$38^A3734)</f>
        <v>36.30628998</v>
      </c>
      <c r="C3734" s="8">
        <f t="array" ref="C3734">PRODUCT(1-'Sparkling Model'!D$2:D$38^A3734)</f>
        <v>0.4755223462</v>
      </c>
    </row>
    <row r="3735">
      <c r="A3735" s="6">
        <v>3733.0</v>
      </c>
      <c r="B3735" s="17">
        <f t="array" ref="B3735">SUM(1-'Sparkling Model'!D$2:D$38^A3735)</f>
        <v>36.30672629</v>
      </c>
      <c r="C3735" s="8">
        <f t="array" ref="C3735">PRODUCT(1-'Sparkling Model'!D$2:D$38^A3735)</f>
        <v>0.4757554178</v>
      </c>
    </row>
    <row r="3736">
      <c r="A3736" s="6">
        <v>3734.0</v>
      </c>
      <c r="B3736" s="17">
        <f t="array" ref="B3736">SUM(1-'Sparkling Model'!D$2:D$38^A3736)</f>
        <v>36.30716226</v>
      </c>
      <c r="C3736" s="8">
        <f t="array" ref="C3736">PRODUCT(1-'Sparkling Model'!D$2:D$38^A3736)</f>
        <v>0.4759884158</v>
      </c>
    </row>
    <row r="3737">
      <c r="A3737" s="6">
        <v>3735.0</v>
      </c>
      <c r="B3737" s="17">
        <f t="array" ref="B3737">SUM(1-'Sparkling Model'!D$2:D$38^A3737)</f>
        <v>36.3075979</v>
      </c>
      <c r="C3737" s="8">
        <f t="array" ref="C3737">PRODUCT(1-'Sparkling Model'!D$2:D$38^A3737)</f>
        <v>0.4762213403</v>
      </c>
    </row>
    <row r="3738">
      <c r="A3738" s="6">
        <v>3736.0</v>
      </c>
      <c r="B3738" s="17">
        <f t="array" ref="B3738">SUM(1-'Sparkling Model'!D$2:D$38^A3738)</f>
        <v>36.30803321</v>
      </c>
      <c r="C3738" s="8">
        <f t="array" ref="C3738">PRODUCT(1-'Sparkling Model'!D$2:D$38^A3738)</f>
        <v>0.4764541912</v>
      </c>
    </row>
    <row r="3739">
      <c r="A3739" s="6">
        <v>3737.0</v>
      </c>
      <c r="B3739" s="17">
        <f t="array" ref="B3739">SUM(1-'Sparkling Model'!D$2:D$38^A3739)</f>
        <v>36.30846818</v>
      </c>
      <c r="C3739" s="8">
        <f t="array" ref="C3739">PRODUCT(1-'Sparkling Model'!D$2:D$38^A3739)</f>
        <v>0.4766869685</v>
      </c>
    </row>
    <row r="3740">
      <c r="A3740" s="6">
        <v>3738.0</v>
      </c>
      <c r="B3740" s="17">
        <f t="array" ref="B3740">SUM(1-'Sparkling Model'!D$2:D$38^A3740)</f>
        <v>36.30890282</v>
      </c>
      <c r="C3740" s="8">
        <f t="array" ref="C3740">PRODUCT(1-'Sparkling Model'!D$2:D$38^A3740)</f>
        <v>0.4769196721</v>
      </c>
    </row>
    <row r="3741">
      <c r="A3741" s="6">
        <v>3739.0</v>
      </c>
      <c r="B3741" s="17">
        <f t="array" ref="B3741">SUM(1-'Sparkling Model'!D$2:D$38^A3741)</f>
        <v>36.30933714</v>
      </c>
      <c r="C3741" s="8">
        <f t="array" ref="C3741">PRODUCT(1-'Sparkling Model'!D$2:D$38^A3741)</f>
        <v>0.477152302</v>
      </c>
    </row>
    <row r="3742">
      <c r="A3742" s="6">
        <v>3740.0</v>
      </c>
      <c r="B3742" s="17">
        <f t="array" ref="B3742">SUM(1-'Sparkling Model'!D$2:D$38^A3742)</f>
        <v>36.30977111</v>
      </c>
      <c r="C3742" s="8">
        <f t="array" ref="C3742">PRODUCT(1-'Sparkling Model'!D$2:D$38^A3742)</f>
        <v>0.4773848583</v>
      </c>
    </row>
    <row r="3743">
      <c r="A3743" s="6">
        <v>3741.0</v>
      </c>
      <c r="B3743" s="17">
        <f t="array" ref="B3743">SUM(1-'Sparkling Model'!D$2:D$38^A3743)</f>
        <v>36.31020476</v>
      </c>
      <c r="C3743" s="8">
        <f t="array" ref="C3743">PRODUCT(1-'Sparkling Model'!D$2:D$38^A3743)</f>
        <v>0.4776173407</v>
      </c>
    </row>
    <row r="3744">
      <c r="A3744" s="6">
        <v>3742.0</v>
      </c>
      <c r="B3744" s="17">
        <f t="array" ref="B3744">SUM(1-'Sparkling Model'!D$2:D$38^A3744)</f>
        <v>36.31063808</v>
      </c>
      <c r="C3744" s="8">
        <f t="array" ref="C3744">PRODUCT(1-'Sparkling Model'!D$2:D$38^A3744)</f>
        <v>0.4778497494</v>
      </c>
    </row>
    <row r="3745">
      <c r="A3745" s="6">
        <v>3743.0</v>
      </c>
      <c r="B3745" s="17">
        <f t="array" ref="B3745">SUM(1-'Sparkling Model'!D$2:D$38^A3745)</f>
        <v>36.31107107</v>
      </c>
      <c r="C3745" s="8">
        <f t="array" ref="C3745">PRODUCT(1-'Sparkling Model'!D$2:D$38^A3745)</f>
        <v>0.4780820843</v>
      </c>
    </row>
    <row r="3746">
      <c r="A3746" s="6">
        <v>3744.0</v>
      </c>
      <c r="B3746" s="17">
        <f t="array" ref="B3746">SUM(1-'Sparkling Model'!D$2:D$38^A3746)</f>
        <v>36.31150373</v>
      </c>
      <c r="C3746" s="8">
        <f t="array" ref="C3746">PRODUCT(1-'Sparkling Model'!D$2:D$38^A3746)</f>
        <v>0.4783143454</v>
      </c>
    </row>
    <row r="3747">
      <c r="A3747" s="6">
        <v>3745.0</v>
      </c>
      <c r="B3747" s="17">
        <f t="array" ref="B3747">SUM(1-'Sparkling Model'!D$2:D$38^A3747)</f>
        <v>36.31193605</v>
      </c>
      <c r="C3747" s="8">
        <f t="array" ref="C3747">PRODUCT(1-'Sparkling Model'!D$2:D$38^A3747)</f>
        <v>0.4785465327</v>
      </c>
    </row>
    <row r="3748">
      <c r="A3748" s="6">
        <v>3746.0</v>
      </c>
      <c r="B3748" s="17">
        <f t="array" ref="B3748">SUM(1-'Sparkling Model'!D$2:D$38^A3748)</f>
        <v>36.31236805</v>
      </c>
      <c r="C3748" s="8">
        <f t="array" ref="C3748">PRODUCT(1-'Sparkling Model'!D$2:D$38^A3748)</f>
        <v>0.478778646</v>
      </c>
    </row>
    <row r="3749">
      <c r="A3749" s="6">
        <v>3747.0</v>
      </c>
      <c r="B3749" s="17">
        <f t="array" ref="B3749">SUM(1-'Sparkling Model'!D$2:D$38^A3749)</f>
        <v>36.31279972</v>
      </c>
      <c r="C3749" s="8">
        <f t="array" ref="C3749">PRODUCT(1-'Sparkling Model'!D$2:D$38^A3749)</f>
        <v>0.4790106855</v>
      </c>
    </row>
    <row r="3750">
      <c r="A3750" s="6">
        <v>3748.0</v>
      </c>
      <c r="B3750" s="17">
        <f t="array" ref="B3750">SUM(1-'Sparkling Model'!D$2:D$38^A3750)</f>
        <v>36.31323106</v>
      </c>
      <c r="C3750" s="8">
        <f t="array" ref="C3750">PRODUCT(1-'Sparkling Model'!D$2:D$38^A3750)</f>
        <v>0.479242651</v>
      </c>
    </row>
    <row r="3751">
      <c r="A3751" s="6">
        <v>3749.0</v>
      </c>
      <c r="B3751" s="17">
        <f t="array" ref="B3751">SUM(1-'Sparkling Model'!D$2:D$38^A3751)</f>
        <v>36.31366207</v>
      </c>
      <c r="C3751" s="8">
        <f t="array" ref="C3751">PRODUCT(1-'Sparkling Model'!D$2:D$38^A3751)</f>
        <v>0.4794745425</v>
      </c>
    </row>
    <row r="3752">
      <c r="A3752" s="6">
        <v>3750.0</v>
      </c>
      <c r="B3752" s="17">
        <f t="array" ref="B3752">SUM(1-'Sparkling Model'!D$2:D$38^A3752)</f>
        <v>36.31409276</v>
      </c>
      <c r="C3752" s="8">
        <f t="array" ref="C3752">PRODUCT(1-'Sparkling Model'!D$2:D$38^A3752)</f>
        <v>0.4797063601</v>
      </c>
    </row>
    <row r="3753">
      <c r="A3753" s="6">
        <v>3751.0</v>
      </c>
      <c r="B3753" s="17">
        <f t="array" ref="B3753">SUM(1-'Sparkling Model'!D$2:D$38^A3753)</f>
        <v>36.31452311</v>
      </c>
      <c r="C3753" s="8">
        <f t="array" ref="C3753">PRODUCT(1-'Sparkling Model'!D$2:D$38^A3753)</f>
        <v>0.4799381036</v>
      </c>
    </row>
    <row r="3754">
      <c r="A3754" s="6">
        <v>3752.0</v>
      </c>
      <c r="B3754" s="17">
        <f t="array" ref="B3754">SUM(1-'Sparkling Model'!D$2:D$38^A3754)</f>
        <v>36.31495314</v>
      </c>
      <c r="C3754" s="8">
        <f t="array" ref="C3754">PRODUCT(1-'Sparkling Model'!D$2:D$38^A3754)</f>
        <v>0.4801697731</v>
      </c>
    </row>
    <row r="3755">
      <c r="A3755" s="6">
        <v>3753.0</v>
      </c>
      <c r="B3755" s="17">
        <f t="array" ref="B3755">SUM(1-'Sparkling Model'!D$2:D$38^A3755)</f>
        <v>36.31538284</v>
      </c>
      <c r="C3755" s="8">
        <f t="array" ref="C3755">PRODUCT(1-'Sparkling Model'!D$2:D$38^A3755)</f>
        <v>0.4804013685</v>
      </c>
    </row>
    <row r="3756">
      <c r="A3756" s="6">
        <v>3754.0</v>
      </c>
      <c r="B3756" s="17">
        <f t="array" ref="B3756">SUM(1-'Sparkling Model'!D$2:D$38^A3756)</f>
        <v>36.31581221</v>
      </c>
      <c r="C3756" s="8">
        <f t="array" ref="C3756">PRODUCT(1-'Sparkling Model'!D$2:D$38^A3756)</f>
        <v>0.4806328898</v>
      </c>
    </row>
    <row r="3757">
      <c r="A3757" s="6">
        <v>3755.0</v>
      </c>
      <c r="B3757" s="17">
        <f t="array" ref="B3757">SUM(1-'Sparkling Model'!D$2:D$38^A3757)</f>
        <v>36.31624126</v>
      </c>
      <c r="C3757" s="8">
        <f t="array" ref="C3757">PRODUCT(1-'Sparkling Model'!D$2:D$38^A3757)</f>
        <v>0.480864337</v>
      </c>
    </row>
    <row r="3758">
      <c r="A3758" s="6">
        <v>3756.0</v>
      </c>
      <c r="B3758" s="17">
        <f t="array" ref="B3758">SUM(1-'Sparkling Model'!D$2:D$38^A3758)</f>
        <v>36.31666998</v>
      </c>
      <c r="C3758" s="8">
        <f t="array" ref="C3758">PRODUCT(1-'Sparkling Model'!D$2:D$38^A3758)</f>
        <v>0.48109571</v>
      </c>
    </row>
    <row r="3759">
      <c r="A3759" s="6">
        <v>3757.0</v>
      </c>
      <c r="B3759" s="17">
        <f t="array" ref="B3759">SUM(1-'Sparkling Model'!D$2:D$38^A3759)</f>
        <v>36.31709838</v>
      </c>
      <c r="C3759" s="8">
        <f t="array" ref="C3759">PRODUCT(1-'Sparkling Model'!D$2:D$38^A3759)</f>
        <v>0.4813270089</v>
      </c>
    </row>
    <row r="3760">
      <c r="A3760" s="6">
        <v>3758.0</v>
      </c>
      <c r="B3760" s="17">
        <f t="array" ref="B3760">SUM(1-'Sparkling Model'!D$2:D$38^A3760)</f>
        <v>36.31752645</v>
      </c>
      <c r="C3760" s="8">
        <f t="array" ref="C3760">PRODUCT(1-'Sparkling Model'!D$2:D$38^A3760)</f>
        <v>0.4815582335</v>
      </c>
    </row>
    <row r="3761">
      <c r="A3761" s="6">
        <v>3759.0</v>
      </c>
      <c r="B3761" s="17">
        <f t="array" ref="B3761">SUM(1-'Sparkling Model'!D$2:D$38^A3761)</f>
        <v>36.31795419</v>
      </c>
      <c r="C3761" s="8">
        <f t="array" ref="C3761">PRODUCT(1-'Sparkling Model'!D$2:D$38^A3761)</f>
        <v>0.481789384</v>
      </c>
    </row>
    <row r="3762">
      <c r="A3762" s="6">
        <v>3760.0</v>
      </c>
      <c r="B3762" s="17">
        <f t="array" ref="B3762">SUM(1-'Sparkling Model'!D$2:D$38^A3762)</f>
        <v>36.31838161</v>
      </c>
      <c r="C3762" s="8">
        <f t="array" ref="C3762">PRODUCT(1-'Sparkling Model'!D$2:D$38^A3762)</f>
        <v>0.4820204601</v>
      </c>
    </row>
    <row r="3763">
      <c r="A3763" s="6">
        <v>3761.0</v>
      </c>
      <c r="B3763" s="17">
        <f t="array" ref="B3763">SUM(1-'Sparkling Model'!D$2:D$38^A3763)</f>
        <v>36.3188087</v>
      </c>
      <c r="C3763" s="8">
        <f t="array" ref="C3763">PRODUCT(1-'Sparkling Model'!D$2:D$38^A3763)</f>
        <v>0.482251462</v>
      </c>
    </row>
    <row r="3764">
      <c r="A3764" s="6">
        <v>3762.0</v>
      </c>
      <c r="B3764" s="17">
        <f t="array" ref="B3764">SUM(1-'Sparkling Model'!D$2:D$38^A3764)</f>
        <v>36.31923547</v>
      </c>
      <c r="C3764" s="8">
        <f t="array" ref="C3764">PRODUCT(1-'Sparkling Model'!D$2:D$38^A3764)</f>
        <v>0.4824823896</v>
      </c>
    </row>
    <row r="3765">
      <c r="A3765" s="6">
        <v>3763.0</v>
      </c>
      <c r="B3765" s="17">
        <f t="array" ref="B3765">SUM(1-'Sparkling Model'!D$2:D$38^A3765)</f>
        <v>36.31966192</v>
      </c>
      <c r="C3765" s="8">
        <f t="array" ref="C3765">PRODUCT(1-'Sparkling Model'!D$2:D$38^A3765)</f>
        <v>0.4827132428</v>
      </c>
    </row>
    <row r="3766">
      <c r="A3766" s="6">
        <v>3764.0</v>
      </c>
      <c r="B3766" s="17">
        <f t="array" ref="B3766">SUM(1-'Sparkling Model'!D$2:D$38^A3766)</f>
        <v>36.32008804</v>
      </c>
      <c r="C3766" s="8">
        <f t="array" ref="C3766">PRODUCT(1-'Sparkling Model'!D$2:D$38^A3766)</f>
        <v>0.4829440217</v>
      </c>
    </row>
    <row r="3767">
      <c r="A3767" s="6">
        <v>3765.0</v>
      </c>
      <c r="B3767" s="17">
        <f t="array" ref="B3767">SUM(1-'Sparkling Model'!D$2:D$38^A3767)</f>
        <v>36.32051384</v>
      </c>
      <c r="C3767" s="8">
        <f t="array" ref="C3767">PRODUCT(1-'Sparkling Model'!D$2:D$38^A3767)</f>
        <v>0.4831747262</v>
      </c>
    </row>
    <row r="3768">
      <c r="A3768" s="6">
        <v>3766.0</v>
      </c>
      <c r="B3768" s="17">
        <f t="array" ref="B3768">SUM(1-'Sparkling Model'!D$2:D$38^A3768)</f>
        <v>36.32093932</v>
      </c>
      <c r="C3768" s="8">
        <f t="array" ref="C3768">PRODUCT(1-'Sparkling Model'!D$2:D$38^A3768)</f>
        <v>0.4834053562</v>
      </c>
    </row>
    <row r="3769">
      <c r="A3769" s="6">
        <v>3767.0</v>
      </c>
      <c r="B3769" s="17">
        <f t="array" ref="B3769">SUM(1-'Sparkling Model'!D$2:D$38^A3769)</f>
        <v>36.32136447</v>
      </c>
      <c r="C3769" s="8">
        <f t="array" ref="C3769">PRODUCT(1-'Sparkling Model'!D$2:D$38^A3769)</f>
        <v>0.4836359119</v>
      </c>
    </row>
    <row r="3770">
      <c r="A3770" s="6">
        <v>3768.0</v>
      </c>
      <c r="B3770" s="17">
        <f t="array" ref="B3770">SUM(1-'Sparkling Model'!D$2:D$38^A3770)</f>
        <v>36.3217893</v>
      </c>
      <c r="C3770" s="8">
        <f t="array" ref="C3770">PRODUCT(1-'Sparkling Model'!D$2:D$38^A3770)</f>
        <v>0.483866393</v>
      </c>
    </row>
    <row r="3771">
      <c r="A3771" s="6">
        <v>3769.0</v>
      </c>
      <c r="B3771" s="17">
        <f t="array" ref="B3771">SUM(1-'Sparkling Model'!D$2:D$38^A3771)</f>
        <v>36.32221381</v>
      </c>
      <c r="C3771" s="8">
        <f t="array" ref="C3771">PRODUCT(1-'Sparkling Model'!D$2:D$38^A3771)</f>
        <v>0.4840967997</v>
      </c>
    </row>
    <row r="3772">
      <c r="A3772" s="6">
        <v>3770.0</v>
      </c>
      <c r="B3772" s="17">
        <f t="array" ref="B3772">SUM(1-'Sparkling Model'!D$2:D$38^A3772)</f>
        <v>36.32263799</v>
      </c>
      <c r="C3772" s="8">
        <f t="array" ref="C3772">PRODUCT(1-'Sparkling Model'!D$2:D$38^A3772)</f>
        <v>0.4843271319</v>
      </c>
    </row>
    <row r="3773">
      <c r="A3773" s="6">
        <v>3771.0</v>
      </c>
      <c r="B3773" s="17">
        <f t="array" ref="B3773">SUM(1-'Sparkling Model'!D$2:D$38^A3773)</f>
        <v>36.32306186</v>
      </c>
      <c r="C3773" s="8">
        <f t="array" ref="C3773">PRODUCT(1-'Sparkling Model'!D$2:D$38^A3773)</f>
        <v>0.4845573895</v>
      </c>
    </row>
    <row r="3774">
      <c r="A3774" s="6">
        <v>3772.0</v>
      </c>
      <c r="B3774" s="17">
        <f t="array" ref="B3774">SUM(1-'Sparkling Model'!D$2:D$38^A3774)</f>
        <v>36.3234854</v>
      </c>
      <c r="C3774" s="8">
        <f t="array" ref="C3774">PRODUCT(1-'Sparkling Model'!D$2:D$38^A3774)</f>
        <v>0.4847875725</v>
      </c>
    </row>
    <row r="3775">
      <c r="A3775" s="6">
        <v>3773.0</v>
      </c>
      <c r="B3775" s="17">
        <f t="array" ref="B3775">SUM(1-'Sparkling Model'!D$2:D$38^A3775)</f>
        <v>36.32390862</v>
      </c>
      <c r="C3775" s="8">
        <f t="array" ref="C3775">PRODUCT(1-'Sparkling Model'!D$2:D$38^A3775)</f>
        <v>0.485017681</v>
      </c>
    </row>
    <row r="3776">
      <c r="A3776" s="6">
        <v>3774.0</v>
      </c>
      <c r="B3776" s="17">
        <f t="array" ref="B3776">SUM(1-'Sparkling Model'!D$2:D$38^A3776)</f>
        <v>36.32433153</v>
      </c>
      <c r="C3776" s="8">
        <f t="array" ref="C3776">PRODUCT(1-'Sparkling Model'!D$2:D$38^A3776)</f>
        <v>0.4852477149</v>
      </c>
    </row>
    <row r="3777">
      <c r="A3777" s="6">
        <v>3775.0</v>
      </c>
      <c r="B3777" s="17">
        <f t="array" ref="B3777">SUM(1-'Sparkling Model'!D$2:D$38^A3777)</f>
        <v>36.32475411</v>
      </c>
      <c r="C3777" s="8">
        <f t="array" ref="C3777">PRODUCT(1-'Sparkling Model'!D$2:D$38^A3777)</f>
        <v>0.4854776741</v>
      </c>
    </row>
    <row r="3778">
      <c r="A3778" s="6">
        <v>3776.0</v>
      </c>
      <c r="B3778" s="17">
        <f t="array" ref="B3778">SUM(1-'Sparkling Model'!D$2:D$38^A3778)</f>
        <v>36.32517637</v>
      </c>
      <c r="C3778" s="8">
        <f t="array" ref="C3778">PRODUCT(1-'Sparkling Model'!D$2:D$38^A3778)</f>
        <v>0.4857075586</v>
      </c>
    </row>
    <row r="3779">
      <c r="A3779" s="6">
        <v>3777.0</v>
      </c>
      <c r="B3779" s="17">
        <f t="array" ref="B3779">SUM(1-'Sparkling Model'!D$2:D$38^A3779)</f>
        <v>36.32559831</v>
      </c>
      <c r="C3779" s="8">
        <f t="array" ref="C3779">PRODUCT(1-'Sparkling Model'!D$2:D$38^A3779)</f>
        <v>0.4859373685</v>
      </c>
    </row>
    <row r="3780">
      <c r="A3780" s="6">
        <v>3778.0</v>
      </c>
      <c r="B3780" s="17">
        <f t="array" ref="B3780">SUM(1-'Sparkling Model'!D$2:D$38^A3780)</f>
        <v>36.32601993</v>
      </c>
      <c r="C3780" s="8">
        <f t="array" ref="C3780">PRODUCT(1-'Sparkling Model'!D$2:D$38^A3780)</f>
        <v>0.4861671037</v>
      </c>
    </row>
    <row r="3781">
      <c r="A3781" s="6">
        <v>3779.0</v>
      </c>
      <c r="B3781" s="17">
        <f t="array" ref="B3781">SUM(1-'Sparkling Model'!D$2:D$38^A3781)</f>
        <v>36.32644124</v>
      </c>
      <c r="C3781" s="8">
        <f t="array" ref="C3781">PRODUCT(1-'Sparkling Model'!D$2:D$38^A3781)</f>
        <v>0.4863967641</v>
      </c>
    </row>
    <row r="3782">
      <c r="A3782" s="6">
        <v>3780.0</v>
      </c>
      <c r="B3782" s="17">
        <f t="array" ref="B3782">SUM(1-'Sparkling Model'!D$2:D$38^A3782)</f>
        <v>36.32686222</v>
      </c>
      <c r="C3782" s="8">
        <f t="array" ref="C3782">PRODUCT(1-'Sparkling Model'!D$2:D$38^A3782)</f>
        <v>0.4866263497</v>
      </c>
    </row>
    <row r="3783">
      <c r="A3783" s="6">
        <v>3781.0</v>
      </c>
      <c r="B3783" s="17">
        <f t="array" ref="B3783">SUM(1-'Sparkling Model'!D$2:D$38^A3783)</f>
        <v>36.32728289</v>
      </c>
      <c r="C3783" s="8">
        <f t="array" ref="C3783">PRODUCT(1-'Sparkling Model'!D$2:D$38^A3783)</f>
        <v>0.4868558606</v>
      </c>
    </row>
    <row r="3784">
      <c r="A3784" s="6">
        <v>3782.0</v>
      </c>
      <c r="B3784" s="17">
        <f t="array" ref="B3784">SUM(1-'Sparkling Model'!D$2:D$38^A3784)</f>
        <v>36.32770323</v>
      </c>
      <c r="C3784" s="8">
        <f t="array" ref="C3784">PRODUCT(1-'Sparkling Model'!D$2:D$38^A3784)</f>
        <v>0.4870852967</v>
      </c>
    </row>
    <row r="3785">
      <c r="A3785" s="6">
        <v>3783.0</v>
      </c>
      <c r="B3785" s="17">
        <f t="array" ref="B3785">SUM(1-'Sparkling Model'!D$2:D$38^A3785)</f>
        <v>36.32812326</v>
      </c>
      <c r="C3785" s="8">
        <f t="array" ref="C3785">PRODUCT(1-'Sparkling Model'!D$2:D$38^A3785)</f>
        <v>0.4873146579</v>
      </c>
    </row>
    <row r="3786">
      <c r="A3786" s="6">
        <v>3784.0</v>
      </c>
      <c r="B3786" s="17">
        <f t="array" ref="B3786">SUM(1-'Sparkling Model'!D$2:D$38^A3786)</f>
        <v>36.32854298</v>
      </c>
      <c r="C3786" s="8">
        <f t="array" ref="C3786">PRODUCT(1-'Sparkling Model'!D$2:D$38^A3786)</f>
        <v>0.4875439443</v>
      </c>
    </row>
    <row r="3787">
      <c r="A3787" s="6">
        <v>3785.0</v>
      </c>
      <c r="B3787" s="17">
        <f t="array" ref="B3787">SUM(1-'Sparkling Model'!D$2:D$38^A3787)</f>
        <v>36.32896237</v>
      </c>
      <c r="C3787" s="8">
        <f t="array" ref="C3787">PRODUCT(1-'Sparkling Model'!D$2:D$38^A3787)</f>
        <v>0.4877731558</v>
      </c>
    </row>
    <row r="3788">
      <c r="A3788" s="6">
        <v>3786.0</v>
      </c>
      <c r="B3788" s="17">
        <f t="array" ref="B3788">SUM(1-'Sparkling Model'!D$2:D$38^A3788)</f>
        <v>36.32938145</v>
      </c>
      <c r="C3788" s="8">
        <f t="array" ref="C3788">PRODUCT(1-'Sparkling Model'!D$2:D$38^A3788)</f>
        <v>0.4880022924</v>
      </c>
    </row>
    <row r="3789">
      <c r="A3789" s="6">
        <v>3787.0</v>
      </c>
      <c r="B3789" s="17">
        <f t="array" ref="B3789">SUM(1-'Sparkling Model'!D$2:D$38^A3789)</f>
        <v>36.32980021</v>
      </c>
      <c r="C3789" s="8">
        <f t="array" ref="C3789">PRODUCT(1-'Sparkling Model'!D$2:D$38^A3789)</f>
        <v>0.4882313541</v>
      </c>
    </row>
    <row r="3790">
      <c r="A3790" s="6">
        <v>3788.0</v>
      </c>
      <c r="B3790" s="17">
        <f t="array" ref="B3790">SUM(1-'Sparkling Model'!D$2:D$38^A3790)</f>
        <v>36.33021866</v>
      </c>
      <c r="C3790" s="8">
        <f t="array" ref="C3790">PRODUCT(1-'Sparkling Model'!D$2:D$38^A3790)</f>
        <v>0.4884603408</v>
      </c>
    </row>
    <row r="3791">
      <c r="A3791" s="6">
        <v>3789.0</v>
      </c>
      <c r="B3791" s="17">
        <f t="array" ref="B3791">SUM(1-'Sparkling Model'!D$2:D$38^A3791)</f>
        <v>36.33063679</v>
      </c>
      <c r="C3791" s="8">
        <f t="array" ref="C3791">PRODUCT(1-'Sparkling Model'!D$2:D$38^A3791)</f>
        <v>0.4886892525</v>
      </c>
    </row>
    <row r="3792">
      <c r="A3792" s="6">
        <v>3790.0</v>
      </c>
      <c r="B3792" s="17">
        <f t="array" ref="B3792">SUM(1-'Sparkling Model'!D$2:D$38^A3792)</f>
        <v>36.3310546</v>
      </c>
      <c r="C3792" s="8">
        <f t="array" ref="C3792">PRODUCT(1-'Sparkling Model'!D$2:D$38^A3792)</f>
        <v>0.4889180893</v>
      </c>
    </row>
    <row r="3793">
      <c r="A3793" s="6">
        <v>3791.0</v>
      </c>
      <c r="B3793" s="17">
        <f t="array" ref="B3793">SUM(1-'Sparkling Model'!D$2:D$38^A3793)</f>
        <v>36.3314721</v>
      </c>
      <c r="C3793" s="8">
        <f t="array" ref="C3793">PRODUCT(1-'Sparkling Model'!D$2:D$38^A3793)</f>
        <v>0.489146851</v>
      </c>
    </row>
    <row r="3794">
      <c r="A3794" s="6">
        <v>3792.0</v>
      </c>
      <c r="B3794" s="17">
        <f t="array" ref="B3794">SUM(1-'Sparkling Model'!D$2:D$38^A3794)</f>
        <v>36.33188928</v>
      </c>
      <c r="C3794" s="8">
        <f t="array" ref="C3794">PRODUCT(1-'Sparkling Model'!D$2:D$38^A3794)</f>
        <v>0.4893755377</v>
      </c>
    </row>
    <row r="3795">
      <c r="A3795" s="6">
        <v>3793.0</v>
      </c>
      <c r="B3795" s="17">
        <f t="array" ref="B3795">SUM(1-'Sparkling Model'!D$2:D$38^A3795)</f>
        <v>36.33230615</v>
      </c>
      <c r="C3795" s="8">
        <f t="array" ref="C3795">PRODUCT(1-'Sparkling Model'!D$2:D$38^A3795)</f>
        <v>0.4896041494</v>
      </c>
    </row>
    <row r="3796">
      <c r="A3796" s="6">
        <v>3794.0</v>
      </c>
      <c r="B3796" s="17">
        <f t="array" ref="B3796">SUM(1-'Sparkling Model'!D$2:D$38^A3796)</f>
        <v>36.33272271</v>
      </c>
      <c r="C3796" s="8">
        <f t="array" ref="C3796">PRODUCT(1-'Sparkling Model'!D$2:D$38^A3796)</f>
        <v>0.4898326859</v>
      </c>
    </row>
    <row r="3797">
      <c r="A3797" s="6">
        <v>3795.0</v>
      </c>
      <c r="B3797" s="17">
        <f t="array" ref="B3797">SUM(1-'Sparkling Model'!D$2:D$38^A3797)</f>
        <v>36.33313895</v>
      </c>
      <c r="C3797" s="8">
        <f t="array" ref="C3797">PRODUCT(1-'Sparkling Model'!D$2:D$38^A3797)</f>
        <v>0.4900611474</v>
      </c>
    </row>
    <row r="3798">
      <c r="A3798" s="6">
        <v>3796.0</v>
      </c>
      <c r="B3798" s="17">
        <f t="array" ref="B3798">SUM(1-'Sparkling Model'!D$2:D$38^A3798)</f>
        <v>36.33355487</v>
      </c>
      <c r="C3798" s="8">
        <f t="array" ref="C3798">PRODUCT(1-'Sparkling Model'!D$2:D$38^A3798)</f>
        <v>0.4902895337</v>
      </c>
    </row>
    <row r="3799">
      <c r="A3799" s="6">
        <v>3797.0</v>
      </c>
      <c r="B3799" s="17">
        <f t="array" ref="B3799">SUM(1-'Sparkling Model'!D$2:D$38^A3799)</f>
        <v>36.33397048</v>
      </c>
      <c r="C3799" s="8">
        <f t="array" ref="C3799">PRODUCT(1-'Sparkling Model'!D$2:D$38^A3799)</f>
        <v>0.4905178448</v>
      </c>
    </row>
    <row r="3800">
      <c r="A3800" s="6">
        <v>3798.0</v>
      </c>
      <c r="B3800" s="17">
        <f t="array" ref="B3800">SUM(1-'Sparkling Model'!D$2:D$38^A3800)</f>
        <v>36.33438578</v>
      </c>
      <c r="C3800" s="8">
        <f t="array" ref="C3800">PRODUCT(1-'Sparkling Model'!D$2:D$38^A3800)</f>
        <v>0.4907460808</v>
      </c>
    </row>
    <row r="3801">
      <c r="A3801" s="6">
        <v>3799.0</v>
      </c>
      <c r="B3801" s="17">
        <f t="array" ref="B3801">SUM(1-'Sparkling Model'!D$2:D$38^A3801)</f>
        <v>36.33480077</v>
      </c>
      <c r="C3801" s="8">
        <f t="array" ref="C3801">PRODUCT(1-'Sparkling Model'!D$2:D$38^A3801)</f>
        <v>0.4909742416</v>
      </c>
    </row>
    <row r="3802">
      <c r="A3802" s="6">
        <v>3800.0</v>
      </c>
      <c r="B3802" s="17">
        <f t="array" ref="B3802">SUM(1-'Sparkling Model'!D$2:D$38^A3802)</f>
        <v>36.33521544</v>
      </c>
      <c r="C3802" s="8">
        <f t="array" ref="C3802">PRODUCT(1-'Sparkling Model'!D$2:D$38^A3802)</f>
        <v>0.4912023271</v>
      </c>
    </row>
    <row r="3803">
      <c r="A3803" s="6">
        <v>3801.0</v>
      </c>
      <c r="B3803" s="17">
        <f t="array" ref="B3803">SUM(1-'Sparkling Model'!D$2:D$38^A3803)</f>
        <v>36.3356298</v>
      </c>
      <c r="C3803" s="8">
        <f t="array" ref="C3803">PRODUCT(1-'Sparkling Model'!D$2:D$38^A3803)</f>
        <v>0.4914303375</v>
      </c>
    </row>
    <row r="3804">
      <c r="A3804" s="6">
        <v>3802.0</v>
      </c>
      <c r="B3804" s="17">
        <f t="array" ref="B3804">SUM(1-'Sparkling Model'!D$2:D$38^A3804)</f>
        <v>36.33604385</v>
      </c>
      <c r="C3804" s="8">
        <f t="array" ref="C3804">PRODUCT(1-'Sparkling Model'!D$2:D$38^A3804)</f>
        <v>0.4916582725</v>
      </c>
    </row>
    <row r="3805">
      <c r="A3805" s="6">
        <v>3803.0</v>
      </c>
      <c r="B3805" s="17">
        <f t="array" ref="B3805">SUM(1-'Sparkling Model'!D$2:D$38^A3805)</f>
        <v>36.33645759</v>
      </c>
      <c r="C3805" s="8">
        <f t="array" ref="C3805">PRODUCT(1-'Sparkling Model'!D$2:D$38^A3805)</f>
        <v>0.4918861323</v>
      </c>
    </row>
    <row r="3806">
      <c r="A3806" s="6">
        <v>3804.0</v>
      </c>
      <c r="B3806" s="17">
        <f t="array" ref="B3806">SUM(1-'Sparkling Model'!D$2:D$38^A3806)</f>
        <v>36.33687101</v>
      </c>
      <c r="C3806" s="8">
        <f t="array" ref="C3806">PRODUCT(1-'Sparkling Model'!D$2:D$38^A3806)</f>
        <v>0.4921139167</v>
      </c>
    </row>
    <row r="3807">
      <c r="A3807" s="6">
        <v>3805.0</v>
      </c>
      <c r="B3807" s="17">
        <f t="array" ref="B3807">SUM(1-'Sparkling Model'!D$2:D$38^A3807)</f>
        <v>36.33728413</v>
      </c>
      <c r="C3807" s="8">
        <f t="array" ref="C3807">PRODUCT(1-'Sparkling Model'!D$2:D$38^A3807)</f>
        <v>0.4923416259</v>
      </c>
    </row>
    <row r="3808">
      <c r="A3808" s="6">
        <v>3806.0</v>
      </c>
      <c r="B3808" s="17">
        <f t="array" ref="B3808">SUM(1-'Sparkling Model'!D$2:D$38^A3808)</f>
        <v>36.33769693</v>
      </c>
      <c r="C3808" s="8">
        <f t="array" ref="C3808">PRODUCT(1-'Sparkling Model'!D$2:D$38^A3808)</f>
        <v>0.4925692597</v>
      </c>
    </row>
    <row r="3809">
      <c r="A3809" s="6">
        <v>3807.0</v>
      </c>
      <c r="B3809" s="17">
        <f t="array" ref="B3809">SUM(1-'Sparkling Model'!D$2:D$38^A3809)</f>
        <v>36.33810942</v>
      </c>
      <c r="C3809" s="8">
        <f t="array" ref="C3809">PRODUCT(1-'Sparkling Model'!D$2:D$38^A3809)</f>
        <v>0.4927968181</v>
      </c>
    </row>
    <row r="3810">
      <c r="A3810" s="6">
        <v>3808.0</v>
      </c>
      <c r="B3810" s="17">
        <f t="array" ref="B3810">SUM(1-'Sparkling Model'!D$2:D$38^A3810)</f>
        <v>36.33852161</v>
      </c>
      <c r="C3810" s="8">
        <f t="array" ref="C3810">PRODUCT(1-'Sparkling Model'!D$2:D$38^A3810)</f>
        <v>0.4930243011</v>
      </c>
    </row>
    <row r="3811">
      <c r="A3811" s="6">
        <v>3809.0</v>
      </c>
      <c r="B3811" s="17">
        <f t="array" ref="B3811">SUM(1-'Sparkling Model'!D$2:D$38^A3811)</f>
        <v>36.33893348</v>
      </c>
      <c r="C3811" s="8">
        <f t="array" ref="C3811">PRODUCT(1-'Sparkling Model'!D$2:D$38^A3811)</f>
        <v>0.4932517087</v>
      </c>
    </row>
    <row r="3812">
      <c r="A3812" s="6">
        <v>3810.0</v>
      </c>
      <c r="B3812" s="17">
        <f t="array" ref="B3812">SUM(1-'Sparkling Model'!D$2:D$38^A3812)</f>
        <v>36.33934504</v>
      </c>
      <c r="C3812" s="8">
        <f t="array" ref="C3812">PRODUCT(1-'Sparkling Model'!D$2:D$38^A3812)</f>
        <v>0.4934790409</v>
      </c>
    </row>
    <row r="3813">
      <c r="A3813" s="6">
        <v>3811.0</v>
      </c>
      <c r="B3813" s="17">
        <f t="array" ref="B3813">SUM(1-'Sparkling Model'!D$2:D$38^A3813)</f>
        <v>36.3397563</v>
      </c>
      <c r="C3813" s="8">
        <f t="array" ref="C3813">PRODUCT(1-'Sparkling Model'!D$2:D$38^A3813)</f>
        <v>0.4937062976</v>
      </c>
    </row>
    <row r="3814">
      <c r="A3814" s="6">
        <v>3812.0</v>
      </c>
      <c r="B3814" s="17">
        <f t="array" ref="B3814">SUM(1-'Sparkling Model'!D$2:D$38^A3814)</f>
        <v>36.34016724</v>
      </c>
      <c r="C3814" s="8">
        <f t="array" ref="C3814">PRODUCT(1-'Sparkling Model'!D$2:D$38^A3814)</f>
        <v>0.4939334789</v>
      </c>
    </row>
    <row r="3815">
      <c r="A3815" s="6">
        <v>3813.0</v>
      </c>
      <c r="B3815" s="17">
        <f t="array" ref="B3815">SUM(1-'Sparkling Model'!D$2:D$38^A3815)</f>
        <v>36.34057788</v>
      </c>
      <c r="C3815" s="8">
        <f t="array" ref="C3815">PRODUCT(1-'Sparkling Model'!D$2:D$38^A3815)</f>
        <v>0.4941605846</v>
      </c>
    </row>
    <row r="3816">
      <c r="A3816" s="6">
        <v>3814.0</v>
      </c>
      <c r="B3816" s="17">
        <f t="array" ref="B3816">SUM(1-'Sparkling Model'!D$2:D$38^A3816)</f>
        <v>36.3409882</v>
      </c>
      <c r="C3816" s="8">
        <f t="array" ref="C3816">PRODUCT(1-'Sparkling Model'!D$2:D$38^A3816)</f>
        <v>0.4943876148</v>
      </c>
    </row>
    <row r="3817">
      <c r="A3817" s="6">
        <v>3815.0</v>
      </c>
      <c r="B3817" s="17">
        <f t="array" ref="B3817">SUM(1-'Sparkling Model'!D$2:D$38^A3817)</f>
        <v>36.34139822</v>
      </c>
      <c r="C3817" s="8">
        <f t="array" ref="C3817">PRODUCT(1-'Sparkling Model'!D$2:D$38^A3817)</f>
        <v>0.4946145695</v>
      </c>
    </row>
    <row r="3818">
      <c r="A3818" s="6">
        <v>3816.0</v>
      </c>
      <c r="B3818" s="17">
        <f t="array" ref="B3818">SUM(1-'Sparkling Model'!D$2:D$38^A3818)</f>
        <v>36.34180793</v>
      </c>
      <c r="C3818" s="8">
        <f t="array" ref="C3818">PRODUCT(1-'Sparkling Model'!D$2:D$38^A3818)</f>
        <v>0.4948414487</v>
      </c>
    </row>
    <row r="3819">
      <c r="A3819" s="6">
        <v>3817.0</v>
      </c>
      <c r="B3819" s="17">
        <f t="array" ref="B3819">SUM(1-'Sparkling Model'!D$2:D$38^A3819)</f>
        <v>36.34221734</v>
      </c>
      <c r="C3819" s="8">
        <f t="array" ref="C3819">PRODUCT(1-'Sparkling Model'!D$2:D$38^A3819)</f>
        <v>0.4950682522</v>
      </c>
    </row>
    <row r="3820">
      <c r="A3820" s="6">
        <v>3818.0</v>
      </c>
      <c r="B3820" s="17">
        <f t="array" ref="B3820">SUM(1-'Sparkling Model'!D$2:D$38^A3820)</f>
        <v>36.34262643</v>
      </c>
      <c r="C3820" s="8">
        <f t="array" ref="C3820">PRODUCT(1-'Sparkling Model'!D$2:D$38^A3820)</f>
        <v>0.4952949802</v>
      </c>
    </row>
    <row r="3821">
      <c r="A3821" s="6">
        <v>3819.0</v>
      </c>
      <c r="B3821" s="17">
        <f t="array" ref="B3821">SUM(1-'Sparkling Model'!D$2:D$38^A3821)</f>
        <v>36.34303522</v>
      </c>
      <c r="C3821" s="8">
        <f t="array" ref="C3821">PRODUCT(1-'Sparkling Model'!D$2:D$38^A3821)</f>
        <v>0.4955216325</v>
      </c>
    </row>
    <row r="3822">
      <c r="A3822" s="6">
        <v>3820.0</v>
      </c>
      <c r="B3822" s="17">
        <f t="array" ref="B3822">SUM(1-'Sparkling Model'!D$2:D$38^A3822)</f>
        <v>36.3434437</v>
      </c>
      <c r="C3822" s="8">
        <f t="array" ref="C3822">PRODUCT(1-'Sparkling Model'!D$2:D$38^A3822)</f>
        <v>0.4957482092</v>
      </c>
    </row>
    <row r="3823">
      <c r="A3823" s="6">
        <v>3821.0</v>
      </c>
      <c r="B3823" s="17">
        <f t="array" ref="B3823">SUM(1-'Sparkling Model'!D$2:D$38^A3823)</f>
        <v>36.34385188</v>
      </c>
      <c r="C3823" s="8">
        <f t="array" ref="C3823">PRODUCT(1-'Sparkling Model'!D$2:D$38^A3823)</f>
        <v>0.4959747103</v>
      </c>
    </row>
    <row r="3824">
      <c r="A3824" s="6">
        <v>3822.0</v>
      </c>
      <c r="B3824" s="17">
        <f t="array" ref="B3824">SUM(1-'Sparkling Model'!D$2:D$38^A3824)</f>
        <v>36.34425975</v>
      </c>
      <c r="C3824" s="8">
        <f t="array" ref="C3824">PRODUCT(1-'Sparkling Model'!D$2:D$38^A3824)</f>
        <v>0.4962011356</v>
      </c>
    </row>
    <row r="3825">
      <c r="A3825" s="6">
        <v>3823.0</v>
      </c>
      <c r="B3825" s="17">
        <f t="array" ref="B3825">SUM(1-'Sparkling Model'!D$2:D$38^A3825)</f>
        <v>36.34466731</v>
      </c>
      <c r="C3825" s="8">
        <f t="array" ref="C3825">PRODUCT(1-'Sparkling Model'!D$2:D$38^A3825)</f>
        <v>0.4964274853</v>
      </c>
    </row>
    <row r="3826">
      <c r="A3826" s="6">
        <v>3824.0</v>
      </c>
      <c r="B3826" s="17">
        <f t="array" ref="B3826">SUM(1-'Sparkling Model'!D$2:D$38^A3826)</f>
        <v>36.34507457</v>
      </c>
      <c r="C3826" s="8">
        <f t="array" ref="C3826">PRODUCT(1-'Sparkling Model'!D$2:D$38^A3826)</f>
        <v>0.4966537592</v>
      </c>
    </row>
    <row r="3827">
      <c r="A3827" s="6">
        <v>3825.0</v>
      </c>
      <c r="B3827" s="17">
        <f t="array" ref="B3827">SUM(1-'Sparkling Model'!D$2:D$38^A3827)</f>
        <v>36.34548153</v>
      </c>
      <c r="C3827" s="8">
        <f t="array" ref="C3827">PRODUCT(1-'Sparkling Model'!D$2:D$38^A3827)</f>
        <v>0.4968799575</v>
      </c>
    </row>
    <row r="3828">
      <c r="A3828" s="6">
        <v>3826.0</v>
      </c>
      <c r="B3828" s="17">
        <f t="array" ref="B3828">SUM(1-'Sparkling Model'!D$2:D$38^A3828)</f>
        <v>36.34588817</v>
      </c>
      <c r="C3828" s="8">
        <f t="array" ref="C3828">PRODUCT(1-'Sparkling Model'!D$2:D$38^A3828)</f>
        <v>0.4971060799</v>
      </c>
    </row>
    <row r="3829">
      <c r="A3829" s="6">
        <v>3827.0</v>
      </c>
      <c r="B3829" s="17">
        <f t="array" ref="B3829">SUM(1-'Sparkling Model'!D$2:D$38^A3829)</f>
        <v>36.34629452</v>
      </c>
      <c r="C3829" s="8">
        <f t="array" ref="C3829">PRODUCT(1-'Sparkling Model'!D$2:D$38^A3829)</f>
        <v>0.4973321266</v>
      </c>
    </row>
    <row r="3830">
      <c r="A3830" s="6">
        <v>3828.0</v>
      </c>
      <c r="B3830" s="17">
        <f t="array" ref="B3830">SUM(1-'Sparkling Model'!D$2:D$38^A3830)</f>
        <v>36.34670056</v>
      </c>
      <c r="C3830" s="8">
        <f t="array" ref="C3830">PRODUCT(1-'Sparkling Model'!D$2:D$38^A3830)</f>
        <v>0.4975580975</v>
      </c>
    </row>
    <row r="3831">
      <c r="A3831" s="6">
        <v>3829.0</v>
      </c>
      <c r="B3831" s="17">
        <f t="array" ref="B3831">SUM(1-'Sparkling Model'!D$2:D$38^A3831)</f>
        <v>36.34710629</v>
      </c>
      <c r="C3831" s="8">
        <f t="array" ref="C3831">PRODUCT(1-'Sparkling Model'!D$2:D$38^A3831)</f>
        <v>0.4977839925</v>
      </c>
    </row>
    <row r="3832">
      <c r="A3832" s="6">
        <v>3830.0</v>
      </c>
      <c r="B3832" s="17">
        <f t="array" ref="B3832">SUM(1-'Sparkling Model'!D$2:D$38^A3832)</f>
        <v>36.34751172</v>
      </c>
      <c r="C3832" s="8">
        <f t="array" ref="C3832">PRODUCT(1-'Sparkling Model'!D$2:D$38^A3832)</f>
        <v>0.4980098118</v>
      </c>
    </row>
    <row r="3833">
      <c r="A3833" s="6">
        <v>3831.0</v>
      </c>
      <c r="B3833" s="17">
        <f t="array" ref="B3833">SUM(1-'Sparkling Model'!D$2:D$38^A3833)</f>
        <v>36.34791685</v>
      </c>
      <c r="C3833" s="8">
        <f t="array" ref="C3833">PRODUCT(1-'Sparkling Model'!D$2:D$38^A3833)</f>
        <v>0.4982355552</v>
      </c>
    </row>
    <row r="3834">
      <c r="A3834" s="6">
        <v>3832.0</v>
      </c>
      <c r="B3834" s="17">
        <f t="array" ref="B3834">SUM(1-'Sparkling Model'!D$2:D$38^A3834)</f>
        <v>36.34832167</v>
      </c>
      <c r="C3834" s="8">
        <f t="array" ref="C3834">PRODUCT(1-'Sparkling Model'!D$2:D$38^A3834)</f>
        <v>0.4984612227</v>
      </c>
    </row>
    <row r="3835">
      <c r="A3835" s="6">
        <v>3833.0</v>
      </c>
      <c r="B3835" s="17">
        <f t="array" ref="B3835">SUM(1-'Sparkling Model'!D$2:D$38^A3835)</f>
        <v>36.34872619</v>
      </c>
      <c r="C3835" s="8">
        <f t="array" ref="C3835">PRODUCT(1-'Sparkling Model'!D$2:D$38^A3835)</f>
        <v>0.4986868143</v>
      </c>
    </row>
    <row r="3836">
      <c r="A3836" s="6">
        <v>3834.0</v>
      </c>
      <c r="B3836" s="17">
        <f t="array" ref="B3836">SUM(1-'Sparkling Model'!D$2:D$38^A3836)</f>
        <v>36.34913041</v>
      </c>
      <c r="C3836" s="8">
        <f t="array" ref="C3836">PRODUCT(1-'Sparkling Model'!D$2:D$38^A3836)</f>
        <v>0.49891233</v>
      </c>
    </row>
    <row r="3837">
      <c r="A3837" s="6">
        <v>3835.0</v>
      </c>
      <c r="B3837" s="17">
        <f t="array" ref="B3837">SUM(1-'Sparkling Model'!D$2:D$38^A3837)</f>
        <v>36.34953433</v>
      </c>
      <c r="C3837" s="8">
        <f t="array" ref="C3837">PRODUCT(1-'Sparkling Model'!D$2:D$38^A3837)</f>
        <v>0.4991377698</v>
      </c>
    </row>
    <row r="3838">
      <c r="A3838" s="6">
        <v>3836.0</v>
      </c>
      <c r="B3838" s="17">
        <f t="array" ref="B3838">SUM(1-'Sparkling Model'!D$2:D$38^A3838)</f>
        <v>36.34993794</v>
      </c>
      <c r="C3838" s="8">
        <f t="array" ref="C3838">PRODUCT(1-'Sparkling Model'!D$2:D$38^A3838)</f>
        <v>0.4993631336</v>
      </c>
    </row>
    <row r="3839">
      <c r="A3839" s="6">
        <v>3837.0</v>
      </c>
      <c r="B3839" s="17">
        <f t="array" ref="B3839">SUM(1-'Sparkling Model'!D$2:D$38^A3839)</f>
        <v>36.35034126</v>
      </c>
      <c r="C3839" s="8">
        <f t="array" ref="C3839">PRODUCT(1-'Sparkling Model'!D$2:D$38^A3839)</f>
        <v>0.4995884215</v>
      </c>
    </row>
    <row r="3840">
      <c r="A3840" s="6">
        <v>3838.0</v>
      </c>
      <c r="B3840" s="17">
        <f t="array" ref="B3840">SUM(1-'Sparkling Model'!D$2:D$38^A3840)</f>
        <v>36.35074427</v>
      </c>
      <c r="C3840" s="8">
        <f t="array" ref="C3840">PRODUCT(1-'Sparkling Model'!D$2:D$38^A3840)</f>
        <v>0.4998136334</v>
      </c>
    </row>
    <row r="3841">
      <c r="A3841" s="6">
        <v>3839.0</v>
      </c>
      <c r="B3841" s="17">
        <f t="array" ref="B3841">SUM(1-'Sparkling Model'!D$2:D$38^A3841)</f>
        <v>36.35114698</v>
      </c>
      <c r="C3841" s="8">
        <f t="array" ref="C3841">PRODUCT(1-'Sparkling Model'!D$2:D$38^A3841)</f>
        <v>0.5000387693</v>
      </c>
    </row>
    <row r="3842">
      <c r="A3842" s="6">
        <v>3840.0</v>
      </c>
      <c r="B3842" s="17">
        <f t="array" ref="B3842">SUM(1-'Sparkling Model'!D$2:D$38^A3842)</f>
        <v>36.35154938</v>
      </c>
      <c r="C3842" s="8">
        <f t="array" ref="C3842">PRODUCT(1-'Sparkling Model'!D$2:D$38^A3842)</f>
        <v>0.5002638292</v>
      </c>
    </row>
    <row r="3843">
      <c r="A3843" s="6">
        <v>3841.0</v>
      </c>
      <c r="B3843" s="17">
        <f t="array" ref="B3843">SUM(1-'Sparkling Model'!D$2:D$38^A3843)</f>
        <v>36.35195149</v>
      </c>
      <c r="C3843" s="8">
        <f t="array" ref="C3843">PRODUCT(1-'Sparkling Model'!D$2:D$38^A3843)</f>
        <v>0.500488813</v>
      </c>
    </row>
    <row r="3844">
      <c r="A3844" s="6">
        <v>3842.0</v>
      </c>
      <c r="B3844" s="17">
        <f t="array" ref="B3844">SUM(1-'Sparkling Model'!D$2:D$38^A3844)</f>
        <v>36.3523533</v>
      </c>
      <c r="C3844" s="8">
        <f t="array" ref="C3844">PRODUCT(1-'Sparkling Model'!D$2:D$38^A3844)</f>
        <v>0.5007137208</v>
      </c>
    </row>
    <row r="3845">
      <c r="A3845" s="6">
        <v>3843.0</v>
      </c>
      <c r="B3845" s="17">
        <f t="array" ref="B3845">SUM(1-'Sparkling Model'!D$2:D$38^A3845)</f>
        <v>36.35275481</v>
      </c>
      <c r="C3845" s="8">
        <f t="array" ref="C3845">PRODUCT(1-'Sparkling Model'!D$2:D$38^A3845)</f>
        <v>0.5009385525</v>
      </c>
    </row>
    <row r="3846">
      <c r="A3846" s="6">
        <v>3844.0</v>
      </c>
      <c r="B3846" s="17">
        <f t="array" ref="B3846">SUM(1-'Sparkling Model'!D$2:D$38^A3846)</f>
        <v>36.35315602</v>
      </c>
      <c r="C3846" s="8">
        <f t="array" ref="C3846">PRODUCT(1-'Sparkling Model'!D$2:D$38^A3846)</f>
        <v>0.5011633081</v>
      </c>
    </row>
    <row r="3847">
      <c r="A3847" s="6">
        <v>3845.0</v>
      </c>
      <c r="B3847" s="17">
        <f t="array" ref="B3847">SUM(1-'Sparkling Model'!D$2:D$38^A3847)</f>
        <v>36.35355692</v>
      </c>
      <c r="C3847" s="8">
        <f t="array" ref="C3847">PRODUCT(1-'Sparkling Model'!D$2:D$38^A3847)</f>
        <v>0.5013879877</v>
      </c>
    </row>
    <row r="3848">
      <c r="A3848" s="6">
        <v>3846.0</v>
      </c>
      <c r="B3848" s="17">
        <f t="array" ref="B3848">SUM(1-'Sparkling Model'!D$2:D$38^A3848)</f>
        <v>36.35395753</v>
      </c>
      <c r="C3848" s="8">
        <f t="array" ref="C3848">PRODUCT(1-'Sparkling Model'!D$2:D$38^A3848)</f>
        <v>0.5016125911</v>
      </c>
    </row>
    <row r="3849">
      <c r="A3849" s="6">
        <v>3847.0</v>
      </c>
      <c r="B3849" s="17">
        <f t="array" ref="B3849">SUM(1-'Sparkling Model'!D$2:D$38^A3849)</f>
        <v>36.35435784</v>
      </c>
      <c r="C3849" s="8">
        <f t="array" ref="C3849">PRODUCT(1-'Sparkling Model'!D$2:D$38^A3849)</f>
        <v>0.5018371183</v>
      </c>
    </row>
    <row r="3850">
      <c r="A3850" s="6">
        <v>3848.0</v>
      </c>
      <c r="B3850" s="17">
        <f t="array" ref="B3850">SUM(1-'Sparkling Model'!D$2:D$38^A3850)</f>
        <v>36.35475785</v>
      </c>
      <c r="C3850" s="8">
        <f t="array" ref="C3850">PRODUCT(1-'Sparkling Model'!D$2:D$38^A3850)</f>
        <v>0.5020615694</v>
      </c>
    </row>
    <row r="3851">
      <c r="A3851" s="6">
        <v>3849.0</v>
      </c>
      <c r="B3851" s="17">
        <f t="array" ref="B3851">SUM(1-'Sparkling Model'!D$2:D$38^A3851)</f>
        <v>36.35515757</v>
      </c>
      <c r="C3851" s="8">
        <f t="array" ref="C3851">PRODUCT(1-'Sparkling Model'!D$2:D$38^A3851)</f>
        <v>0.5022859443</v>
      </c>
    </row>
    <row r="3852">
      <c r="A3852" s="6">
        <v>3850.0</v>
      </c>
      <c r="B3852" s="17">
        <f t="array" ref="B3852">SUM(1-'Sparkling Model'!D$2:D$38^A3852)</f>
        <v>36.35555698</v>
      </c>
      <c r="C3852" s="8">
        <f t="array" ref="C3852">PRODUCT(1-'Sparkling Model'!D$2:D$38^A3852)</f>
        <v>0.502510243</v>
      </c>
    </row>
    <row r="3853">
      <c r="A3853" s="6">
        <v>3851.0</v>
      </c>
      <c r="B3853" s="17">
        <f t="array" ref="B3853">SUM(1-'Sparkling Model'!D$2:D$38^A3853)</f>
        <v>36.3559561</v>
      </c>
      <c r="C3853" s="8">
        <f t="array" ref="C3853">PRODUCT(1-'Sparkling Model'!D$2:D$38^A3853)</f>
        <v>0.5027344655</v>
      </c>
    </row>
    <row r="3854">
      <c r="A3854" s="6">
        <v>3852.0</v>
      </c>
      <c r="B3854" s="17">
        <f t="array" ref="B3854">SUM(1-'Sparkling Model'!D$2:D$38^A3854)</f>
        <v>36.35635492</v>
      </c>
      <c r="C3854" s="8">
        <f t="array" ref="C3854">PRODUCT(1-'Sparkling Model'!D$2:D$38^A3854)</f>
        <v>0.5029586118</v>
      </c>
    </row>
    <row r="3855">
      <c r="A3855" s="6">
        <v>3853.0</v>
      </c>
      <c r="B3855" s="17">
        <f t="array" ref="B3855">SUM(1-'Sparkling Model'!D$2:D$38^A3855)</f>
        <v>36.35675344</v>
      </c>
      <c r="C3855" s="8">
        <f t="array" ref="C3855">PRODUCT(1-'Sparkling Model'!D$2:D$38^A3855)</f>
        <v>0.5031826819</v>
      </c>
    </row>
    <row r="3856">
      <c r="A3856" s="6">
        <v>3854.0</v>
      </c>
      <c r="B3856" s="17">
        <f t="array" ref="B3856">SUM(1-'Sparkling Model'!D$2:D$38^A3856)</f>
        <v>36.35715167</v>
      </c>
      <c r="C3856" s="8">
        <f t="array" ref="C3856">PRODUCT(1-'Sparkling Model'!D$2:D$38^A3856)</f>
        <v>0.5034066756</v>
      </c>
    </row>
    <row r="3857">
      <c r="A3857" s="6">
        <v>3855.0</v>
      </c>
      <c r="B3857" s="17">
        <f t="array" ref="B3857">SUM(1-'Sparkling Model'!D$2:D$38^A3857)</f>
        <v>36.3575496</v>
      </c>
      <c r="C3857" s="8">
        <f t="array" ref="C3857">PRODUCT(1-'Sparkling Model'!D$2:D$38^A3857)</f>
        <v>0.5036305931</v>
      </c>
    </row>
    <row r="3858">
      <c r="A3858" s="6">
        <v>3856.0</v>
      </c>
      <c r="B3858" s="17">
        <f t="array" ref="B3858">SUM(1-'Sparkling Model'!D$2:D$38^A3858)</f>
        <v>36.35794723</v>
      </c>
      <c r="C3858" s="8">
        <f t="array" ref="C3858">PRODUCT(1-'Sparkling Model'!D$2:D$38^A3858)</f>
        <v>0.5038544344</v>
      </c>
    </row>
    <row r="3859">
      <c r="A3859" s="6">
        <v>3857.0</v>
      </c>
      <c r="B3859" s="17">
        <f t="array" ref="B3859">SUM(1-'Sparkling Model'!D$2:D$38^A3859)</f>
        <v>36.35834456</v>
      </c>
      <c r="C3859" s="8">
        <f t="array" ref="C3859">PRODUCT(1-'Sparkling Model'!D$2:D$38^A3859)</f>
        <v>0.5040781992</v>
      </c>
    </row>
    <row r="3860">
      <c r="A3860" s="6">
        <v>3858.0</v>
      </c>
      <c r="B3860" s="17">
        <f t="array" ref="B3860">SUM(1-'Sparkling Model'!D$2:D$38^A3860)</f>
        <v>36.3587416</v>
      </c>
      <c r="C3860" s="8">
        <f t="array" ref="C3860">PRODUCT(1-'Sparkling Model'!D$2:D$38^A3860)</f>
        <v>0.5043018878</v>
      </c>
    </row>
    <row r="3861">
      <c r="A3861" s="6">
        <v>3859.0</v>
      </c>
      <c r="B3861" s="17">
        <f t="array" ref="B3861">SUM(1-'Sparkling Model'!D$2:D$38^A3861)</f>
        <v>36.35913835</v>
      </c>
      <c r="C3861" s="8">
        <f t="array" ref="C3861">PRODUCT(1-'Sparkling Model'!D$2:D$38^A3861)</f>
        <v>0.5045255</v>
      </c>
    </row>
    <row r="3862">
      <c r="A3862" s="6">
        <v>3860.0</v>
      </c>
      <c r="B3862" s="17">
        <f t="array" ref="B3862">SUM(1-'Sparkling Model'!D$2:D$38^A3862)</f>
        <v>36.3595348</v>
      </c>
      <c r="C3862" s="8">
        <f t="array" ref="C3862">PRODUCT(1-'Sparkling Model'!D$2:D$38^A3862)</f>
        <v>0.5047490359</v>
      </c>
    </row>
    <row r="3863">
      <c r="A3863" s="6">
        <v>3861.0</v>
      </c>
      <c r="B3863" s="17">
        <f t="array" ref="B3863">SUM(1-'Sparkling Model'!D$2:D$38^A3863)</f>
        <v>36.35993095</v>
      </c>
      <c r="C3863" s="8">
        <f t="array" ref="C3863">PRODUCT(1-'Sparkling Model'!D$2:D$38^A3863)</f>
        <v>0.5049724954</v>
      </c>
    </row>
    <row r="3864">
      <c r="A3864" s="6">
        <v>3862.0</v>
      </c>
      <c r="B3864" s="17">
        <f t="array" ref="B3864">SUM(1-'Sparkling Model'!D$2:D$38^A3864)</f>
        <v>36.36032681</v>
      </c>
      <c r="C3864" s="8">
        <f t="array" ref="C3864">PRODUCT(1-'Sparkling Model'!D$2:D$38^A3864)</f>
        <v>0.5051958785</v>
      </c>
    </row>
    <row r="3865">
      <c r="A3865" s="6">
        <v>3863.0</v>
      </c>
      <c r="B3865" s="17">
        <f t="array" ref="B3865">SUM(1-'Sparkling Model'!D$2:D$38^A3865)</f>
        <v>36.36072238</v>
      </c>
      <c r="C3865" s="8">
        <f t="array" ref="C3865">PRODUCT(1-'Sparkling Model'!D$2:D$38^A3865)</f>
        <v>0.5054191852</v>
      </c>
    </row>
    <row r="3866">
      <c r="A3866" s="6">
        <v>3864.0</v>
      </c>
      <c r="B3866" s="17">
        <f t="array" ref="B3866">SUM(1-'Sparkling Model'!D$2:D$38^A3866)</f>
        <v>36.36111765</v>
      </c>
      <c r="C3866" s="8">
        <f t="array" ref="C3866">PRODUCT(1-'Sparkling Model'!D$2:D$38^A3866)</f>
        <v>0.5056424154</v>
      </c>
    </row>
    <row r="3867">
      <c r="A3867" s="6">
        <v>3865.0</v>
      </c>
      <c r="B3867" s="17">
        <f t="array" ref="B3867">SUM(1-'Sparkling Model'!D$2:D$38^A3867)</f>
        <v>36.36151263</v>
      </c>
      <c r="C3867" s="8">
        <f t="array" ref="C3867">PRODUCT(1-'Sparkling Model'!D$2:D$38^A3867)</f>
        <v>0.5058655693</v>
      </c>
    </row>
    <row r="3868">
      <c r="A3868" s="6">
        <v>3866.0</v>
      </c>
      <c r="B3868" s="17">
        <f t="array" ref="B3868">SUM(1-'Sparkling Model'!D$2:D$38^A3868)</f>
        <v>36.36190731</v>
      </c>
      <c r="C3868" s="8">
        <f t="array" ref="C3868">PRODUCT(1-'Sparkling Model'!D$2:D$38^A3868)</f>
        <v>0.5060886466</v>
      </c>
    </row>
    <row r="3869">
      <c r="A3869" s="6">
        <v>3867.0</v>
      </c>
      <c r="B3869" s="17">
        <f t="array" ref="B3869">SUM(1-'Sparkling Model'!D$2:D$38^A3869)</f>
        <v>36.3623017</v>
      </c>
      <c r="C3869" s="8">
        <f t="array" ref="C3869">PRODUCT(1-'Sparkling Model'!D$2:D$38^A3869)</f>
        <v>0.5063116475</v>
      </c>
    </row>
    <row r="3870">
      <c r="A3870" s="6">
        <v>3868.0</v>
      </c>
      <c r="B3870" s="17">
        <f t="array" ref="B3870">SUM(1-'Sparkling Model'!D$2:D$38^A3870)</f>
        <v>36.3626958</v>
      </c>
      <c r="C3870" s="8">
        <f t="array" ref="C3870">PRODUCT(1-'Sparkling Model'!D$2:D$38^A3870)</f>
        <v>0.5065345719</v>
      </c>
    </row>
    <row r="3871">
      <c r="A3871" s="6">
        <v>3869.0</v>
      </c>
      <c r="B3871" s="17">
        <f t="array" ref="B3871">SUM(1-'Sparkling Model'!D$2:D$38^A3871)</f>
        <v>36.3630896</v>
      </c>
      <c r="C3871" s="8">
        <f t="array" ref="C3871">PRODUCT(1-'Sparkling Model'!D$2:D$38^A3871)</f>
        <v>0.5067574199</v>
      </c>
    </row>
    <row r="3872">
      <c r="A3872" s="6">
        <v>3870.0</v>
      </c>
      <c r="B3872" s="17">
        <f t="array" ref="B3872">SUM(1-'Sparkling Model'!D$2:D$38^A3872)</f>
        <v>36.36348312</v>
      </c>
      <c r="C3872" s="8">
        <f t="array" ref="C3872">PRODUCT(1-'Sparkling Model'!D$2:D$38^A3872)</f>
        <v>0.5069801912</v>
      </c>
    </row>
    <row r="3873">
      <c r="A3873" s="6">
        <v>3871.0</v>
      </c>
      <c r="B3873" s="17">
        <f t="array" ref="B3873">SUM(1-'Sparkling Model'!D$2:D$38^A3873)</f>
        <v>36.36387634</v>
      </c>
      <c r="C3873" s="8">
        <f t="array" ref="C3873">PRODUCT(1-'Sparkling Model'!D$2:D$38^A3873)</f>
        <v>0.5072028861</v>
      </c>
    </row>
    <row r="3874">
      <c r="A3874" s="6">
        <v>3872.0</v>
      </c>
      <c r="B3874" s="17">
        <f t="array" ref="B3874">SUM(1-'Sparkling Model'!D$2:D$38^A3874)</f>
        <v>36.36426926</v>
      </c>
      <c r="C3874" s="8">
        <f t="array" ref="C3874">PRODUCT(1-'Sparkling Model'!D$2:D$38^A3874)</f>
        <v>0.5074255044</v>
      </c>
    </row>
    <row r="3875">
      <c r="A3875" s="6">
        <v>3873.0</v>
      </c>
      <c r="B3875" s="17">
        <f t="array" ref="B3875">SUM(1-'Sparkling Model'!D$2:D$38^A3875)</f>
        <v>36.3646619</v>
      </c>
      <c r="C3875" s="8">
        <f t="array" ref="C3875">PRODUCT(1-'Sparkling Model'!D$2:D$38^A3875)</f>
        <v>0.5076480462</v>
      </c>
    </row>
    <row r="3876">
      <c r="A3876" s="6">
        <v>3874.0</v>
      </c>
      <c r="B3876" s="17">
        <f t="array" ref="B3876">SUM(1-'Sparkling Model'!D$2:D$38^A3876)</f>
        <v>36.36505425</v>
      </c>
      <c r="C3876" s="8">
        <f t="array" ref="C3876">PRODUCT(1-'Sparkling Model'!D$2:D$38^A3876)</f>
        <v>0.5078705114</v>
      </c>
    </row>
    <row r="3877">
      <c r="A3877" s="6">
        <v>3875.0</v>
      </c>
      <c r="B3877" s="17">
        <f t="array" ref="B3877">SUM(1-'Sparkling Model'!D$2:D$38^A3877)</f>
        <v>36.3654463</v>
      </c>
      <c r="C3877" s="8">
        <f t="array" ref="C3877">PRODUCT(1-'Sparkling Model'!D$2:D$38^A3877)</f>
        <v>0.5080928999</v>
      </c>
    </row>
    <row r="3878">
      <c r="A3878" s="6">
        <v>3876.0</v>
      </c>
      <c r="B3878" s="17">
        <f t="array" ref="B3878">SUM(1-'Sparkling Model'!D$2:D$38^A3878)</f>
        <v>36.36583806</v>
      </c>
      <c r="C3878" s="8">
        <f t="array" ref="C3878">PRODUCT(1-'Sparkling Model'!D$2:D$38^A3878)</f>
        <v>0.5083152119</v>
      </c>
    </row>
    <row r="3879">
      <c r="A3879" s="6">
        <v>3877.0</v>
      </c>
      <c r="B3879" s="17">
        <f t="array" ref="B3879">SUM(1-'Sparkling Model'!D$2:D$38^A3879)</f>
        <v>36.36622953</v>
      </c>
      <c r="C3879" s="8">
        <f t="array" ref="C3879">PRODUCT(1-'Sparkling Model'!D$2:D$38^A3879)</f>
        <v>0.5085374473</v>
      </c>
    </row>
    <row r="3880">
      <c r="A3880" s="6">
        <v>3878.0</v>
      </c>
      <c r="B3880" s="17">
        <f t="array" ref="B3880">SUM(1-'Sparkling Model'!D$2:D$38^A3880)</f>
        <v>36.36662072</v>
      </c>
      <c r="C3880" s="8">
        <f t="array" ref="C3880">PRODUCT(1-'Sparkling Model'!D$2:D$38^A3880)</f>
        <v>0.508759606</v>
      </c>
    </row>
    <row r="3881">
      <c r="A3881" s="6">
        <v>3879.0</v>
      </c>
      <c r="B3881" s="17">
        <f t="array" ref="B3881">SUM(1-'Sparkling Model'!D$2:D$38^A3881)</f>
        <v>36.36701161</v>
      </c>
      <c r="C3881" s="8">
        <f t="array" ref="C3881">PRODUCT(1-'Sparkling Model'!D$2:D$38^A3881)</f>
        <v>0.5089816881</v>
      </c>
    </row>
    <row r="3882">
      <c r="A3882" s="6">
        <v>3880.0</v>
      </c>
      <c r="B3882" s="17">
        <f t="array" ref="B3882">SUM(1-'Sparkling Model'!D$2:D$38^A3882)</f>
        <v>36.36740221</v>
      </c>
      <c r="C3882" s="8">
        <f t="array" ref="C3882">PRODUCT(1-'Sparkling Model'!D$2:D$38^A3882)</f>
        <v>0.5092036935</v>
      </c>
    </row>
    <row r="3883">
      <c r="A3883" s="6">
        <v>3881.0</v>
      </c>
      <c r="B3883" s="17">
        <f t="array" ref="B3883">SUM(1-'Sparkling Model'!D$2:D$38^A3883)</f>
        <v>36.36779252</v>
      </c>
      <c r="C3883" s="8">
        <f t="array" ref="C3883">PRODUCT(1-'Sparkling Model'!D$2:D$38^A3883)</f>
        <v>0.5094256222</v>
      </c>
    </row>
    <row r="3884">
      <c r="A3884" s="6">
        <v>3882.0</v>
      </c>
      <c r="B3884" s="17">
        <f t="array" ref="B3884">SUM(1-'Sparkling Model'!D$2:D$38^A3884)</f>
        <v>36.36818255</v>
      </c>
      <c r="C3884" s="8">
        <f t="array" ref="C3884">PRODUCT(1-'Sparkling Model'!D$2:D$38^A3884)</f>
        <v>0.5096474742</v>
      </c>
    </row>
    <row r="3885">
      <c r="A3885" s="6">
        <v>3883.0</v>
      </c>
      <c r="B3885" s="17">
        <f t="array" ref="B3885">SUM(1-'Sparkling Model'!D$2:D$38^A3885)</f>
        <v>36.36857228</v>
      </c>
      <c r="C3885" s="8">
        <f t="array" ref="C3885">PRODUCT(1-'Sparkling Model'!D$2:D$38^A3885)</f>
        <v>0.5098692496</v>
      </c>
    </row>
    <row r="3886">
      <c r="A3886" s="6">
        <v>3884.0</v>
      </c>
      <c r="B3886" s="17">
        <f t="array" ref="B3886">SUM(1-'Sparkling Model'!D$2:D$38^A3886)</f>
        <v>36.36896173</v>
      </c>
      <c r="C3886" s="8">
        <f t="array" ref="C3886">PRODUCT(1-'Sparkling Model'!D$2:D$38^A3886)</f>
        <v>0.5100909482</v>
      </c>
    </row>
    <row r="3887">
      <c r="A3887" s="6">
        <v>3885.0</v>
      </c>
      <c r="B3887" s="17">
        <f t="array" ref="B3887">SUM(1-'Sparkling Model'!D$2:D$38^A3887)</f>
        <v>36.36935089</v>
      </c>
      <c r="C3887" s="8">
        <f t="array" ref="C3887">PRODUCT(1-'Sparkling Model'!D$2:D$38^A3887)</f>
        <v>0.51031257</v>
      </c>
    </row>
    <row r="3888">
      <c r="A3888" s="6">
        <v>3886.0</v>
      </c>
      <c r="B3888" s="17">
        <f t="array" ref="B3888">SUM(1-'Sparkling Model'!D$2:D$38^A3888)</f>
        <v>36.36973976</v>
      </c>
      <c r="C3888" s="8">
        <f t="array" ref="C3888">PRODUCT(1-'Sparkling Model'!D$2:D$38^A3888)</f>
        <v>0.5105341152</v>
      </c>
    </row>
    <row r="3889">
      <c r="A3889" s="6">
        <v>3887.0</v>
      </c>
      <c r="B3889" s="17">
        <f t="array" ref="B3889">SUM(1-'Sparkling Model'!D$2:D$38^A3889)</f>
        <v>36.37012834</v>
      </c>
      <c r="C3889" s="8">
        <f t="array" ref="C3889">PRODUCT(1-'Sparkling Model'!D$2:D$38^A3889)</f>
        <v>0.5107555835</v>
      </c>
    </row>
    <row r="3890">
      <c r="A3890" s="6">
        <v>3888.0</v>
      </c>
      <c r="B3890" s="17">
        <f t="array" ref="B3890">SUM(1-'Sparkling Model'!D$2:D$38^A3890)</f>
        <v>36.37051663</v>
      </c>
      <c r="C3890" s="8">
        <f t="array" ref="C3890">PRODUCT(1-'Sparkling Model'!D$2:D$38^A3890)</f>
        <v>0.5109769751</v>
      </c>
    </row>
    <row r="3891">
      <c r="A3891" s="6">
        <v>3889.0</v>
      </c>
      <c r="B3891" s="17">
        <f t="array" ref="B3891">SUM(1-'Sparkling Model'!D$2:D$38^A3891)</f>
        <v>36.37090464</v>
      </c>
      <c r="C3891" s="8">
        <f t="array" ref="C3891">PRODUCT(1-'Sparkling Model'!D$2:D$38^A3891)</f>
        <v>0.5111982899</v>
      </c>
    </row>
    <row r="3892">
      <c r="A3892" s="6">
        <v>3890.0</v>
      </c>
      <c r="B3892" s="17">
        <f t="array" ref="B3892">SUM(1-'Sparkling Model'!D$2:D$38^A3892)</f>
        <v>36.37129236</v>
      </c>
      <c r="C3892" s="8">
        <f t="array" ref="C3892">PRODUCT(1-'Sparkling Model'!D$2:D$38^A3892)</f>
        <v>0.5114195279</v>
      </c>
    </row>
    <row r="3893">
      <c r="A3893" s="6">
        <v>3891.0</v>
      </c>
      <c r="B3893" s="17">
        <f t="array" ref="B3893">SUM(1-'Sparkling Model'!D$2:D$38^A3893)</f>
        <v>36.37167979</v>
      </c>
      <c r="C3893" s="8">
        <f t="array" ref="C3893">PRODUCT(1-'Sparkling Model'!D$2:D$38^A3893)</f>
        <v>0.511640689</v>
      </c>
    </row>
    <row r="3894">
      <c r="A3894" s="6">
        <v>3892.0</v>
      </c>
      <c r="B3894" s="17">
        <f t="array" ref="B3894">SUM(1-'Sparkling Model'!D$2:D$38^A3894)</f>
        <v>36.37206694</v>
      </c>
      <c r="C3894" s="8">
        <f t="array" ref="C3894">PRODUCT(1-'Sparkling Model'!D$2:D$38^A3894)</f>
        <v>0.5118617734</v>
      </c>
    </row>
    <row r="3895">
      <c r="A3895" s="6">
        <v>3893.0</v>
      </c>
      <c r="B3895" s="17">
        <f t="array" ref="B3895">SUM(1-'Sparkling Model'!D$2:D$38^A3895)</f>
        <v>36.3724538</v>
      </c>
      <c r="C3895" s="8">
        <f t="array" ref="C3895">PRODUCT(1-'Sparkling Model'!D$2:D$38^A3895)</f>
        <v>0.5120827809</v>
      </c>
    </row>
    <row r="3896">
      <c r="A3896" s="6">
        <v>3894.0</v>
      </c>
      <c r="B3896" s="17">
        <f t="array" ref="B3896">SUM(1-'Sparkling Model'!D$2:D$38^A3896)</f>
        <v>36.37284037</v>
      </c>
      <c r="C3896" s="8">
        <f t="array" ref="C3896">PRODUCT(1-'Sparkling Model'!D$2:D$38^A3896)</f>
        <v>0.5123037115</v>
      </c>
    </row>
    <row r="3897">
      <c r="A3897" s="6">
        <v>3895.0</v>
      </c>
      <c r="B3897" s="17">
        <f t="array" ref="B3897">SUM(1-'Sparkling Model'!D$2:D$38^A3897)</f>
        <v>36.37322666</v>
      </c>
      <c r="C3897" s="8">
        <f t="array" ref="C3897">PRODUCT(1-'Sparkling Model'!D$2:D$38^A3897)</f>
        <v>0.5125245653</v>
      </c>
    </row>
    <row r="3898">
      <c r="A3898" s="6">
        <v>3896.0</v>
      </c>
      <c r="B3898" s="17">
        <f t="array" ref="B3898">SUM(1-'Sparkling Model'!D$2:D$38^A3898)</f>
        <v>36.37361267</v>
      </c>
      <c r="C3898" s="8">
        <f t="array" ref="C3898">PRODUCT(1-'Sparkling Model'!D$2:D$38^A3898)</f>
        <v>0.5127453422</v>
      </c>
    </row>
    <row r="3899">
      <c r="A3899" s="6">
        <v>3897.0</v>
      </c>
      <c r="B3899" s="17">
        <f t="array" ref="B3899">SUM(1-'Sparkling Model'!D$2:D$38^A3899)</f>
        <v>36.37399839</v>
      </c>
      <c r="C3899" s="8">
        <f t="array" ref="C3899">PRODUCT(1-'Sparkling Model'!D$2:D$38^A3899)</f>
        <v>0.5129660422</v>
      </c>
    </row>
    <row r="3900">
      <c r="A3900" s="6">
        <v>3898.0</v>
      </c>
      <c r="B3900" s="17">
        <f t="array" ref="B3900">SUM(1-'Sparkling Model'!D$2:D$38^A3900)</f>
        <v>36.37438382</v>
      </c>
      <c r="C3900" s="8">
        <f t="array" ref="C3900">PRODUCT(1-'Sparkling Model'!D$2:D$38^A3900)</f>
        <v>0.5131866652</v>
      </c>
    </row>
    <row r="3901">
      <c r="A3901" s="6">
        <v>3899.0</v>
      </c>
      <c r="B3901" s="17">
        <f t="array" ref="B3901">SUM(1-'Sparkling Model'!D$2:D$38^A3901)</f>
        <v>36.37476897</v>
      </c>
      <c r="C3901" s="8">
        <f t="array" ref="C3901">PRODUCT(1-'Sparkling Model'!D$2:D$38^A3901)</f>
        <v>0.5134072114</v>
      </c>
    </row>
    <row r="3902">
      <c r="A3902" s="6">
        <v>3900.0</v>
      </c>
      <c r="B3902" s="17">
        <f t="array" ref="B3902">SUM(1-'Sparkling Model'!D$2:D$38^A3902)</f>
        <v>36.37515383</v>
      </c>
      <c r="C3902" s="8">
        <f t="array" ref="C3902">PRODUCT(1-'Sparkling Model'!D$2:D$38^A3902)</f>
        <v>0.5136276806</v>
      </c>
    </row>
    <row r="3903">
      <c r="A3903" s="6">
        <v>3901.0</v>
      </c>
      <c r="B3903" s="17">
        <f t="array" ref="B3903">SUM(1-'Sparkling Model'!D$2:D$38^A3903)</f>
        <v>36.37553841</v>
      </c>
      <c r="C3903" s="8">
        <f t="array" ref="C3903">PRODUCT(1-'Sparkling Model'!D$2:D$38^A3903)</f>
        <v>0.5138480729</v>
      </c>
    </row>
    <row r="3904">
      <c r="A3904" s="6">
        <v>3902.0</v>
      </c>
      <c r="B3904" s="17">
        <f t="array" ref="B3904">SUM(1-'Sparkling Model'!D$2:D$38^A3904)</f>
        <v>36.37592271</v>
      </c>
      <c r="C3904" s="8">
        <f t="array" ref="C3904">PRODUCT(1-'Sparkling Model'!D$2:D$38^A3904)</f>
        <v>0.5140683882</v>
      </c>
    </row>
    <row r="3905">
      <c r="A3905" s="6">
        <v>3903.0</v>
      </c>
      <c r="B3905" s="17">
        <f t="array" ref="B3905">SUM(1-'Sparkling Model'!D$2:D$38^A3905)</f>
        <v>36.37630672</v>
      </c>
      <c r="C3905" s="8">
        <f t="array" ref="C3905">PRODUCT(1-'Sparkling Model'!D$2:D$38^A3905)</f>
        <v>0.5142886266</v>
      </c>
    </row>
    <row r="3906">
      <c r="A3906" s="6">
        <v>3904.0</v>
      </c>
      <c r="B3906" s="17">
        <f t="array" ref="B3906">SUM(1-'Sparkling Model'!D$2:D$38^A3906)</f>
        <v>36.37669045</v>
      </c>
      <c r="C3906" s="8">
        <f t="array" ref="C3906">PRODUCT(1-'Sparkling Model'!D$2:D$38^A3906)</f>
        <v>0.5145087879</v>
      </c>
    </row>
    <row r="3907">
      <c r="A3907" s="6">
        <v>3905.0</v>
      </c>
      <c r="B3907" s="17">
        <f t="array" ref="B3907">SUM(1-'Sparkling Model'!D$2:D$38^A3907)</f>
        <v>36.3770739</v>
      </c>
      <c r="C3907" s="8">
        <f t="array" ref="C3907">PRODUCT(1-'Sparkling Model'!D$2:D$38^A3907)</f>
        <v>0.5147288723</v>
      </c>
    </row>
    <row r="3908">
      <c r="A3908" s="6">
        <v>3906.0</v>
      </c>
      <c r="B3908" s="17">
        <f t="array" ref="B3908">SUM(1-'Sparkling Model'!D$2:D$38^A3908)</f>
        <v>36.37745706</v>
      </c>
      <c r="C3908" s="8">
        <f t="array" ref="C3908">PRODUCT(1-'Sparkling Model'!D$2:D$38^A3908)</f>
        <v>0.5149488796</v>
      </c>
    </row>
    <row r="3909">
      <c r="A3909" s="6">
        <v>3907.0</v>
      </c>
      <c r="B3909" s="17">
        <f t="array" ref="B3909">SUM(1-'Sparkling Model'!D$2:D$38^A3909)</f>
        <v>36.37783994</v>
      </c>
      <c r="C3909" s="8">
        <f t="array" ref="C3909">PRODUCT(1-'Sparkling Model'!D$2:D$38^A3909)</f>
        <v>0.51516881</v>
      </c>
    </row>
    <row r="3910">
      <c r="A3910" s="6">
        <v>3908.0</v>
      </c>
      <c r="B3910" s="17">
        <f t="array" ref="B3910">SUM(1-'Sparkling Model'!D$2:D$38^A3910)</f>
        <v>36.37822254</v>
      </c>
      <c r="C3910" s="8">
        <f t="array" ref="C3910">PRODUCT(1-'Sparkling Model'!D$2:D$38^A3910)</f>
        <v>0.5153886633</v>
      </c>
    </row>
    <row r="3911">
      <c r="A3911" s="6">
        <v>3909.0</v>
      </c>
      <c r="B3911" s="17">
        <f t="array" ref="B3911">SUM(1-'Sparkling Model'!D$2:D$38^A3911)</f>
        <v>36.37860486</v>
      </c>
      <c r="C3911" s="8">
        <f t="array" ref="C3911">PRODUCT(1-'Sparkling Model'!D$2:D$38^A3911)</f>
        <v>0.5156084395</v>
      </c>
    </row>
    <row r="3912">
      <c r="A3912" s="6">
        <v>3910.0</v>
      </c>
      <c r="B3912" s="17">
        <f t="array" ref="B3912">SUM(1-'Sparkling Model'!D$2:D$38^A3912)</f>
        <v>36.3789869</v>
      </c>
      <c r="C3912" s="8">
        <f t="array" ref="C3912">PRODUCT(1-'Sparkling Model'!D$2:D$38^A3912)</f>
        <v>0.5158281387</v>
      </c>
    </row>
    <row r="3913">
      <c r="A3913" s="6">
        <v>3911.0</v>
      </c>
      <c r="B3913" s="17">
        <f t="array" ref="B3913">SUM(1-'Sparkling Model'!D$2:D$38^A3913)</f>
        <v>36.37936865</v>
      </c>
      <c r="C3913" s="8">
        <f t="array" ref="C3913">PRODUCT(1-'Sparkling Model'!D$2:D$38^A3913)</f>
        <v>0.5160477609</v>
      </c>
    </row>
    <row r="3914">
      <c r="A3914" s="6">
        <v>3912.0</v>
      </c>
      <c r="B3914" s="17">
        <f t="array" ref="B3914">SUM(1-'Sparkling Model'!D$2:D$38^A3914)</f>
        <v>36.37975012</v>
      </c>
      <c r="C3914" s="8">
        <f t="array" ref="C3914">PRODUCT(1-'Sparkling Model'!D$2:D$38^A3914)</f>
        <v>0.5162673059</v>
      </c>
    </row>
    <row r="3915">
      <c r="A3915" s="6">
        <v>3913.0</v>
      </c>
      <c r="B3915" s="17">
        <f t="array" ref="B3915">SUM(1-'Sparkling Model'!D$2:D$38^A3915)</f>
        <v>36.38013132</v>
      </c>
      <c r="C3915" s="8">
        <f t="array" ref="C3915">PRODUCT(1-'Sparkling Model'!D$2:D$38^A3915)</f>
        <v>0.5164867739</v>
      </c>
    </row>
    <row r="3916">
      <c r="A3916" s="6">
        <v>3914.0</v>
      </c>
      <c r="B3916" s="17">
        <f t="array" ref="B3916">SUM(1-'Sparkling Model'!D$2:D$38^A3916)</f>
        <v>36.38051223</v>
      </c>
      <c r="C3916" s="8">
        <f t="array" ref="C3916">PRODUCT(1-'Sparkling Model'!D$2:D$38^A3916)</f>
        <v>0.5167061648</v>
      </c>
    </row>
    <row r="3917">
      <c r="A3917" s="6">
        <v>3915.0</v>
      </c>
      <c r="B3917" s="17">
        <f t="array" ref="B3917">SUM(1-'Sparkling Model'!D$2:D$38^A3917)</f>
        <v>36.38089286</v>
      </c>
      <c r="C3917" s="8">
        <f t="array" ref="C3917">PRODUCT(1-'Sparkling Model'!D$2:D$38^A3917)</f>
        <v>0.5169254785</v>
      </c>
    </row>
    <row r="3918">
      <c r="A3918" s="6">
        <v>3916.0</v>
      </c>
      <c r="B3918" s="17">
        <f t="array" ref="B3918">SUM(1-'Sparkling Model'!D$2:D$38^A3918)</f>
        <v>36.38127321</v>
      </c>
      <c r="C3918" s="8">
        <f t="array" ref="C3918">PRODUCT(1-'Sparkling Model'!D$2:D$38^A3918)</f>
        <v>0.5171447151</v>
      </c>
    </row>
    <row r="3919">
      <c r="A3919" s="6">
        <v>3917.0</v>
      </c>
      <c r="B3919" s="17">
        <f t="array" ref="B3919">SUM(1-'Sparkling Model'!D$2:D$38^A3919)</f>
        <v>36.38165328</v>
      </c>
      <c r="C3919" s="8">
        <f t="array" ref="C3919">PRODUCT(1-'Sparkling Model'!D$2:D$38^A3919)</f>
        <v>0.5173638746</v>
      </c>
    </row>
    <row r="3920">
      <c r="A3920" s="6">
        <v>3918.0</v>
      </c>
      <c r="B3920" s="17">
        <f t="array" ref="B3920">SUM(1-'Sparkling Model'!D$2:D$38^A3920)</f>
        <v>36.38203307</v>
      </c>
      <c r="C3920" s="8">
        <f t="array" ref="C3920">PRODUCT(1-'Sparkling Model'!D$2:D$38^A3920)</f>
        <v>0.517582957</v>
      </c>
    </row>
    <row r="3921">
      <c r="A3921" s="6">
        <v>3919.0</v>
      </c>
      <c r="B3921" s="17">
        <f t="array" ref="B3921">SUM(1-'Sparkling Model'!D$2:D$38^A3921)</f>
        <v>36.38241259</v>
      </c>
      <c r="C3921" s="8">
        <f t="array" ref="C3921">PRODUCT(1-'Sparkling Model'!D$2:D$38^A3921)</f>
        <v>0.5178019621</v>
      </c>
    </row>
    <row r="3922">
      <c r="A3922" s="6">
        <v>3920.0</v>
      </c>
      <c r="B3922" s="17">
        <f t="array" ref="B3922">SUM(1-'Sparkling Model'!D$2:D$38^A3922)</f>
        <v>36.38279182</v>
      </c>
      <c r="C3922" s="8">
        <f t="array" ref="C3922">PRODUCT(1-'Sparkling Model'!D$2:D$38^A3922)</f>
        <v>0.5180208902</v>
      </c>
    </row>
    <row r="3923">
      <c r="A3923" s="6">
        <v>3921.0</v>
      </c>
      <c r="B3923" s="17">
        <f t="array" ref="B3923">SUM(1-'Sparkling Model'!D$2:D$38^A3923)</f>
        <v>36.38317077</v>
      </c>
      <c r="C3923" s="8">
        <f t="array" ref="C3923">PRODUCT(1-'Sparkling Model'!D$2:D$38^A3923)</f>
        <v>0.518239741</v>
      </c>
    </row>
    <row r="3924">
      <c r="A3924" s="6">
        <v>3922.0</v>
      </c>
      <c r="B3924" s="17">
        <f t="array" ref="B3924">SUM(1-'Sparkling Model'!D$2:D$38^A3924)</f>
        <v>36.38354945</v>
      </c>
      <c r="C3924" s="8">
        <f t="array" ref="C3924">PRODUCT(1-'Sparkling Model'!D$2:D$38^A3924)</f>
        <v>0.5184585146</v>
      </c>
    </row>
    <row r="3925">
      <c r="A3925" s="6">
        <v>3923.0</v>
      </c>
      <c r="B3925" s="17">
        <f t="array" ref="B3925">SUM(1-'Sparkling Model'!D$2:D$38^A3925)</f>
        <v>36.38392785</v>
      </c>
      <c r="C3925" s="8">
        <f t="array" ref="C3925">PRODUCT(1-'Sparkling Model'!D$2:D$38^A3925)</f>
        <v>0.5186772111</v>
      </c>
    </row>
    <row r="3926">
      <c r="A3926" s="6">
        <v>3924.0</v>
      </c>
      <c r="B3926" s="17">
        <f t="array" ref="B3926">SUM(1-'Sparkling Model'!D$2:D$38^A3926)</f>
        <v>36.38430597</v>
      </c>
      <c r="C3926" s="8">
        <f t="array" ref="C3926">PRODUCT(1-'Sparkling Model'!D$2:D$38^A3926)</f>
        <v>0.5188958303</v>
      </c>
    </row>
    <row r="3927">
      <c r="A3927" s="6">
        <v>3925.0</v>
      </c>
      <c r="B3927" s="17">
        <f t="array" ref="B3927">SUM(1-'Sparkling Model'!D$2:D$38^A3927)</f>
        <v>36.38468381</v>
      </c>
      <c r="C3927" s="8">
        <f t="array" ref="C3927">PRODUCT(1-'Sparkling Model'!D$2:D$38^A3927)</f>
        <v>0.5191143723</v>
      </c>
    </row>
    <row r="3928">
      <c r="A3928" s="6">
        <v>3926.0</v>
      </c>
      <c r="B3928" s="17">
        <f t="array" ref="B3928">SUM(1-'Sparkling Model'!D$2:D$38^A3928)</f>
        <v>36.38506137</v>
      </c>
      <c r="C3928" s="8">
        <f t="array" ref="C3928">PRODUCT(1-'Sparkling Model'!D$2:D$38^A3928)</f>
        <v>0.5193328371</v>
      </c>
    </row>
    <row r="3929">
      <c r="A3929" s="6">
        <v>3927.0</v>
      </c>
      <c r="B3929" s="17">
        <f t="array" ref="B3929">SUM(1-'Sparkling Model'!D$2:D$38^A3929)</f>
        <v>36.38543866</v>
      </c>
      <c r="C3929" s="8">
        <f t="array" ref="C3929">PRODUCT(1-'Sparkling Model'!D$2:D$38^A3929)</f>
        <v>0.5195512246</v>
      </c>
    </row>
    <row r="3930">
      <c r="A3930" s="6">
        <v>3928.0</v>
      </c>
      <c r="B3930" s="17">
        <f t="array" ref="B3930">SUM(1-'Sparkling Model'!D$2:D$38^A3930)</f>
        <v>36.38581567</v>
      </c>
      <c r="C3930" s="8">
        <f t="array" ref="C3930">PRODUCT(1-'Sparkling Model'!D$2:D$38^A3930)</f>
        <v>0.5197695348</v>
      </c>
    </row>
    <row r="3931">
      <c r="A3931" s="6">
        <v>3929.0</v>
      </c>
      <c r="B3931" s="17">
        <f t="array" ref="B3931">SUM(1-'Sparkling Model'!D$2:D$38^A3931)</f>
        <v>36.3861924</v>
      </c>
      <c r="C3931" s="8">
        <f t="array" ref="C3931">PRODUCT(1-'Sparkling Model'!D$2:D$38^A3931)</f>
        <v>0.5199877678</v>
      </c>
    </row>
    <row r="3932">
      <c r="A3932" s="6">
        <v>3930.0</v>
      </c>
      <c r="B3932" s="17">
        <f t="array" ref="B3932">SUM(1-'Sparkling Model'!D$2:D$38^A3932)</f>
        <v>36.38656886</v>
      </c>
      <c r="C3932" s="8">
        <f t="array" ref="C3932">PRODUCT(1-'Sparkling Model'!D$2:D$38^A3932)</f>
        <v>0.5202059236</v>
      </c>
    </row>
    <row r="3933">
      <c r="A3933" s="6">
        <v>3931.0</v>
      </c>
      <c r="B3933" s="17">
        <f t="array" ref="B3933">SUM(1-'Sparkling Model'!D$2:D$38^A3933)</f>
        <v>36.38694504</v>
      </c>
      <c r="C3933" s="8">
        <f t="array" ref="C3933">PRODUCT(1-'Sparkling Model'!D$2:D$38^A3933)</f>
        <v>0.520424002</v>
      </c>
    </row>
    <row r="3934">
      <c r="A3934" s="6">
        <v>3932.0</v>
      </c>
      <c r="B3934" s="17">
        <f t="array" ref="B3934">SUM(1-'Sparkling Model'!D$2:D$38^A3934)</f>
        <v>36.38732095</v>
      </c>
      <c r="C3934" s="8">
        <f t="array" ref="C3934">PRODUCT(1-'Sparkling Model'!D$2:D$38^A3934)</f>
        <v>0.5206420032</v>
      </c>
    </row>
    <row r="3935">
      <c r="A3935" s="6">
        <v>3933.0</v>
      </c>
      <c r="B3935" s="17">
        <f t="array" ref="B3935">SUM(1-'Sparkling Model'!D$2:D$38^A3935)</f>
        <v>36.38769658</v>
      </c>
      <c r="C3935" s="8">
        <f t="array" ref="C3935">PRODUCT(1-'Sparkling Model'!D$2:D$38^A3935)</f>
        <v>0.520859927</v>
      </c>
    </row>
    <row r="3936">
      <c r="A3936" s="6">
        <v>3934.0</v>
      </c>
      <c r="B3936" s="17">
        <f t="array" ref="B3936">SUM(1-'Sparkling Model'!D$2:D$38^A3936)</f>
        <v>36.38807193</v>
      </c>
      <c r="C3936" s="8">
        <f t="array" ref="C3936">PRODUCT(1-'Sparkling Model'!D$2:D$38^A3936)</f>
        <v>0.5210777735</v>
      </c>
    </row>
    <row r="3937">
      <c r="A3937" s="6">
        <v>3935.0</v>
      </c>
      <c r="B3937" s="17">
        <f t="array" ref="B3937">SUM(1-'Sparkling Model'!D$2:D$38^A3937)</f>
        <v>36.38844701</v>
      </c>
      <c r="C3937" s="8">
        <f t="array" ref="C3937">PRODUCT(1-'Sparkling Model'!D$2:D$38^A3937)</f>
        <v>0.5212955427</v>
      </c>
    </row>
    <row r="3938">
      <c r="A3938" s="6">
        <v>3936.0</v>
      </c>
      <c r="B3938" s="17">
        <f t="array" ref="B3938">SUM(1-'Sparkling Model'!D$2:D$38^A3938)</f>
        <v>36.38882181</v>
      </c>
      <c r="C3938" s="8">
        <f t="array" ref="C3938">PRODUCT(1-'Sparkling Model'!D$2:D$38^A3938)</f>
        <v>0.5215132346</v>
      </c>
    </row>
    <row r="3939">
      <c r="A3939" s="6">
        <v>3937.0</v>
      </c>
      <c r="B3939" s="17">
        <f t="array" ref="B3939">SUM(1-'Sparkling Model'!D$2:D$38^A3939)</f>
        <v>36.38919634</v>
      </c>
      <c r="C3939" s="8">
        <f t="array" ref="C3939">PRODUCT(1-'Sparkling Model'!D$2:D$38^A3939)</f>
        <v>0.5217308491</v>
      </c>
    </row>
    <row r="3940">
      <c r="A3940" s="6">
        <v>3938.0</v>
      </c>
      <c r="B3940" s="17">
        <f t="array" ref="B3940">SUM(1-'Sparkling Model'!D$2:D$38^A3940)</f>
        <v>36.38957059</v>
      </c>
      <c r="C3940" s="8">
        <f t="array" ref="C3940">PRODUCT(1-'Sparkling Model'!D$2:D$38^A3940)</f>
        <v>0.5219483863</v>
      </c>
    </row>
    <row r="3941">
      <c r="A3941" s="6">
        <v>3939.0</v>
      </c>
      <c r="B3941" s="17">
        <f t="array" ref="B3941">SUM(1-'Sparkling Model'!D$2:D$38^A3941)</f>
        <v>36.38994457</v>
      </c>
      <c r="C3941" s="8">
        <f t="array" ref="C3941">PRODUCT(1-'Sparkling Model'!D$2:D$38^A3941)</f>
        <v>0.5221658461</v>
      </c>
    </row>
    <row r="3942">
      <c r="A3942" s="6">
        <v>3940.0</v>
      </c>
      <c r="B3942" s="17">
        <f t="array" ref="B3942">SUM(1-'Sparkling Model'!D$2:D$38^A3942)</f>
        <v>36.39031828</v>
      </c>
      <c r="C3942" s="8">
        <f t="array" ref="C3942">PRODUCT(1-'Sparkling Model'!D$2:D$38^A3942)</f>
        <v>0.5223832286</v>
      </c>
    </row>
    <row r="3943">
      <c r="A3943" s="6">
        <v>3941.0</v>
      </c>
      <c r="B3943" s="17">
        <f t="array" ref="B3943">SUM(1-'Sparkling Model'!D$2:D$38^A3943)</f>
        <v>36.39069171</v>
      </c>
      <c r="C3943" s="8">
        <f t="array" ref="C3943">PRODUCT(1-'Sparkling Model'!D$2:D$38^A3943)</f>
        <v>0.5226005336</v>
      </c>
    </row>
    <row r="3944">
      <c r="A3944" s="6">
        <v>3942.0</v>
      </c>
      <c r="B3944" s="17">
        <f t="array" ref="B3944">SUM(1-'Sparkling Model'!D$2:D$38^A3944)</f>
        <v>36.39106487</v>
      </c>
      <c r="C3944" s="8">
        <f t="array" ref="C3944">PRODUCT(1-'Sparkling Model'!D$2:D$38^A3944)</f>
        <v>0.5228177613</v>
      </c>
    </row>
    <row r="3945">
      <c r="A3945" s="6">
        <v>3943.0</v>
      </c>
      <c r="B3945" s="17">
        <f t="array" ref="B3945">SUM(1-'Sparkling Model'!D$2:D$38^A3945)</f>
        <v>36.39143776</v>
      </c>
      <c r="C3945" s="8">
        <f t="array" ref="C3945">PRODUCT(1-'Sparkling Model'!D$2:D$38^A3945)</f>
        <v>0.5230349115</v>
      </c>
    </row>
    <row r="3946">
      <c r="A3946" s="6">
        <v>3944.0</v>
      </c>
      <c r="B3946" s="17">
        <f t="array" ref="B3946">SUM(1-'Sparkling Model'!D$2:D$38^A3946)</f>
        <v>36.39181037</v>
      </c>
      <c r="C3946" s="8">
        <f t="array" ref="C3946">PRODUCT(1-'Sparkling Model'!D$2:D$38^A3946)</f>
        <v>0.5232519844</v>
      </c>
    </row>
    <row r="3947">
      <c r="A3947" s="6">
        <v>3945.0</v>
      </c>
      <c r="B3947" s="17">
        <f t="array" ref="B3947">SUM(1-'Sparkling Model'!D$2:D$38^A3947)</f>
        <v>36.39218271</v>
      </c>
      <c r="C3947" s="8">
        <f t="array" ref="C3947">PRODUCT(1-'Sparkling Model'!D$2:D$38^A3947)</f>
        <v>0.5234689798</v>
      </c>
    </row>
    <row r="3948">
      <c r="A3948" s="6">
        <v>3946.0</v>
      </c>
      <c r="B3948" s="17">
        <f t="array" ref="B3948">SUM(1-'Sparkling Model'!D$2:D$38^A3948)</f>
        <v>36.39255478</v>
      </c>
      <c r="C3948" s="8">
        <f t="array" ref="C3948">PRODUCT(1-'Sparkling Model'!D$2:D$38^A3948)</f>
        <v>0.5236858978</v>
      </c>
    </row>
    <row r="3949">
      <c r="A3949" s="6">
        <v>3947.0</v>
      </c>
      <c r="B3949" s="17">
        <f t="array" ref="B3949">SUM(1-'Sparkling Model'!D$2:D$38^A3949)</f>
        <v>36.39292658</v>
      </c>
      <c r="C3949" s="8">
        <f t="array" ref="C3949">PRODUCT(1-'Sparkling Model'!D$2:D$38^A3949)</f>
        <v>0.5239027384</v>
      </c>
    </row>
    <row r="3950">
      <c r="A3950" s="6">
        <v>3948.0</v>
      </c>
      <c r="B3950" s="17">
        <f t="array" ref="B3950">SUM(1-'Sparkling Model'!D$2:D$38^A3950)</f>
        <v>36.3932981</v>
      </c>
      <c r="C3950" s="8">
        <f t="array" ref="C3950">PRODUCT(1-'Sparkling Model'!D$2:D$38^A3950)</f>
        <v>0.5241195015</v>
      </c>
    </row>
    <row r="3951">
      <c r="A3951" s="6">
        <v>3949.0</v>
      </c>
      <c r="B3951" s="17">
        <f t="array" ref="B3951">SUM(1-'Sparkling Model'!D$2:D$38^A3951)</f>
        <v>36.39366935</v>
      </c>
      <c r="C3951" s="8">
        <f t="array" ref="C3951">PRODUCT(1-'Sparkling Model'!D$2:D$38^A3951)</f>
        <v>0.5243361872</v>
      </c>
    </row>
    <row r="3952">
      <c r="A3952" s="6">
        <v>3950.0</v>
      </c>
      <c r="B3952" s="17">
        <f t="array" ref="B3952">SUM(1-'Sparkling Model'!D$2:D$38^A3952)</f>
        <v>36.39404033</v>
      </c>
      <c r="C3952" s="8">
        <f t="array" ref="C3952">PRODUCT(1-'Sparkling Model'!D$2:D$38^A3952)</f>
        <v>0.5245527954</v>
      </c>
    </row>
    <row r="3953">
      <c r="A3953" s="6">
        <v>3951.0</v>
      </c>
      <c r="B3953" s="17">
        <f t="array" ref="B3953">SUM(1-'Sparkling Model'!D$2:D$38^A3953)</f>
        <v>36.39441104</v>
      </c>
      <c r="C3953" s="8">
        <f t="array" ref="C3953">PRODUCT(1-'Sparkling Model'!D$2:D$38^A3953)</f>
        <v>0.5247693262</v>
      </c>
    </row>
    <row r="3954">
      <c r="A3954" s="6">
        <v>3952.0</v>
      </c>
      <c r="B3954" s="17">
        <f t="array" ref="B3954">SUM(1-'Sparkling Model'!D$2:D$38^A3954)</f>
        <v>36.39478148</v>
      </c>
      <c r="C3954" s="8">
        <f t="array" ref="C3954">PRODUCT(1-'Sparkling Model'!D$2:D$38^A3954)</f>
        <v>0.5249857794</v>
      </c>
    </row>
    <row r="3955">
      <c r="A3955" s="6">
        <v>3953.0</v>
      </c>
      <c r="B3955" s="17">
        <f t="array" ref="B3955">SUM(1-'Sparkling Model'!D$2:D$38^A3955)</f>
        <v>36.39515165</v>
      </c>
      <c r="C3955" s="8">
        <f t="array" ref="C3955">PRODUCT(1-'Sparkling Model'!D$2:D$38^A3955)</f>
        <v>0.5252021552</v>
      </c>
    </row>
    <row r="3956">
      <c r="A3956" s="6">
        <v>3954.0</v>
      </c>
      <c r="B3956" s="17">
        <f t="array" ref="B3956">SUM(1-'Sparkling Model'!D$2:D$38^A3956)</f>
        <v>36.39552155</v>
      </c>
      <c r="C3956" s="8">
        <f t="array" ref="C3956">PRODUCT(1-'Sparkling Model'!D$2:D$38^A3956)</f>
        <v>0.5254184535</v>
      </c>
    </row>
    <row r="3957">
      <c r="A3957" s="6">
        <v>3955.0</v>
      </c>
      <c r="B3957" s="17">
        <f t="array" ref="B3957">SUM(1-'Sparkling Model'!D$2:D$38^A3957)</f>
        <v>36.39589118</v>
      </c>
      <c r="C3957" s="8">
        <f t="array" ref="C3957">PRODUCT(1-'Sparkling Model'!D$2:D$38^A3957)</f>
        <v>0.5256346743</v>
      </c>
    </row>
    <row r="3958">
      <c r="A3958" s="6">
        <v>3956.0</v>
      </c>
      <c r="B3958" s="17">
        <f t="array" ref="B3958">SUM(1-'Sparkling Model'!D$2:D$38^A3958)</f>
        <v>36.39626054</v>
      </c>
      <c r="C3958" s="8">
        <f t="array" ref="C3958">PRODUCT(1-'Sparkling Model'!D$2:D$38^A3958)</f>
        <v>0.5258508176</v>
      </c>
    </row>
    <row r="3959">
      <c r="A3959" s="6">
        <v>3957.0</v>
      </c>
      <c r="B3959" s="17">
        <f t="array" ref="B3959">SUM(1-'Sparkling Model'!D$2:D$38^A3959)</f>
        <v>36.39662962</v>
      </c>
      <c r="C3959" s="8">
        <f t="array" ref="C3959">PRODUCT(1-'Sparkling Model'!D$2:D$38^A3959)</f>
        <v>0.5260668833</v>
      </c>
    </row>
    <row r="3960">
      <c r="A3960" s="6">
        <v>3958.0</v>
      </c>
      <c r="B3960" s="17">
        <f t="array" ref="B3960">SUM(1-'Sparkling Model'!D$2:D$38^A3960)</f>
        <v>36.39699844</v>
      </c>
      <c r="C3960" s="8">
        <f t="array" ref="C3960">PRODUCT(1-'Sparkling Model'!D$2:D$38^A3960)</f>
        <v>0.5262828715</v>
      </c>
    </row>
    <row r="3961">
      <c r="A3961" s="6">
        <v>3959.0</v>
      </c>
      <c r="B3961" s="17">
        <f t="array" ref="B3961">SUM(1-'Sparkling Model'!D$2:D$38^A3961)</f>
        <v>36.39736699</v>
      </c>
      <c r="C3961" s="8">
        <f t="array" ref="C3961">PRODUCT(1-'Sparkling Model'!D$2:D$38^A3961)</f>
        <v>0.5264987822</v>
      </c>
    </row>
    <row r="3962">
      <c r="A3962" s="6">
        <v>3960.0</v>
      </c>
      <c r="B3962" s="17">
        <f t="array" ref="B3962">SUM(1-'Sparkling Model'!D$2:D$38^A3962)</f>
        <v>36.39773527</v>
      </c>
      <c r="C3962" s="8">
        <f t="array" ref="C3962">PRODUCT(1-'Sparkling Model'!D$2:D$38^A3962)</f>
        <v>0.5267146154</v>
      </c>
    </row>
    <row r="3963">
      <c r="A3963" s="6">
        <v>3961.0</v>
      </c>
      <c r="B3963" s="17">
        <f t="array" ref="B3963">SUM(1-'Sparkling Model'!D$2:D$38^A3963)</f>
        <v>36.39810329</v>
      </c>
      <c r="C3963" s="8">
        <f t="array" ref="C3963">PRODUCT(1-'Sparkling Model'!D$2:D$38^A3963)</f>
        <v>0.526930371</v>
      </c>
    </row>
    <row r="3964">
      <c r="A3964" s="6">
        <v>3962.0</v>
      </c>
      <c r="B3964" s="17">
        <f t="array" ref="B3964">SUM(1-'Sparkling Model'!D$2:D$38^A3964)</f>
        <v>36.39847103</v>
      </c>
      <c r="C3964" s="8">
        <f t="array" ref="C3964">PRODUCT(1-'Sparkling Model'!D$2:D$38^A3964)</f>
        <v>0.527146049</v>
      </c>
    </row>
    <row r="3965">
      <c r="A3965" s="6">
        <v>3963.0</v>
      </c>
      <c r="B3965" s="17">
        <f t="array" ref="B3965">SUM(1-'Sparkling Model'!D$2:D$38^A3965)</f>
        <v>36.39883851</v>
      </c>
      <c r="C3965" s="8">
        <f t="array" ref="C3965">PRODUCT(1-'Sparkling Model'!D$2:D$38^A3965)</f>
        <v>0.5273616495</v>
      </c>
    </row>
    <row r="3966">
      <c r="A3966" s="6">
        <v>3964.0</v>
      </c>
      <c r="B3966" s="17">
        <f t="array" ref="B3966">SUM(1-'Sparkling Model'!D$2:D$38^A3966)</f>
        <v>36.39920571</v>
      </c>
      <c r="C3966" s="8">
        <f t="array" ref="C3966">PRODUCT(1-'Sparkling Model'!D$2:D$38^A3966)</f>
        <v>0.5275771724</v>
      </c>
    </row>
    <row r="3967">
      <c r="A3967" s="6">
        <v>3965.0</v>
      </c>
      <c r="B3967" s="17">
        <f t="array" ref="B3967">SUM(1-'Sparkling Model'!D$2:D$38^A3967)</f>
        <v>36.39957265</v>
      </c>
      <c r="C3967" s="8">
        <f t="array" ref="C3967">PRODUCT(1-'Sparkling Model'!D$2:D$38^A3967)</f>
        <v>0.5277926177</v>
      </c>
    </row>
    <row r="3968">
      <c r="A3968" s="6">
        <v>3966.0</v>
      </c>
      <c r="B3968" s="17">
        <f t="array" ref="B3968">SUM(1-'Sparkling Model'!D$2:D$38^A3968)</f>
        <v>36.39993933</v>
      </c>
      <c r="C3968" s="8">
        <f t="array" ref="C3968">PRODUCT(1-'Sparkling Model'!D$2:D$38^A3968)</f>
        <v>0.5280079854</v>
      </c>
    </row>
    <row r="3969">
      <c r="A3969" s="6">
        <v>3967.0</v>
      </c>
      <c r="B3969" s="17">
        <f t="array" ref="B3969">SUM(1-'Sparkling Model'!D$2:D$38^A3969)</f>
        <v>36.40030573</v>
      </c>
      <c r="C3969" s="8">
        <f t="array" ref="C3969">PRODUCT(1-'Sparkling Model'!D$2:D$38^A3969)</f>
        <v>0.5282232755</v>
      </c>
    </row>
    <row r="3970">
      <c r="A3970" s="6">
        <v>3968.0</v>
      </c>
      <c r="B3970" s="17">
        <f t="array" ref="B3970">SUM(1-'Sparkling Model'!D$2:D$38^A3970)</f>
        <v>36.40067187</v>
      </c>
      <c r="C3970" s="8">
        <f t="array" ref="C3970">PRODUCT(1-'Sparkling Model'!D$2:D$38^A3970)</f>
        <v>0.528438488</v>
      </c>
    </row>
    <row r="3971">
      <c r="A3971" s="6">
        <v>3969.0</v>
      </c>
      <c r="B3971" s="17">
        <f t="array" ref="B3971">SUM(1-'Sparkling Model'!D$2:D$38^A3971)</f>
        <v>36.40103774</v>
      </c>
      <c r="C3971" s="8">
        <f t="array" ref="C3971">PRODUCT(1-'Sparkling Model'!D$2:D$38^A3971)</f>
        <v>0.528653623</v>
      </c>
    </row>
    <row r="3972">
      <c r="A3972" s="6">
        <v>3970.0</v>
      </c>
      <c r="B3972" s="17">
        <f t="array" ref="B3972">SUM(1-'Sparkling Model'!D$2:D$38^A3972)</f>
        <v>36.40140335</v>
      </c>
      <c r="C3972" s="8">
        <f t="array" ref="C3972">PRODUCT(1-'Sparkling Model'!D$2:D$38^A3972)</f>
        <v>0.5288686803</v>
      </c>
    </row>
    <row r="3973">
      <c r="A3973" s="6">
        <v>3971.0</v>
      </c>
      <c r="B3973" s="17">
        <f t="array" ref="B3973">SUM(1-'Sparkling Model'!D$2:D$38^A3973)</f>
        <v>36.40176869</v>
      </c>
      <c r="C3973" s="8">
        <f t="array" ref="C3973">PRODUCT(1-'Sparkling Model'!D$2:D$38^A3973)</f>
        <v>0.5290836599</v>
      </c>
    </row>
    <row r="3974">
      <c r="A3974" s="6">
        <v>3972.0</v>
      </c>
      <c r="B3974" s="17">
        <f t="array" ref="B3974">SUM(1-'Sparkling Model'!D$2:D$38^A3974)</f>
        <v>36.40213376</v>
      </c>
      <c r="C3974" s="8">
        <f t="array" ref="C3974">PRODUCT(1-'Sparkling Model'!D$2:D$38^A3974)</f>
        <v>0.529298562</v>
      </c>
    </row>
    <row r="3975">
      <c r="A3975" s="6">
        <v>3973.0</v>
      </c>
      <c r="B3975" s="17">
        <f t="array" ref="B3975">SUM(1-'Sparkling Model'!D$2:D$38^A3975)</f>
        <v>36.40249857</v>
      </c>
      <c r="C3975" s="8">
        <f t="array" ref="C3975">PRODUCT(1-'Sparkling Model'!D$2:D$38^A3975)</f>
        <v>0.5295133864</v>
      </c>
    </row>
    <row r="3976">
      <c r="A3976" s="6">
        <v>3974.0</v>
      </c>
      <c r="B3976" s="17">
        <f t="array" ref="B3976">SUM(1-'Sparkling Model'!D$2:D$38^A3976)</f>
        <v>36.40286311</v>
      </c>
      <c r="C3976" s="8">
        <f t="array" ref="C3976">PRODUCT(1-'Sparkling Model'!D$2:D$38^A3976)</f>
        <v>0.5297281331</v>
      </c>
    </row>
    <row r="3977">
      <c r="A3977" s="6">
        <v>3975.0</v>
      </c>
      <c r="B3977" s="17">
        <f t="array" ref="B3977">SUM(1-'Sparkling Model'!D$2:D$38^A3977)</f>
        <v>36.40322739</v>
      </c>
      <c r="C3977" s="8">
        <f t="array" ref="C3977">PRODUCT(1-'Sparkling Model'!D$2:D$38^A3977)</f>
        <v>0.5299428023</v>
      </c>
    </row>
    <row r="3978">
      <c r="A3978" s="6">
        <v>3976.0</v>
      </c>
      <c r="B3978" s="17">
        <f t="array" ref="B3978">SUM(1-'Sparkling Model'!D$2:D$38^A3978)</f>
        <v>36.4035914</v>
      </c>
      <c r="C3978" s="8">
        <f t="array" ref="C3978">PRODUCT(1-'Sparkling Model'!D$2:D$38^A3978)</f>
        <v>0.5301573937</v>
      </c>
    </row>
    <row r="3979">
      <c r="A3979" s="6">
        <v>3977.0</v>
      </c>
      <c r="B3979" s="17">
        <f t="array" ref="B3979">SUM(1-'Sparkling Model'!D$2:D$38^A3979)</f>
        <v>36.40395515</v>
      </c>
      <c r="C3979" s="8">
        <f t="array" ref="C3979">PRODUCT(1-'Sparkling Model'!D$2:D$38^A3979)</f>
        <v>0.5303719075</v>
      </c>
    </row>
    <row r="3980">
      <c r="A3980" s="6">
        <v>3978.0</v>
      </c>
      <c r="B3980" s="17">
        <f t="array" ref="B3980">SUM(1-'Sparkling Model'!D$2:D$38^A3980)</f>
        <v>36.40431864</v>
      </c>
      <c r="C3980" s="8">
        <f t="array" ref="C3980">PRODUCT(1-'Sparkling Model'!D$2:D$38^A3980)</f>
        <v>0.5305863436</v>
      </c>
    </row>
    <row r="3981">
      <c r="A3981" s="6">
        <v>3979.0</v>
      </c>
      <c r="B3981" s="17">
        <f t="array" ref="B3981">SUM(1-'Sparkling Model'!D$2:D$38^A3981)</f>
        <v>36.40468186</v>
      </c>
      <c r="C3981" s="8">
        <f t="array" ref="C3981">PRODUCT(1-'Sparkling Model'!D$2:D$38^A3981)</f>
        <v>0.530800702</v>
      </c>
    </row>
    <row r="3982">
      <c r="A3982" s="6">
        <v>3980.0</v>
      </c>
      <c r="B3982" s="17">
        <f t="array" ref="B3982">SUM(1-'Sparkling Model'!D$2:D$38^A3982)</f>
        <v>36.40504481</v>
      </c>
      <c r="C3982" s="8">
        <f t="array" ref="C3982">PRODUCT(1-'Sparkling Model'!D$2:D$38^A3982)</f>
        <v>0.5310149828</v>
      </c>
    </row>
    <row r="3983">
      <c r="A3983" s="6">
        <v>3981.0</v>
      </c>
      <c r="B3983" s="17">
        <f t="array" ref="B3983">SUM(1-'Sparkling Model'!D$2:D$38^A3983)</f>
        <v>36.4054075</v>
      </c>
      <c r="C3983" s="8">
        <f t="array" ref="C3983">PRODUCT(1-'Sparkling Model'!D$2:D$38^A3983)</f>
        <v>0.5312291859</v>
      </c>
    </row>
    <row r="3984">
      <c r="A3984" s="6">
        <v>3982.0</v>
      </c>
      <c r="B3984" s="17">
        <f t="array" ref="B3984">SUM(1-'Sparkling Model'!D$2:D$38^A3984)</f>
        <v>36.40576993</v>
      </c>
      <c r="C3984" s="8">
        <f t="array" ref="C3984">PRODUCT(1-'Sparkling Model'!D$2:D$38^A3984)</f>
        <v>0.5314433112</v>
      </c>
    </row>
    <row r="3985">
      <c r="A3985" s="6">
        <v>3983.0</v>
      </c>
      <c r="B3985" s="17">
        <f t="array" ref="B3985">SUM(1-'Sparkling Model'!D$2:D$38^A3985)</f>
        <v>36.4061321</v>
      </c>
      <c r="C3985" s="8">
        <f t="array" ref="C3985">PRODUCT(1-'Sparkling Model'!D$2:D$38^A3985)</f>
        <v>0.5316573589</v>
      </c>
    </row>
    <row r="3986">
      <c r="A3986" s="6">
        <v>3984.0</v>
      </c>
      <c r="B3986" s="17">
        <f t="array" ref="B3986">SUM(1-'Sparkling Model'!D$2:D$38^A3986)</f>
        <v>36.406494</v>
      </c>
      <c r="C3986" s="8">
        <f t="array" ref="C3986">PRODUCT(1-'Sparkling Model'!D$2:D$38^A3986)</f>
        <v>0.5318713289</v>
      </c>
    </row>
    <row r="3987">
      <c r="A3987" s="6">
        <v>3985.0</v>
      </c>
      <c r="B3987" s="17">
        <f t="array" ref="B3987">SUM(1-'Sparkling Model'!D$2:D$38^A3987)</f>
        <v>36.40685564</v>
      </c>
      <c r="C3987" s="8">
        <f t="array" ref="C3987">PRODUCT(1-'Sparkling Model'!D$2:D$38^A3987)</f>
        <v>0.5320852211</v>
      </c>
    </row>
    <row r="3988">
      <c r="A3988" s="6">
        <v>3986.0</v>
      </c>
      <c r="B3988" s="17">
        <f t="array" ref="B3988">SUM(1-'Sparkling Model'!D$2:D$38^A3988)</f>
        <v>36.40721701</v>
      </c>
      <c r="C3988" s="8">
        <f t="array" ref="C3988">PRODUCT(1-'Sparkling Model'!D$2:D$38^A3988)</f>
        <v>0.5322990356</v>
      </c>
    </row>
    <row r="3989">
      <c r="A3989" s="6">
        <v>3987.0</v>
      </c>
      <c r="B3989" s="17">
        <f t="array" ref="B3989">SUM(1-'Sparkling Model'!D$2:D$38^A3989)</f>
        <v>36.40757813</v>
      </c>
      <c r="C3989" s="8">
        <f t="array" ref="C3989">PRODUCT(1-'Sparkling Model'!D$2:D$38^A3989)</f>
        <v>0.5325127724</v>
      </c>
    </row>
    <row r="3990">
      <c r="A3990" s="6">
        <v>3988.0</v>
      </c>
      <c r="B3990" s="17">
        <f t="array" ref="B3990">SUM(1-'Sparkling Model'!D$2:D$38^A3990)</f>
        <v>36.40793898</v>
      </c>
      <c r="C3990" s="8">
        <f t="array" ref="C3990">PRODUCT(1-'Sparkling Model'!D$2:D$38^A3990)</f>
        <v>0.5327264315</v>
      </c>
    </row>
    <row r="3991">
      <c r="A3991" s="6">
        <v>3989.0</v>
      </c>
      <c r="B3991" s="17">
        <f t="array" ref="B3991">SUM(1-'Sparkling Model'!D$2:D$38^A3991)</f>
        <v>36.40829957</v>
      </c>
      <c r="C3991" s="8">
        <f t="array" ref="C3991">PRODUCT(1-'Sparkling Model'!D$2:D$38^A3991)</f>
        <v>0.5329400128</v>
      </c>
    </row>
    <row r="3992">
      <c r="A3992" s="6">
        <v>3990.0</v>
      </c>
      <c r="B3992" s="17">
        <f t="array" ref="B3992">SUM(1-'Sparkling Model'!D$2:D$38^A3992)</f>
        <v>36.4086599</v>
      </c>
      <c r="C3992" s="8">
        <f t="array" ref="C3992">PRODUCT(1-'Sparkling Model'!D$2:D$38^A3992)</f>
        <v>0.5331535164</v>
      </c>
    </row>
    <row r="3993">
      <c r="A3993" s="6">
        <v>3991.0</v>
      </c>
      <c r="B3993" s="17">
        <f t="array" ref="B3993">SUM(1-'Sparkling Model'!D$2:D$38^A3993)</f>
        <v>36.40901997</v>
      </c>
      <c r="C3993" s="8">
        <f t="array" ref="C3993">PRODUCT(1-'Sparkling Model'!D$2:D$38^A3993)</f>
        <v>0.5333669422</v>
      </c>
    </row>
    <row r="3994">
      <c r="A3994" s="6">
        <v>3992.0</v>
      </c>
      <c r="B3994" s="17">
        <f t="array" ref="B3994">SUM(1-'Sparkling Model'!D$2:D$38^A3994)</f>
        <v>36.40937977</v>
      </c>
      <c r="C3994" s="8">
        <f t="array" ref="C3994">PRODUCT(1-'Sparkling Model'!D$2:D$38^A3994)</f>
        <v>0.5335802903</v>
      </c>
    </row>
    <row r="3995">
      <c r="A3995" s="6">
        <v>3993.0</v>
      </c>
      <c r="B3995" s="17">
        <f t="array" ref="B3995">SUM(1-'Sparkling Model'!D$2:D$38^A3995)</f>
        <v>36.40973932</v>
      </c>
      <c r="C3995" s="8">
        <f t="array" ref="C3995">PRODUCT(1-'Sparkling Model'!D$2:D$38^A3995)</f>
        <v>0.5337935607</v>
      </c>
    </row>
    <row r="3996">
      <c r="A3996" s="6">
        <v>3994.0</v>
      </c>
      <c r="B3996" s="17">
        <f t="array" ref="B3996">SUM(1-'Sparkling Model'!D$2:D$38^A3996)</f>
        <v>36.4100986</v>
      </c>
      <c r="C3996" s="8">
        <f t="array" ref="C3996">PRODUCT(1-'Sparkling Model'!D$2:D$38^A3996)</f>
        <v>0.5340067532</v>
      </c>
    </row>
    <row r="3997">
      <c r="A3997" s="6">
        <v>3995.0</v>
      </c>
      <c r="B3997" s="17">
        <f t="array" ref="B3997">SUM(1-'Sparkling Model'!D$2:D$38^A3997)</f>
        <v>36.41045763</v>
      </c>
      <c r="C3997" s="8">
        <f t="array" ref="C3997">PRODUCT(1-'Sparkling Model'!D$2:D$38^A3997)</f>
        <v>0.534219868</v>
      </c>
    </row>
    <row r="3998">
      <c r="A3998" s="6">
        <v>3996.0</v>
      </c>
      <c r="B3998" s="17">
        <f t="array" ref="B3998">SUM(1-'Sparkling Model'!D$2:D$38^A3998)</f>
        <v>36.41081639</v>
      </c>
      <c r="C3998" s="8">
        <f t="array" ref="C3998">PRODUCT(1-'Sparkling Model'!D$2:D$38^A3998)</f>
        <v>0.534432905</v>
      </c>
    </row>
    <row r="3999">
      <c r="A3999" s="6">
        <v>3997.0</v>
      </c>
      <c r="B3999" s="17">
        <f t="array" ref="B3999">SUM(1-'Sparkling Model'!D$2:D$38^A3999)</f>
        <v>36.4111749</v>
      </c>
      <c r="C3999" s="8">
        <f t="array" ref="C3999">PRODUCT(1-'Sparkling Model'!D$2:D$38^A3999)</f>
        <v>0.5346458643</v>
      </c>
    </row>
    <row r="4000">
      <c r="A4000" s="6">
        <v>3998.0</v>
      </c>
      <c r="B4000" s="17">
        <f t="array" ref="B4000">SUM(1-'Sparkling Model'!D$2:D$38^A4000)</f>
        <v>36.41153314</v>
      </c>
      <c r="C4000" s="8">
        <f t="array" ref="C4000">PRODUCT(1-'Sparkling Model'!D$2:D$38^A4000)</f>
        <v>0.5348587457</v>
      </c>
    </row>
    <row r="4001">
      <c r="A4001" s="6">
        <v>3999.0</v>
      </c>
      <c r="B4001" s="17">
        <f t="array" ref="B4001">SUM(1-'Sparkling Model'!D$2:D$38^A4001)</f>
        <v>36.41189113</v>
      </c>
      <c r="C4001" s="8">
        <f t="array" ref="C4001">PRODUCT(1-'Sparkling Model'!D$2:D$38^A4001)</f>
        <v>0.5350715494</v>
      </c>
    </row>
    <row r="4002">
      <c r="A4002" s="6">
        <v>4000.0</v>
      </c>
      <c r="B4002" s="17">
        <f t="array" ref="B4002">SUM(1-'Sparkling Model'!D$2:D$38^A4002)</f>
        <v>36.41224886</v>
      </c>
      <c r="C4002" s="8">
        <f t="array" ref="C4002">PRODUCT(1-'Sparkling Model'!D$2:D$38^A4002)</f>
        <v>0.5352842752</v>
      </c>
    </row>
    <row r="4003">
      <c r="A4003" s="6">
        <v>4001.0</v>
      </c>
      <c r="B4003" s="17">
        <f t="array" ref="B4003">SUM(1-'Sparkling Model'!D$2:D$38^A4003)</f>
        <v>36.41260632</v>
      </c>
      <c r="C4003" s="8">
        <f t="array" ref="C4003">PRODUCT(1-'Sparkling Model'!D$2:D$38^A4003)</f>
        <v>0.5354969233</v>
      </c>
    </row>
    <row r="4004">
      <c r="A4004" s="6">
        <v>4002.0</v>
      </c>
      <c r="B4004" s="17">
        <f t="array" ref="B4004">SUM(1-'Sparkling Model'!D$2:D$38^A4004)</f>
        <v>36.41296353</v>
      </c>
      <c r="C4004" s="8">
        <f t="array" ref="C4004">PRODUCT(1-'Sparkling Model'!D$2:D$38^A4004)</f>
        <v>0.5357094936</v>
      </c>
    </row>
    <row r="4005">
      <c r="A4005" s="6">
        <v>4003.0</v>
      </c>
      <c r="B4005" s="17">
        <f t="array" ref="B4005">SUM(1-'Sparkling Model'!D$2:D$38^A4005)</f>
        <v>36.41332048</v>
      </c>
      <c r="C4005" s="8">
        <f t="array" ref="C4005">PRODUCT(1-'Sparkling Model'!D$2:D$38^A4005)</f>
        <v>0.535921986</v>
      </c>
    </row>
    <row r="4006">
      <c r="A4006" s="6">
        <v>4004.0</v>
      </c>
      <c r="B4006" s="17">
        <f t="array" ref="B4006">SUM(1-'Sparkling Model'!D$2:D$38^A4006)</f>
        <v>36.41367718</v>
      </c>
      <c r="C4006" s="8">
        <f t="array" ref="C4006">PRODUCT(1-'Sparkling Model'!D$2:D$38^A4006)</f>
        <v>0.5361344007</v>
      </c>
    </row>
    <row r="4007">
      <c r="A4007" s="6">
        <v>4005.0</v>
      </c>
      <c r="B4007" s="17">
        <f t="array" ref="B4007">SUM(1-'Sparkling Model'!D$2:D$38^A4007)</f>
        <v>36.41403361</v>
      </c>
      <c r="C4007" s="8">
        <f t="array" ref="C4007">PRODUCT(1-'Sparkling Model'!D$2:D$38^A4007)</f>
        <v>0.5363467375</v>
      </c>
    </row>
    <row r="4008">
      <c r="A4008" s="6">
        <v>4006.0</v>
      </c>
      <c r="B4008" s="17">
        <f t="array" ref="B4008">SUM(1-'Sparkling Model'!D$2:D$38^A4008)</f>
        <v>36.41438979</v>
      </c>
      <c r="C4008" s="8">
        <f t="array" ref="C4008">PRODUCT(1-'Sparkling Model'!D$2:D$38^A4008)</f>
        <v>0.5365589965</v>
      </c>
    </row>
    <row r="4009">
      <c r="A4009" s="6">
        <v>4007.0</v>
      </c>
      <c r="B4009" s="17">
        <f t="array" ref="B4009">SUM(1-'Sparkling Model'!D$2:D$38^A4009)</f>
        <v>36.41474571</v>
      </c>
      <c r="C4009" s="8">
        <f t="array" ref="C4009">PRODUCT(1-'Sparkling Model'!D$2:D$38^A4009)</f>
        <v>0.5367711776</v>
      </c>
    </row>
    <row r="4010">
      <c r="A4010" s="6">
        <v>4008.0</v>
      </c>
      <c r="B4010" s="17">
        <f t="array" ref="B4010">SUM(1-'Sparkling Model'!D$2:D$38^A4010)</f>
        <v>36.41510137</v>
      </c>
      <c r="C4010" s="8">
        <f t="array" ref="C4010">PRODUCT(1-'Sparkling Model'!D$2:D$38^A4010)</f>
        <v>0.536983281</v>
      </c>
    </row>
    <row r="4011">
      <c r="A4011" s="6">
        <v>4009.0</v>
      </c>
      <c r="B4011" s="17">
        <f t="array" ref="B4011">SUM(1-'Sparkling Model'!D$2:D$38^A4011)</f>
        <v>36.41545677</v>
      </c>
      <c r="C4011" s="8">
        <f t="array" ref="C4011">PRODUCT(1-'Sparkling Model'!D$2:D$38^A4011)</f>
        <v>0.5371953065</v>
      </c>
    </row>
    <row r="4012">
      <c r="A4012" s="6">
        <v>4010.0</v>
      </c>
      <c r="B4012" s="17">
        <f t="array" ref="B4012">SUM(1-'Sparkling Model'!D$2:D$38^A4012)</f>
        <v>36.41581192</v>
      </c>
      <c r="C4012" s="8">
        <f t="array" ref="C4012">PRODUCT(1-'Sparkling Model'!D$2:D$38^A4012)</f>
        <v>0.5374072542</v>
      </c>
    </row>
    <row r="4013">
      <c r="A4013" s="6">
        <v>4011.0</v>
      </c>
      <c r="B4013" s="17">
        <f t="array" ref="B4013">SUM(1-'Sparkling Model'!D$2:D$38^A4013)</f>
        <v>36.41616681</v>
      </c>
      <c r="C4013" s="8">
        <f t="array" ref="C4013">PRODUCT(1-'Sparkling Model'!D$2:D$38^A4013)</f>
        <v>0.537619124</v>
      </c>
    </row>
    <row r="4014">
      <c r="A4014" s="6">
        <v>4012.0</v>
      </c>
      <c r="B4014" s="17">
        <f t="array" ref="B4014">SUM(1-'Sparkling Model'!D$2:D$38^A4014)</f>
        <v>36.41652145</v>
      </c>
      <c r="C4014" s="8">
        <f t="array" ref="C4014">PRODUCT(1-'Sparkling Model'!D$2:D$38^A4014)</f>
        <v>0.537830916</v>
      </c>
    </row>
    <row r="4015">
      <c r="A4015" s="6">
        <v>4013.0</v>
      </c>
      <c r="B4015" s="17">
        <f t="array" ref="B4015">SUM(1-'Sparkling Model'!D$2:D$38^A4015)</f>
        <v>36.41687583</v>
      </c>
      <c r="C4015" s="8">
        <f t="array" ref="C4015">PRODUCT(1-'Sparkling Model'!D$2:D$38^A4015)</f>
        <v>0.5380426301</v>
      </c>
    </row>
    <row r="4016">
      <c r="A4016" s="6">
        <v>4014.0</v>
      </c>
      <c r="B4016" s="17">
        <f t="array" ref="B4016">SUM(1-'Sparkling Model'!D$2:D$38^A4016)</f>
        <v>36.41722995</v>
      </c>
      <c r="C4016" s="8">
        <f t="array" ref="C4016">PRODUCT(1-'Sparkling Model'!D$2:D$38^A4016)</f>
        <v>0.5382542663</v>
      </c>
    </row>
    <row r="4017">
      <c r="A4017" s="6">
        <v>4015.0</v>
      </c>
      <c r="B4017" s="17">
        <f t="array" ref="B4017">SUM(1-'Sparkling Model'!D$2:D$38^A4017)</f>
        <v>36.41758382</v>
      </c>
      <c r="C4017" s="8">
        <f t="array" ref="C4017">PRODUCT(1-'Sparkling Model'!D$2:D$38^A4017)</f>
        <v>0.5384658247</v>
      </c>
    </row>
    <row r="4018">
      <c r="A4018" s="6">
        <v>4016.0</v>
      </c>
      <c r="B4018" s="17">
        <f t="array" ref="B4018">SUM(1-'Sparkling Model'!D$2:D$38^A4018)</f>
        <v>36.41793743</v>
      </c>
      <c r="C4018" s="8">
        <f t="array" ref="C4018">PRODUCT(1-'Sparkling Model'!D$2:D$38^A4018)</f>
        <v>0.5386773053</v>
      </c>
    </row>
    <row r="4019">
      <c r="A4019" s="6">
        <v>4017.0</v>
      </c>
      <c r="B4019" s="17">
        <f t="array" ref="B4019">SUM(1-'Sparkling Model'!D$2:D$38^A4019)</f>
        <v>36.41829079</v>
      </c>
      <c r="C4019" s="8">
        <f t="array" ref="C4019">PRODUCT(1-'Sparkling Model'!D$2:D$38^A4019)</f>
        <v>0.538888708</v>
      </c>
    </row>
    <row r="4020">
      <c r="A4020" s="6">
        <v>4018.0</v>
      </c>
      <c r="B4020" s="17">
        <f t="array" ref="B4020">SUM(1-'Sparkling Model'!D$2:D$38^A4020)</f>
        <v>36.41864389</v>
      </c>
      <c r="C4020" s="8">
        <f t="array" ref="C4020">PRODUCT(1-'Sparkling Model'!D$2:D$38^A4020)</f>
        <v>0.5391000328</v>
      </c>
    </row>
    <row r="4021">
      <c r="A4021" s="6">
        <v>4019.0</v>
      </c>
      <c r="B4021" s="17">
        <f t="array" ref="B4021">SUM(1-'Sparkling Model'!D$2:D$38^A4021)</f>
        <v>36.41899674</v>
      </c>
      <c r="C4021" s="8">
        <f t="array" ref="C4021">PRODUCT(1-'Sparkling Model'!D$2:D$38^A4021)</f>
        <v>0.5393112797</v>
      </c>
    </row>
    <row r="4022">
      <c r="A4022" s="6">
        <v>4020.0</v>
      </c>
      <c r="B4022" s="17">
        <f t="array" ref="B4022">SUM(1-'Sparkling Model'!D$2:D$38^A4022)</f>
        <v>36.41934933</v>
      </c>
      <c r="C4022" s="8">
        <f t="array" ref="C4022">PRODUCT(1-'Sparkling Model'!D$2:D$38^A4022)</f>
        <v>0.5395224488</v>
      </c>
    </row>
    <row r="4023">
      <c r="A4023" s="6">
        <v>4021.0</v>
      </c>
      <c r="B4023" s="17">
        <f t="array" ref="B4023">SUM(1-'Sparkling Model'!D$2:D$38^A4023)</f>
        <v>36.41970167</v>
      </c>
      <c r="C4023" s="8">
        <f t="array" ref="C4023">PRODUCT(1-'Sparkling Model'!D$2:D$38^A4023)</f>
        <v>0.5397335399</v>
      </c>
    </row>
    <row r="4024">
      <c r="A4024" s="6">
        <v>4022.0</v>
      </c>
      <c r="B4024" s="17">
        <f t="array" ref="B4024">SUM(1-'Sparkling Model'!D$2:D$38^A4024)</f>
        <v>36.42005375</v>
      </c>
      <c r="C4024" s="8">
        <f t="array" ref="C4024">PRODUCT(1-'Sparkling Model'!D$2:D$38^A4024)</f>
        <v>0.5399445532</v>
      </c>
    </row>
    <row r="4025">
      <c r="A4025" s="6">
        <v>4023.0</v>
      </c>
      <c r="B4025" s="17">
        <f t="array" ref="B4025">SUM(1-'Sparkling Model'!D$2:D$38^A4025)</f>
        <v>36.42040558</v>
      </c>
      <c r="C4025" s="8">
        <f t="array" ref="C4025">PRODUCT(1-'Sparkling Model'!D$2:D$38^A4025)</f>
        <v>0.5401554886</v>
      </c>
    </row>
    <row r="4026">
      <c r="A4026" s="6">
        <v>4024.0</v>
      </c>
      <c r="B4026" s="17">
        <f t="array" ref="B4026">SUM(1-'Sparkling Model'!D$2:D$38^A4026)</f>
        <v>36.42075716</v>
      </c>
      <c r="C4026" s="8">
        <f t="array" ref="C4026">PRODUCT(1-'Sparkling Model'!D$2:D$38^A4026)</f>
        <v>0.5403663461</v>
      </c>
    </row>
    <row r="4027">
      <c r="A4027" s="6">
        <v>4025.0</v>
      </c>
      <c r="B4027" s="17">
        <f t="array" ref="B4027">SUM(1-'Sparkling Model'!D$2:D$38^A4027)</f>
        <v>36.42110848</v>
      </c>
      <c r="C4027" s="8">
        <f t="array" ref="C4027">PRODUCT(1-'Sparkling Model'!D$2:D$38^A4027)</f>
        <v>0.5405771257</v>
      </c>
    </row>
    <row r="4028">
      <c r="A4028" s="6">
        <v>4026.0</v>
      </c>
      <c r="B4028" s="17">
        <f t="array" ref="B4028">SUM(1-'Sparkling Model'!D$2:D$38^A4028)</f>
        <v>36.42145956</v>
      </c>
      <c r="C4028" s="8">
        <f t="array" ref="C4028">PRODUCT(1-'Sparkling Model'!D$2:D$38^A4028)</f>
        <v>0.5407878275</v>
      </c>
    </row>
    <row r="4029">
      <c r="A4029" s="6">
        <v>4027.0</v>
      </c>
      <c r="B4029" s="17">
        <f t="array" ref="B4029">SUM(1-'Sparkling Model'!D$2:D$38^A4029)</f>
        <v>36.42181037</v>
      </c>
      <c r="C4029" s="8">
        <f t="array" ref="C4029">PRODUCT(1-'Sparkling Model'!D$2:D$38^A4029)</f>
        <v>0.5409984513</v>
      </c>
    </row>
    <row r="4030">
      <c r="A4030" s="6">
        <v>4028.0</v>
      </c>
      <c r="B4030" s="17">
        <f t="array" ref="B4030">SUM(1-'Sparkling Model'!D$2:D$38^A4030)</f>
        <v>36.42216094</v>
      </c>
      <c r="C4030" s="8">
        <f t="array" ref="C4030">PRODUCT(1-'Sparkling Model'!D$2:D$38^A4030)</f>
        <v>0.5412089972</v>
      </c>
    </row>
    <row r="4031">
      <c r="A4031" s="6">
        <v>4029.0</v>
      </c>
      <c r="B4031" s="17">
        <f t="array" ref="B4031">SUM(1-'Sparkling Model'!D$2:D$38^A4031)</f>
        <v>36.42251125</v>
      </c>
      <c r="C4031" s="8">
        <f t="array" ref="C4031">PRODUCT(1-'Sparkling Model'!D$2:D$38^A4031)</f>
        <v>0.5414194652</v>
      </c>
    </row>
    <row r="4032">
      <c r="A4032" s="6">
        <v>4030.0</v>
      </c>
      <c r="B4032" s="17">
        <f t="array" ref="B4032">SUM(1-'Sparkling Model'!D$2:D$38^A4032)</f>
        <v>36.42286131</v>
      </c>
      <c r="C4032" s="8">
        <f t="array" ref="C4032">PRODUCT(1-'Sparkling Model'!D$2:D$38^A4032)</f>
        <v>0.5416298553</v>
      </c>
    </row>
    <row r="4033">
      <c r="A4033" s="6">
        <v>4031.0</v>
      </c>
      <c r="B4033" s="17">
        <f t="array" ref="B4033">SUM(1-'Sparkling Model'!D$2:D$38^A4033)</f>
        <v>36.42321112</v>
      </c>
      <c r="C4033" s="8">
        <f t="array" ref="C4033">PRODUCT(1-'Sparkling Model'!D$2:D$38^A4033)</f>
        <v>0.5418401675</v>
      </c>
    </row>
    <row r="4034">
      <c r="A4034" s="6">
        <v>4032.0</v>
      </c>
      <c r="B4034" s="17">
        <f t="array" ref="B4034">SUM(1-'Sparkling Model'!D$2:D$38^A4034)</f>
        <v>36.42356068</v>
      </c>
      <c r="C4034" s="8">
        <f t="array" ref="C4034">PRODUCT(1-'Sparkling Model'!D$2:D$38^A4034)</f>
        <v>0.5420504017</v>
      </c>
    </row>
    <row r="4035">
      <c r="A4035" s="6">
        <v>4033.0</v>
      </c>
      <c r="B4035" s="17">
        <f t="array" ref="B4035">SUM(1-'Sparkling Model'!D$2:D$38^A4035)</f>
        <v>36.42390999</v>
      </c>
      <c r="C4035" s="8">
        <f t="array" ref="C4035">PRODUCT(1-'Sparkling Model'!D$2:D$38^A4035)</f>
        <v>0.5422605581</v>
      </c>
    </row>
    <row r="4036">
      <c r="A4036" s="6">
        <v>4034.0</v>
      </c>
      <c r="B4036" s="17">
        <f t="array" ref="B4036">SUM(1-'Sparkling Model'!D$2:D$38^A4036)</f>
        <v>36.42425904</v>
      </c>
      <c r="C4036" s="8">
        <f t="array" ref="C4036">PRODUCT(1-'Sparkling Model'!D$2:D$38^A4036)</f>
        <v>0.5424706365</v>
      </c>
    </row>
    <row r="4037">
      <c r="A4037" s="6">
        <v>4035.0</v>
      </c>
      <c r="B4037" s="17">
        <f t="array" ref="B4037">SUM(1-'Sparkling Model'!D$2:D$38^A4037)</f>
        <v>36.42460784</v>
      </c>
      <c r="C4037" s="8">
        <f t="array" ref="C4037">PRODUCT(1-'Sparkling Model'!D$2:D$38^A4037)</f>
        <v>0.5426806371</v>
      </c>
    </row>
    <row r="4038">
      <c r="A4038" s="6">
        <v>4036.0</v>
      </c>
      <c r="B4038" s="17">
        <f t="array" ref="B4038">SUM(1-'Sparkling Model'!D$2:D$38^A4038)</f>
        <v>36.4249564</v>
      </c>
      <c r="C4038" s="8">
        <f t="array" ref="C4038">PRODUCT(1-'Sparkling Model'!D$2:D$38^A4038)</f>
        <v>0.5428905596</v>
      </c>
    </row>
    <row r="4039">
      <c r="A4039" s="6">
        <v>4037.0</v>
      </c>
      <c r="B4039" s="17">
        <f t="array" ref="B4039">SUM(1-'Sparkling Model'!D$2:D$38^A4039)</f>
        <v>36.4253047</v>
      </c>
      <c r="C4039" s="8">
        <f t="array" ref="C4039">PRODUCT(1-'Sparkling Model'!D$2:D$38^A4039)</f>
        <v>0.5431004043</v>
      </c>
    </row>
    <row r="4040">
      <c r="A4040" s="6">
        <v>4038.0</v>
      </c>
      <c r="B4040" s="17">
        <f t="array" ref="B4040">SUM(1-'Sparkling Model'!D$2:D$38^A4040)</f>
        <v>36.42565275</v>
      </c>
      <c r="C4040" s="8">
        <f t="array" ref="C4040">PRODUCT(1-'Sparkling Model'!D$2:D$38^A4040)</f>
        <v>0.543310171</v>
      </c>
    </row>
    <row r="4041">
      <c r="A4041" s="6">
        <v>4039.0</v>
      </c>
      <c r="B4041" s="17">
        <f t="array" ref="B4041">SUM(1-'Sparkling Model'!D$2:D$38^A4041)</f>
        <v>36.42600055</v>
      </c>
      <c r="C4041" s="8">
        <f t="array" ref="C4041">PRODUCT(1-'Sparkling Model'!D$2:D$38^A4041)</f>
        <v>0.5435198598</v>
      </c>
    </row>
    <row r="4042">
      <c r="A4042" s="6">
        <v>4040.0</v>
      </c>
      <c r="B4042" s="17">
        <f t="array" ref="B4042">SUM(1-'Sparkling Model'!D$2:D$38^A4042)</f>
        <v>36.4263481</v>
      </c>
      <c r="C4042" s="8">
        <f t="array" ref="C4042">PRODUCT(1-'Sparkling Model'!D$2:D$38^A4042)</f>
        <v>0.5437294707</v>
      </c>
    </row>
    <row r="4043">
      <c r="A4043" s="6">
        <v>4041.0</v>
      </c>
      <c r="B4043" s="17">
        <f t="array" ref="B4043">SUM(1-'Sparkling Model'!D$2:D$38^A4043)</f>
        <v>36.42669541</v>
      </c>
      <c r="C4043" s="8">
        <f t="array" ref="C4043">PRODUCT(1-'Sparkling Model'!D$2:D$38^A4043)</f>
        <v>0.5439390036</v>
      </c>
    </row>
    <row r="4044">
      <c r="A4044" s="6">
        <v>4042.0</v>
      </c>
      <c r="B4044" s="17">
        <f t="array" ref="B4044">SUM(1-'Sparkling Model'!D$2:D$38^A4044)</f>
        <v>36.42704246</v>
      </c>
      <c r="C4044" s="8">
        <f t="array" ref="C4044">PRODUCT(1-'Sparkling Model'!D$2:D$38^A4044)</f>
        <v>0.5441484586</v>
      </c>
    </row>
    <row r="4045">
      <c r="A4045" s="6">
        <v>4043.0</v>
      </c>
      <c r="B4045" s="17">
        <f t="array" ref="B4045">SUM(1-'Sparkling Model'!D$2:D$38^A4045)</f>
        <v>36.42738926</v>
      </c>
      <c r="C4045" s="8">
        <f t="array" ref="C4045">PRODUCT(1-'Sparkling Model'!D$2:D$38^A4045)</f>
        <v>0.5443578357</v>
      </c>
    </row>
    <row r="4046">
      <c r="A4046" s="6">
        <v>4044.0</v>
      </c>
      <c r="B4046" s="17">
        <f t="array" ref="B4046">SUM(1-'Sparkling Model'!D$2:D$38^A4046)</f>
        <v>36.42773582</v>
      </c>
      <c r="C4046" s="8">
        <f t="array" ref="C4046">PRODUCT(1-'Sparkling Model'!D$2:D$38^A4046)</f>
        <v>0.5445671348</v>
      </c>
    </row>
    <row r="4047">
      <c r="A4047" s="6">
        <v>4045.0</v>
      </c>
      <c r="B4047" s="17">
        <f t="array" ref="B4047">SUM(1-'Sparkling Model'!D$2:D$38^A4047)</f>
        <v>36.42808212</v>
      </c>
      <c r="C4047" s="8">
        <f t="array" ref="C4047">PRODUCT(1-'Sparkling Model'!D$2:D$38^A4047)</f>
        <v>0.544776356</v>
      </c>
    </row>
    <row r="4048">
      <c r="A4048" s="6">
        <v>4046.0</v>
      </c>
      <c r="B4048" s="17">
        <f t="array" ref="B4048">SUM(1-'Sparkling Model'!D$2:D$38^A4048)</f>
        <v>36.42842818</v>
      </c>
      <c r="C4048" s="8">
        <f t="array" ref="C4048">PRODUCT(1-'Sparkling Model'!D$2:D$38^A4048)</f>
        <v>0.5449854992</v>
      </c>
    </row>
    <row r="4049">
      <c r="A4049" s="6">
        <v>4047.0</v>
      </c>
      <c r="B4049" s="17">
        <f t="array" ref="B4049">SUM(1-'Sparkling Model'!D$2:D$38^A4049)</f>
        <v>36.42877399</v>
      </c>
      <c r="C4049" s="8">
        <f t="array" ref="C4049">PRODUCT(1-'Sparkling Model'!D$2:D$38^A4049)</f>
        <v>0.5451945645</v>
      </c>
    </row>
    <row r="4050">
      <c r="A4050" s="6">
        <v>4048.0</v>
      </c>
      <c r="B4050" s="17">
        <f t="array" ref="B4050">SUM(1-'Sparkling Model'!D$2:D$38^A4050)</f>
        <v>36.42911955</v>
      </c>
      <c r="C4050" s="8">
        <f t="array" ref="C4050">PRODUCT(1-'Sparkling Model'!D$2:D$38^A4050)</f>
        <v>0.5454035518</v>
      </c>
    </row>
    <row r="4051">
      <c r="A4051" s="6">
        <v>4049.0</v>
      </c>
      <c r="B4051" s="17">
        <f t="array" ref="B4051">SUM(1-'Sparkling Model'!D$2:D$38^A4051)</f>
        <v>36.42946486</v>
      </c>
      <c r="C4051" s="8">
        <f t="array" ref="C4051">PRODUCT(1-'Sparkling Model'!D$2:D$38^A4051)</f>
        <v>0.5456124612</v>
      </c>
    </row>
    <row r="4052">
      <c r="A4052" s="6">
        <v>4050.0</v>
      </c>
      <c r="B4052" s="17">
        <f t="array" ref="B4052">SUM(1-'Sparkling Model'!D$2:D$38^A4052)</f>
        <v>36.42980993</v>
      </c>
      <c r="C4052" s="8">
        <f t="array" ref="C4052">PRODUCT(1-'Sparkling Model'!D$2:D$38^A4052)</f>
        <v>0.5458212926</v>
      </c>
    </row>
    <row r="4053">
      <c r="A4053" s="6">
        <v>4051.0</v>
      </c>
      <c r="B4053" s="17">
        <f t="array" ref="B4053">SUM(1-'Sparkling Model'!D$2:D$38^A4053)</f>
        <v>36.43015475</v>
      </c>
      <c r="C4053" s="8">
        <f t="array" ref="C4053">PRODUCT(1-'Sparkling Model'!D$2:D$38^A4053)</f>
        <v>0.5460300461</v>
      </c>
    </row>
    <row r="4054">
      <c r="A4054" s="6">
        <v>4052.0</v>
      </c>
      <c r="B4054" s="17">
        <f t="array" ref="B4054">SUM(1-'Sparkling Model'!D$2:D$38^A4054)</f>
        <v>36.43049932</v>
      </c>
      <c r="C4054" s="8">
        <f t="array" ref="C4054">PRODUCT(1-'Sparkling Model'!D$2:D$38^A4054)</f>
        <v>0.5462387216</v>
      </c>
    </row>
    <row r="4055">
      <c r="A4055" s="6">
        <v>4053.0</v>
      </c>
      <c r="B4055" s="17">
        <f t="array" ref="B4055">SUM(1-'Sparkling Model'!D$2:D$38^A4055)</f>
        <v>36.43084364</v>
      </c>
      <c r="C4055" s="8">
        <f t="array" ref="C4055">PRODUCT(1-'Sparkling Model'!D$2:D$38^A4055)</f>
        <v>0.5464473192</v>
      </c>
    </row>
    <row r="4056">
      <c r="A4056" s="6">
        <v>4054.0</v>
      </c>
      <c r="B4056" s="17">
        <f t="array" ref="B4056">SUM(1-'Sparkling Model'!D$2:D$38^A4056)</f>
        <v>36.43118772</v>
      </c>
      <c r="C4056" s="8">
        <f t="array" ref="C4056">PRODUCT(1-'Sparkling Model'!D$2:D$38^A4056)</f>
        <v>0.5466558388</v>
      </c>
    </row>
    <row r="4057">
      <c r="A4057" s="6">
        <v>4055.0</v>
      </c>
      <c r="B4057" s="17">
        <f t="array" ref="B4057">SUM(1-'Sparkling Model'!D$2:D$38^A4057)</f>
        <v>36.43153155</v>
      </c>
      <c r="C4057" s="8">
        <f t="array" ref="C4057">PRODUCT(1-'Sparkling Model'!D$2:D$38^A4057)</f>
        <v>0.5468642805</v>
      </c>
    </row>
    <row r="4058">
      <c r="A4058" s="6">
        <v>4056.0</v>
      </c>
      <c r="B4058" s="17">
        <f t="array" ref="B4058">SUM(1-'Sparkling Model'!D$2:D$38^A4058)</f>
        <v>36.43187514</v>
      </c>
      <c r="C4058" s="8">
        <f t="array" ref="C4058">PRODUCT(1-'Sparkling Model'!D$2:D$38^A4058)</f>
        <v>0.5470726442</v>
      </c>
    </row>
    <row r="4059">
      <c r="A4059" s="6">
        <v>4057.0</v>
      </c>
      <c r="B4059" s="17">
        <f t="array" ref="B4059">SUM(1-'Sparkling Model'!D$2:D$38^A4059)</f>
        <v>36.43221848</v>
      </c>
      <c r="C4059" s="8">
        <f t="array" ref="C4059">PRODUCT(1-'Sparkling Model'!D$2:D$38^A4059)</f>
        <v>0.5472809299</v>
      </c>
    </row>
    <row r="4060">
      <c r="A4060" s="6">
        <v>4058.0</v>
      </c>
      <c r="B4060" s="17">
        <f t="array" ref="B4060">SUM(1-'Sparkling Model'!D$2:D$38^A4060)</f>
        <v>36.43256157</v>
      </c>
      <c r="C4060" s="8">
        <f t="array" ref="C4060">PRODUCT(1-'Sparkling Model'!D$2:D$38^A4060)</f>
        <v>0.5474891377</v>
      </c>
    </row>
    <row r="4061">
      <c r="A4061" s="6">
        <v>4059.0</v>
      </c>
      <c r="B4061" s="17">
        <f t="array" ref="B4061">SUM(1-'Sparkling Model'!D$2:D$38^A4061)</f>
        <v>36.43290442</v>
      </c>
      <c r="C4061" s="8">
        <f t="array" ref="C4061">PRODUCT(1-'Sparkling Model'!D$2:D$38^A4061)</f>
        <v>0.5476972675</v>
      </c>
    </row>
    <row r="4062">
      <c r="A4062" s="6">
        <v>4060.0</v>
      </c>
      <c r="B4062" s="17">
        <f t="array" ref="B4062">SUM(1-'Sparkling Model'!D$2:D$38^A4062)</f>
        <v>36.43324702</v>
      </c>
      <c r="C4062" s="8">
        <f t="array" ref="C4062">PRODUCT(1-'Sparkling Model'!D$2:D$38^A4062)</f>
        <v>0.5479053193</v>
      </c>
    </row>
    <row r="4063">
      <c r="A4063" s="6">
        <v>4061.0</v>
      </c>
      <c r="B4063" s="17">
        <f t="array" ref="B4063">SUM(1-'Sparkling Model'!D$2:D$38^A4063)</f>
        <v>36.43358937</v>
      </c>
      <c r="C4063" s="8">
        <f t="array" ref="C4063">PRODUCT(1-'Sparkling Model'!D$2:D$38^A4063)</f>
        <v>0.5481132932</v>
      </c>
    </row>
    <row r="4064">
      <c r="A4064" s="6">
        <v>4062.0</v>
      </c>
      <c r="B4064" s="17">
        <f t="array" ref="B4064">SUM(1-'Sparkling Model'!D$2:D$38^A4064)</f>
        <v>36.43393148</v>
      </c>
      <c r="C4064" s="8">
        <f t="array" ref="C4064">PRODUCT(1-'Sparkling Model'!D$2:D$38^A4064)</f>
        <v>0.5483211891</v>
      </c>
    </row>
    <row r="4065">
      <c r="A4065" s="6">
        <v>4063.0</v>
      </c>
      <c r="B4065" s="17">
        <f t="array" ref="B4065">SUM(1-'Sparkling Model'!D$2:D$38^A4065)</f>
        <v>36.43427335</v>
      </c>
      <c r="C4065" s="8">
        <f t="array" ref="C4065">PRODUCT(1-'Sparkling Model'!D$2:D$38^A4065)</f>
        <v>0.5485290071</v>
      </c>
    </row>
    <row r="4066">
      <c r="A4066" s="6">
        <v>4064.0</v>
      </c>
      <c r="B4066" s="17">
        <f t="array" ref="B4066">SUM(1-'Sparkling Model'!D$2:D$38^A4066)</f>
        <v>36.43461497</v>
      </c>
      <c r="C4066" s="8">
        <f t="array" ref="C4066">PRODUCT(1-'Sparkling Model'!D$2:D$38^A4066)</f>
        <v>0.548736747</v>
      </c>
    </row>
    <row r="4067">
      <c r="A4067" s="6">
        <v>4065.0</v>
      </c>
      <c r="B4067" s="17">
        <f t="array" ref="B4067">SUM(1-'Sparkling Model'!D$2:D$38^A4067)</f>
        <v>36.43495635</v>
      </c>
      <c r="C4067" s="8">
        <f t="array" ref="C4067">PRODUCT(1-'Sparkling Model'!D$2:D$38^A4067)</f>
        <v>0.5489444091</v>
      </c>
    </row>
    <row r="4068">
      <c r="A4068" s="6">
        <v>4066.0</v>
      </c>
      <c r="B4068" s="17">
        <f t="array" ref="B4068">SUM(1-'Sparkling Model'!D$2:D$38^A4068)</f>
        <v>36.43529749</v>
      </c>
      <c r="C4068" s="8">
        <f t="array" ref="C4068">PRODUCT(1-'Sparkling Model'!D$2:D$38^A4068)</f>
        <v>0.5491519931</v>
      </c>
    </row>
    <row r="4069">
      <c r="A4069" s="6">
        <v>4067.0</v>
      </c>
      <c r="B4069" s="17">
        <f t="array" ref="B4069">SUM(1-'Sparkling Model'!D$2:D$38^A4069)</f>
        <v>36.43563838</v>
      </c>
      <c r="C4069" s="8">
        <f t="array" ref="C4069">PRODUCT(1-'Sparkling Model'!D$2:D$38^A4069)</f>
        <v>0.5493594992</v>
      </c>
    </row>
    <row r="4070">
      <c r="A4070" s="6">
        <v>4068.0</v>
      </c>
      <c r="B4070" s="17">
        <f t="array" ref="B4070">SUM(1-'Sparkling Model'!D$2:D$38^A4070)</f>
        <v>36.43597902</v>
      </c>
      <c r="C4070" s="8">
        <f t="array" ref="C4070">PRODUCT(1-'Sparkling Model'!D$2:D$38^A4070)</f>
        <v>0.5495669273</v>
      </c>
    </row>
    <row r="4071">
      <c r="A4071" s="6">
        <v>4069.0</v>
      </c>
      <c r="B4071" s="17">
        <f t="array" ref="B4071">SUM(1-'Sparkling Model'!D$2:D$38^A4071)</f>
        <v>36.43631943</v>
      </c>
      <c r="C4071" s="8">
        <f t="array" ref="C4071">PRODUCT(1-'Sparkling Model'!D$2:D$38^A4071)</f>
        <v>0.5497742775</v>
      </c>
    </row>
    <row r="4072">
      <c r="A4072" s="6">
        <v>4070.0</v>
      </c>
      <c r="B4072" s="17">
        <f t="array" ref="B4072">SUM(1-'Sparkling Model'!D$2:D$38^A4072)</f>
        <v>36.43665959</v>
      </c>
      <c r="C4072" s="8">
        <f t="array" ref="C4072">PRODUCT(1-'Sparkling Model'!D$2:D$38^A4072)</f>
        <v>0.5499815496</v>
      </c>
    </row>
    <row r="4073">
      <c r="A4073" s="6">
        <v>4071.0</v>
      </c>
      <c r="B4073" s="17">
        <f t="array" ref="B4073">SUM(1-'Sparkling Model'!D$2:D$38^A4073)</f>
        <v>36.4369995</v>
      </c>
      <c r="C4073" s="8">
        <f t="array" ref="C4073">PRODUCT(1-'Sparkling Model'!D$2:D$38^A4073)</f>
        <v>0.5501887439</v>
      </c>
    </row>
    <row r="4074">
      <c r="A4074" s="6">
        <v>4072.0</v>
      </c>
      <c r="B4074" s="17">
        <f t="array" ref="B4074">SUM(1-'Sparkling Model'!D$2:D$38^A4074)</f>
        <v>36.43733918</v>
      </c>
      <c r="C4074" s="8">
        <f t="array" ref="C4074">PRODUCT(1-'Sparkling Model'!D$2:D$38^A4074)</f>
        <v>0.5503958601</v>
      </c>
    </row>
    <row r="4075">
      <c r="A4075" s="6">
        <v>4073.0</v>
      </c>
      <c r="B4075" s="17">
        <f t="array" ref="B4075">SUM(1-'Sparkling Model'!D$2:D$38^A4075)</f>
        <v>36.43767861</v>
      </c>
      <c r="C4075" s="8">
        <f t="array" ref="C4075">PRODUCT(1-'Sparkling Model'!D$2:D$38^A4075)</f>
        <v>0.5506028984</v>
      </c>
    </row>
    <row r="4076">
      <c r="A4076" s="6">
        <v>4074.0</v>
      </c>
      <c r="B4076" s="17">
        <f t="array" ref="B4076">SUM(1-'Sparkling Model'!D$2:D$38^A4076)</f>
        <v>36.4380178</v>
      </c>
      <c r="C4076" s="8">
        <f t="array" ref="C4076">PRODUCT(1-'Sparkling Model'!D$2:D$38^A4076)</f>
        <v>0.5508098587</v>
      </c>
    </row>
    <row r="4077">
      <c r="A4077" s="6">
        <v>4075.0</v>
      </c>
      <c r="B4077" s="17">
        <f t="array" ref="B4077">SUM(1-'Sparkling Model'!D$2:D$38^A4077)</f>
        <v>36.43835674</v>
      </c>
      <c r="C4077" s="8">
        <f t="array" ref="C4077">PRODUCT(1-'Sparkling Model'!D$2:D$38^A4077)</f>
        <v>0.551016741</v>
      </c>
    </row>
    <row r="4078">
      <c r="A4078" s="6">
        <v>4076.0</v>
      </c>
      <c r="B4078" s="17">
        <f t="array" ref="B4078">SUM(1-'Sparkling Model'!D$2:D$38^A4078)</f>
        <v>36.43869545</v>
      </c>
      <c r="C4078" s="8">
        <f t="array" ref="C4078">PRODUCT(1-'Sparkling Model'!D$2:D$38^A4078)</f>
        <v>0.5512235454</v>
      </c>
    </row>
    <row r="4079">
      <c r="A4079" s="6">
        <v>4077.0</v>
      </c>
      <c r="B4079" s="17">
        <f t="array" ref="B4079">SUM(1-'Sparkling Model'!D$2:D$38^A4079)</f>
        <v>36.43903391</v>
      </c>
      <c r="C4079" s="8">
        <f t="array" ref="C4079">PRODUCT(1-'Sparkling Model'!D$2:D$38^A4079)</f>
        <v>0.5514302718</v>
      </c>
    </row>
    <row r="4080">
      <c r="A4080" s="6">
        <v>4078.0</v>
      </c>
      <c r="B4080" s="17">
        <f t="array" ref="B4080">SUM(1-'Sparkling Model'!D$2:D$38^A4080)</f>
        <v>36.43937214</v>
      </c>
      <c r="C4080" s="8">
        <f t="array" ref="C4080">PRODUCT(1-'Sparkling Model'!D$2:D$38^A4080)</f>
        <v>0.5516369202</v>
      </c>
    </row>
    <row r="4081">
      <c r="A4081" s="6">
        <v>4079.0</v>
      </c>
      <c r="B4081" s="17">
        <f t="array" ref="B4081">SUM(1-'Sparkling Model'!D$2:D$38^A4081)</f>
        <v>36.43971012</v>
      </c>
      <c r="C4081" s="8">
        <f t="array" ref="C4081">PRODUCT(1-'Sparkling Model'!D$2:D$38^A4081)</f>
        <v>0.5518434907</v>
      </c>
    </row>
    <row r="4082">
      <c r="A4082" s="6">
        <v>4080.0</v>
      </c>
      <c r="B4082" s="17">
        <f t="array" ref="B4082">SUM(1-'Sparkling Model'!D$2:D$38^A4082)</f>
        <v>36.44004786</v>
      </c>
      <c r="C4082" s="8">
        <f t="array" ref="C4082">PRODUCT(1-'Sparkling Model'!D$2:D$38^A4082)</f>
        <v>0.5520499832</v>
      </c>
    </row>
    <row r="4083">
      <c r="A4083" s="6">
        <v>4081.0</v>
      </c>
      <c r="B4083" s="17">
        <f t="array" ref="B4083">SUM(1-'Sparkling Model'!D$2:D$38^A4083)</f>
        <v>36.44038536</v>
      </c>
      <c r="C4083" s="8">
        <f t="array" ref="C4083">PRODUCT(1-'Sparkling Model'!D$2:D$38^A4083)</f>
        <v>0.5522563977</v>
      </c>
    </row>
    <row r="4084">
      <c r="A4084" s="6">
        <v>4082.0</v>
      </c>
      <c r="B4084" s="17">
        <f t="array" ref="B4084">SUM(1-'Sparkling Model'!D$2:D$38^A4084)</f>
        <v>36.44072261</v>
      </c>
      <c r="C4084" s="8">
        <f t="array" ref="C4084">PRODUCT(1-'Sparkling Model'!D$2:D$38^A4084)</f>
        <v>0.5524627342</v>
      </c>
    </row>
    <row r="4085">
      <c r="A4085" s="6">
        <v>4083.0</v>
      </c>
      <c r="B4085" s="17">
        <f t="array" ref="B4085">SUM(1-'Sparkling Model'!D$2:D$38^A4085)</f>
        <v>36.44105963</v>
      </c>
      <c r="C4085" s="8">
        <f t="array" ref="C4085">PRODUCT(1-'Sparkling Model'!D$2:D$38^A4085)</f>
        <v>0.5526689928</v>
      </c>
    </row>
    <row r="4086">
      <c r="A4086" s="6">
        <v>4084.0</v>
      </c>
      <c r="B4086" s="17">
        <f t="array" ref="B4086">SUM(1-'Sparkling Model'!D$2:D$38^A4086)</f>
        <v>36.44139641</v>
      </c>
      <c r="C4086" s="8">
        <f t="array" ref="C4086">PRODUCT(1-'Sparkling Model'!D$2:D$38^A4086)</f>
        <v>0.5528751735</v>
      </c>
    </row>
    <row r="4087">
      <c r="A4087" s="6">
        <v>4085.0</v>
      </c>
      <c r="B4087" s="17">
        <f t="array" ref="B4087">SUM(1-'Sparkling Model'!D$2:D$38^A4087)</f>
        <v>36.44173295</v>
      </c>
      <c r="C4087" s="8">
        <f t="array" ref="C4087">PRODUCT(1-'Sparkling Model'!D$2:D$38^A4087)</f>
        <v>0.5530812761</v>
      </c>
    </row>
    <row r="4088">
      <c r="A4088" s="6">
        <v>4086.0</v>
      </c>
      <c r="B4088" s="17">
        <f t="array" ref="B4088">SUM(1-'Sparkling Model'!D$2:D$38^A4088)</f>
        <v>36.44206925</v>
      </c>
      <c r="C4088" s="8">
        <f t="array" ref="C4088">PRODUCT(1-'Sparkling Model'!D$2:D$38^A4088)</f>
        <v>0.5532873008</v>
      </c>
    </row>
    <row r="4089">
      <c r="A4089" s="6">
        <v>4087.0</v>
      </c>
      <c r="B4089" s="17">
        <f t="array" ref="B4089">SUM(1-'Sparkling Model'!D$2:D$38^A4089)</f>
        <v>36.44240531</v>
      </c>
      <c r="C4089" s="8">
        <f t="array" ref="C4089">PRODUCT(1-'Sparkling Model'!D$2:D$38^A4089)</f>
        <v>0.5534932476</v>
      </c>
    </row>
    <row r="4090">
      <c r="A4090" s="6">
        <v>4088.0</v>
      </c>
      <c r="B4090" s="17">
        <f t="array" ref="B4090">SUM(1-'Sparkling Model'!D$2:D$38^A4090)</f>
        <v>36.44274113</v>
      </c>
      <c r="C4090" s="8">
        <f t="array" ref="C4090">PRODUCT(1-'Sparkling Model'!D$2:D$38^A4090)</f>
        <v>0.5536991163</v>
      </c>
    </row>
    <row r="4091">
      <c r="A4091" s="6">
        <v>4089.0</v>
      </c>
      <c r="B4091" s="17">
        <f t="array" ref="B4091">SUM(1-'Sparkling Model'!D$2:D$38^A4091)</f>
        <v>36.44307671</v>
      </c>
      <c r="C4091" s="8">
        <f t="array" ref="C4091">PRODUCT(1-'Sparkling Model'!D$2:D$38^A4091)</f>
        <v>0.5539049071</v>
      </c>
    </row>
    <row r="4092">
      <c r="A4092" s="6">
        <v>4090.0</v>
      </c>
      <c r="B4092" s="17">
        <f t="array" ref="B4092">SUM(1-'Sparkling Model'!D$2:D$38^A4092)</f>
        <v>36.44341205</v>
      </c>
      <c r="C4092" s="8">
        <f t="array" ref="C4092">PRODUCT(1-'Sparkling Model'!D$2:D$38^A4092)</f>
        <v>0.55411062</v>
      </c>
    </row>
    <row r="4093">
      <c r="A4093" s="6">
        <v>4091.0</v>
      </c>
      <c r="B4093" s="17">
        <f t="array" ref="B4093">SUM(1-'Sparkling Model'!D$2:D$38^A4093)</f>
        <v>36.44374715</v>
      </c>
      <c r="C4093" s="8">
        <f t="array" ref="C4093">PRODUCT(1-'Sparkling Model'!D$2:D$38^A4093)</f>
        <v>0.5543162549</v>
      </c>
    </row>
    <row r="4094">
      <c r="A4094" s="6">
        <v>4092.0</v>
      </c>
      <c r="B4094" s="17">
        <f t="array" ref="B4094">SUM(1-'Sparkling Model'!D$2:D$38^A4094)</f>
        <v>36.44408202</v>
      </c>
      <c r="C4094" s="8">
        <f t="array" ref="C4094">PRODUCT(1-'Sparkling Model'!D$2:D$38^A4094)</f>
        <v>0.5545218118</v>
      </c>
    </row>
    <row r="4095">
      <c r="A4095" s="6">
        <v>4093.0</v>
      </c>
      <c r="B4095" s="17">
        <f t="array" ref="B4095">SUM(1-'Sparkling Model'!D$2:D$38^A4095)</f>
        <v>36.44441664</v>
      </c>
      <c r="C4095" s="8">
        <f t="array" ref="C4095">PRODUCT(1-'Sparkling Model'!D$2:D$38^A4095)</f>
        <v>0.5547272908</v>
      </c>
    </row>
    <row r="4096">
      <c r="A4096" s="6">
        <v>4094.0</v>
      </c>
      <c r="B4096" s="17">
        <f t="array" ref="B4096">SUM(1-'Sparkling Model'!D$2:D$38^A4096)</f>
        <v>36.44475103</v>
      </c>
      <c r="C4096" s="8">
        <f t="array" ref="C4096">PRODUCT(1-'Sparkling Model'!D$2:D$38^A4096)</f>
        <v>0.5549326918</v>
      </c>
    </row>
    <row r="4097">
      <c r="A4097" s="6">
        <v>4095.0</v>
      </c>
      <c r="B4097" s="17">
        <f t="array" ref="B4097">SUM(1-'Sparkling Model'!D$2:D$38^A4097)</f>
        <v>36.44508518</v>
      </c>
      <c r="C4097" s="8">
        <f t="array" ref="C4097">PRODUCT(1-'Sparkling Model'!D$2:D$38^A4097)</f>
        <v>0.5551380149</v>
      </c>
    </row>
    <row r="4098">
      <c r="A4098" s="6">
        <v>4096.0</v>
      </c>
      <c r="B4098" s="17">
        <f t="array" ref="B4098">SUM(1-'Sparkling Model'!D$2:D$38^A4098)</f>
        <v>36.4454191</v>
      </c>
      <c r="C4098" s="8">
        <f t="array" ref="C4098">PRODUCT(1-'Sparkling Model'!D$2:D$38^A4098)</f>
        <v>0.55534326</v>
      </c>
    </row>
    <row r="4099">
      <c r="A4099" s="6">
        <v>4097.0</v>
      </c>
      <c r="B4099" s="17">
        <f t="array" ref="B4099">SUM(1-'Sparkling Model'!D$2:D$38^A4099)</f>
        <v>36.44575277</v>
      </c>
      <c r="C4099" s="8">
        <f t="array" ref="C4099">PRODUCT(1-'Sparkling Model'!D$2:D$38^A4099)</f>
        <v>0.5555484271</v>
      </c>
    </row>
    <row r="4100">
      <c r="A4100" s="6">
        <v>4098.0</v>
      </c>
      <c r="B4100" s="17">
        <f t="array" ref="B4100">SUM(1-'Sparkling Model'!D$2:D$38^A4100)</f>
        <v>36.44608621</v>
      </c>
      <c r="C4100" s="8">
        <f t="array" ref="C4100">PRODUCT(1-'Sparkling Model'!D$2:D$38^A4100)</f>
        <v>0.5557535163</v>
      </c>
    </row>
    <row r="4101">
      <c r="A4101" s="6">
        <v>4099.0</v>
      </c>
      <c r="B4101" s="17">
        <f t="array" ref="B4101">SUM(1-'Sparkling Model'!D$2:D$38^A4101)</f>
        <v>36.44641941</v>
      </c>
      <c r="C4101" s="8">
        <f t="array" ref="C4101">PRODUCT(1-'Sparkling Model'!D$2:D$38^A4101)</f>
        <v>0.5559585276</v>
      </c>
    </row>
    <row r="4102">
      <c r="A4102" s="6">
        <v>4100.0</v>
      </c>
      <c r="B4102" s="17">
        <f t="array" ref="B4102">SUM(1-'Sparkling Model'!D$2:D$38^A4102)</f>
        <v>36.44675238</v>
      </c>
      <c r="C4102" s="8">
        <f t="array" ref="C4102">PRODUCT(1-'Sparkling Model'!D$2:D$38^A4102)</f>
        <v>0.5561634609</v>
      </c>
    </row>
    <row r="4103">
      <c r="A4103" s="6">
        <v>4101.0</v>
      </c>
      <c r="B4103" s="17">
        <f t="array" ref="B4103">SUM(1-'Sparkling Model'!D$2:D$38^A4103)</f>
        <v>36.4470851</v>
      </c>
      <c r="C4103" s="8">
        <f t="array" ref="C4103">PRODUCT(1-'Sparkling Model'!D$2:D$38^A4103)</f>
        <v>0.5563683162</v>
      </c>
    </row>
    <row r="4104">
      <c r="A4104" s="6">
        <v>4102.0</v>
      </c>
      <c r="B4104" s="17">
        <f t="array" ref="B4104">SUM(1-'Sparkling Model'!D$2:D$38^A4104)</f>
        <v>36.4474176</v>
      </c>
      <c r="C4104" s="8">
        <f t="array" ref="C4104">PRODUCT(1-'Sparkling Model'!D$2:D$38^A4104)</f>
        <v>0.5565730937</v>
      </c>
    </row>
    <row r="4105">
      <c r="A4105" s="6">
        <v>4103.0</v>
      </c>
      <c r="B4105" s="17">
        <f t="array" ref="B4105">SUM(1-'Sparkling Model'!D$2:D$38^A4105)</f>
        <v>36.44774985</v>
      </c>
      <c r="C4105" s="8">
        <f t="array" ref="C4105">PRODUCT(1-'Sparkling Model'!D$2:D$38^A4105)</f>
        <v>0.5567777931</v>
      </c>
    </row>
    <row r="4106">
      <c r="A4106" s="6">
        <v>4104.0</v>
      </c>
      <c r="B4106" s="17">
        <f t="array" ref="B4106">SUM(1-'Sparkling Model'!D$2:D$38^A4106)</f>
        <v>36.44808187</v>
      </c>
      <c r="C4106" s="8">
        <f t="array" ref="C4106">PRODUCT(1-'Sparkling Model'!D$2:D$38^A4106)</f>
        <v>0.5569824147</v>
      </c>
    </row>
    <row r="4107">
      <c r="A4107" s="6">
        <v>4105.0</v>
      </c>
      <c r="B4107" s="17">
        <f t="array" ref="B4107">SUM(1-'Sparkling Model'!D$2:D$38^A4107)</f>
        <v>36.44841366</v>
      </c>
      <c r="C4107" s="8">
        <f t="array" ref="C4107">PRODUCT(1-'Sparkling Model'!D$2:D$38^A4107)</f>
        <v>0.5571869583</v>
      </c>
    </row>
    <row r="4108">
      <c r="A4108" s="6">
        <v>4106.0</v>
      </c>
      <c r="B4108" s="17">
        <f t="array" ref="B4108">SUM(1-'Sparkling Model'!D$2:D$38^A4108)</f>
        <v>36.44874521</v>
      </c>
      <c r="C4108" s="8">
        <f t="array" ref="C4108">PRODUCT(1-'Sparkling Model'!D$2:D$38^A4108)</f>
        <v>0.5573914239</v>
      </c>
    </row>
    <row r="4109">
      <c r="A4109" s="6">
        <v>4107.0</v>
      </c>
      <c r="B4109" s="17">
        <f t="array" ref="B4109">SUM(1-'Sparkling Model'!D$2:D$38^A4109)</f>
        <v>36.44907652</v>
      </c>
      <c r="C4109" s="8">
        <f t="array" ref="C4109">PRODUCT(1-'Sparkling Model'!D$2:D$38^A4109)</f>
        <v>0.5575958116</v>
      </c>
    </row>
    <row r="4110">
      <c r="A4110" s="6">
        <v>4108.0</v>
      </c>
      <c r="B4110" s="17">
        <f t="array" ref="B4110">SUM(1-'Sparkling Model'!D$2:D$38^A4110)</f>
        <v>36.4494076</v>
      </c>
      <c r="C4110" s="8">
        <f t="array" ref="C4110">PRODUCT(1-'Sparkling Model'!D$2:D$38^A4110)</f>
        <v>0.5578001214</v>
      </c>
    </row>
    <row r="4111">
      <c r="A4111" s="6">
        <v>4109.0</v>
      </c>
      <c r="B4111" s="17">
        <f t="array" ref="B4111">SUM(1-'Sparkling Model'!D$2:D$38^A4111)</f>
        <v>36.44973844</v>
      </c>
      <c r="C4111" s="8">
        <f t="array" ref="C4111">PRODUCT(1-'Sparkling Model'!D$2:D$38^A4111)</f>
        <v>0.5580043533</v>
      </c>
    </row>
    <row r="4112">
      <c r="A4112" s="6">
        <v>4110.0</v>
      </c>
      <c r="B4112" s="17">
        <f t="array" ref="B4112">SUM(1-'Sparkling Model'!D$2:D$38^A4112)</f>
        <v>36.45006905</v>
      </c>
      <c r="C4112" s="8">
        <f t="array" ref="C4112">PRODUCT(1-'Sparkling Model'!D$2:D$38^A4112)</f>
        <v>0.5582085072</v>
      </c>
    </row>
    <row r="4113">
      <c r="A4113" s="6">
        <v>4111.0</v>
      </c>
      <c r="B4113" s="17">
        <f t="array" ref="B4113">SUM(1-'Sparkling Model'!D$2:D$38^A4113)</f>
        <v>36.45039943</v>
      </c>
      <c r="C4113" s="8">
        <f t="array" ref="C4113">PRODUCT(1-'Sparkling Model'!D$2:D$38^A4113)</f>
        <v>0.5584125832</v>
      </c>
    </row>
    <row r="4114">
      <c r="A4114" s="6">
        <v>4112.0</v>
      </c>
      <c r="B4114" s="17">
        <f t="array" ref="B4114">SUM(1-'Sparkling Model'!D$2:D$38^A4114)</f>
        <v>36.45072957</v>
      </c>
      <c r="C4114" s="8">
        <f t="array" ref="C4114">PRODUCT(1-'Sparkling Model'!D$2:D$38^A4114)</f>
        <v>0.5586165812</v>
      </c>
    </row>
    <row r="4115">
      <c r="A4115" s="6">
        <v>4113.0</v>
      </c>
      <c r="B4115" s="17">
        <f t="array" ref="B4115">SUM(1-'Sparkling Model'!D$2:D$38^A4115)</f>
        <v>36.45105947</v>
      </c>
      <c r="C4115" s="8">
        <f t="array" ref="C4115">PRODUCT(1-'Sparkling Model'!D$2:D$38^A4115)</f>
        <v>0.5588205014</v>
      </c>
    </row>
    <row r="4116">
      <c r="A4116" s="6">
        <v>4114.0</v>
      </c>
      <c r="B4116" s="17">
        <f t="array" ref="B4116">SUM(1-'Sparkling Model'!D$2:D$38^A4116)</f>
        <v>36.45138915</v>
      </c>
      <c r="C4116" s="8">
        <f t="array" ref="C4116">PRODUCT(1-'Sparkling Model'!D$2:D$38^A4116)</f>
        <v>0.5590243436</v>
      </c>
    </row>
    <row r="4117">
      <c r="A4117" s="6">
        <v>4115.0</v>
      </c>
      <c r="B4117" s="17">
        <f t="array" ref="B4117">SUM(1-'Sparkling Model'!D$2:D$38^A4117)</f>
        <v>36.45171859</v>
      </c>
      <c r="C4117" s="8">
        <f t="array" ref="C4117">PRODUCT(1-'Sparkling Model'!D$2:D$38^A4117)</f>
        <v>0.5592281079</v>
      </c>
    </row>
    <row r="4118">
      <c r="A4118" s="6">
        <v>4116.0</v>
      </c>
      <c r="B4118" s="17">
        <f t="array" ref="B4118">SUM(1-'Sparkling Model'!D$2:D$38^A4118)</f>
        <v>36.45204779</v>
      </c>
      <c r="C4118" s="8">
        <f t="array" ref="C4118">PRODUCT(1-'Sparkling Model'!D$2:D$38^A4118)</f>
        <v>0.5594317943</v>
      </c>
    </row>
    <row r="4119">
      <c r="A4119" s="6">
        <v>4117.0</v>
      </c>
      <c r="B4119" s="17">
        <f t="array" ref="B4119">SUM(1-'Sparkling Model'!D$2:D$38^A4119)</f>
        <v>36.45237677</v>
      </c>
      <c r="C4119" s="8">
        <f t="array" ref="C4119">PRODUCT(1-'Sparkling Model'!D$2:D$38^A4119)</f>
        <v>0.5596354028</v>
      </c>
    </row>
    <row r="4120">
      <c r="A4120" s="6">
        <v>4118.0</v>
      </c>
      <c r="B4120" s="17">
        <f t="array" ref="B4120">SUM(1-'Sparkling Model'!D$2:D$38^A4120)</f>
        <v>36.45270551</v>
      </c>
      <c r="C4120" s="8">
        <f t="array" ref="C4120">PRODUCT(1-'Sparkling Model'!D$2:D$38^A4120)</f>
        <v>0.5598389333</v>
      </c>
    </row>
    <row r="4121">
      <c r="A4121" s="6">
        <v>4119.0</v>
      </c>
      <c r="B4121" s="17">
        <f t="array" ref="B4121">SUM(1-'Sparkling Model'!D$2:D$38^A4121)</f>
        <v>36.45303401</v>
      </c>
      <c r="C4121" s="8">
        <f t="array" ref="C4121">PRODUCT(1-'Sparkling Model'!D$2:D$38^A4121)</f>
        <v>0.560042386</v>
      </c>
    </row>
    <row r="4122">
      <c r="A4122" s="6">
        <v>4120.0</v>
      </c>
      <c r="B4122" s="17">
        <f t="array" ref="B4122">SUM(1-'Sparkling Model'!D$2:D$38^A4122)</f>
        <v>36.45336229</v>
      </c>
      <c r="C4122" s="8">
        <f t="array" ref="C4122">PRODUCT(1-'Sparkling Model'!D$2:D$38^A4122)</f>
        <v>0.5602457607</v>
      </c>
    </row>
    <row r="4123">
      <c r="A4123" s="6">
        <v>4121.0</v>
      </c>
      <c r="B4123" s="17">
        <f t="array" ref="B4123">SUM(1-'Sparkling Model'!D$2:D$38^A4123)</f>
        <v>36.45369033</v>
      </c>
      <c r="C4123" s="8">
        <f t="array" ref="C4123">PRODUCT(1-'Sparkling Model'!D$2:D$38^A4123)</f>
        <v>0.5604490576</v>
      </c>
    </row>
    <row r="4124">
      <c r="A4124" s="6">
        <v>4122.0</v>
      </c>
      <c r="B4124" s="17">
        <f t="array" ref="B4124">SUM(1-'Sparkling Model'!D$2:D$38^A4124)</f>
        <v>36.45401814</v>
      </c>
      <c r="C4124" s="8">
        <f t="array" ref="C4124">PRODUCT(1-'Sparkling Model'!D$2:D$38^A4124)</f>
        <v>0.5606522765</v>
      </c>
    </row>
    <row r="4125">
      <c r="A4125" s="6">
        <v>4123.0</v>
      </c>
      <c r="B4125" s="17">
        <f t="array" ref="B4125">SUM(1-'Sparkling Model'!D$2:D$38^A4125)</f>
        <v>36.45434572</v>
      </c>
      <c r="C4125" s="8">
        <f t="array" ref="C4125">PRODUCT(1-'Sparkling Model'!D$2:D$38^A4125)</f>
        <v>0.5608554176</v>
      </c>
    </row>
    <row r="4126">
      <c r="A4126" s="6">
        <v>4124.0</v>
      </c>
      <c r="B4126" s="17">
        <f t="array" ref="B4126">SUM(1-'Sparkling Model'!D$2:D$38^A4126)</f>
        <v>36.45467306</v>
      </c>
      <c r="C4126" s="8">
        <f t="array" ref="C4126">PRODUCT(1-'Sparkling Model'!D$2:D$38^A4126)</f>
        <v>0.5610584808</v>
      </c>
    </row>
    <row r="4127">
      <c r="A4127" s="6">
        <v>4125.0</v>
      </c>
      <c r="B4127" s="17">
        <f t="array" ref="B4127">SUM(1-'Sparkling Model'!D$2:D$38^A4127)</f>
        <v>36.45500018</v>
      </c>
      <c r="C4127" s="8">
        <f t="array" ref="C4127">PRODUCT(1-'Sparkling Model'!D$2:D$38^A4127)</f>
        <v>0.561261466</v>
      </c>
    </row>
    <row r="4128">
      <c r="A4128" s="6">
        <v>4126.0</v>
      </c>
      <c r="B4128" s="17">
        <f t="array" ref="B4128">SUM(1-'Sparkling Model'!D$2:D$38^A4128)</f>
        <v>36.45532706</v>
      </c>
      <c r="C4128" s="8">
        <f t="array" ref="C4128">PRODUCT(1-'Sparkling Model'!D$2:D$38^A4128)</f>
        <v>0.5614643734</v>
      </c>
    </row>
    <row r="4129">
      <c r="A4129" s="6">
        <v>4127.0</v>
      </c>
      <c r="B4129" s="17">
        <f t="array" ref="B4129">SUM(1-'Sparkling Model'!D$2:D$38^A4129)</f>
        <v>36.45565371</v>
      </c>
      <c r="C4129" s="8">
        <f t="array" ref="C4129">PRODUCT(1-'Sparkling Model'!D$2:D$38^A4129)</f>
        <v>0.5616672029</v>
      </c>
    </row>
    <row r="4130">
      <c r="A4130" s="6">
        <v>4128.0</v>
      </c>
      <c r="B4130" s="17">
        <f t="array" ref="B4130">SUM(1-'Sparkling Model'!D$2:D$38^A4130)</f>
        <v>36.45598014</v>
      </c>
      <c r="C4130" s="8">
        <f t="array" ref="C4130">PRODUCT(1-'Sparkling Model'!D$2:D$38^A4130)</f>
        <v>0.5618699545</v>
      </c>
    </row>
    <row r="4131">
      <c r="A4131" s="6">
        <v>4129.0</v>
      </c>
      <c r="B4131" s="17">
        <f t="array" ref="B4131">SUM(1-'Sparkling Model'!D$2:D$38^A4131)</f>
        <v>36.45630633</v>
      </c>
      <c r="C4131" s="8">
        <f t="array" ref="C4131">PRODUCT(1-'Sparkling Model'!D$2:D$38^A4131)</f>
        <v>0.5620726282</v>
      </c>
    </row>
    <row r="4132">
      <c r="A4132" s="6">
        <v>4130.0</v>
      </c>
      <c r="B4132" s="17">
        <f t="array" ref="B4132">SUM(1-'Sparkling Model'!D$2:D$38^A4132)</f>
        <v>36.45663229</v>
      </c>
      <c r="C4132" s="8">
        <f t="array" ref="C4132">PRODUCT(1-'Sparkling Model'!D$2:D$38^A4132)</f>
        <v>0.5622752241</v>
      </c>
    </row>
    <row r="4133">
      <c r="A4133" s="6">
        <v>4131.0</v>
      </c>
      <c r="B4133" s="17">
        <f t="array" ref="B4133">SUM(1-'Sparkling Model'!D$2:D$38^A4133)</f>
        <v>36.45695802</v>
      </c>
      <c r="C4133" s="8">
        <f t="array" ref="C4133">PRODUCT(1-'Sparkling Model'!D$2:D$38^A4133)</f>
        <v>0.5624777421</v>
      </c>
    </row>
    <row r="4134">
      <c r="A4134" s="6">
        <v>4132.0</v>
      </c>
      <c r="B4134" s="17">
        <f t="array" ref="B4134">SUM(1-'Sparkling Model'!D$2:D$38^A4134)</f>
        <v>36.45728352</v>
      </c>
      <c r="C4134" s="8">
        <f t="array" ref="C4134">PRODUCT(1-'Sparkling Model'!D$2:D$38^A4134)</f>
        <v>0.5626801822</v>
      </c>
    </row>
    <row r="4135">
      <c r="A4135" s="6">
        <v>4133.0</v>
      </c>
      <c r="B4135" s="17">
        <f t="array" ref="B4135">SUM(1-'Sparkling Model'!D$2:D$38^A4135)</f>
        <v>36.45760879</v>
      </c>
      <c r="C4135" s="8">
        <f t="array" ref="C4135">PRODUCT(1-'Sparkling Model'!D$2:D$38^A4135)</f>
        <v>0.5628825444</v>
      </c>
    </row>
    <row r="4136">
      <c r="A4136" s="6">
        <v>4134.0</v>
      </c>
      <c r="B4136" s="17">
        <f t="array" ref="B4136">SUM(1-'Sparkling Model'!D$2:D$38^A4136)</f>
        <v>36.45793383</v>
      </c>
      <c r="C4136" s="8">
        <f t="array" ref="C4136">PRODUCT(1-'Sparkling Model'!D$2:D$38^A4136)</f>
        <v>0.5630848288</v>
      </c>
    </row>
    <row r="4137">
      <c r="A4137" s="6">
        <v>4135.0</v>
      </c>
      <c r="B4137" s="17">
        <f t="array" ref="B4137">SUM(1-'Sparkling Model'!D$2:D$38^A4137)</f>
        <v>36.45825864</v>
      </c>
      <c r="C4137" s="8">
        <f t="array" ref="C4137">PRODUCT(1-'Sparkling Model'!D$2:D$38^A4137)</f>
        <v>0.5632870353</v>
      </c>
    </row>
    <row r="4138">
      <c r="A4138" s="6">
        <v>4136.0</v>
      </c>
      <c r="B4138" s="17">
        <f t="array" ref="B4138">SUM(1-'Sparkling Model'!D$2:D$38^A4138)</f>
        <v>36.45858322</v>
      </c>
      <c r="C4138" s="8">
        <f t="array" ref="C4138">PRODUCT(1-'Sparkling Model'!D$2:D$38^A4138)</f>
        <v>0.563489164</v>
      </c>
    </row>
    <row r="4139">
      <c r="A4139" s="6">
        <v>4137.0</v>
      </c>
      <c r="B4139" s="17">
        <f t="array" ref="B4139">SUM(1-'Sparkling Model'!D$2:D$38^A4139)</f>
        <v>36.45890758</v>
      </c>
      <c r="C4139" s="8">
        <f t="array" ref="C4139">PRODUCT(1-'Sparkling Model'!D$2:D$38^A4139)</f>
        <v>0.5636912148</v>
      </c>
    </row>
    <row r="4140">
      <c r="A4140" s="6">
        <v>4138.0</v>
      </c>
      <c r="B4140" s="17">
        <f t="array" ref="B4140">SUM(1-'Sparkling Model'!D$2:D$38^A4140)</f>
        <v>36.4592317</v>
      </c>
      <c r="C4140" s="8">
        <f t="array" ref="C4140">PRODUCT(1-'Sparkling Model'!D$2:D$38^A4140)</f>
        <v>0.5638931878</v>
      </c>
    </row>
    <row r="4141">
      <c r="A4141" s="6">
        <v>4139.0</v>
      </c>
      <c r="B4141" s="17">
        <f t="array" ref="B4141">SUM(1-'Sparkling Model'!D$2:D$38^A4141)</f>
        <v>36.45955559</v>
      </c>
      <c r="C4141" s="8">
        <f t="array" ref="C4141">PRODUCT(1-'Sparkling Model'!D$2:D$38^A4141)</f>
        <v>0.5640950829</v>
      </c>
    </row>
    <row r="4142">
      <c r="A4142" s="6">
        <v>4140.0</v>
      </c>
      <c r="B4142" s="17">
        <f t="array" ref="B4142">SUM(1-'Sparkling Model'!D$2:D$38^A4142)</f>
        <v>36.45987926</v>
      </c>
      <c r="C4142" s="8">
        <f t="array" ref="C4142">PRODUCT(1-'Sparkling Model'!D$2:D$38^A4142)</f>
        <v>0.5642969002</v>
      </c>
    </row>
    <row r="4143">
      <c r="A4143" s="6">
        <v>4141.0</v>
      </c>
      <c r="B4143" s="17">
        <f t="array" ref="B4143">SUM(1-'Sparkling Model'!D$2:D$38^A4143)</f>
        <v>36.4602027</v>
      </c>
      <c r="C4143" s="8">
        <f t="array" ref="C4143">PRODUCT(1-'Sparkling Model'!D$2:D$38^A4143)</f>
        <v>0.5644986397</v>
      </c>
    </row>
    <row r="4144">
      <c r="A4144" s="6">
        <v>4142.0</v>
      </c>
      <c r="B4144" s="17">
        <f t="array" ref="B4144">SUM(1-'Sparkling Model'!D$2:D$38^A4144)</f>
        <v>36.46052591</v>
      </c>
      <c r="C4144" s="8">
        <f t="array" ref="C4144">PRODUCT(1-'Sparkling Model'!D$2:D$38^A4144)</f>
        <v>0.5647003013</v>
      </c>
    </row>
    <row r="4145">
      <c r="A4145" s="6">
        <v>4143.0</v>
      </c>
      <c r="B4145" s="17">
        <f t="array" ref="B4145">SUM(1-'Sparkling Model'!D$2:D$38^A4145)</f>
        <v>36.46084889</v>
      </c>
      <c r="C4145" s="8">
        <f t="array" ref="C4145">PRODUCT(1-'Sparkling Model'!D$2:D$38^A4145)</f>
        <v>0.5649018851</v>
      </c>
    </row>
    <row r="4146">
      <c r="A4146" s="6">
        <v>4144.0</v>
      </c>
      <c r="B4146" s="17">
        <f t="array" ref="B4146">SUM(1-'Sparkling Model'!D$2:D$38^A4146)</f>
        <v>36.46117165</v>
      </c>
      <c r="C4146" s="8">
        <f t="array" ref="C4146">PRODUCT(1-'Sparkling Model'!D$2:D$38^A4146)</f>
        <v>0.565103391</v>
      </c>
    </row>
    <row r="4147">
      <c r="A4147" s="6">
        <v>4145.0</v>
      </c>
      <c r="B4147" s="17">
        <f t="array" ref="B4147">SUM(1-'Sparkling Model'!D$2:D$38^A4147)</f>
        <v>36.46149418</v>
      </c>
      <c r="C4147" s="8">
        <f t="array" ref="C4147">PRODUCT(1-'Sparkling Model'!D$2:D$38^A4147)</f>
        <v>0.5653048192</v>
      </c>
    </row>
    <row r="4148">
      <c r="A4148" s="6">
        <v>4146.0</v>
      </c>
      <c r="B4148" s="17">
        <f t="array" ref="B4148">SUM(1-'Sparkling Model'!D$2:D$38^A4148)</f>
        <v>36.46181648</v>
      </c>
      <c r="C4148" s="8">
        <f t="array" ref="C4148">PRODUCT(1-'Sparkling Model'!D$2:D$38^A4148)</f>
        <v>0.5655061695</v>
      </c>
    </row>
    <row r="4149">
      <c r="A4149" s="6">
        <v>4147.0</v>
      </c>
      <c r="B4149" s="17">
        <f t="array" ref="B4149">SUM(1-'Sparkling Model'!D$2:D$38^A4149)</f>
        <v>36.46213855</v>
      </c>
      <c r="C4149" s="8">
        <f t="array" ref="C4149">PRODUCT(1-'Sparkling Model'!D$2:D$38^A4149)</f>
        <v>0.565707442</v>
      </c>
    </row>
    <row r="4150">
      <c r="A4150" s="6">
        <v>4148.0</v>
      </c>
      <c r="B4150" s="17">
        <f t="array" ref="B4150">SUM(1-'Sparkling Model'!D$2:D$38^A4150)</f>
        <v>36.4624604</v>
      </c>
      <c r="C4150" s="8">
        <f t="array" ref="C4150">PRODUCT(1-'Sparkling Model'!D$2:D$38^A4150)</f>
        <v>0.5659086367</v>
      </c>
    </row>
    <row r="4151">
      <c r="A4151" s="6">
        <v>4149.0</v>
      </c>
      <c r="B4151" s="17">
        <f t="array" ref="B4151">SUM(1-'Sparkling Model'!D$2:D$38^A4151)</f>
        <v>36.46278202</v>
      </c>
      <c r="C4151" s="8">
        <f t="array" ref="C4151">PRODUCT(1-'Sparkling Model'!D$2:D$38^A4151)</f>
        <v>0.5661097536</v>
      </c>
    </row>
    <row r="4152">
      <c r="A4152" s="6">
        <v>4150.0</v>
      </c>
      <c r="B4152" s="17">
        <f t="array" ref="B4152">SUM(1-'Sparkling Model'!D$2:D$38^A4152)</f>
        <v>36.46310341</v>
      </c>
      <c r="C4152" s="8">
        <f t="array" ref="C4152">PRODUCT(1-'Sparkling Model'!D$2:D$38^A4152)</f>
        <v>0.5663107927</v>
      </c>
    </row>
    <row r="4153">
      <c r="A4153" s="6">
        <v>4151.0</v>
      </c>
      <c r="B4153" s="17">
        <f t="array" ref="B4153">SUM(1-'Sparkling Model'!D$2:D$38^A4153)</f>
        <v>36.46342458</v>
      </c>
      <c r="C4153" s="8">
        <f t="array" ref="C4153">PRODUCT(1-'Sparkling Model'!D$2:D$38^A4153)</f>
        <v>0.566511754</v>
      </c>
    </row>
    <row r="4154">
      <c r="A4154" s="6">
        <v>4152.0</v>
      </c>
      <c r="B4154" s="17">
        <f t="array" ref="B4154">SUM(1-'Sparkling Model'!D$2:D$38^A4154)</f>
        <v>36.46374552</v>
      </c>
      <c r="C4154" s="8">
        <f t="array" ref="C4154">PRODUCT(1-'Sparkling Model'!D$2:D$38^A4154)</f>
        <v>0.5667126375</v>
      </c>
    </row>
    <row r="4155">
      <c r="A4155" s="6">
        <v>4153.0</v>
      </c>
      <c r="B4155" s="17">
        <f t="array" ref="B4155">SUM(1-'Sparkling Model'!D$2:D$38^A4155)</f>
        <v>36.46406624</v>
      </c>
      <c r="C4155" s="8">
        <f t="array" ref="C4155">PRODUCT(1-'Sparkling Model'!D$2:D$38^A4155)</f>
        <v>0.5669134432</v>
      </c>
    </row>
    <row r="4156">
      <c r="A4156" s="6">
        <v>4154.0</v>
      </c>
      <c r="B4156" s="17">
        <f t="array" ref="B4156">SUM(1-'Sparkling Model'!D$2:D$38^A4156)</f>
        <v>36.46438672</v>
      </c>
      <c r="C4156" s="8">
        <f t="array" ref="C4156">PRODUCT(1-'Sparkling Model'!D$2:D$38^A4156)</f>
        <v>0.5671141712</v>
      </c>
    </row>
    <row r="4157">
      <c r="A4157" s="6">
        <v>4155.0</v>
      </c>
      <c r="B4157" s="17">
        <f t="array" ref="B4157">SUM(1-'Sparkling Model'!D$2:D$38^A4157)</f>
        <v>36.46470699</v>
      </c>
      <c r="C4157" s="8">
        <f t="array" ref="C4157">PRODUCT(1-'Sparkling Model'!D$2:D$38^A4157)</f>
        <v>0.5673148213</v>
      </c>
    </row>
    <row r="4158">
      <c r="A4158" s="6">
        <v>4156.0</v>
      </c>
      <c r="B4158" s="17">
        <f t="array" ref="B4158">SUM(1-'Sparkling Model'!D$2:D$38^A4158)</f>
        <v>36.46502703</v>
      </c>
      <c r="C4158" s="8">
        <f t="array" ref="C4158">PRODUCT(1-'Sparkling Model'!D$2:D$38^A4158)</f>
        <v>0.5675153937</v>
      </c>
    </row>
    <row r="4159">
      <c r="A4159" s="6">
        <v>4157.0</v>
      </c>
      <c r="B4159" s="17">
        <f t="array" ref="B4159">SUM(1-'Sparkling Model'!D$2:D$38^A4159)</f>
        <v>36.46534684</v>
      </c>
      <c r="C4159" s="8">
        <f t="array" ref="C4159">PRODUCT(1-'Sparkling Model'!D$2:D$38^A4159)</f>
        <v>0.5677158884</v>
      </c>
    </row>
    <row r="4160">
      <c r="A4160" s="6">
        <v>4158.0</v>
      </c>
      <c r="B4160" s="17">
        <f t="array" ref="B4160">SUM(1-'Sparkling Model'!D$2:D$38^A4160)</f>
        <v>36.46566643</v>
      </c>
      <c r="C4160" s="8">
        <f t="array" ref="C4160">PRODUCT(1-'Sparkling Model'!D$2:D$38^A4160)</f>
        <v>0.5679163052</v>
      </c>
    </row>
    <row r="4161">
      <c r="A4161" s="6">
        <v>4159.0</v>
      </c>
      <c r="B4161" s="17">
        <f t="array" ref="B4161">SUM(1-'Sparkling Model'!D$2:D$38^A4161)</f>
        <v>36.4659858</v>
      </c>
      <c r="C4161" s="8">
        <f t="array" ref="C4161">PRODUCT(1-'Sparkling Model'!D$2:D$38^A4161)</f>
        <v>0.5681166443</v>
      </c>
    </row>
    <row r="4162">
      <c r="A4162" s="6">
        <v>4160.0</v>
      </c>
      <c r="B4162" s="17">
        <f t="array" ref="B4162">SUM(1-'Sparkling Model'!D$2:D$38^A4162)</f>
        <v>36.46630494</v>
      </c>
      <c r="C4162" s="8">
        <f t="array" ref="C4162">PRODUCT(1-'Sparkling Model'!D$2:D$38^A4162)</f>
        <v>0.5683169056</v>
      </c>
    </row>
    <row r="4163">
      <c r="A4163" s="6">
        <v>4161.0</v>
      </c>
      <c r="B4163" s="17">
        <f t="array" ref="B4163">SUM(1-'Sparkling Model'!D$2:D$38^A4163)</f>
        <v>36.46662385</v>
      </c>
      <c r="C4163" s="8">
        <f t="array" ref="C4163">PRODUCT(1-'Sparkling Model'!D$2:D$38^A4163)</f>
        <v>0.5685170892</v>
      </c>
    </row>
    <row r="4164">
      <c r="A4164" s="6">
        <v>4162.0</v>
      </c>
      <c r="B4164" s="17">
        <f t="array" ref="B4164">SUM(1-'Sparkling Model'!D$2:D$38^A4164)</f>
        <v>36.46694255</v>
      </c>
      <c r="C4164" s="8">
        <f t="array" ref="C4164">PRODUCT(1-'Sparkling Model'!D$2:D$38^A4164)</f>
        <v>0.5687171951</v>
      </c>
    </row>
    <row r="4165">
      <c r="A4165" s="6">
        <v>4163.0</v>
      </c>
      <c r="B4165" s="17">
        <f t="array" ref="B4165">SUM(1-'Sparkling Model'!D$2:D$38^A4165)</f>
        <v>36.46726101</v>
      </c>
      <c r="C4165" s="8">
        <f t="array" ref="C4165">PRODUCT(1-'Sparkling Model'!D$2:D$38^A4165)</f>
        <v>0.5689172232</v>
      </c>
    </row>
    <row r="4166">
      <c r="A4166" s="6">
        <v>4164.0</v>
      </c>
      <c r="B4166" s="17">
        <f t="array" ref="B4166">SUM(1-'Sparkling Model'!D$2:D$38^A4166)</f>
        <v>36.46757926</v>
      </c>
      <c r="C4166" s="8">
        <f t="array" ref="C4166">PRODUCT(1-'Sparkling Model'!D$2:D$38^A4166)</f>
        <v>0.5691171736</v>
      </c>
    </row>
    <row r="4167">
      <c r="A4167" s="6">
        <v>4165.0</v>
      </c>
      <c r="B4167" s="17">
        <f t="array" ref="B4167">SUM(1-'Sparkling Model'!D$2:D$38^A4167)</f>
        <v>36.46789728</v>
      </c>
      <c r="C4167" s="8">
        <f t="array" ref="C4167">PRODUCT(1-'Sparkling Model'!D$2:D$38^A4167)</f>
        <v>0.5693170462</v>
      </c>
    </row>
    <row r="4168">
      <c r="A4168" s="6">
        <v>4166.0</v>
      </c>
      <c r="B4168" s="17">
        <f t="array" ref="B4168">SUM(1-'Sparkling Model'!D$2:D$38^A4168)</f>
        <v>36.46821508</v>
      </c>
      <c r="C4168" s="8">
        <f t="array" ref="C4168">PRODUCT(1-'Sparkling Model'!D$2:D$38^A4168)</f>
        <v>0.5695168411</v>
      </c>
    </row>
    <row r="4169">
      <c r="A4169" s="6">
        <v>4167.0</v>
      </c>
      <c r="B4169" s="17">
        <f t="array" ref="B4169">SUM(1-'Sparkling Model'!D$2:D$38^A4169)</f>
        <v>36.46853265</v>
      </c>
      <c r="C4169" s="8">
        <f t="array" ref="C4169">PRODUCT(1-'Sparkling Model'!D$2:D$38^A4169)</f>
        <v>0.5697165583</v>
      </c>
    </row>
    <row r="4170">
      <c r="A4170" s="6">
        <v>4168.0</v>
      </c>
      <c r="B4170" s="17">
        <f t="array" ref="B4170">SUM(1-'Sparkling Model'!D$2:D$38^A4170)</f>
        <v>36.46885</v>
      </c>
      <c r="C4170" s="8">
        <f t="array" ref="C4170">PRODUCT(1-'Sparkling Model'!D$2:D$38^A4170)</f>
        <v>0.5699161978</v>
      </c>
    </row>
    <row r="4171">
      <c r="A4171" s="6">
        <v>4169.0</v>
      </c>
      <c r="B4171" s="17">
        <f t="array" ref="B4171">SUM(1-'Sparkling Model'!D$2:D$38^A4171)</f>
        <v>36.46916713</v>
      </c>
      <c r="C4171" s="8">
        <f t="array" ref="C4171">PRODUCT(1-'Sparkling Model'!D$2:D$38^A4171)</f>
        <v>0.5701157596</v>
      </c>
    </row>
    <row r="4172">
      <c r="A4172" s="6">
        <v>4170.0</v>
      </c>
      <c r="B4172" s="17">
        <f t="array" ref="B4172">SUM(1-'Sparkling Model'!D$2:D$38^A4172)</f>
        <v>36.46948404</v>
      </c>
      <c r="C4172" s="8">
        <f t="array" ref="C4172">PRODUCT(1-'Sparkling Model'!D$2:D$38^A4172)</f>
        <v>0.5703152437</v>
      </c>
    </row>
    <row r="4173">
      <c r="A4173" s="6">
        <v>4171.0</v>
      </c>
      <c r="B4173" s="17">
        <f t="array" ref="B4173">SUM(1-'Sparkling Model'!D$2:D$38^A4173)</f>
        <v>36.46980072</v>
      </c>
      <c r="C4173" s="8">
        <f t="array" ref="C4173">PRODUCT(1-'Sparkling Model'!D$2:D$38^A4173)</f>
        <v>0.57051465</v>
      </c>
    </row>
    <row r="4174">
      <c r="A4174" s="6">
        <v>4172.0</v>
      </c>
      <c r="B4174" s="17">
        <f t="array" ref="B4174">SUM(1-'Sparkling Model'!D$2:D$38^A4174)</f>
        <v>36.47011719</v>
      </c>
      <c r="C4174" s="8">
        <f t="array" ref="C4174">PRODUCT(1-'Sparkling Model'!D$2:D$38^A4174)</f>
        <v>0.5707139787</v>
      </c>
    </row>
    <row r="4175">
      <c r="A4175" s="6">
        <v>4173.0</v>
      </c>
      <c r="B4175" s="17">
        <f t="array" ref="B4175">SUM(1-'Sparkling Model'!D$2:D$38^A4175)</f>
        <v>36.47043343</v>
      </c>
      <c r="C4175" s="8">
        <f t="array" ref="C4175">PRODUCT(1-'Sparkling Model'!D$2:D$38^A4175)</f>
        <v>0.5709132297</v>
      </c>
    </row>
    <row r="4176">
      <c r="A4176" s="6">
        <v>4174.0</v>
      </c>
      <c r="B4176" s="17">
        <f t="array" ref="B4176">SUM(1-'Sparkling Model'!D$2:D$38^A4176)</f>
        <v>36.47074945</v>
      </c>
      <c r="C4176" s="8">
        <f t="array" ref="C4176">PRODUCT(1-'Sparkling Model'!D$2:D$38^A4176)</f>
        <v>0.571112403</v>
      </c>
    </row>
    <row r="4177">
      <c r="A4177" s="6">
        <v>4175.0</v>
      </c>
      <c r="B4177" s="17">
        <f t="array" ref="B4177">SUM(1-'Sparkling Model'!D$2:D$38^A4177)</f>
        <v>36.47106524</v>
      </c>
      <c r="C4177" s="8">
        <f t="array" ref="C4177">PRODUCT(1-'Sparkling Model'!D$2:D$38^A4177)</f>
        <v>0.5713114987</v>
      </c>
    </row>
    <row r="4178">
      <c r="A4178" s="6">
        <v>4176.0</v>
      </c>
      <c r="B4178" s="17">
        <f t="array" ref="B4178">SUM(1-'Sparkling Model'!D$2:D$38^A4178)</f>
        <v>36.47138082</v>
      </c>
      <c r="C4178" s="8">
        <f t="array" ref="C4178">PRODUCT(1-'Sparkling Model'!D$2:D$38^A4178)</f>
        <v>0.5715105166</v>
      </c>
    </row>
    <row r="4179">
      <c r="A4179" s="6">
        <v>4177.0</v>
      </c>
      <c r="B4179" s="17">
        <f t="array" ref="B4179">SUM(1-'Sparkling Model'!D$2:D$38^A4179)</f>
        <v>36.47169617</v>
      </c>
      <c r="C4179" s="8">
        <f t="array" ref="C4179">PRODUCT(1-'Sparkling Model'!D$2:D$38^A4179)</f>
        <v>0.5717094569</v>
      </c>
    </row>
    <row r="4180">
      <c r="A4180" s="6">
        <v>4178.0</v>
      </c>
      <c r="B4180" s="17">
        <f t="array" ref="B4180">SUM(1-'Sparkling Model'!D$2:D$38^A4180)</f>
        <v>36.47201131</v>
      </c>
      <c r="C4180" s="8">
        <f t="array" ref="C4180">PRODUCT(1-'Sparkling Model'!D$2:D$38^A4180)</f>
        <v>0.5719083196</v>
      </c>
    </row>
    <row r="4181">
      <c r="A4181" s="6">
        <v>4179.0</v>
      </c>
      <c r="B4181" s="17">
        <f t="array" ref="B4181">SUM(1-'Sparkling Model'!D$2:D$38^A4181)</f>
        <v>36.47232622</v>
      </c>
      <c r="C4181" s="8">
        <f t="array" ref="C4181">PRODUCT(1-'Sparkling Model'!D$2:D$38^A4181)</f>
        <v>0.5721071045</v>
      </c>
    </row>
    <row r="4182">
      <c r="A4182" s="6">
        <v>4180.0</v>
      </c>
      <c r="B4182" s="17">
        <f t="array" ref="B4182">SUM(1-'Sparkling Model'!D$2:D$38^A4182)</f>
        <v>36.47264091</v>
      </c>
      <c r="C4182" s="8">
        <f t="array" ref="C4182">PRODUCT(1-'Sparkling Model'!D$2:D$38^A4182)</f>
        <v>0.5723058119</v>
      </c>
    </row>
    <row r="4183">
      <c r="A4183" s="6">
        <v>4181.0</v>
      </c>
      <c r="B4183" s="17">
        <f t="array" ref="B4183">SUM(1-'Sparkling Model'!D$2:D$38^A4183)</f>
        <v>36.47295539</v>
      </c>
      <c r="C4183" s="8">
        <f t="array" ref="C4183">PRODUCT(1-'Sparkling Model'!D$2:D$38^A4183)</f>
        <v>0.5725044416</v>
      </c>
    </row>
    <row r="4184">
      <c r="A4184" s="6">
        <v>4182.0</v>
      </c>
      <c r="B4184" s="17">
        <f t="array" ref="B4184">SUM(1-'Sparkling Model'!D$2:D$38^A4184)</f>
        <v>36.47326964</v>
      </c>
      <c r="C4184" s="8">
        <f t="array" ref="C4184">PRODUCT(1-'Sparkling Model'!D$2:D$38^A4184)</f>
        <v>0.5727029936</v>
      </c>
    </row>
    <row r="4185">
      <c r="A4185" s="6">
        <v>4183.0</v>
      </c>
      <c r="B4185" s="17">
        <f t="array" ref="B4185">SUM(1-'Sparkling Model'!D$2:D$38^A4185)</f>
        <v>36.47358367</v>
      </c>
      <c r="C4185" s="8">
        <f t="array" ref="C4185">PRODUCT(1-'Sparkling Model'!D$2:D$38^A4185)</f>
        <v>0.5729014681</v>
      </c>
    </row>
    <row r="4186">
      <c r="A4186" s="6">
        <v>4184.0</v>
      </c>
      <c r="B4186" s="17">
        <f t="array" ref="B4186">SUM(1-'Sparkling Model'!D$2:D$38^A4186)</f>
        <v>36.47389748</v>
      </c>
      <c r="C4186" s="8">
        <f t="array" ref="C4186">PRODUCT(1-'Sparkling Model'!D$2:D$38^A4186)</f>
        <v>0.5730998649</v>
      </c>
    </row>
    <row r="4187">
      <c r="A4187" s="6">
        <v>4185.0</v>
      </c>
      <c r="B4187" s="17">
        <f t="array" ref="B4187">SUM(1-'Sparkling Model'!D$2:D$38^A4187)</f>
        <v>36.47421108</v>
      </c>
      <c r="C4187" s="8">
        <f t="array" ref="C4187">PRODUCT(1-'Sparkling Model'!D$2:D$38^A4187)</f>
        <v>0.5732981841</v>
      </c>
    </row>
    <row r="4188">
      <c r="A4188" s="6">
        <v>4186.0</v>
      </c>
      <c r="B4188" s="17">
        <f t="array" ref="B4188">SUM(1-'Sparkling Model'!D$2:D$38^A4188)</f>
        <v>36.47452445</v>
      </c>
      <c r="C4188" s="8">
        <f t="array" ref="C4188">PRODUCT(1-'Sparkling Model'!D$2:D$38^A4188)</f>
        <v>0.5734964256</v>
      </c>
    </row>
    <row r="4189">
      <c r="A4189" s="6">
        <v>4187.0</v>
      </c>
      <c r="B4189" s="17">
        <f t="array" ref="B4189">SUM(1-'Sparkling Model'!D$2:D$38^A4189)</f>
        <v>36.4748376</v>
      </c>
      <c r="C4189" s="8">
        <f t="array" ref="C4189">PRODUCT(1-'Sparkling Model'!D$2:D$38^A4189)</f>
        <v>0.5736945896</v>
      </c>
    </row>
    <row r="4190">
      <c r="A4190" s="6">
        <v>4188.0</v>
      </c>
      <c r="B4190" s="17">
        <f t="array" ref="B4190">SUM(1-'Sparkling Model'!D$2:D$38^A4190)</f>
        <v>36.47515054</v>
      </c>
      <c r="C4190" s="8">
        <f t="array" ref="C4190">PRODUCT(1-'Sparkling Model'!D$2:D$38^A4190)</f>
        <v>0.573892676</v>
      </c>
    </row>
    <row r="4191">
      <c r="A4191" s="6">
        <v>4189.0</v>
      </c>
      <c r="B4191" s="17">
        <f t="array" ref="B4191">SUM(1-'Sparkling Model'!D$2:D$38^A4191)</f>
        <v>36.47546326</v>
      </c>
      <c r="C4191" s="8">
        <f t="array" ref="C4191">PRODUCT(1-'Sparkling Model'!D$2:D$38^A4191)</f>
        <v>0.5740906847</v>
      </c>
    </row>
    <row r="4192">
      <c r="A4192" s="6">
        <v>4190.0</v>
      </c>
      <c r="B4192" s="17">
        <f t="array" ref="B4192">SUM(1-'Sparkling Model'!D$2:D$38^A4192)</f>
        <v>36.47577576</v>
      </c>
      <c r="C4192" s="8">
        <f t="array" ref="C4192">PRODUCT(1-'Sparkling Model'!D$2:D$38^A4192)</f>
        <v>0.5742886159</v>
      </c>
    </row>
    <row r="4193">
      <c r="A4193" s="6">
        <v>4191.0</v>
      </c>
      <c r="B4193" s="17">
        <f t="array" ref="B4193">SUM(1-'Sparkling Model'!D$2:D$38^A4193)</f>
        <v>36.47608804</v>
      </c>
      <c r="C4193" s="8">
        <f t="array" ref="C4193">PRODUCT(1-'Sparkling Model'!D$2:D$38^A4193)</f>
        <v>0.5744864695</v>
      </c>
    </row>
    <row r="4194">
      <c r="A4194" s="6">
        <v>4192.0</v>
      </c>
      <c r="B4194" s="17">
        <f t="array" ref="B4194">SUM(1-'Sparkling Model'!D$2:D$38^A4194)</f>
        <v>36.4764001</v>
      </c>
      <c r="C4194" s="8">
        <f t="array" ref="C4194">PRODUCT(1-'Sparkling Model'!D$2:D$38^A4194)</f>
        <v>0.5746842456</v>
      </c>
    </row>
    <row r="4195">
      <c r="A4195" s="6">
        <v>4193.0</v>
      </c>
      <c r="B4195" s="17">
        <f t="array" ref="B4195">SUM(1-'Sparkling Model'!D$2:D$38^A4195)</f>
        <v>36.47671194</v>
      </c>
      <c r="C4195" s="8">
        <f t="array" ref="C4195">PRODUCT(1-'Sparkling Model'!D$2:D$38^A4195)</f>
        <v>0.574881944</v>
      </c>
    </row>
    <row r="4196">
      <c r="A4196" s="6">
        <v>4194.0</v>
      </c>
      <c r="B4196" s="17">
        <f t="array" ref="B4196">SUM(1-'Sparkling Model'!D$2:D$38^A4196)</f>
        <v>36.47702357</v>
      </c>
      <c r="C4196" s="8">
        <f t="array" ref="C4196">PRODUCT(1-'Sparkling Model'!D$2:D$38^A4196)</f>
        <v>0.5750795649</v>
      </c>
    </row>
    <row r="4197">
      <c r="A4197" s="6">
        <v>4195.0</v>
      </c>
      <c r="B4197" s="17">
        <f t="array" ref="B4197">SUM(1-'Sparkling Model'!D$2:D$38^A4197)</f>
        <v>36.47733497</v>
      </c>
      <c r="C4197" s="8">
        <f t="array" ref="C4197">PRODUCT(1-'Sparkling Model'!D$2:D$38^A4197)</f>
        <v>0.5752771083</v>
      </c>
    </row>
    <row r="4198">
      <c r="A4198" s="6">
        <v>4196.0</v>
      </c>
      <c r="B4198" s="17">
        <f t="array" ref="B4198">SUM(1-'Sparkling Model'!D$2:D$38^A4198)</f>
        <v>36.47764616</v>
      </c>
      <c r="C4198" s="8">
        <f t="array" ref="C4198">PRODUCT(1-'Sparkling Model'!D$2:D$38^A4198)</f>
        <v>0.5754745741</v>
      </c>
    </row>
    <row r="4199">
      <c r="A4199" s="6">
        <v>4197.0</v>
      </c>
      <c r="B4199" s="17">
        <f t="array" ref="B4199">SUM(1-'Sparkling Model'!D$2:D$38^A4199)</f>
        <v>36.47795714</v>
      </c>
      <c r="C4199" s="8">
        <f t="array" ref="C4199">PRODUCT(1-'Sparkling Model'!D$2:D$38^A4199)</f>
        <v>0.5756719623</v>
      </c>
    </row>
    <row r="4200">
      <c r="A4200" s="6">
        <v>4198.0</v>
      </c>
      <c r="B4200" s="17">
        <f t="array" ref="B4200">SUM(1-'Sparkling Model'!D$2:D$38^A4200)</f>
        <v>36.47826789</v>
      </c>
      <c r="C4200" s="8">
        <f t="array" ref="C4200">PRODUCT(1-'Sparkling Model'!D$2:D$38^A4200)</f>
        <v>0.575869273</v>
      </c>
    </row>
    <row r="4201">
      <c r="A4201" s="6">
        <v>4199.0</v>
      </c>
      <c r="B4201" s="17">
        <f t="array" ref="B4201">SUM(1-'Sparkling Model'!D$2:D$38^A4201)</f>
        <v>36.47857843</v>
      </c>
      <c r="C4201" s="8">
        <f t="array" ref="C4201">PRODUCT(1-'Sparkling Model'!D$2:D$38^A4201)</f>
        <v>0.5760665062</v>
      </c>
    </row>
    <row r="4202">
      <c r="A4202" s="6">
        <v>4200.0</v>
      </c>
      <c r="B4202" s="17">
        <f t="array" ref="B4202">SUM(1-'Sparkling Model'!D$2:D$38^A4202)</f>
        <v>36.47888876</v>
      </c>
      <c r="C4202" s="8">
        <f t="array" ref="C4202">PRODUCT(1-'Sparkling Model'!D$2:D$38^A4202)</f>
        <v>0.5762636619</v>
      </c>
    </row>
    <row r="4203">
      <c r="A4203" s="6">
        <v>4201.0</v>
      </c>
      <c r="B4203" s="17">
        <f t="array" ref="B4203">SUM(1-'Sparkling Model'!D$2:D$38^A4203)</f>
        <v>36.47919886</v>
      </c>
      <c r="C4203" s="8">
        <f t="array" ref="C4203">PRODUCT(1-'Sparkling Model'!D$2:D$38^A4203)</f>
        <v>0.5764607401</v>
      </c>
    </row>
    <row r="4204">
      <c r="A4204" s="6">
        <v>4202.0</v>
      </c>
      <c r="B4204" s="17">
        <f t="array" ref="B4204">SUM(1-'Sparkling Model'!D$2:D$38^A4204)</f>
        <v>36.47950875</v>
      </c>
      <c r="C4204" s="8">
        <f t="array" ref="C4204">PRODUCT(1-'Sparkling Model'!D$2:D$38^A4204)</f>
        <v>0.5766577407</v>
      </c>
    </row>
    <row r="4205">
      <c r="A4205" s="6">
        <v>4203.0</v>
      </c>
      <c r="B4205" s="17">
        <f t="array" ref="B4205">SUM(1-'Sparkling Model'!D$2:D$38^A4205)</f>
        <v>36.47981843</v>
      </c>
      <c r="C4205" s="8">
        <f t="array" ref="C4205">PRODUCT(1-'Sparkling Model'!D$2:D$38^A4205)</f>
        <v>0.5768546639</v>
      </c>
    </row>
    <row r="4206">
      <c r="A4206" s="6">
        <v>4204.0</v>
      </c>
      <c r="B4206" s="17">
        <f t="array" ref="B4206">SUM(1-'Sparkling Model'!D$2:D$38^A4206)</f>
        <v>36.48012788</v>
      </c>
      <c r="C4206" s="8">
        <f t="array" ref="C4206">PRODUCT(1-'Sparkling Model'!D$2:D$38^A4206)</f>
        <v>0.5770515095</v>
      </c>
    </row>
    <row r="4207">
      <c r="A4207" s="6">
        <v>4205.0</v>
      </c>
      <c r="B4207" s="17">
        <f t="array" ref="B4207">SUM(1-'Sparkling Model'!D$2:D$38^A4207)</f>
        <v>36.48043713</v>
      </c>
      <c r="C4207" s="8">
        <f t="array" ref="C4207">PRODUCT(1-'Sparkling Model'!D$2:D$38^A4207)</f>
        <v>0.5772482777</v>
      </c>
    </row>
    <row r="4208">
      <c r="A4208" s="6">
        <v>4206.0</v>
      </c>
      <c r="B4208" s="17">
        <f t="array" ref="B4208">SUM(1-'Sparkling Model'!D$2:D$38^A4208)</f>
        <v>36.48074615</v>
      </c>
      <c r="C4208" s="8">
        <f t="array" ref="C4208">PRODUCT(1-'Sparkling Model'!D$2:D$38^A4208)</f>
        <v>0.5774449684</v>
      </c>
    </row>
    <row r="4209">
      <c r="A4209" s="6">
        <v>4207.0</v>
      </c>
      <c r="B4209" s="17">
        <f t="array" ref="B4209">SUM(1-'Sparkling Model'!D$2:D$38^A4209)</f>
        <v>36.48105496</v>
      </c>
      <c r="C4209" s="8">
        <f t="array" ref="C4209">PRODUCT(1-'Sparkling Model'!D$2:D$38^A4209)</f>
        <v>0.5776415816</v>
      </c>
    </row>
    <row r="4210">
      <c r="A4210" s="6">
        <v>4208.0</v>
      </c>
      <c r="B4210" s="17">
        <f t="array" ref="B4210">SUM(1-'Sparkling Model'!D$2:D$38^A4210)</f>
        <v>36.48136356</v>
      </c>
      <c r="C4210" s="8">
        <f t="array" ref="C4210">PRODUCT(1-'Sparkling Model'!D$2:D$38^A4210)</f>
        <v>0.5778381173</v>
      </c>
    </row>
    <row r="4211">
      <c r="A4211" s="6">
        <v>4209.0</v>
      </c>
      <c r="B4211" s="17">
        <f t="array" ref="B4211">SUM(1-'Sparkling Model'!D$2:D$38^A4211)</f>
        <v>36.48167194</v>
      </c>
      <c r="C4211" s="8">
        <f t="array" ref="C4211">PRODUCT(1-'Sparkling Model'!D$2:D$38^A4211)</f>
        <v>0.5780345756</v>
      </c>
    </row>
    <row r="4212">
      <c r="A4212" s="6">
        <v>4210.0</v>
      </c>
      <c r="B4212" s="17">
        <f t="array" ref="B4212">SUM(1-'Sparkling Model'!D$2:D$38^A4212)</f>
        <v>36.48198011</v>
      </c>
      <c r="C4212" s="8">
        <f t="array" ref="C4212">PRODUCT(1-'Sparkling Model'!D$2:D$38^A4212)</f>
        <v>0.5782309564</v>
      </c>
    </row>
    <row r="4213">
      <c r="A4213" s="6">
        <v>4211.0</v>
      </c>
      <c r="B4213" s="17">
        <f t="array" ref="B4213">SUM(1-'Sparkling Model'!D$2:D$38^A4213)</f>
        <v>36.48228806</v>
      </c>
      <c r="C4213" s="8">
        <f t="array" ref="C4213">PRODUCT(1-'Sparkling Model'!D$2:D$38^A4213)</f>
        <v>0.5784272598</v>
      </c>
    </row>
    <row r="4214">
      <c r="A4214" s="6">
        <v>4212.0</v>
      </c>
      <c r="B4214" s="17">
        <f t="array" ref="B4214">SUM(1-'Sparkling Model'!D$2:D$38^A4214)</f>
        <v>36.4825958</v>
      </c>
      <c r="C4214" s="8">
        <f t="array" ref="C4214">PRODUCT(1-'Sparkling Model'!D$2:D$38^A4214)</f>
        <v>0.5786234858</v>
      </c>
    </row>
    <row r="4215">
      <c r="A4215" s="6">
        <v>4213.0</v>
      </c>
      <c r="B4215" s="17">
        <f t="array" ref="B4215">SUM(1-'Sparkling Model'!D$2:D$38^A4215)</f>
        <v>36.48290332</v>
      </c>
      <c r="C4215" s="8">
        <f t="array" ref="C4215">PRODUCT(1-'Sparkling Model'!D$2:D$38^A4215)</f>
        <v>0.5788196343</v>
      </c>
    </row>
    <row r="4216">
      <c r="A4216" s="6">
        <v>4214.0</v>
      </c>
      <c r="B4216" s="17">
        <f t="array" ref="B4216">SUM(1-'Sparkling Model'!D$2:D$38^A4216)</f>
        <v>36.48321063</v>
      </c>
      <c r="C4216" s="8">
        <f t="array" ref="C4216">PRODUCT(1-'Sparkling Model'!D$2:D$38^A4216)</f>
        <v>0.5790157054</v>
      </c>
    </row>
    <row r="4217">
      <c r="A4217" s="6">
        <v>4215.0</v>
      </c>
      <c r="B4217" s="17">
        <f t="array" ref="B4217">SUM(1-'Sparkling Model'!D$2:D$38^A4217)</f>
        <v>36.48351772</v>
      </c>
      <c r="C4217" s="8">
        <f t="array" ref="C4217">PRODUCT(1-'Sparkling Model'!D$2:D$38^A4217)</f>
        <v>0.5792116991</v>
      </c>
    </row>
    <row r="4218">
      <c r="A4218" s="6">
        <v>4216.0</v>
      </c>
      <c r="B4218" s="17">
        <f t="array" ref="B4218">SUM(1-'Sparkling Model'!D$2:D$38^A4218)</f>
        <v>36.4838246</v>
      </c>
      <c r="C4218" s="8">
        <f t="array" ref="C4218">PRODUCT(1-'Sparkling Model'!D$2:D$38^A4218)</f>
        <v>0.5794076154</v>
      </c>
    </row>
    <row r="4219">
      <c r="A4219" s="6">
        <v>4217.0</v>
      </c>
      <c r="B4219" s="17">
        <f t="array" ref="B4219">SUM(1-'Sparkling Model'!D$2:D$38^A4219)</f>
        <v>36.48413127</v>
      </c>
      <c r="C4219" s="8">
        <f t="array" ref="C4219">PRODUCT(1-'Sparkling Model'!D$2:D$38^A4219)</f>
        <v>0.5796034542</v>
      </c>
    </row>
    <row r="4220">
      <c r="A4220" s="6">
        <v>4218.0</v>
      </c>
      <c r="B4220" s="17">
        <f t="array" ref="B4220">SUM(1-'Sparkling Model'!D$2:D$38^A4220)</f>
        <v>36.48443773</v>
      </c>
      <c r="C4220" s="8">
        <f t="array" ref="C4220">PRODUCT(1-'Sparkling Model'!D$2:D$38^A4220)</f>
        <v>0.5797992157</v>
      </c>
    </row>
    <row r="4221">
      <c r="A4221" s="6">
        <v>4219.0</v>
      </c>
      <c r="B4221" s="17">
        <f t="array" ref="B4221">SUM(1-'Sparkling Model'!D$2:D$38^A4221)</f>
        <v>36.48474397</v>
      </c>
      <c r="C4221" s="8">
        <f t="array" ref="C4221">PRODUCT(1-'Sparkling Model'!D$2:D$38^A4221)</f>
        <v>0.5799948998</v>
      </c>
    </row>
    <row r="4222">
      <c r="A4222" s="6">
        <v>4220.0</v>
      </c>
      <c r="B4222" s="17">
        <f t="array" ref="B4222">SUM(1-'Sparkling Model'!D$2:D$38^A4222)</f>
        <v>36.48505</v>
      </c>
      <c r="C4222" s="8">
        <f t="array" ref="C4222">PRODUCT(1-'Sparkling Model'!D$2:D$38^A4222)</f>
        <v>0.5801905066</v>
      </c>
    </row>
    <row r="4223">
      <c r="A4223" s="6">
        <v>4221.0</v>
      </c>
      <c r="B4223" s="17">
        <f t="array" ref="B4223">SUM(1-'Sparkling Model'!D$2:D$38^A4223)</f>
        <v>36.48535581</v>
      </c>
      <c r="C4223" s="8">
        <f t="array" ref="C4223">PRODUCT(1-'Sparkling Model'!D$2:D$38^A4223)</f>
        <v>0.5803860359</v>
      </c>
    </row>
    <row r="4224">
      <c r="A4224" s="6">
        <v>4222.0</v>
      </c>
      <c r="B4224" s="17">
        <f t="array" ref="B4224">SUM(1-'Sparkling Model'!D$2:D$38^A4224)</f>
        <v>36.48566141</v>
      </c>
      <c r="C4224" s="8">
        <f t="array" ref="C4224">PRODUCT(1-'Sparkling Model'!D$2:D$38^A4224)</f>
        <v>0.5805814879</v>
      </c>
    </row>
    <row r="4225">
      <c r="A4225" s="6">
        <v>4223.0</v>
      </c>
      <c r="B4225" s="17">
        <f t="array" ref="B4225">SUM(1-'Sparkling Model'!D$2:D$38^A4225)</f>
        <v>36.4859668</v>
      </c>
      <c r="C4225" s="8">
        <f t="array" ref="C4225">PRODUCT(1-'Sparkling Model'!D$2:D$38^A4225)</f>
        <v>0.5807768625</v>
      </c>
    </row>
    <row r="4226">
      <c r="A4226" s="6">
        <v>4224.0</v>
      </c>
      <c r="B4226" s="17">
        <f t="array" ref="B4226">SUM(1-'Sparkling Model'!D$2:D$38^A4226)</f>
        <v>36.48627198</v>
      </c>
      <c r="C4226" s="8">
        <f t="array" ref="C4226">PRODUCT(1-'Sparkling Model'!D$2:D$38^A4226)</f>
        <v>0.5809721598</v>
      </c>
    </row>
    <row r="4227">
      <c r="A4227" s="6">
        <v>4225.0</v>
      </c>
      <c r="B4227" s="17">
        <f t="array" ref="B4227">SUM(1-'Sparkling Model'!D$2:D$38^A4227)</f>
        <v>36.48657695</v>
      </c>
      <c r="C4227" s="8">
        <f t="array" ref="C4227">PRODUCT(1-'Sparkling Model'!D$2:D$38^A4227)</f>
        <v>0.5811673798</v>
      </c>
    </row>
    <row r="4228">
      <c r="A4228" s="6">
        <v>4226.0</v>
      </c>
      <c r="B4228" s="17">
        <f t="array" ref="B4228">SUM(1-'Sparkling Model'!D$2:D$38^A4228)</f>
        <v>36.4868817</v>
      </c>
      <c r="C4228" s="8">
        <f t="array" ref="C4228">PRODUCT(1-'Sparkling Model'!D$2:D$38^A4228)</f>
        <v>0.5813625224</v>
      </c>
    </row>
    <row r="4229">
      <c r="A4229" s="6">
        <v>4227.0</v>
      </c>
      <c r="B4229" s="17">
        <f t="array" ref="B4229">SUM(1-'Sparkling Model'!D$2:D$38^A4229)</f>
        <v>36.48718625</v>
      </c>
      <c r="C4229" s="8">
        <f t="array" ref="C4229">PRODUCT(1-'Sparkling Model'!D$2:D$38^A4229)</f>
        <v>0.5815575877</v>
      </c>
    </row>
    <row r="4230">
      <c r="A4230" s="6">
        <v>4228.0</v>
      </c>
      <c r="B4230" s="17">
        <f t="array" ref="B4230">SUM(1-'Sparkling Model'!D$2:D$38^A4230)</f>
        <v>36.48749058</v>
      </c>
      <c r="C4230" s="8">
        <f t="array" ref="C4230">PRODUCT(1-'Sparkling Model'!D$2:D$38^A4230)</f>
        <v>0.5817525757</v>
      </c>
    </row>
    <row r="4231">
      <c r="A4231" s="6">
        <v>4229.0</v>
      </c>
      <c r="B4231" s="17">
        <f t="array" ref="B4231">SUM(1-'Sparkling Model'!D$2:D$38^A4231)</f>
        <v>36.4877947</v>
      </c>
      <c r="C4231" s="8">
        <f t="array" ref="C4231">PRODUCT(1-'Sparkling Model'!D$2:D$38^A4231)</f>
        <v>0.5819474864</v>
      </c>
    </row>
    <row r="4232">
      <c r="A4232" s="6">
        <v>4230.0</v>
      </c>
      <c r="B4232" s="17">
        <f t="array" ref="B4232">SUM(1-'Sparkling Model'!D$2:D$38^A4232)</f>
        <v>36.48809861</v>
      </c>
      <c r="C4232" s="8">
        <f t="array" ref="C4232">PRODUCT(1-'Sparkling Model'!D$2:D$38^A4232)</f>
        <v>0.5821423198</v>
      </c>
    </row>
    <row r="4233">
      <c r="A4233" s="6">
        <v>4231.0</v>
      </c>
      <c r="B4233" s="17">
        <f t="array" ref="B4233">SUM(1-'Sparkling Model'!D$2:D$38^A4233)</f>
        <v>36.48840231</v>
      </c>
      <c r="C4233" s="8">
        <f t="array" ref="C4233">PRODUCT(1-'Sparkling Model'!D$2:D$38^A4233)</f>
        <v>0.5823370759</v>
      </c>
    </row>
    <row r="4234">
      <c r="A4234" s="6">
        <v>4232.0</v>
      </c>
      <c r="B4234" s="17">
        <f t="array" ref="B4234">SUM(1-'Sparkling Model'!D$2:D$38^A4234)</f>
        <v>36.48870579</v>
      </c>
      <c r="C4234" s="8">
        <f t="array" ref="C4234">PRODUCT(1-'Sparkling Model'!D$2:D$38^A4234)</f>
        <v>0.5825317547</v>
      </c>
    </row>
    <row r="4235">
      <c r="A4235" s="6">
        <v>4233.0</v>
      </c>
      <c r="B4235" s="17">
        <f t="array" ref="B4235">SUM(1-'Sparkling Model'!D$2:D$38^A4235)</f>
        <v>36.48900907</v>
      </c>
      <c r="C4235" s="8">
        <f t="array" ref="C4235">PRODUCT(1-'Sparkling Model'!D$2:D$38^A4235)</f>
        <v>0.5827263562</v>
      </c>
    </row>
    <row r="4236">
      <c r="A4236" s="6">
        <v>4234.0</v>
      </c>
      <c r="B4236" s="17">
        <f t="array" ref="B4236">SUM(1-'Sparkling Model'!D$2:D$38^A4236)</f>
        <v>36.48931214</v>
      </c>
      <c r="C4236" s="8">
        <f t="array" ref="C4236">PRODUCT(1-'Sparkling Model'!D$2:D$38^A4236)</f>
        <v>0.5829208805</v>
      </c>
    </row>
    <row r="4237">
      <c r="A4237" s="6">
        <v>4235.0</v>
      </c>
      <c r="B4237" s="17">
        <f t="array" ref="B4237">SUM(1-'Sparkling Model'!D$2:D$38^A4237)</f>
        <v>36.48961499</v>
      </c>
      <c r="C4237" s="8">
        <f t="array" ref="C4237">PRODUCT(1-'Sparkling Model'!D$2:D$38^A4237)</f>
        <v>0.5831153275</v>
      </c>
    </row>
    <row r="4238">
      <c r="A4238" s="6">
        <v>4236.0</v>
      </c>
      <c r="B4238" s="17">
        <f t="array" ref="B4238">SUM(1-'Sparkling Model'!D$2:D$38^A4238)</f>
        <v>36.48991764</v>
      </c>
      <c r="C4238" s="8">
        <f t="array" ref="C4238">PRODUCT(1-'Sparkling Model'!D$2:D$38^A4238)</f>
        <v>0.5833096973</v>
      </c>
    </row>
    <row r="4239">
      <c r="A4239" s="6">
        <v>4237.0</v>
      </c>
      <c r="B4239" s="17">
        <f t="array" ref="B4239">SUM(1-'Sparkling Model'!D$2:D$38^A4239)</f>
        <v>36.49022008</v>
      </c>
      <c r="C4239" s="8">
        <f t="array" ref="C4239">PRODUCT(1-'Sparkling Model'!D$2:D$38^A4239)</f>
        <v>0.5835039898</v>
      </c>
    </row>
    <row r="4240">
      <c r="A4240" s="6">
        <v>4238.0</v>
      </c>
      <c r="B4240" s="17">
        <f t="array" ref="B4240">SUM(1-'Sparkling Model'!D$2:D$38^A4240)</f>
        <v>36.4905223</v>
      </c>
      <c r="C4240" s="8">
        <f t="array" ref="C4240">PRODUCT(1-'Sparkling Model'!D$2:D$38^A4240)</f>
        <v>0.5836982051</v>
      </c>
    </row>
    <row r="4241">
      <c r="A4241" s="6">
        <v>4239.0</v>
      </c>
      <c r="B4241" s="17">
        <f t="array" ref="B4241">SUM(1-'Sparkling Model'!D$2:D$38^A4241)</f>
        <v>36.49082432</v>
      </c>
      <c r="C4241" s="8">
        <f t="array" ref="C4241">PRODUCT(1-'Sparkling Model'!D$2:D$38^A4241)</f>
        <v>0.5838923432</v>
      </c>
    </row>
    <row r="4242">
      <c r="A4242" s="6">
        <v>4240.0</v>
      </c>
      <c r="B4242" s="17">
        <f t="array" ref="B4242">SUM(1-'Sparkling Model'!D$2:D$38^A4242)</f>
        <v>36.49112613</v>
      </c>
      <c r="C4242" s="8">
        <f t="array" ref="C4242">PRODUCT(1-'Sparkling Model'!D$2:D$38^A4242)</f>
        <v>0.5840864041</v>
      </c>
    </row>
    <row r="4243">
      <c r="A4243" s="6">
        <v>4241.0</v>
      </c>
      <c r="B4243" s="17">
        <f t="array" ref="B4243">SUM(1-'Sparkling Model'!D$2:D$38^A4243)</f>
        <v>36.49142773</v>
      </c>
      <c r="C4243" s="8">
        <f t="array" ref="C4243">PRODUCT(1-'Sparkling Model'!D$2:D$38^A4243)</f>
        <v>0.5842803878</v>
      </c>
    </row>
    <row r="4244">
      <c r="A4244" s="6">
        <v>4242.0</v>
      </c>
      <c r="B4244" s="17">
        <f t="array" ref="B4244">SUM(1-'Sparkling Model'!D$2:D$38^A4244)</f>
        <v>36.49172912</v>
      </c>
      <c r="C4244" s="8">
        <f t="array" ref="C4244">PRODUCT(1-'Sparkling Model'!D$2:D$38^A4244)</f>
        <v>0.5844742942</v>
      </c>
    </row>
    <row r="4245">
      <c r="A4245" s="6">
        <v>4243.0</v>
      </c>
      <c r="B4245" s="17">
        <f t="array" ref="B4245">SUM(1-'Sparkling Model'!D$2:D$38^A4245)</f>
        <v>36.4920303</v>
      </c>
      <c r="C4245" s="8">
        <f t="array" ref="C4245">PRODUCT(1-'Sparkling Model'!D$2:D$38^A4245)</f>
        <v>0.5846681235</v>
      </c>
    </row>
    <row r="4246">
      <c r="A4246" s="6">
        <v>4244.0</v>
      </c>
      <c r="B4246" s="17">
        <f t="array" ref="B4246">SUM(1-'Sparkling Model'!D$2:D$38^A4246)</f>
        <v>36.49233127</v>
      </c>
      <c r="C4246" s="8">
        <f t="array" ref="C4246">PRODUCT(1-'Sparkling Model'!D$2:D$38^A4246)</f>
        <v>0.5848618756</v>
      </c>
    </row>
    <row r="4247">
      <c r="A4247" s="6">
        <v>4245.0</v>
      </c>
      <c r="B4247" s="17">
        <f t="array" ref="B4247">SUM(1-'Sparkling Model'!D$2:D$38^A4247)</f>
        <v>36.49263204</v>
      </c>
      <c r="C4247" s="8">
        <f t="array" ref="C4247">PRODUCT(1-'Sparkling Model'!D$2:D$38^A4247)</f>
        <v>0.5850555505</v>
      </c>
    </row>
    <row r="4248">
      <c r="A4248" s="6">
        <v>4246.0</v>
      </c>
      <c r="B4248" s="17">
        <f t="array" ref="B4248">SUM(1-'Sparkling Model'!D$2:D$38^A4248)</f>
        <v>36.49293259</v>
      </c>
      <c r="C4248" s="8">
        <f t="array" ref="C4248">PRODUCT(1-'Sparkling Model'!D$2:D$38^A4248)</f>
        <v>0.5852491483</v>
      </c>
    </row>
    <row r="4249">
      <c r="A4249" s="6">
        <v>4247.0</v>
      </c>
      <c r="B4249" s="17">
        <f t="array" ref="B4249">SUM(1-'Sparkling Model'!D$2:D$38^A4249)</f>
        <v>36.49323294</v>
      </c>
      <c r="C4249" s="8">
        <f t="array" ref="C4249">PRODUCT(1-'Sparkling Model'!D$2:D$38^A4249)</f>
        <v>0.5854426689</v>
      </c>
    </row>
    <row r="4250">
      <c r="A4250" s="6">
        <v>4248.0</v>
      </c>
      <c r="B4250" s="17">
        <f t="array" ref="B4250">SUM(1-'Sparkling Model'!D$2:D$38^A4250)</f>
        <v>36.49353308</v>
      </c>
      <c r="C4250" s="8">
        <f t="array" ref="C4250">PRODUCT(1-'Sparkling Model'!D$2:D$38^A4250)</f>
        <v>0.5856361123</v>
      </c>
    </row>
    <row r="4251">
      <c r="A4251" s="6">
        <v>4249.0</v>
      </c>
      <c r="B4251" s="17">
        <f t="array" ref="B4251">SUM(1-'Sparkling Model'!D$2:D$38^A4251)</f>
        <v>36.49383301</v>
      </c>
      <c r="C4251" s="8">
        <f t="array" ref="C4251">PRODUCT(1-'Sparkling Model'!D$2:D$38^A4251)</f>
        <v>0.5858294787</v>
      </c>
    </row>
    <row r="4252">
      <c r="A4252" s="6">
        <v>4250.0</v>
      </c>
      <c r="B4252" s="17">
        <f t="array" ref="B4252">SUM(1-'Sparkling Model'!D$2:D$38^A4252)</f>
        <v>36.49413274</v>
      </c>
      <c r="C4252" s="8">
        <f t="array" ref="C4252">PRODUCT(1-'Sparkling Model'!D$2:D$38^A4252)</f>
        <v>0.5860227679</v>
      </c>
    </row>
    <row r="4253">
      <c r="A4253" s="6">
        <v>4251.0</v>
      </c>
      <c r="B4253" s="17">
        <f t="array" ref="B4253">SUM(1-'Sparkling Model'!D$2:D$38^A4253)</f>
        <v>36.49443226</v>
      </c>
      <c r="C4253" s="8">
        <f t="array" ref="C4253">PRODUCT(1-'Sparkling Model'!D$2:D$38^A4253)</f>
        <v>0.58621598</v>
      </c>
    </row>
    <row r="4254">
      <c r="A4254" s="6">
        <v>4252.0</v>
      </c>
      <c r="B4254" s="17">
        <f t="array" ref="B4254">SUM(1-'Sparkling Model'!D$2:D$38^A4254)</f>
        <v>36.49473157</v>
      </c>
      <c r="C4254" s="8">
        <f t="array" ref="C4254">PRODUCT(1-'Sparkling Model'!D$2:D$38^A4254)</f>
        <v>0.5864091149</v>
      </c>
    </row>
    <row r="4255">
      <c r="A4255" s="6">
        <v>4253.0</v>
      </c>
      <c r="B4255" s="17">
        <f t="array" ref="B4255">SUM(1-'Sparkling Model'!D$2:D$38^A4255)</f>
        <v>36.49503067</v>
      </c>
      <c r="C4255" s="8">
        <f t="array" ref="C4255">PRODUCT(1-'Sparkling Model'!D$2:D$38^A4255)</f>
        <v>0.5866021728</v>
      </c>
    </row>
    <row r="4256">
      <c r="A4256" s="6">
        <v>4254.0</v>
      </c>
      <c r="B4256" s="17">
        <f t="array" ref="B4256">SUM(1-'Sparkling Model'!D$2:D$38^A4256)</f>
        <v>36.49532957</v>
      </c>
      <c r="C4256" s="8">
        <f t="array" ref="C4256">PRODUCT(1-'Sparkling Model'!D$2:D$38^A4256)</f>
        <v>0.5867951536</v>
      </c>
    </row>
    <row r="4257">
      <c r="A4257" s="6">
        <v>4255.0</v>
      </c>
      <c r="B4257" s="17">
        <f t="array" ref="B4257">SUM(1-'Sparkling Model'!D$2:D$38^A4257)</f>
        <v>36.49562826</v>
      </c>
      <c r="C4257" s="8">
        <f t="array" ref="C4257">PRODUCT(1-'Sparkling Model'!D$2:D$38^A4257)</f>
        <v>0.5869880573</v>
      </c>
    </row>
    <row r="4258">
      <c r="A4258" s="6">
        <v>4256.0</v>
      </c>
      <c r="B4258" s="17">
        <f t="array" ref="B4258">SUM(1-'Sparkling Model'!D$2:D$38^A4258)</f>
        <v>36.49592674</v>
      </c>
      <c r="C4258" s="8">
        <f t="array" ref="C4258">PRODUCT(1-'Sparkling Model'!D$2:D$38^A4258)</f>
        <v>0.587180884</v>
      </c>
    </row>
    <row r="4259">
      <c r="A4259" s="6">
        <v>4257.0</v>
      </c>
      <c r="B4259" s="17">
        <f t="array" ref="B4259">SUM(1-'Sparkling Model'!D$2:D$38^A4259)</f>
        <v>36.49622502</v>
      </c>
      <c r="C4259" s="8">
        <f t="array" ref="C4259">PRODUCT(1-'Sparkling Model'!D$2:D$38^A4259)</f>
        <v>0.5873736335</v>
      </c>
    </row>
    <row r="4260">
      <c r="A4260" s="6">
        <v>4258.0</v>
      </c>
      <c r="B4260" s="17">
        <f t="array" ref="B4260">SUM(1-'Sparkling Model'!D$2:D$38^A4260)</f>
        <v>36.49652309</v>
      </c>
      <c r="C4260" s="8">
        <f t="array" ref="C4260">PRODUCT(1-'Sparkling Model'!D$2:D$38^A4260)</f>
        <v>0.5875663061</v>
      </c>
    </row>
    <row r="4261">
      <c r="A4261" s="6">
        <v>4259.0</v>
      </c>
      <c r="B4261" s="17">
        <f t="array" ref="B4261">SUM(1-'Sparkling Model'!D$2:D$38^A4261)</f>
        <v>36.49682096</v>
      </c>
      <c r="C4261" s="8">
        <f t="array" ref="C4261">PRODUCT(1-'Sparkling Model'!D$2:D$38^A4261)</f>
        <v>0.5877589015</v>
      </c>
    </row>
    <row r="4262">
      <c r="A4262" s="6">
        <v>4260.0</v>
      </c>
      <c r="B4262" s="17">
        <f t="array" ref="B4262">SUM(1-'Sparkling Model'!D$2:D$38^A4262)</f>
        <v>36.49711862</v>
      </c>
      <c r="C4262" s="8">
        <f t="array" ref="C4262">PRODUCT(1-'Sparkling Model'!D$2:D$38^A4262)</f>
        <v>0.58795142</v>
      </c>
    </row>
    <row r="4263">
      <c r="A4263" s="6">
        <v>4261.0</v>
      </c>
      <c r="B4263" s="17">
        <f t="array" ref="B4263">SUM(1-'Sparkling Model'!D$2:D$38^A4263)</f>
        <v>36.49741607</v>
      </c>
      <c r="C4263" s="8">
        <f t="array" ref="C4263">PRODUCT(1-'Sparkling Model'!D$2:D$38^A4263)</f>
        <v>0.5881438614</v>
      </c>
    </row>
    <row r="4264">
      <c r="A4264" s="6">
        <v>4262.0</v>
      </c>
      <c r="B4264" s="17">
        <f t="array" ref="B4264">SUM(1-'Sparkling Model'!D$2:D$38^A4264)</f>
        <v>36.49771332</v>
      </c>
      <c r="C4264" s="8">
        <f t="array" ref="C4264">PRODUCT(1-'Sparkling Model'!D$2:D$38^A4264)</f>
        <v>0.5883362258</v>
      </c>
    </row>
    <row r="4265">
      <c r="A4265" s="6">
        <v>4263.0</v>
      </c>
      <c r="B4265" s="17">
        <f t="array" ref="B4265">SUM(1-'Sparkling Model'!D$2:D$38^A4265)</f>
        <v>36.49801037</v>
      </c>
      <c r="C4265" s="8">
        <f t="array" ref="C4265">PRODUCT(1-'Sparkling Model'!D$2:D$38^A4265)</f>
        <v>0.5885285132</v>
      </c>
    </row>
    <row r="4266">
      <c r="A4266" s="6">
        <v>4264.0</v>
      </c>
      <c r="B4266" s="17">
        <f t="array" ref="B4266">SUM(1-'Sparkling Model'!D$2:D$38^A4266)</f>
        <v>36.49830721</v>
      </c>
      <c r="C4266" s="8">
        <f t="array" ref="C4266">PRODUCT(1-'Sparkling Model'!D$2:D$38^A4266)</f>
        <v>0.5887207236</v>
      </c>
    </row>
    <row r="4267">
      <c r="A4267" s="6">
        <v>4265.0</v>
      </c>
      <c r="B4267" s="17">
        <f t="array" ref="B4267">SUM(1-'Sparkling Model'!D$2:D$38^A4267)</f>
        <v>36.49860384</v>
      </c>
      <c r="C4267" s="8">
        <f t="array" ref="C4267">PRODUCT(1-'Sparkling Model'!D$2:D$38^A4267)</f>
        <v>0.588912857</v>
      </c>
    </row>
    <row r="4268">
      <c r="A4268" s="6">
        <v>4266.0</v>
      </c>
      <c r="B4268" s="17">
        <f t="array" ref="B4268">SUM(1-'Sparkling Model'!D$2:D$38^A4268)</f>
        <v>36.49890027</v>
      </c>
      <c r="C4268" s="8">
        <f t="array" ref="C4268">PRODUCT(1-'Sparkling Model'!D$2:D$38^A4268)</f>
        <v>0.5891049135</v>
      </c>
    </row>
    <row r="4269">
      <c r="A4269" s="6">
        <v>4267.0</v>
      </c>
      <c r="B4269" s="17">
        <f t="array" ref="B4269">SUM(1-'Sparkling Model'!D$2:D$38^A4269)</f>
        <v>36.4991965</v>
      </c>
      <c r="C4269" s="8">
        <f t="array" ref="C4269">PRODUCT(1-'Sparkling Model'!D$2:D$38^A4269)</f>
        <v>0.5892968929</v>
      </c>
    </row>
    <row r="4270">
      <c r="A4270" s="6">
        <v>4268.0</v>
      </c>
      <c r="B4270" s="17">
        <f t="array" ref="B4270">SUM(1-'Sparkling Model'!D$2:D$38^A4270)</f>
        <v>36.49949252</v>
      </c>
      <c r="C4270" s="8">
        <f t="array" ref="C4270">PRODUCT(1-'Sparkling Model'!D$2:D$38^A4270)</f>
        <v>0.5894887955</v>
      </c>
    </row>
    <row r="4271">
      <c r="A4271" s="6">
        <v>4269.0</v>
      </c>
      <c r="B4271" s="17">
        <f t="array" ref="B4271">SUM(1-'Sparkling Model'!D$2:D$38^A4271)</f>
        <v>36.49978833</v>
      </c>
      <c r="C4271" s="8">
        <f t="array" ref="C4271">PRODUCT(1-'Sparkling Model'!D$2:D$38^A4271)</f>
        <v>0.589680621</v>
      </c>
    </row>
    <row r="4272">
      <c r="A4272" s="6">
        <v>4270.0</v>
      </c>
      <c r="B4272" s="17">
        <f t="array" ref="B4272">SUM(1-'Sparkling Model'!D$2:D$38^A4272)</f>
        <v>36.50008395</v>
      </c>
      <c r="C4272" s="8">
        <f t="array" ref="C4272">PRODUCT(1-'Sparkling Model'!D$2:D$38^A4272)</f>
        <v>0.5898723697</v>
      </c>
    </row>
    <row r="4273">
      <c r="A4273" s="6">
        <v>4271.0</v>
      </c>
      <c r="B4273" s="17">
        <f t="array" ref="B4273">SUM(1-'Sparkling Model'!D$2:D$38^A4273)</f>
        <v>36.50037936</v>
      </c>
      <c r="C4273" s="8">
        <f t="array" ref="C4273">PRODUCT(1-'Sparkling Model'!D$2:D$38^A4273)</f>
        <v>0.5900640414</v>
      </c>
    </row>
    <row r="4274">
      <c r="A4274" s="6">
        <v>4272.0</v>
      </c>
      <c r="B4274" s="17">
        <f t="array" ref="B4274">SUM(1-'Sparkling Model'!D$2:D$38^A4274)</f>
        <v>36.50067456</v>
      </c>
      <c r="C4274" s="8">
        <f t="array" ref="C4274">PRODUCT(1-'Sparkling Model'!D$2:D$38^A4274)</f>
        <v>0.5902556361</v>
      </c>
    </row>
    <row r="4275">
      <c r="A4275" s="6">
        <v>4273.0</v>
      </c>
      <c r="B4275" s="17">
        <f t="array" ref="B4275">SUM(1-'Sparkling Model'!D$2:D$38^A4275)</f>
        <v>36.50096956</v>
      </c>
      <c r="C4275" s="8">
        <f t="array" ref="C4275">PRODUCT(1-'Sparkling Model'!D$2:D$38^A4275)</f>
        <v>0.590447154</v>
      </c>
    </row>
    <row r="4276">
      <c r="A4276" s="6">
        <v>4274.0</v>
      </c>
      <c r="B4276" s="17">
        <f t="array" ref="B4276">SUM(1-'Sparkling Model'!D$2:D$38^A4276)</f>
        <v>36.50126436</v>
      </c>
      <c r="C4276" s="8">
        <f t="array" ref="C4276">PRODUCT(1-'Sparkling Model'!D$2:D$38^A4276)</f>
        <v>0.590638595</v>
      </c>
    </row>
    <row r="4277">
      <c r="A4277" s="6">
        <v>4275.0</v>
      </c>
      <c r="B4277" s="17">
        <f t="array" ref="B4277">SUM(1-'Sparkling Model'!D$2:D$38^A4277)</f>
        <v>36.50155896</v>
      </c>
      <c r="C4277" s="8">
        <f t="array" ref="C4277">PRODUCT(1-'Sparkling Model'!D$2:D$38^A4277)</f>
        <v>0.5908299591</v>
      </c>
    </row>
    <row r="4278">
      <c r="A4278" s="6">
        <v>4276.0</v>
      </c>
      <c r="B4278" s="17">
        <f t="array" ref="B4278">SUM(1-'Sparkling Model'!D$2:D$38^A4278)</f>
        <v>36.50185335</v>
      </c>
      <c r="C4278" s="8">
        <f t="array" ref="C4278">PRODUCT(1-'Sparkling Model'!D$2:D$38^A4278)</f>
        <v>0.5910212463</v>
      </c>
    </row>
    <row r="4279">
      <c r="A4279" s="6">
        <v>4277.0</v>
      </c>
      <c r="B4279" s="17">
        <f t="array" ref="B4279">SUM(1-'Sparkling Model'!D$2:D$38^A4279)</f>
        <v>36.50214754</v>
      </c>
      <c r="C4279" s="8">
        <f t="array" ref="C4279">PRODUCT(1-'Sparkling Model'!D$2:D$38^A4279)</f>
        <v>0.5912124566</v>
      </c>
    </row>
    <row r="4280">
      <c r="A4280" s="6">
        <v>4278.0</v>
      </c>
      <c r="B4280" s="17">
        <f t="array" ref="B4280">SUM(1-'Sparkling Model'!D$2:D$38^A4280)</f>
        <v>36.50244153</v>
      </c>
      <c r="C4280" s="8">
        <f t="array" ref="C4280">PRODUCT(1-'Sparkling Model'!D$2:D$38^A4280)</f>
        <v>0.5914035901</v>
      </c>
    </row>
    <row r="4281">
      <c r="A4281" s="6">
        <v>4279.0</v>
      </c>
      <c r="B4281" s="17">
        <f t="array" ref="B4281">SUM(1-'Sparkling Model'!D$2:D$38^A4281)</f>
        <v>36.50273532</v>
      </c>
      <c r="C4281" s="8">
        <f t="array" ref="C4281">PRODUCT(1-'Sparkling Model'!D$2:D$38^A4281)</f>
        <v>0.5915946468</v>
      </c>
    </row>
    <row r="4282">
      <c r="A4282" s="6">
        <v>4280.0</v>
      </c>
      <c r="B4282" s="17">
        <f t="array" ref="B4282">SUM(1-'Sparkling Model'!D$2:D$38^A4282)</f>
        <v>36.5030289</v>
      </c>
      <c r="C4282" s="8">
        <f t="array" ref="C4282">PRODUCT(1-'Sparkling Model'!D$2:D$38^A4282)</f>
        <v>0.5917856266</v>
      </c>
    </row>
    <row r="4283">
      <c r="A4283" s="6">
        <v>4281.0</v>
      </c>
      <c r="B4283" s="17">
        <f t="array" ref="B4283">SUM(1-'Sparkling Model'!D$2:D$38^A4283)</f>
        <v>36.50332228</v>
      </c>
      <c r="C4283" s="8">
        <f t="array" ref="C4283">PRODUCT(1-'Sparkling Model'!D$2:D$38^A4283)</f>
        <v>0.5919765295</v>
      </c>
    </row>
    <row r="4284">
      <c r="A4284" s="6">
        <v>4282.0</v>
      </c>
      <c r="B4284" s="17">
        <f t="array" ref="B4284">SUM(1-'Sparkling Model'!D$2:D$38^A4284)</f>
        <v>36.50361546</v>
      </c>
      <c r="C4284" s="8">
        <f t="array" ref="C4284">PRODUCT(1-'Sparkling Model'!D$2:D$38^A4284)</f>
        <v>0.5921673557</v>
      </c>
    </row>
    <row r="4285">
      <c r="A4285" s="6">
        <v>4283.0</v>
      </c>
      <c r="B4285" s="17">
        <f t="array" ref="B4285">SUM(1-'Sparkling Model'!D$2:D$38^A4285)</f>
        <v>36.50390844</v>
      </c>
      <c r="C4285" s="8">
        <f t="array" ref="C4285">PRODUCT(1-'Sparkling Model'!D$2:D$38^A4285)</f>
        <v>0.592358105</v>
      </c>
    </row>
    <row r="4286">
      <c r="A4286" s="6">
        <v>4284.0</v>
      </c>
      <c r="B4286" s="17">
        <f t="array" ref="B4286">SUM(1-'Sparkling Model'!D$2:D$38^A4286)</f>
        <v>36.50420121</v>
      </c>
      <c r="C4286" s="8">
        <f t="array" ref="C4286">PRODUCT(1-'Sparkling Model'!D$2:D$38^A4286)</f>
        <v>0.5925487776</v>
      </c>
    </row>
    <row r="4287">
      <c r="A4287" s="6">
        <v>4285.0</v>
      </c>
      <c r="B4287" s="17">
        <f t="array" ref="B4287">SUM(1-'Sparkling Model'!D$2:D$38^A4287)</f>
        <v>36.50449379</v>
      </c>
      <c r="C4287" s="8">
        <f t="array" ref="C4287">PRODUCT(1-'Sparkling Model'!D$2:D$38^A4287)</f>
        <v>0.5927393733</v>
      </c>
    </row>
    <row r="4288">
      <c r="A4288" s="6">
        <v>4286.0</v>
      </c>
      <c r="B4288" s="17">
        <f t="array" ref="B4288">SUM(1-'Sparkling Model'!D$2:D$38^A4288)</f>
        <v>36.50478616</v>
      </c>
      <c r="C4288" s="8">
        <f t="array" ref="C4288">PRODUCT(1-'Sparkling Model'!D$2:D$38^A4288)</f>
        <v>0.5929298923</v>
      </c>
    </row>
    <row r="4289">
      <c r="A4289" s="6">
        <v>4287.0</v>
      </c>
      <c r="B4289" s="17">
        <f t="array" ref="B4289">SUM(1-'Sparkling Model'!D$2:D$38^A4289)</f>
        <v>36.50507834</v>
      </c>
      <c r="C4289" s="8">
        <f t="array" ref="C4289">PRODUCT(1-'Sparkling Model'!D$2:D$38^A4289)</f>
        <v>0.5931203345</v>
      </c>
    </row>
    <row r="4290">
      <c r="A4290" s="6">
        <v>4288.0</v>
      </c>
      <c r="B4290" s="17">
        <f t="array" ref="B4290">SUM(1-'Sparkling Model'!D$2:D$38^A4290)</f>
        <v>36.50537031</v>
      </c>
      <c r="C4290" s="8">
        <f t="array" ref="C4290">PRODUCT(1-'Sparkling Model'!D$2:D$38^A4290)</f>
        <v>0.5933107</v>
      </c>
    </row>
    <row r="4291">
      <c r="A4291" s="6">
        <v>4289.0</v>
      </c>
      <c r="B4291" s="17">
        <f t="array" ref="B4291">SUM(1-'Sparkling Model'!D$2:D$38^A4291)</f>
        <v>36.50566208</v>
      </c>
      <c r="C4291" s="8">
        <f t="array" ref="C4291">PRODUCT(1-'Sparkling Model'!D$2:D$38^A4291)</f>
        <v>0.5935009887</v>
      </c>
    </row>
    <row r="4292">
      <c r="A4292" s="6">
        <v>4290.0</v>
      </c>
      <c r="B4292" s="17">
        <f t="array" ref="B4292">SUM(1-'Sparkling Model'!D$2:D$38^A4292)</f>
        <v>36.50595365</v>
      </c>
      <c r="C4292" s="8">
        <f t="array" ref="C4292">PRODUCT(1-'Sparkling Model'!D$2:D$38^A4292)</f>
        <v>0.5936912007</v>
      </c>
    </row>
    <row r="4293">
      <c r="A4293" s="6">
        <v>4291.0</v>
      </c>
      <c r="B4293" s="17">
        <f t="array" ref="B4293">SUM(1-'Sparkling Model'!D$2:D$38^A4293)</f>
        <v>36.50624502</v>
      </c>
      <c r="C4293" s="8">
        <f t="array" ref="C4293">PRODUCT(1-'Sparkling Model'!D$2:D$38^A4293)</f>
        <v>0.593881336</v>
      </c>
    </row>
    <row r="4294">
      <c r="A4294" s="6">
        <v>4292.0</v>
      </c>
      <c r="B4294" s="17">
        <f t="array" ref="B4294">SUM(1-'Sparkling Model'!D$2:D$38^A4294)</f>
        <v>36.50653619</v>
      </c>
      <c r="C4294" s="8">
        <f t="array" ref="C4294">PRODUCT(1-'Sparkling Model'!D$2:D$38^A4294)</f>
        <v>0.5940713945</v>
      </c>
    </row>
    <row r="4295">
      <c r="A4295" s="6">
        <v>4293.0</v>
      </c>
      <c r="B4295" s="17">
        <f t="array" ref="B4295">SUM(1-'Sparkling Model'!D$2:D$38^A4295)</f>
        <v>36.50682716</v>
      </c>
      <c r="C4295" s="8">
        <f t="array" ref="C4295">PRODUCT(1-'Sparkling Model'!D$2:D$38^A4295)</f>
        <v>0.5942613764</v>
      </c>
    </row>
    <row r="4296">
      <c r="A4296" s="6">
        <v>4294.0</v>
      </c>
      <c r="B4296" s="17">
        <f t="array" ref="B4296">SUM(1-'Sparkling Model'!D$2:D$38^A4296)</f>
        <v>36.50711793</v>
      </c>
      <c r="C4296" s="8">
        <f t="array" ref="C4296">PRODUCT(1-'Sparkling Model'!D$2:D$38^A4296)</f>
        <v>0.5944512816</v>
      </c>
    </row>
    <row r="4297">
      <c r="A4297" s="6">
        <v>4295.0</v>
      </c>
      <c r="B4297" s="17">
        <f t="array" ref="B4297">SUM(1-'Sparkling Model'!D$2:D$38^A4297)</f>
        <v>36.50740851</v>
      </c>
      <c r="C4297" s="8">
        <f t="array" ref="C4297">PRODUCT(1-'Sparkling Model'!D$2:D$38^A4297)</f>
        <v>0.59464111</v>
      </c>
    </row>
    <row r="4298">
      <c r="A4298" s="6">
        <v>4296.0</v>
      </c>
      <c r="B4298" s="17">
        <f t="array" ref="B4298">SUM(1-'Sparkling Model'!D$2:D$38^A4298)</f>
        <v>36.50769888</v>
      </c>
      <c r="C4298" s="8">
        <f t="array" ref="C4298">PRODUCT(1-'Sparkling Model'!D$2:D$38^A4298)</f>
        <v>0.5948308619</v>
      </c>
    </row>
    <row r="4299">
      <c r="A4299" s="6">
        <v>4297.0</v>
      </c>
      <c r="B4299" s="17">
        <f t="array" ref="B4299">SUM(1-'Sparkling Model'!D$2:D$38^A4299)</f>
        <v>36.50798905</v>
      </c>
      <c r="C4299" s="8">
        <f t="array" ref="C4299">PRODUCT(1-'Sparkling Model'!D$2:D$38^A4299)</f>
        <v>0.595020537</v>
      </c>
    </row>
    <row r="4300">
      <c r="A4300" s="6">
        <v>4298.0</v>
      </c>
      <c r="B4300" s="17">
        <f t="array" ref="B4300">SUM(1-'Sparkling Model'!D$2:D$38^A4300)</f>
        <v>36.50827902</v>
      </c>
      <c r="C4300" s="8">
        <f t="array" ref="C4300">PRODUCT(1-'Sparkling Model'!D$2:D$38^A4300)</f>
        <v>0.5952101355</v>
      </c>
    </row>
    <row r="4301">
      <c r="A4301" s="6">
        <v>4299.0</v>
      </c>
      <c r="B4301" s="17">
        <f t="array" ref="B4301">SUM(1-'Sparkling Model'!D$2:D$38^A4301)</f>
        <v>36.5085688</v>
      </c>
      <c r="C4301" s="8">
        <f t="array" ref="C4301">PRODUCT(1-'Sparkling Model'!D$2:D$38^A4301)</f>
        <v>0.5953996574</v>
      </c>
    </row>
    <row r="4302">
      <c r="A4302" s="6">
        <v>4300.0</v>
      </c>
      <c r="B4302" s="17">
        <f t="array" ref="B4302">SUM(1-'Sparkling Model'!D$2:D$38^A4302)</f>
        <v>36.50885837</v>
      </c>
      <c r="C4302" s="8">
        <f t="array" ref="C4302">PRODUCT(1-'Sparkling Model'!D$2:D$38^A4302)</f>
        <v>0.5955891026</v>
      </c>
    </row>
    <row r="4303">
      <c r="A4303" s="6">
        <v>4301.0</v>
      </c>
      <c r="B4303" s="17">
        <f t="array" ref="B4303">SUM(1-'Sparkling Model'!D$2:D$38^A4303)</f>
        <v>36.50914775</v>
      </c>
      <c r="C4303" s="8">
        <f t="array" ref="C4303">PRODUCT(1-'Sparkling Model'!D$2:D$38^A4303)</f>
        <v>0.5957784713</v>
      </c>
    </row>
    <row r="4304">
      <c r="A4304" s="6">
        <v>4302.0</v>
      </c>
      <c r="B4304" s="17">
        <f t="array" ref="B4304">SUM(1-'Sparkling Model'!D$2:D$38^A4304)</f>
        <v>36.50943693</v>
      </c>
      <c r="C4304" s="8">
        <f t="array" ref="C4304">PRODUCT(1-'Sparkling Model'!D$2:D$38^A4304)</f>
        <v>0.5959677633</v>
      </c>
    </row>
    <row r="4305">
      <c r="A4305" s="6">
        <v>4303.0</v>
      </c>
      <c r="B4305" s="17">
        <f t="array" ref="B4305">SUM(1-'Sparkling Model'!D$2:D$38^A4305)</f>
        <v>36.50972591</v>
      </c>
      <c r="C4305" s="8">
        <f t="array" ref="C4305">PRODUCT(1-'Sparkling Model'!D$2:D$38^A4305)</f>
        <v>0.5961569787</v>
      </c>
    </row>
    <row r="4306">
      <c r="A4306" s="6">
        <v>4304.0</v>
      </c>
      <c r="B4306" s="17">
        <f t="array" ref="B4306">SUM(1-'Sparkling Model'!D$2:D$38^A4306)</f>
        <v>36.51001469</v>
      </c>
      <c r="C4306" s="8">
        <f t="array" ref="C4306">PRODUCT(1-'Sparkling Model'!D$2:D$38^A4306)</f>
        <v>0.5963461176</v>
      </c>
    </row>
    <row r="4307">
      <c r="A4307" s="6">
        <v>4305.0</v>
      </c>
      <c r="B4307" s="17">
        <f t="array" ref="B4307">SUM(1-'Sparkling Model'!D$2:D$38^A4307)</f>
        <v>36.51030328</v>
      </c>
      <c r="C4307" s="8">
        <f t="array" ref="C4307">PRODUCT(1-'Sparkling Model'!D$2:D$38^A4307)</f>
        <v>0.5965351799</v>
      </c>
    </row>
    <row r="4308">
      <c r="A4308" s="6">
        <v>4306.0</v>
      </c>
      <c r="B4308" s="17">
        <f t="array" ref="B4308">SUM(1-'Sparkling Model'!D$2:D$38^A4308)</f>
        <v>36.51059166</v>
      </c>
      <c r="C4308" s="8">
        <f t="array" ref="C4308">PRODUCT(1-'Sparkling Model'!D$2:D$38^A4308)</f>
        <v>0.5967241656</v>
      </c>
    </row>
    <row r="4309">
      <c r="A4309" s="6">
        <v>4307.0</v>
      </c>
      <c r="B4309" s="17">
        <f t="array" ref="B4309">SUM(1-'Sparkling Model'!D$2:D$38^A4309)</f>
        <v>36.51087985</v>
      </c>
      <c r="C4309" s="8">
        <f t="array" ref="C4309">PRODUCT(1-'Sparkling Model'!D$2:D$38^A4309)</f>
        <v>0.5969130748</v>
      </c>
    </row>
    <row r="4310">
      <c r="A4310" s="6">
        <v>4308.0</v>
      </c>
      <c r="B4310" s="17">
        <f t="array" ref="B4310">SUM(1-'Sparkling Model'!D$2:D$38^A4310)</f>
        <v>36.51116785</v>
      </c>
      <c r="C4310" s="8">
        <f t="array" ref="C4310">PRODUCT(1-'Sparkling Model'!D$2:D$38^A4310)</f>
        <v>0.5971019074</v>
      </c>
    </row>
    <row r="4311">
      <c r="A4311" s="6">
        <v>4309.0</v>
      </c>
      <c r="B4311" s="17">
        <f t="array" ref="B4311">SUM(1-'Sparkling Model'!D$2:D$38^A4311)</f>
        <v>36.51145564</v>
      </c>
      <c r="C4311" s="8">
        <f t="array" ref="C4311">PRODUCT(1-'Sparkling Model'!D$2:D$38^A4311)</f>
        <v>0.5972906635</v>
      </c>
    </row>
    <row r="4312">
      <c r="A4312" s="6">
        <v>4310.0</v>
      </c>
      <c r="B4312" s="17">
        <f t="array" ref="B4312">SUM(1-'Sparkling Model'!D$2:D$38^A4312)</f>
        <v>36.51174324</v>
      </c>
      <c r="C4312" s="8">
        <f t="array" ref="C4312">PRODUCT(1-'Sparkling Model'!D$2:D$38^A4312)</f>
        <v>0.5974793431</v>
      </c>
    </row>
    <row r="4313">
      <c r="A4313" s="6">
        <v>4311.0</v>
      </c>
      <c r="B4313" s="17">
        <f t="array" ref="B4313">SUM(1-'Sparkling Model'!D$2:D$38^A4313)</f>
        <v>36.51203064</v>
      </c>
      <c r="C4313" s="8">
        <f t="array" ref="C4313">PRODUCT(1-'Sparkling Model'!D$2:D$38^A4313)</f>
        <v>0.5976679462</v>
      </c>
    </row>
    <row r="4314">
      <c r="A4314" s="6">
        <v>4312.0</v>
      </c>
      <c r="B4314" s="17">
        <f t="array" ref="B4314">SUM(1-'Sparkling Model'!D$2:D$38^A4314)</f>
        <v>36.51231784</v>
      </c>
      <c r="C4314" s="8">
        <f t="array" ref="C4314">PRODUCT(1-'Sparkling Model'!D$2:D$38^A4314)</f>
        <v>0.5978564728</v>
      </c>
    </row>
    <row r="4315">
      <c r="A4315" s="6">
        <v>4313.0</v>
      </c>
      <c r="B4315" s="17">
        <f t="array" ref="B4315">SUM(1-'Sparkling Model'!D$2:D$38^A4315)</f>
        <v>36.51260485</v>
      </c>
      <c r="C4315" s="8">
        <f t="array" ref="C4315">PRODUCT(1-'Sparkling Model'!D$2:D$38^A4315)</f>
        <v>0.598044923</v>
      </c>
    </row>
    <row r="4316">
      <c r="A4316" s="6">
        <v>4314.0</v>
      </c>
      <c r="B4316" s="17">
        <f t="array" ref="B4316">SUM(1-'Sparkling Model'!D$2:D$38^A4316)</f>
        <v>36.51289166</v>
      </c>
      <c r="C4316" s="8">
        <f t="array" ref="C4316">PRODUCT(1-'Sparkling Model'!D$2:D$38^A4316)</f>
        <v>0.5982332966</v>
      </c>
    </row>
    <row r="4317">
      <c r="A4317" s="6">
        <v>4315.0</v>
      </c>
      <c r="B4317" s="17">
        <f t="array" ref="B4317">SUM(1-'Sparkling Model'!D$2:D$38^A4317)</f>
        <v>36.51317828</v>
      </c>
      <c r="C4317" s="8">
        <f t="array" ref="C4317">PRODUCT(1-'Sparkling Model'!D$2:D$38^A4317)</f>
        <v>0.5984215938</v>
      </c>
    </row>
    <row r="4318">
      <c r="A4318" s="6">
        <v>4316.0</v>
      </c>
      <c r="B4318" s="17">
        <f t="array" ref="B4318">SUM(1-'Sparkling Model'!D$2:D$38^A4318)</f>
        <v>36.51346469</v>
      </c>
      <c r="C4318" s="8">
        <f t="array" ref="C4318">PRODUCT(1-'Sparkling Model'!D$2:D$38^A4318)</f>
        <v>0.5986098146</v>
      </c>
    </row>
    <row r="4319">
      <c r="A4319" s="6">
        <v>4317.0</v>
      </c>
      <c r="B4319" s="17">
        <f t="array" ref="B4319">SUM(1-'Sparkling Model'!D$2:D$38^A4319)</f>
        <v>36.51375092</v>
      </c>
      <c r="C4319" s="8">
        <f t="array" ref="C4319">PRODUCT(1-'Sparkling Model'!D$2:D$38^A4319)</f>
        <v>0.5987979589</v>
      </c>
    </row>
    <row r="4320">
      <c r="A4320" s="6">
        <v>4318.0</v>
      </c>
      <c r="B4320" s="17">
        <f t="array" ref="B4320">SUM(1-'Sparkling Model'!D$2:D$38^A4320)</f>
        <v>36.51403694</v>
      </c>
      <c r="C4320" s="8">
        <f t="array" ref="C4320">PRODUCT(1-'Sparkling Model'!D$2:D$38^A4320)</f>
        <v>0.5989860268</v>
      </c>
    </row>
    <row r="4321">
      <c r="A4321" s="6">
        <v>4319.0</v>
      </c>
      <c r="B4321" s="17">
        <f t="array" ref="B4321">SUM(1-'Sparkling Model'!D$2:D$38^A4321)</f>
        <v>36.51432278</v>
      </c>
      <c r="C4321" s="8">
        <f t="array" ref="C4321">PRODUCT(1-'Sparkling Model'!D$2:D$38^A4321)</f>
        <v>0.5991740183</v>
      </c>
    </row>
    <row r="4322">
      <c r="A4322" s="6">
        <v>4320.0</v>
      </c>
      <c r="B4322" s="17">
        <f t="array" ref="B4322">SUM(1-'Sparkling Model'!D$2:D$38^A4322)</f>
        <v>36.51460841</v>
      </c>
      <c r="C4322" s="8">
        <f t="array" ref="C4322">PRODUCT(1-'Sparkling Model'!D$2:D$38^A4322)</f>
        <v>0.5993619334</v>
      </c>
    </row>
    <row r="4323">
      <c r="A4323" s="6">
        <v>4321.0</v>
      </c>
      <c r="B4323" s="17">
        <f t="array" ref="B4323">SUM(1-'Sparkling Model'!D$2:D$38^A4323)</f>
        <v>36.51489385</v>
      </c>
      <c r="C4323" s="8">
        <f t="array" ref="C4323">PRODUCT(1-'Sparkling Model'!D$2:D$38^A4323)</f>
        <v>0.5995497721</v>
      </c>
    </row>
    <row r="4324">
      <c r="A4324" s="6">
        <v>4322.0</v>
      </c>
      <c r="B4324" s="17">
        <f t="array" ref="B4324">SUM(1-'Sparkling Model'!D$2:D$38^A4324)</f>
        <v>36.5151791</v>
      </c>
      <c r="C4324" s="8">
        <f t="array" ref="C4324">PRODUCT(1-'Sparkling Model'!D$2:D$38^A4324)</f>
        <v>0.5997375344</v>
      </c>
    </row>
    <row r="4325">
      <c r="A4325" s="6">
        <v>4323.0</v>
      </c>
      <c r="B4325" s="17">
        <f t="array" ref="B4325">SUM(1-'Sparkling Model'!D$2:D$38^A4325)</f>
        <v>36.51546415</v>
      </c>
      <c r="C4325" s="8">
        <f t="array" ref="C4325">PRODUCT(1-'Sparkling Model'!D$2:D$38^A4325)</f>
        <v>0.5999252204</v>
      </c>
    </row>
    <row r="4326">
      <c r="A4326" s="6">
        <v>4324.0</v>
      </c>
      <c r="B4326" s="17">
        <f t="array" ref="B4326">SUM(1-'Sparkling Model'!D$2:D$38^A4326)</f>
        <v>36.51574901</v>
      </c>
      <c r="C4326" s="8">
        <f t="array" ref="C4326">PRODUCT(1-'Sparkling Model'!D$2:D$38^A4326)</f>
        <v>0.60011283</v>
      </c>
    </row>
    <row r="4327">
      <c r="A4327" s="6">
        <v>4325.0</v>
      </c>
      <c r="B4327" s="17">
        <f t="array" ref="B4327">SUM(1-'Sparkling Model'!D$2:D$38^A4327)</f>
        <v>36.51603367</v>
      </c>
      <c r="C4327" s="8">
        <f t="array" ref="C4327">PRODUCT(1-'Sparkling Model'!D$2:D$38^A4327)</f>
        <v>0.6003003633</v>
      </c>
    </row>
    <row r="4328">
      <c r="A4328" s="6">
        <v>4326.0</v>
      </c>
      <c r="B4328" s="17">
        <f t="array" ref="B4328">SUM(1-'Sparkling Model'!D$2:D$38^A4328)</f>
        <v>36.51631814</v>
      </c>
      <c r="C4328" s="8">
        <f t="array" ref="C4328">PRODUCT(1-'Sparkling Model'!D$2:D$38^A4328)</f>
        <v>0.6004878202</v>
      </c>
    </row>
    <row r="4329">
      <c r="A4329" s="6">
        <v>4327.0</v>
      </c>
      <c r="B4329" s="17">
        <f t="array" ref="B4329">SUM(1-'Sparkling Model'!D$2:D$38^A4329)</f>
        <v>36.51660241</v>
      </c>
      <c r="C4329" s="8">
        <f t="array" ref="C4329">PRODUCT(1-'Sparkling Model'!D$2:D$38^A4329)</f>
        <v>0.6006752009</v>
      </c>
    </row>
    <row r="4330">
      <c r="A4330" s="6">
        <v>4328.0</v>
      </c>
      <c r="B4330" s="17">
        <f t="array" ref="B4330">SUM(1-'Sparkling Model'!D$2:D$38^A4330)</f>
        <v>36.51688649</v>
      </c>
      <c r="C4330" s="8">
        <f t="array" ref="C4330">PRODUCT(1-'Sparkling Model'!D$2:D$38^A4330)</f>
        <v>0.6008625052</v>
      </c>
    </row>
    <row r="4331">
      <c r="A4331" s="6">
        <v>4329.0</v>
      </c>
      <c r="B4331" s="17">
        <f t="array" ref="B4331">SUM(1-'Sparkling Model'!D$2:D$38^A4331)</f>
        <v>36.51717037</v>
      </c>
      <c r="C4331" s="8">
        <f t="array" ref="C4331">PRODUCT(1-'Sparkling Model'!D$2:D$38^A4331)</f>
        <v>0.6010497332</v>
      </c>
    </row>
    <row r="4332">
      <c r="A4332" s="6">
        <v>4330.0</v>
      </c>
      <c r="B4332" s="17">
        <f t="array" ref="B4332">SUM(1-'Sparkling Model'!D$2:D$38^A4332)</f>
        <v>36.51745406</v>
      </c>
      <c r="C4332" s="8">
        <f t="array" ref="C4332">PRODUCT(1-'Sparkling Model'!D$2:D$38^A4332)</f>
        <v>0.601236885</v>
      </c>
    </row>
    <row r="4333">
      <c r="A4333" s="6">
        <v>4331.0</v>
      </c>
      <c r="B4333" s="17">
        <f t="array" ref="B4333">SUM(1-'Sparkling Model'!D$2:D$38^A4333)</f>
        <v>36.51773756</v>
      </c>
      <c r="C4333" s="8">
        <f t="array" ref="C4333">PRODUCT(1-'Sparkling Model'!D$2:D$38^A4333)</f>
        <v>0.6014239605</v>
      </c>
    </row>
    <row r="4334">
      <c r="A4334" s="6">
        <v>4332.0</v>
      </c>
      <c r="B4334" s="17">
        <f t="array" ref="B4334">SUM(1-'Sparkling Model'!D$2:D$38^A4334)</f>
        <v>36.51802087</v>
      </c>
      <c r="C4334" s="8">
        <f t="array" ref="C4334">PRODUCT(1-'Sparkling Model'!D$2:D$38^A4334)</f>
        <v>0.6016109597</v>
      </c>
    </row>
    <row r="4335">
      <c r="A4335" s="6">
        <v>4333.0</v>
      </c>
      <c r="B4335" s="17">
        <f t="array" ref="B4335">SUM(1-'Sparkling Model'!D$2:D$38^A4335)</f>
        <v>36.51830398</v>
      </c>
      <c r="C4335" s="8">
        <f t="array" ref="C4335">PRODUCT(1-'Sparkling Model'!D$2:D$38^A4335)</f>
        <v>0.6017978827</v>
      </c>
    </row>
    <row r="4336">
      <c r="A4336" s="6">
        <v>4334.0</v>
      </c>
      <c r="B4336" s="17">
        <f t="array" ref="B4336">SUM(1-'Sparkling Model'!D$2:D$38^A4336)</f>
        <v>36.5185869</v>
      </c>
      <c r="C4336" s="8">
        <f t="array" ref="C4336">PRODUCT(1-'Sparkling Model'!D$2:D$38^A4336)</f>
        <v>0.6019847295</v>
      </c>
    </row>
    <row r="4337">
      <c r="A4337" s="6">
        <v>4335.0</v>
      </c>
      <c r="B4337" s="17">
        <f t="array" ref="B4337">SUM(1-'Sparkling Model'!D$2:D$38^A4337)</f>
        <v>36.51886962</v>
      </c>
      <c r="C4337" s="8">
        <f t="array" ref="C4337">PRODUCT(1-'Sparkling Model'!D$2:D$38^A4337)</f>
        <v>0.6021715</v>
      </c>
    </row>
    <row r="4338">
      <c r="A4338" s="6">
        <v>4336.0</v>
      </c>
      <c r="B4338" s="17">
        <f t="array" ref="B4338">SUM(1-'Sparkling Model'!D$2:D$38^A4338)</f>
        <v>36.51915215</v>
      </c>
      <c r="C4338" s="8">
        <f t="array" ref="C4338">PRODUCT(1-'Sparkling Model'!D$2:D$38^A4338)</f>
        <v>0.6023581944</v>
      </c>
    </row>
    <row r="4339">
      <c r="A4339" s="6">
        <v>4337.0</v>
      </c>
      <c r="B4339" s="17">
        <f t="array" ref="B4339">SUM(1-'Sparkling Model'!D$2:D$38^A4339)</f>
        <v>36.51943449</v>
      </c>
      <c r="C4339" s="8">
        <f t="array" ref="C4339">PRODUCT(1-'Sparkling Model'!D$2:D$38^A4339)</f>
        <v>0.6025448125</v>
      </c>
    </row>
    <row r="4340">
      <c r="A4340" s="6">
        <v>4338.0</v>
      </c>
      <c r="B4340" s="17">
        <f t="array" ref="B4340">SUM(1-'Sparkling Model'!D$2:D$38^A4340)</f>
        <v>36.51971664</v>
      </c>
      <c r="C4340" s="8">
        <f t="array" ref="C4340">PRODUCT(1-'Sparkling Model'!D$2:D$38^A4340)</f>
        <v>0.6027313545</v>
      </c>
    </row>
    <row r="4341">
      <c r="A4341" s="6">
        <v>4339.0</v>
      </c>
      <c r="B4341" s="17">
        <f t="array" ref="B4341">SUM(1-'Sparkling Model'!D$2:D$38^A4341)</f>
        <v>36.51999859</v>
      </c>
      <c r="C4341" s="8">
        <f t="array" ref="C4341">PRODUCT(1-'Sparkling Model'!D$2:D$38^A4341)</f>
        <v>0.6029178203</v>
      </c>
    </row>
    <row r="4342">
      <c r="A4342" s="6">
        <v>4340.0</v>
      </c>
      <c r="B4342" s="17">
        <f t="array" ref="B4342">SUM(1-'Sparkling Model'!D$2:D$38^A4342)</f>
        <v>36.52028036</v>
      </c>
      <c r="C4342" s="8">
        <f t="array" ref="C4342">PRODUCT(1-'Sparkling Model'!D$2:D$38^A4342)</f>
        <v>0.6031042099</v>
      </c>
    </row>
    <row r="4343">
      <c r="A4343" s="6">
        <v>4341.0</v>
      </c>
      <c r="B4343" s="17">
        <f t="array" ref="B4343">SUM(1-'Sparkling Model'!D$2:D$38^A4343)</f>
        <v>36.52056193</v>
      </c>
      <c r="C4343" s="8">
        <f t="array" ref="C4343">PRODUCT(1-'Sparkling Model'!D$2:D$38^A4343)</f>
        <v>0.6032905234</v>
      </c>
    </row>
    <row r="4344">
      <c r="A4344" s="6">
        <v>4342.0</v>
      </c>
      <c r="B4344" s="17">
        <f t="array" ref="B4344">SUM(1-'Sparkling Model'!D$2:D$38^A4344)</f>
        <v>36.52084331</v>
      </c>
      <c r="C4344" s="8">
        <f t="array" ref="C4344">PRODUCT(1-'Sparkling Model'!D$2:D$38^A4344)</f>
        <v>0.6034767608</v>
      </c>
    </row>
    <row r="4345">
      <c r="A4345" s="6">
        <v>4343.0</v>
      </c>
      <c r="B4345" s="17">
        <f t="array" ref="B4345">SUM(1-'Sparkling Model'!D$2:D$38^A4345)</f>
        <v>36.5211245</v>
      </c>
      <c r="C4345" s="8">
        <f t="array" ref="C4345">PRODUCT(1-'Sparkling Model'!D$2:D$38^A4345)</f>
        <v>0.603662922</v>
      </c>
    </row>
    <row r="4346">
      <c r="A4346" s="6">
        <v>4344.0</v>
      </c>
      <c r="B4346" s="17">
        <f t="array" ref="B4346">SUM(1-'Sparkling Model'!D$2:D$38^A4346)</f>
        <v>36.52140549</v>
      </c>
      <c r="C4346" s="8">
        <f t="array" ref="C4346">PRODUCT(1-'Sparkling Model'!D$2:D$38^A4346)</f>
        <v>0.6038490071</v>
      </c>
    </row>
    <row r="4347">
      <c r="A4347" s="6">
        <v>4345.0</v>
      </c>
      <c r="B4347" s="17">
        <f t="array" ref="B4347">SUM(1-'Sparkling Model'!D$2:D$38^A4347)</f>
        <v>36.5216863</v>
      </c>
      <c r="C4347" s="8">
        <f t="array" ref="C4347">PRODUCT(1-'Sparkling Model'!D$2:D$38^A4347)</f>
        <v>0.6040350162</v>
      </c>
    </row>
    <row r="4348">
      <c r="A4348" s="6">
        <v>4346.0</v>
      </c>
      <c r="B4348" s="17">
        <f t="array" ref="B4348">SUM(1-'Sparkling Model'!D$2:D$38^A4348)</f>
        <v>36.52196691</v>
      </c>
      <c r="C4348" s="8">
        <f t="array" ref="C4348">PRODUCT(1-'Sparkling Model'!D$2:D$38^A4348)</f>
        <v>0.6042209491</v>
      </c>
    </row>
    <row r="4349">
      <c r="A4349" s="6">
        <v>4347.0</v>
      </c>
      <c r="B4349" s="17">
        <f t="array" ref="B4349">SUM(1-'Sparkling Model'!D$2:D$38^A4349)</f>
        <v>36.52224733</v>
      </c>
      <c r="C4349" s="8">
        <f t="array" ref="C4349">PRODUCT(1-'Sparkling Model'!D$2:D$38^A4349)</f>
        <v>0.604406806</v>
      </c>
    </row>
    <row r="4350">
      <c r="A4350" s="6">
        <v>4348.0</v>
      </c>
      <c r="B4350" s="17">
        <f t="array" ref="B4350">SUM(1-'Sparkling Model'!D$2:D$38^A4350)</f>
        <v>36.52252757</v>
      </c>
      <c r="C4350" s="8">
        <f t="array" ref="C4350">PRODUCT(1-'Sparkling Model'!D$2:D$38^A4350)</f>
        <v>0.6045925868</v>
      </c>
    </row>
    <row r="4351">
      <c r="A4351" s="6">
        <v>4349.0</v>
      </c>
      <c r="B4351" s="17">
        <f t="array" ref="B4351">SUM(1-'Sparkling Model'!D$2:D$38^A4351)</f>
        <v>36.52280761</v>
      </c>
      <c r="C4351" s="8">
        <f t="array" ref="C4351">PRODUCT(1-'Sparkling Model'!D$2:D$38^A4351)</f>
        <v>0.6047782916</v>
      </c>
    </row>
    <row r="4352">
      <c r="A4352" s="6">
        <v>4350.0</v>
      </c>
      <c r="B4352" s="17">
        <f t="array" ref="B4352">SUM(1-'Sparkling Model'!D$2:D$38^A4352)</f>
        <v>36.52308746</v>
      </c>
      <c r="C4352" s="8">
        <f t="array" ref="C4352">PRODUCT(1-'Sparkling Model'!D$2:D$38^A4352)</f>
        <v>0.6049639204</v>
      </c>
    </row>
    <row r="4353">
      <c r="A4353" s="6">
        <v>4351.0</v>
      </c>
      <c r="B4353" s="17">
        <f t="array" ref="B4353">SUM(1-'Sparkling Model'!D$2:D$38^A4353)</f>
        <v>36.52336712</v>
      </c>
      <c r="C4353" s="8">
        <f t="array" ref="C4353">PRODUCT(1-'Sparkling Model'!D$2:D$38^A4353)</f>
        <v>0.6051494731</v>
      </c>
    </row>
    <row r="4354">
      <c r="A4354" s="6">
        <v>4352.0</v>
      </c>
      <c r="B4354" s="17">
        <f t="array" ref="B4354">SUM(1-'Sparkling Model'!D$2:D$38^A4354)</f>
        <v>36.52364659</v>
      </c>
      <c r="C4354" s="8">
        <f t="array" ref="C4354">PRODUCT(1-'Sparkling Model'!D$2:D$38^A4354)</f>
        <v>0.6053349498</v>
      </c>
    </row>
    <row r="4355">
      <c r="A4355" s="6">
        <v>4353.0</v>
      </c>
      <c r="B4355" s="17">
        <f t="array" ref="B4355">SUM(1-'Sparkling Model'!D$2:D$38^A4355)</f>
        <v>36.52392587</v>
      </c>
      <c r="C4355" s="8">
        <f t="array" ref="C4355">PRODUCT(1-'Sparkling Model'!D$2:D$38^A4355)</f>
        <v>0.6055203506</v>
      </c>
    </row>
    <row r="4356">
      <c r="A4356" s="6">
        <v>4354.0</v>
      </c>
      <c r="B4356" s="17">
        <f t="array" ref="B4356">SUM(1-'Sparkling Model'!D$2:D$38^A4356)</f>
        <v>36.52420496</v>
      </c>
      <c r="C4356" s="8">
        <f t="array" ref="C4356">PRODUCT(1-'Sparkling Model'!D$2:D$38^A4356)</f>
        <v>0.6057056753</v>
      </c>
    </row>
    <row r="4357">
      <c r="A4357" s="6">
        <v>4355.0</v>
      </c>
      <c r="B4357" s="17">
        <f t="array" ref="B4357">SUM(1-'Sparkling Model'!D$2:D$38^A4357)</f>
        <v>36.52448386</v>
      </c>
      <c r="C4357" s="8">
        <f t="array" ref="C4357">PRODUCT(1-'Sparkling Model'!D$2:D$38^A4357)</f>
        <v>0.6058909241</v>
      </c>
    </row>
    <row r="4358">
      <c r="A4358" s="6">
        <v>4356.0</v>
      </c>
      <c r="B4358" s="17">
        <f t="array" ref="B4358">SUM(1-'Sparkling Model'!D$2:D$38^A4358)</f>
        <v>36.52476257</v>
      </c>
      <c r="C4358" s="8">
        <f t="array" ref="C4358">PRODUCT(1-'Sparkling Model'!D$2:D$38^A4358)</f>
        <v>0.606076097</v>
      </c>
    </row>
    <row r="4359">
      <c r="A4359" s="6">
        <v>4357.0</v>
      </c>
      <c r="B4359" s="17">
        <f t="array" ref="B4359">SUM(1-'Sparkling Model'!D$2:D$38^A4359)</f>
        <v>36.52504109</v>
      </c>
      <c r="C4359" s="8">
        <f t="array" ref="C4359">PRODUCT(1-'Sparkling Model'!D$2:D$38^A4359)</f>
        <v>0.6062611939</v>
      </c>
    </row>
    <row r="4360">
      <c r="A4360" s="6">
        <v>4358.0</v>
      </c>
      <c r="B4360" s="17">
        <f t="array" ref="B4360">SUM(1-'Sparkling Model'!D$2:D$38^A4360)</f>
        <v>36.52531943</v>
      </c>
      <c r="C4360" s="8">
        <f t="array" ref="C4360">PRODUCT(1-'Sparkling Model'!D$2:D$38^A4360)</f>
        <v>0.6064462148</v>
      </c>
    </row>
    <row r="4361">
      <c r="A4361" s="6">
        <v>4359.0</v>
      </c>
      <c r="B4361" s="17">
        <f t="array" ref="B4361">SUM(1-'Sparkling Model'!D$2:D$38^A4361)</f>
        <v>36.52559757</v>
      </c>
      <c r="C4361" s="8">
        <f t="array" ref="C4361">PRODUCT(1-'Sparkling Model'!D$2:D$38^A4361)</f>
        <v>0.6066311599</v>
      </c>
    </row>
    <row r="4362">
      <c r="A4362" s="6">
        <v>4360.0</v>
      </c>
      <c r="B4362" s="17">
        <f t="array" ref="B4362">SUM(1-'Sparkling Model'!D$2:D$38^A4362)</f>
        <v>36.52587552</v>
      </c>
      <c r="C4362" s="8">
        <f t="array" ref="C4362">PRODUCT(1-'Sparkling Model'!D$2:D$38^A4362)</f>
        <v>0.606816029</v>
      </c>
    </row>
    <row r="4363">
      <c r="A4363" s="6">
        <v>4361.0</v>
      </c>
      <c r="B4363" s="17">
        <f t="array" ref="B4363">SUM(1-'Sparkling Model'!D$2:D$38^A4363)</f>
        <v>36.52615329</v>
      </c>
      <c r="C4363" s="8">
        <f t="array" ref="C4363">PRODUCT(1-'Sparkling Model'!D$2:D$38^A4363)</f>
        <v>0.6070008223</v>
      </c>
    </row>
    <row r="4364">
      <c r="A4364" s="6">
        <v>4362.0</v>
      </c>
      <c r="B4364" s="17">
        <f t="array" ref="B4364">SUM(1-'Sparkling Model'!D$2:D$38^A4364)</f>
        <v>36.52643087</v>
      </c>
      <c r="C4364" s="8">
        <f t="array" ref="C4364">PRODUCT(1-'Sparkling Model'!D$2:D$38^A4364)</f>
        <v>0.6071855397</v>
      </c>
    </row>
    <row r="4365">
      <c r="A4365" s="6">
        <v>4363.0</v>
      </c>
      <c r="B4365" s="17">
        <f t="array" ref="B4365">SUM(1-'Sparkling Model'!D$2:D$38^A4365)</f>
        <v>36.52670826</v>
      </c>
      <c r="C4365" s="8">
        <f t="array" ref="C4365">PRODUCT(1-'Sparkling Model'!D$2:D$38^A4365)</f>
        <v>0.6073701812</v>
      </c>
    </row>
    <row r="4366">
      <c r="A4366" s="6">
        <v>4364.0</v>
      </c>
      <c r="B4366" s="17">
        <f t="array" ref="B4366">SUM(1-'Sparkling Model'!D$2:D$38^A4366)</f>
        <v>36.52698546</v>
      </c>
      <c r="C4366" s="8">
        <f t="array" ref="C4366">PRODUCT(1-'Sparkling Model'!D$2:D$38^A4366)</f>
        <v>0.6075547469</v>
      </c>
    </row>
    <row r="4367">
      <c r="A4367" s="6">
        <v>4365.0</v>
      </c>
      <c r="B4367" s="17">
        <f t="array" ref="B4367">SUM(1-'Sparkling Model'!D$2:D$38^A4367)</f>
        <v>36.52726247</v>
      </c>
      <c r="C4367" s="8">
        <f t="array" ref="C4367">PRODUCT(1-'Sparkling Model'!D$2:D$38^A4367)</f>
        <v>0.6077392367</v>
      </c>
    </row>
    <row r="4368">
      <c r="A4368" s="6">
        <v>4366.0</v>
      </c>
      <c r="B4368" s="17">
        <f t="array" ref="B4368">SUM(1-'Sparkling Model'!D$2:D$38^A4368)</f>
        <v>36.5275393</v>
      </c>
      <c r="C4368" s="8">
        <f t="array" ref="C4368">PRODUCT(1-'Sparkling Model'!D$2:D$38^A4368)</f>
        <v>0.6079236507</v>
      </c>
    </row>
    <row r="4369">
      <c r="A4369" s="6">
        <v>4367.0</v>
      </c>
      <c r="B4369" s="17">
        <f t="array" ref="B4369">SUM(1-'Sparkling Model'!D$2:D$38^A4369)</f>
        <v>36.52781593</v>
      </c>
      <c r="C4369" s="8">
        <f t="array" ref="C4369">PRODUCT(1-'Sparkling Model'!D$2:D$38^A4369)</f>
        <v>0.6081079889</v>
      </c>
    </row>
    <row r="4370">
      <c r="A4370" s="6">
        <v>4368.0</v>
      </c>
      <c r="B4370" s="17">
        <f t="array" ref="B4370">SUM(1-'Sparkling Model'!D$2:D$38^A4370)</f>
        <v>36.52809238</v>
      </c>
      <c r="C4370" s="8">
        <f t="array" ref="C4370">PRODUCT(1-'Sparkling Model'!D$2:D$38^A4370)</f>
        <v>0.6082922514</v>
      </c>
    </row>
    <row r="4371">
      <c r="A4371" s="6">
        <v>4369.0</v>
      </c>
      <c r="B4371" s="17">
        <f t="array" ref="B4371">SUM(1-'Sparkling Model'!D$2:D$38^A4371)</f>
        <v>36.52836864</v>
      </c>
      <c r="C4371" s="8">
        <f t="array" ref="C4371">PRODUCT(1-'Sparkling Model'!D$2:D$38^A4371)</f>
        <v>0.608476438</v>
      </c>
    </row>
    <row r="4372">
      <c r="A4372" s="6">
        <v>4370.0</v>
      </c>
      <c r="B4372" s="17">
        <f t="array" ref="B4372">SUM(1-'Sparkling Model'!D$2:D$38^A4372)</f>
        <v>36.52864472</v>
      </c>
      <c r="C4372" s="8">
        <f t="array" ref="C4372">PRODUCT(1-'Sparkling Model'!D$2:D$38^A4372)</f>
        <v>0.6086605488</v>
      </c>
    </row>
    <row r="4373">
      <c r="A4373" s="6">
        <v>4371.0</v>
      </c>
      <c r="B4373" s="17">
        <f t="array" ref="B4373">SUM(1-'Sparkling Model'!D$2:D$38^A4373)</f>
        <v>36.52892061</v>
      </c>
      <c r="C4373" s="8">
        <f t="array" ref="C4373">PRODUCT(1-'Sparkling Model'!D$2:D$38^A4373)</f>
        <v>0.6088445839</v>
      </c>
    </row>
    <row r="4374">
      <c r="A4374" s="6">
        <v>4372.0</v>
      </c>
      <c r="B4374" s="17">
        <f t="array" ref="B4374">SUM(1-'Sparkling Model'!D$2:D$38^A4374)</f>
        <v>36.52919631</v>
      </c>
      <c r="C4374" s="8">
        <f t="array" ref="C4374">PRODUCT(1-'Sparkling Model'!D$2:D$38^A4374)</f>
        <v>0.6090285433</v>
      </c>
    </row>
    <row r="4375">
      <c r="A4375" s="6">
        <v>4373.0</v>
      </c>
      <c r="B4375" s="17">
        <f t="array" ref="B4375">SUM(1-'Sparkling Model'!D$2:D$38^A4375)</f>
        <v>36.52947182</v>
      </c>
      <c r="C4375" s="8">
        <f t="array" ref="C4375">PRODUCT(1-'Sparkling Model'!D$2:D$38^A4375)</f>
        <v>0.6092124269</v>
      </c>
    </row>
    <row r="4376">
      <c r="A4376" s="6">
        <v>4374.0</v>
      </c>
      <c r="B4376" s="17">
        <f t="array" ref="B4376">SUM(1-'Sparkling Model'!D$2:D$38^A4376)</f>
        <v>36.52974715</v>
      </c>
      <c r="C4376" s="8">
        <f t="array" ref="C4376">PRODUCT(1-'Sparkling Model'!D$2:D$38^A4376)</f>
        <v>0.6093962348</v>
      </c>
    </row>
    <row r="4377">
      <c r="A4377" s="6">
        <v>4375.0</v>
      </c>
      <c r="B4377" s="17">
        <f t="array" ref="B4377">SUM(1-'Sparkling Model'!D$2:D$38^A4377)</f>
        <v>36.53002229</v>
      </c>
      <c r="C4377" s="8">
        <f t="array" ref="C4377">PRODUCT(1-'Sparkling Model'!D$2:D$38^A4377)</f>
        <v>0.609579967</v>
      </c>
    </row>
    <row r="4378">
      <c r="A4378" s="6">
        <v>4376.0</v>
      </c>
      <c r="B4378" s="17">
        <f t="array" ref="B4378">SUM(1-'Sparkling Model'!D$2:D$38^A4378)</f>
        <v>36.53029724</v>
      </c>
      <c r="C4378" s="8">
        <f t="array" ref="C4378">PRODUCT(1-'Sparkling Model'!D$2:D$38^A4378)</f>
        <v>0.6097636236</v>
      </c>
    </row>
    <row r="4379">
      <c r="A4379" s="6">
        <v>4377.0</v>
      </c>
      <c r="B4379" s="17">
        <f t="array" ref="B4379">SUM(1-'Sparkling Model'!D$2:D$38^A4379)</f>
        <v>36.53057201</v>
      </c>
      <c r="C4379" s="8">
        <f t="array" ref="C4379">PRODUCT(1-'Sparkling Model'!D$2:D$38^A4379)</f>
        <v>0.6099472044</v>
      </c>
    </row>
    <row r="4380">
      <c r="A4380" s="6">
        <v>4378.0</v>
      </c>
      <c r="B4380" s="17">
        <f t="array" ref="B4380">SUM(1-'Sparkling Model'!D$2:D$38^A4380)</f>
        <v>36.53084659</v>
      </c>
      <c r="C4380" s="8">
        <f t="array" ref="C4380">PRODUCT(1-'Sparkling Model'!D$2:D$38^A4380)</f>
        <v>0.6101307096</v>
      </c>
    </row>
    <row r="4381">
      <c r="A4381" s="6">
        <v>4379.0</v>
      </c>
      <c r="B4381" s="17">
        <f t="array" ref="B4381">SUM(1-'Sparkling Model'!D$2:D$38^A4381)</f>
        <v>36.53112099</v>
      </c>
      <c r="C4381" s="8">
        <f t="array" ref="C4381">PRODUCT(1-'Sparkling Model'!D$2:D$38^A4381)</f>
        <v>0.6103141391</v>
      </c>
    </row>
    <row r="4382">
      <c r="A4382" s="6">
        <v>4380.0</v>
      </c>
      <c r="B4382" s="17">
        <f t="array" ref="B4382">SUM(1-'Sparkling Model'!D$2:D$38^A4382)</f>
        <v>36.5313952</v>
      </c>
      <c r="C4382" s="8">
        <f t="array" ref="C4382">PRODUCT(1-'Sparkling Model'!D$2:D$38^A4382)</f>
        <v>0.610497493</v>
      </c>
    </row>
    <row r="4383">
      <c r="A4383" s="6">
        <v>4381.0</v>
      </c>
      <c r="B4383" s="17">
        <f t="array" ref="B4383">SUM(1-'Sparkling Model'!D$2:D$38^A4383)</f>
        <v>36.53166922</v>
      </c>
      <c r="C4383" s="8">
        <f t="array" ref="C4383">PRODUCT(1-'Sparkling Model'!D$2:D$38^A4383)</f>
        <v>0.6106807713</v>
      </c>
    </row>
    <row r="4384">
      <c r="A4384" s="6">
        <v>4382.0</v>
      </c>
      <c r="B4384" s="17">
        <f t="array" ref="B4384">SUM(1-'Sparkling Model'!D$2:D$38^A4384)</f>
        <v>36.53194306</v>
      </c>
      <c r="C4384" s="8">
        <f t="array" ref="C4384">PRODUCT(1-'Sparkling Model'!D$2:D$38^A4384)</f>
        <v>0.610863974</v>
      </c>
    </row>
    <row r="4385">
      <c r="A4385" s="6">
        <v>4383.0</v>
      </c>
      <c r="B4385" s="17">
        <f t="array" ref="B4385">SUM(1-'Sparkling Model'!D$2:D$38^A4385)</f>
        <v>36.53221672</v>
      </c>
      <c r="C4385" s="8">
        <f t="array" ref="C4385">PRODUCT(1-'Sparkling Model'!D$2:D$38^A4385)</f>
        <v>0.6110471011</v>
      </c>
    </row>
    <row r="4386">
      <c r="A4386" s="6">
        <v>4384.0</v>
      </c>
      <c r="B4386" s="17">
        <f t="array" ref="B4386">SUM(1-'Sparkling Model'!D$2:D$38^A4386)</f>
        <v>36.53249019</v>
      </c>
      <c r="C4386" s="8">
        <f t="array" ref="C4386">PRODUCT(1-'Sparkling Model'!D$2:D$38^A4386)</f>
        <v>0.6112301526</v>
      </c>
    </row>
    <row r="4387">
      <c r="A4387" s="6">
        <v>4385.0</v>
      </c>
      <c r="B4387" s="17">
        <f t="array" ref="B4387">SUM(1-'Sparkling Model'!D$2:D$38^A4387)</f>
        <v>36.53276347</v>
      </c>
      <c r="C4387" s="8">
        <f t="array" ref="C4387">PRODUCT(1-'Sparkling Model'!D$2:D$38^A4387)</f>
        <v>0.6114131285</v>
      </c>
    </row>
    <row r="4388">
      <c r="A4388" s="6">
        <v>4386.0</v>
      </c>
      <c r="B4388" s="17">
        <f t="array" ref="B4388">SUM(1-'Sparkling Model'!D$2:D$38^A4388)</f>
        <v>36.53303657</v>
      </c>
      <c r="C4388" s="8">
        <f t="array" ref="C4388">PRODUCT(1-'Sparkling Model'!D$2:D$38^A4388)</f>
        <v>0.6115960289</v>
      </c>
    </row>
    <row r="4389">
      <c r="A4389" s="6">
        <v>4387.0</v>
      </c>
      <c r="B4389" s="17">
        <f t="array" ref="B4389">SUM(1-'Sparkling Model'!D$2:D$38^A4389)</f>
        <v>36.53330948</v>
      </c>
      <c r="C4389" s="8">
        <f t="array" ref="C4389">PRODUCT(1-'Sparkling Model'!D$2:D$38^A4389)</f>
        <v>0.6117788538</v>
      </c>
    </row>
    <row r="4390">
      <c r="A4390" s="6">
        <v>4388.0</v>
      </c>
      <c r="B4390" s="17">
        <f t="array" ref="B4390">SUM(1-'Sparkling Model'!D$2:D$38^A4390)</f>
        <v>36.53358221</v>
      </c>
      <c r="C4390" s="8">
        <f t="array" ref="C4390">PRODUCT(1-'Sparkling Model'!D$2:D$38^A4390)</f>
        <v>0.6119616031</v>
      </c>
    </row>
    <row r="4391">
      <c r="A4391" s="6">
        <v>4389.0</v>
      </c>
      <c r="B4391" s="17">
        <f t="array" ref="B4391">SUM(1-'Sparkling Model'!D$2:D$38^A4391)</f>
        <v>36.53385476</v>
      </c>
      <c r="C4391" s="8">
        <f t="array" ref="C4391">PRODUCT(1-'Sparkling Model'!D$2:D$38^A4391)</f>
        <v>0.6121442769</v>
      </c>
    </row>
    <row r="4392">
      <c r="A4392" s="6">
        <v>4390.0</v>
      </c>
      <c r="B4392" s="17">
        <f t="array" ref="B4392">SUM(1-'Sparkling Model'!D$2:D$38^A4392)</f>
        <v>36.53412712</v>
      </c>
      <c r="C4392" s="8">
        <f t="array" ref="C4392">PRODUCT(1-'Sparkling Model'!D$2:D$38^A4392)</f>
        <v>0.6123268753</v>
      </c>
    </row>
    <row r="4393">
      <c r="A4393" s="6">
        <v>4391.0</v>
      </c>
      <c r="B4393" s="17">
        <f t="array" ref="B4393">SUM(1-'Sparkling Model'!D$2:D$38^A4393)</f>
        <v>36.5343993</v>
      </c>
      <c r="C4393" s="8">
        <f t="array" ref="C4393">PRODUCT(1-'Sparkling Model'!D$2:D$38^A4393)</f>
        <v>0.6125093981</v>
      </c>
    </row>
    <row r="4394">
      <c r="A4394" s="6">
        <v>4392.0</v>
      </c>
      <c r="B4394" s="17">
        <f t="array" ref="B4394">SUM(1-'Sparkling Model'!D$2:D$38^A4394)</f>
        <v>36.53467129</v>
      </c>
      <c r="C4394" s="8">
        <f t="array" ref="C4394">PRODUCT(1-'Sparkling Model'!D$2:D$38^A4394)</f>
        <v>0.6126918455</v>
      </c>
    </row>
    <row r="4395">
      <c r="A4395" s="6">
        <v>4393.0</v>
      </c>
      <c r="B4395" s="17">
        <f t="array" ref="B4395">SUM(1-'Sparkling Model'!D$2:D$38^A4395)</f>
        <v>36.5349431</v>
      </c>
      <c r="C4395" s="8">
        <f t="array" ref="C4395">PRODUCT(1-'Sparkling Model'!D$2:D$38^A4395)</f>
        <v>0.6128742174</v>
      </c>
    </row>
    <row r="4396">
      <c r="A4396" s="6">
        <v>4394.0</v>
      </c>
      <c r="B4396" s="17">
        <f t="array" ref="B4396">SUM(1-'Sparkling Model'!D$2:D$38^A4396)</f>
        <v>36.53521473</v>
      </c>
      <c r="C4396" s="8">
        <f t="array" ref="C4396">PRODUCT(1-'Sparkling Model'!D$2:D$38^A4396)</f>
        <v>0.6130565139</v>
      </c>
    </row>
    <row r="4397">
      <c r="A4397" s="6">
        <v>4395.0</v>
      </c>
      <c r="B4397" s="17">
        <f t="array" ref="B4397">SUM(1-'Sparkling Model'!D$2:D$38^A4397)</f>
        <v>36.53548617</v>
      </c>
      <c r="C4397" s="8">
        <f t="array" ref="C4397">PRODUCT(1-'Sparkling Model'!D$2:D$38^A4397)</f>
        <v>0.613238735</v>
      </c>
    </row>
    <row r="4398">
      <c r="A4398" s="6">
        <v>4396.0</v>
      </c>
      <c r="B4398" s="17">
        <f t="array" ref="B4398">SUM(1-'Sparkling Model'!D$2:D$38^A4398)</f>
        <v>36.53575743</v>
      </c>
      <c r="C4398" s="8">
        <f t="array" ref="C4398">PRODUCT(1-'Sparkling Model'!D$2:D$38^A4398)</f>
        <v>0.6134208806</v>
      </c>
    </row>
    <row r="4399">
      <c r="A4399" s="6">
        <v>4397.0</v>
      </c>
      <c r="B4399" s="17">
        <f t="array" ref="B4399">SUM(1-'Sparkling Model'!D$2:D$38^A4399)</f>
        <v>36.53602851</v>
      </c>
      <c r="C4399" s="8">
        <f t="array" ref="C4399">PRODUCT(1-'Sparkling Model'!D$2:D$38^A4399)</f>
        <v>0.6136029509</v>
      </c>
    </row>
    <row r="4400">
      <c r="A4400" s="6">
        <v>4398.0</v>
      </c>
      <c r="B4400" s="17">
        <f t="array" ref="B4400">SUM(1-'Sparkling Model'!D$2:D$38^A4400)</f>
        <v>36.5362994</v>
      </c>
      <c r="C4400" s="8">
        <f t="array" ref="C4400">PRODUCT(1-'Sparkling Model'!D$2:D$38^A4400)</f>
        <v>0.6137849457</v>
      </c>
    </row>
    <row r="4401">
      <c r="A4401" s="6">
        <v>4399.0</v>
      </c>
      <c r="B4401" s="17">
        <f t="array" ref="B4401">SUM(1-'Sparkling Model'!D$2:D$38^A4401)</f>
        <v>36.53657011</v>
      </c>
      <c r="C4401" s="8">
        <f t="array" ref="C4401">PRODUCT(1-'Sparkling Model'!D$2:D$38^A4401)</f>
        <v>0.6139668653</v>
      </c>
    </row>
    <row r="4402">
      <c r="A4402" s="6">
        <v>4400.0</v>
      </c>
      <c r="B4402" s="17">
        <f t="array" ref="B4402">SUM(1-'Sparkling Model'!D$2:D$38^A4402)</f>
        <v>36.53684064</v>
      </c>
      <c r="C4402" s="8">
        <f t="array" ref="C4402">PRODUCT(1-'Sparkling Model'!D$2:D$38^A4402)</f>
        <v>0.6141487094</v>
      </c>
    </row>
    <row r="4403">
      <c r="A4403" s="6">
        <v>4401.0</v>
      </c>
      <c r="B4403" s="17">
        <f t="array" ref="B4403">SUM(1-'Sparkling Model'!D$2:D$38^A4403)</f>
        <v>36.53711098</v>
      </c>
      <c r="C4403" s="8">
        <f t="array" ref="C4403">PRODUCT(1-'Sparkling Model'!D$2:D$38^A4403)</f>
        <v>0.6143304782</v>
      </c>
    </row>
    <row r="4404">
      <c r="A4404" s="6">
        <v>4402.0</v>
      </c>
      <c r="B4404" s="17">
        <f t="array" ref="B4404">SUM(1-'Sparkling Model'!D$2:D$38^A4404)</f>
        <v>36.53738115</v>
      </c>
      <c r="C4404" s="8">
        <f t="array" ref="C4404">PRODUCT(1-'Sparkling Model'!D$2:D$38^A4404)</f>
        <v>0.6145121717</v>
      </c>
    </row>
    <row r="4405">
      <c r="A4405" s="6">
        <v>4403.0</v>
      </c>
      <c r="B4405" s="17">
        <f t="array" ref="B4405">SUM(1-'Sparkling Model'!D$2:D$38^A4405)</f>
        <v>36.53765113</v>
      </c>
      <c r="C4405" s="8">
        <f t="array" ref="C4405">PRODUCT(1-'Sparkling Model'!D$2:D$38^A4405)</f>
        <v>0.6146937899</v>
      </c>
    </row>
    <row r="4406">
      <c r="A4406" s="6">
        <v>4404.0</v>
      </c>
      <c r="B4406" s="17">
        <f t="array" ref="B4406">SUM(1-'Sparkling Model'!D$2:D$38^A4406)</f>
        <v>36.53792093</v>
      </c>
      <c r="C4406" s="8">
        <f t="array" ref="C4406">PRODUCT(1-'Sparkling Model'!D$2:D$38^A4406)</f>
        <v>0.6148753328</v>
      </c>
    </row>
    <row r="4407">
      <c r="A4407" s="6">
        <v>4405.0</v>
      </c>
      <c r="B4407" s="17">
        <f t="array" ref="B4407">SUM(1-'Sparkling Model'!D$2:D$38^A4407)</f>
        <v>36.53819054</v>
      </c>
      <c r="C4407" s="8">
        <f t="array" ref="C4407">PRODUCT(1-'Sparkling Model'!D$2:D$38^A4407)</f>
        <v>0.6150568004</v>
      </c>
    </row>
    <row r="4408">
      <c r="A4408" s="6">
        <v>4406.0</v>
      </c>
      <c r="B4408" s="17">
        <f t="array" ref="B4408">SUM(1-'Sparkling Model'!D$2:D$38^A4408)</f>
        <v>36.53845998</v>
      </c>
      <c r="C4408" s="8">
        <f t="array" ref="C4408">PRODUCT(1-'Sparkling Model'!D$2:D$38^A4408)</f>
        <v>0.6152381927</v>
      </c>
    </row>
    <row r="4409">
      <c r="A4409" s="6">
        <v>4407.0</v>
      </c>
      <c r="B4409" s="17">
        <f t="array" ref="B4409">SUM(1-'Sparkling Model'!D$2:D$38^A4409)</f>
        <v>36.53872923</v>
      </c>
      <c r="C4409" s="8">
        <f t="array" ref="C4409">PRODUCT(1-'Sparkling Model'!D$2:D$38^A4409)</f>
        <v>0.6154195098</v>
      </c>
    </row>
    <row r="4410">
      <c r="A4410" s="6">
        <v>4408.0</v>
      </c>
      <c r="B4410" s="17">
        <f t="array" ref="B4410">SUM(1-'Sparkling Model'!D$2:D$38^A4410)</f>
        <v>36.53899831</v>
      </c>
      <c r="C4410" s="8">
        <f t="array" ref="C4410">PRODUCT(1-'Sparkling Model'!D$2:D$38^A4410)</f>
        <v>0.6156007516</v>
      </c>
    </row>
    <row r="4411">
      <c r="A4411" s="6">
        <v>4409.0</v>
      </c>
      <c r="B4411" s="17">
        <f t="array" ref="B4411">SUM(1-'Sparkling Model'!D$2:D$38^A4411)</f>
        <v>36.5392672</v>
      </c>
      <c r="C4411" s="8">
        <f t="array" ref="C4411">PRODUCT(1-'Sparkling Model'!D$2:D$38^A4411)</f>
        <v>0.6157819183</v>
      </c>
    </row>
    <row r="4412">
      <c r="A4412" s="6">
        <v>4410.0</v>
      </c>
      <c r="B4412" s="17">
        <f t="array" ref="B4412">SUM(1-'Sparkling Model'!D$2:D$38^A4412)</f>
        <v>36.53953591</v>
      </c>
      <c r="C4412" s="8">
        <f t="array" ref="C4412">PRODUCT(1-'Sparkling Model'!D$2:D$38^A4412)</f>
        <v>0.6159630097</v>
      </c>
    </row>
    <row r="4413">
      <c r="A4413" s="6">
        <v>4411.0</v>
      </c>
      <c r="B4413" s="17">
        <f t="array" ref="B4413">SUM(1-'Sparkling Model'!D$2:D$38^A4413)</f>
        <v>36.53980444</v>
      </c>
      <c r="C4413" s="8">
        <f t="array" ref="C4413">PRODUCT(1-'Sparkling Model'!D$2:D$38^A4413)</f>
        <v>0.6161440259</v>
      </c>
    </row>
    <row r="4414">
      <c r="A4414" s="6">
        <v>4412.0</v>
      </c>
      <c r="B4414" s="17">
        <f t="array" ref="B4414">SUM(1-'Sparkling Model'!D$2:D$38^A4414)</f>
        <v>36.54007278</v>
      </c>
      <c r="C4414" s="8">
        <f t="array" ref="C4414">PRODUCT(1-'Sparkling Model'!D$2:D$38^A4414)</f>
        <v>0.6163249669</v>
      </c>
    </row>
    <row r="4415">
      <c r="A4415" s="6">
        <v>4413.0</v>
      </c>
      <c r="B4415" s="17">
        <f t="array" ref="B4415">SUM(1-'Sparkling Model'!D$2:D$38^A4415)</f>
        <v>36.54034095</v>
      </c>
      <c r="C4415" s="8">
        <f t="array" ref="C4415">PRODUCT(1-'Sparkling Model'!D$2:D$38^A4415)</f>
        <v>0.6165058328</v>
      </c>
    </row>
    <row r="4416">
      <c r="A4416" s="6">
        <v>4414.0</v>
      </c>
      <c r="B4416" s="17">
        <f t="array" ref="B4416">SUM(1-'Sparkling Model'!D$2:D$38^A4416)</f>
        <v>36.54060894</v>
      </c>
      <c r="C4416" s="8">
        <f t="array" ref="C4416">PRODUCT(1-'Sparkling Model'!D$2:D$38^A4416)</f>
        <v>0.6166866235</v>
      </c>
    </row>
    <row r="4417">
      <c r="A4417" s="6">
        <v>4415.0</v>
      </c>
      <c r="B4417" s="17">
        <f t="array" ref="B4417">SUM(1-'Sparkling Model'!D$2:D$38^A4417)</f>
        <v>36.54087674</v>
      </c>
      <c r="C4417" s="8">
        <f t="array" ref="C4417">PRODUCT(1-'Sparkling Model'!D$2:D$38^A4417)</f>
        <v>0.6168673391</v>
      </c>
    </row>
    <row r="4418">
      <c r="A4418" s="6">
        <v>4416.0</v>
      </c>
      <c r="B4418" s="17">
        <f t="array" ref="B4418">SUM(1-'Sparkling Model'!D$2:D$38^A4418)</f>
        <v>36.54114437</v>
      </c>
      <c r="C4418" s="8">
        <f t="array" ref="C4418">PRODUCT(1-'Sparkling Model'!D$2:D$38^A4418)</f>
        <v>0.6170479796</v>
      </c>
    </row>
    <row r="4419">
      <c r="A4419" s="6">
        <v>4417.0</v>
      </c>
      <c r="B4419" s="17">
        <f t="array" ref="B4419">SUM(1-'Sparkling Model'!D$2:D$38^A4419)</f>
        <v>36.54141182</v>
      </c>
      <c r="C4419" s="8">
        <f t="array" ref="C4419">PRODUCT(1-'Sparkling Model'!D$2:D$38^A4419)</f>
        <v>0.617228545</v>
      </c>
    </row>
    <row r="4420">
      <c r="A4420" s="6">
        <v>4418.0</v>
      </c>
      <c r="B4420" s="17">
        <f t="array" ref="B4420">SUM(1-'Sparkling Model'!D$2:D$38^A4420)</f>
        <v>36.54167908</v>
      </c>
      <c r="C4420" s="8">
        <f t="array" ref="C4420">PRODUCT(1-'Sparkling Model'!D$2:D$38^A4420)</f>
        <v>0.6174090352</v>
      </c>
    </row>
    <row r="4421">
      <c r="A4421" s="6">
        <v>4419.0</v>
      </c>
      <c r="B4421" s="17">
        <f t="array" ref="B4421">SUM(1-'Sparkling Model'!D$2:D$38^A4421)</f>
        <v>36.54194617</v>
      </c>
      <c r="C4421" s="8">
        <f t="array" ref="C4421">PRODUCT(1-'Sparkling Model'!D$2:D$38^A4421)</f>
        <v>0.6175894504</v>
      </c>
    </row>
    <row r="4422">
      <c r="A4422" s="6">
        <v>4420.0</v>
      </c>
      <c r="B4422" s="17">
        <f t="array" ref="B4422">SUM(1-'Sparkling Model'!D$2:D$38^A4422)</f>
        <v>36.54221308</v>
      </c>
      <c r="C4422" s="8">
        <f t="array" ref="C4422">PRODUCT(1-'Sparkling Model'!D$2:D$38^A4422)</f>
        <v>0.6177697906</v>
      </c>
    </row>
    <row r="4423">
      <c r="A4423" s="6">
        <v>4421.0</v>
      </c>
      <c r="B4423" s="17">
        <f t="array" ref="B4423">SUM(1-'Sparkling Model'!D$2:D$38^A4423)</f>
        <v>36.5424798</v>
      </c>
      <c r="C4423" s="8">
        <f t="array" ref="C4423">PRODUCT(1-'Sparkling Model'!D$2:D$38^A4423)</f>
        <v>0.6179500556</v>
      </c>
    </row>
    <row r="4424">
      <c r="A4424" s="6">
        <v>4422.0</v>
      </c>
      <c r="B4424" s="17">
        <f t="array" ref="B4424">SUM(1-'Sparkling Model'!D$2:D$38^A4424)</f>
        <v>36.54274635</v>
      </c>
      <c r="C4424" s="8">
        <f t="array" ref="C4424">PRODUCT(1-'Sparkling Model'!D$2:D$38^A4424)</f>
        <v>0.6181302457</v>
      </c>
    </row>
    <row r="4425">
      <c r="A4425" s="6">
        <v>4423.0</v>
      </c>
      <c r="B4425" s="17">
        <f t="array" ref="B4425">SUM(1-'Sparkling Model'!D$2:D$38^A4425)</f>
        <v>36.54301272</v>
      </c>
      <c r="C4425" s="8">
        <f t="array" ref="C4425">PRODUCT(1-'Sparkling Model'!D$2:D$38^A4425)</f>
        <v>0.6183103607</v>
      </c>
    </row>
    <row r="4426">
      <c r="A4426" s="6">
        <v>4424.0</v>
      </c>
      <c r="B4426" s="17">
        <f t="array" ref="B4426">SUM(1-'Sparkling Model'!D$2:D$38^A4426)</f>
        <v>36.54327891</v>
      </c>
      <c r="C4426" s="8">
        <f t="array" ref="C4426">PRODUCT(1-'Sparkling Model'!D$2:D$38^A4426)</f>
        <v>0.6184904008</v>
      </c>
    </row>
    <row r="4427">
      <c r="A4427" s="6">
        <v>4425.0</v>
      </c>
      <c r="B4427" s="17">
        <f t="array" ref="B4427">SUM(1-'Sparkling Model'!D$2:D$38^A4427)</f>
        <v>36.54354492</v>
      </c>
      <c r="C4427" s="8">
        <f t="array" ref="C4427">PRODUCT(1-'Sparkling Model'!D$2:D$38^A4427)</f>
        <v>0.6186703658</v>
      </c>
    </row>
    <row r="4428">
      <c r="A4428" s="6">
        <v>4426.0</v>
      </c>
      <c r="B4428" s="17">
        <f t="array" ref="B4428">SUM(1-'Sparkling Model'!D$2:D$38^A4428)</f>
        <v>36.54381075</v>
      </c>
      <c r="C4428" s="8">
        <f t="array" ref="C4428">PRODUCT(1-'Sparkling Model'!D$2:D$38^A4428)</f>
        <v>0.6188502559</v>
      </c>
    </row>
    <row r="4429">
      <c r="A4429" s="6">
        <v>4427.0</v>
      </c>
      <c r="B4429" s="17">
        <f t="array" ref="B4429">SUM(1-'Sparkling Model'!D$2:D$38^A4429)</f>
        <v>36.54407641</v>
      </c>
      <c r="C4429" s="8">
        <f t="array" ref="C4429">PRODUCT(1-'Sparkling Model'!D$2:D$38^A4429)</f>
        <v>0.6190300711</v>
      </c>
    </row>
    <row r="4430">
      <c r="A4430" s="6">
        <v>4428.0</v>
      </c>
      <c r="B4430" s="17">
        <f t="array" ref="B4430">SUM(1-'Sparkling Model'!D$2:D$38^A4430)</f>
        <v>36.54434188</v>
      </c>
      <c r="C4430" s="8">
        <f t="array" ref="C4430">PRODUCT(1-'Sparkling Model'!D$2:D$38^A4430)</f>
        <v>0.6192098112</v>
      </c>
    </row>
    <row r="4431">
      <c r="A4431" s="6">
        <v>4429.0</v>
      </c>
      <c r="B4431" s="17">
        <f t="array" ref="B4431">SUM(1-'Sparkling Model'!D$2:D$38^A4431)</f>
        <v>36.54460718</v>
      </c>
      <c r="C4431" s="8">
        <f t="array" ref="C4431">PRODUCT(1-'Sparkling Model'!D$2:D$38^A4431)</f>
        <v>0.6193894765</v>
      </c>
    </row>
    <row r="4432">
      <c r="A4432" s="6">
        <v>4430.0</v>
      </c>
      <c r="B4432" s="17">
        <f t="array" ref="B4432">SUM(1-'Sparkling Model'!D$2:D$38^A4432)</f>
        <v>36.5448723</v>
      </c>
      <c r="C4432" s="8">
        <f t="array" ref="C4432">PRODUCT(1-'Sparkling Model'!D$2:D$38^A4432)</f>
        <v>0.6195690669</v>
      </c>
    </row>
    <row r="4433">
      <c r="A4433" s="6">
        <v>4431.0</v>
      </c>
      <c r="B4433" s="17">
        <f t="array" ref="B4433">SUM(1-'Sparkling Model'!D$2:D$38^A4433)</f>
        <v>36.54513724</v>
      </c>
      <c r="C4433" s="8">
        <f t="array" ref="C4433">PRODUCT(1-'Sparkling Model'!D$2:D$38^A4433)</f>
        <v>0.6197485823</v>
      </c>
    </row>
    <row r="4434">
      <c r="A4434" s="6">
        <v>4432.0</v>
      </c>
      <c r="B4434" s="17">
        <f t="array" ref="B4434">SUM(1-'Sparkling Model'!D$2:D$38^A4434)</f>
        <v>36.545402</v>
      </c>
      <c r="C4434" s="8">
        <f t="array" ref="C4434">PRODUCT(1-'Sparkling Model'!D$2:D$38^A4434)</f>
        <v>0.6199280229</v>
      </c>
    </row>
    <row r="4435">
      <c r="A4435" s="6">
        <v>4433.0</v>
      </c>
      <c r="B4435" s="17">
        <f t="array" ref="B4435">SUM(1-'Sparkling Model'!D$2:D$38^A4435)</f>
        <v>36.54566659</v>
      </c>
      <c r="C4435" s="8">
        <f t="array" ref="C4435">PRODUCT(1-'Sparkling Model'!D$2:D$38^A4435)</f>
        <v>0.6201073886</v>
      </c>
    </row>
    <row r="4436">
      <c r="A4436" s="6">
        <v>4434.0</v>
      </c>
      <c r="B4436" s="17">
        <f t="array" ref="B4436">SUM(1-'Sparkling Model'!D$2:D$38^A4436)</f>
        <v>36.545931</v>
      </c>
      <c r="C4436" s="8">
        <f t="array" ref="C4436">PRODUCT(1-'Sparkling Model'!D$2:D$38^A4436)</f>
        <v>0.6202866795</v>
      </c>
    </row>
    <row r="4437">
      <c r="A4437" s="6">
        <v>4435.0</v>
      </c>
      <c r="B4437" s="17">
        <f t="array" ref="B4437">SUM(1-'Sparkling Model'!D$2:D$38^A4437)</f>
        <v>36.54619523</v>
      </c>
      <c r="C4437" s="8">
        <f t="array" ref="C4437">PRODUCT(1-'Sparkling Model'!D$2:D$38^A4437)</f>
        <v>0.6204658955</v>
      </c>
    </row>
    <row r="4438">
      <c r="A4438" s="6">
        <v>4436.0</v>
      </c>
      <c r="B4438" s="17">
        <f t="array" ref="B4438">SUM(1-'Sparkling Model'!D$2:D$38^A4438)</f>
        <v>36.54645928</v>
      </c>
      <c r="C4438" s="8">
        <f t="array" ref="C4438">PRODUCT(1-'Sparkling Model'!D$2:D$38^A4438)</f>
        <v>0.6206450367</v>
      </c>
    </row>
    <row r="4439">
      <c r="A4439" s="6">
        <v>4437.0</v>
      </c>
      <c r="B4439" s="17">
        <f t="array" ref="B4439">SUM(1-'Sparkling Model'!D$2:D$38^A4439)</f>
        <v>36.54672315</v>
      </c>
      <c r="C4439" s="8">
        <f t="array" ref="C4439">PRODUCT(1-'Sparkling Model'!D$2:D$38^A4439)</f>
        <v>0.6208241031</v>
      </c>
    </row>
    <row r="4440">
      <c r="A4440" s="6">
        <v>4438.0</v>
      </c>
      <c r="B4440" s="17">
        <f t="array" ref="B4440">SUM(1-'Sparkling Model'!D$2:D$38^A4440)</f>
        <v>36.54698685</v>
      </c>
      <c r="C4440" s="8">
        <f t="array" ref="C4440">PRODUCT(1-'Sparkling Model'!D$2:D$38^A4440)</f>
        <v>0.6210030947</v>
      </c>
    </row>
    <row r="4441">
      <c r="A4441" s="6">
        <v>4439.0</v>
      </c>
      <c r="B4441" s="17">
        <f t="array" ref="B4441">SUM(1-'Sparkling Model'!D$2:D$38^A4441)</f>
        <v>36.54725038</v>
      </c>
      <c r="C4441" s="8">
        <f t="array" ref="C4441">PRODUCT(1-'Sparkling Model'!D$2:D$38^A4441)</f>
        <v>0.6211820115</v>
      </c>
    </row>
    <row r="4442">
      <c r="A4442" s="6">
        <v>4440.0</v>
      </c>
      <c r="B4442" s="17">
        <f t="array" ref="B4442">SUM(1-'Sparkling Model'!D$2:D$38^A4442)</f>
        <v>36.54751372</v>
      </c>
      <c r="C4442" s="8">
        <f t="array" ref="C4442">PRODUCT(1-'Sparkling Model'!D$2:D$38^A4442)</f>
        <v>0.6213608536</v>
      </c>
    </row>
    <row r="4443">
      <c r="A4443" s="6">
        <v>4441.0</v>
      </c>
      <c r="B4443" s="17">
        <f t="array" ref="B4443">SUM(1-'Sparkling Model'!D$2:D$38^A4443)</f>
        <v>36.54777689</v>
      </c>
      <c r="C4443" s="8">
        <f t="array" ref="C4443">PRODUCT(1-'Sparkling Model'!D$2:D$38^A4443)</f>
        <v>0.621539621</v>
      </c>
    </row>
    <row r="4444">
      <c r="A4444" s="6">
        <v>4442.0</v>
      </c>
      <c r="B4444" s="17">
        <f t="array" ref="B4444">SUM(1-'Sparkling Model'!D$2:D$38^A4444)</f>
        <v>36.54803988</v>
      </c>
      <c r="C4444" s="8">
        <f t="array" ref="C4444">PRODUCT(1-'Sparkling Model'!D$2:D$38^A4444)</f>
        <v>0.6217183136</v>
      </c>
    </row>
    <row r="4445">
      <c r="A4445" s="6">
        <v>4443.0</v>
      </c>
      <c r="B4445" s="17">
        <f t="array" ref="B4445">SUM(1-'Sparkling Model'!D$2:D$38^A4445)</f>
        <v>36.5483027</v>
      </c>
      <c r="C4445" s="8">
        <f t="array" ref="C4445">PRODUCT(1-'Sparkling Model'!D$2:D$38^A4445)</f>
        <v>0.6218969315</v>
      </c>
    </row>
    <row r="4446">
      <c r="A4446" s="6">
        <v>4444.0</v>
      </c>
      <c r="B4446" s="17">
        <f t="array" ref="B4446">SUM(1-'Sparkling Model'!D$2:D$38^A4446)</f>
        <v>36.54856534</v>
      </c>
      <c r="C4446" s="8">
        <f t="array" ref="C4446">PRODUCT(1-'Sparkling Model'!D$2:D$38^A4446)</f>
        <v>0.6220754747</v>
      </c>
    </row>
    <row r="4447">
      <c r="A4447" s="6">
        <v>4445.0</v>
      </c>
      <c r="B4447" s="17">
        <f t="array" ref="B4447">SUM(1-'Sparkling Model'!D$2:D$38^A4447)</f>
        <v>36.5488278</v>
      </c>
      <c r="C4447" s="8">
        <f t="array" ref="C4447">PRODUCT(1-'Sparkling Model'!D$2:D$38^A4447)</f>
        <v>0.6222539432</v>
      </c>
    </row>
    <row r="4448">
      <c r="A4448" s="6">
        <v>4446.0</v>
      </c>
      <c r="B4448" s="17">
        <f t="array" ref="B4448">SUM(1-'Sparkling Model'!D$2:D$38^A4448)</f>
        <v>36.54909009</v>
      </c>
      <c r="C4448" s="8">
        <f t="array" ref="C4448">PRODUCT(1-'Sparkling Model'!D$2:D$38^A4448)</f>
        <v>0.6224323371</v>
      </c>
    </row>
    <row r="4449">
      <c r="A4449" s="6">
        <v>4447.0</v>
      </c>
      <c r="B4449" s="17">
        <f t="array" ref="B4449">SUM(1-'Sparkling Model'!D$2:D$38^A4449)</f>
        <v>36.5493522</v>
      </c>
      <c r="C4449" s="8">
        <f t="array" ref="C4449">PRODUCT(1-'Sparkling Model'!D$2:D$38^A4449)</f>
        <v>0.6226106563</v>
      </c>
    </row>
    <row r="4450">
      <c r="A4450" s="6">
        <v>4448.0</v>
      </c>
      <c r="B4450" s="17">
        <f t="array" ref="B4450">SUM(1-'Sparkling Model'!D$2:D$38^A4450)</f>
        <v>36.54961414</v>
      </c>
      <c r="C4450" s="8">
        <f t="array" ref="C4450">PRODUCT(1-'Sparkling Model'!D$2:D$38^A4450)</f>
        <v>0.6227889009</v>
      </c>
    </row>
    <row r="4451">
      <c r="A4451" s="6">
        <v>4449.0</v>
      </c>
      <c r="B4451" s="17">
        <f t="array" ref="B4451">SUM(1-'Sparkling Model'!D$2:D$38^A4451)</f>
        <v>36.5498759</v>
      </c>
      <c r="C4451" s="8">
        <f t="array" ref="C4451">PRODUCT(1-'Sparkling Model'!D$2:D$38^A4451)</f>
        <v>0.6229670709</v>
      </c>
    </row>
    <row r="4452">
      <c r="A4452" s="6">
        <v>4450.0</v>
      </c>
      <c r="B4452" s="17">
        <f t="array" ref="B4452">SUM(1-'Sparkling Model'!D$2:D$38^A4452)</f>
        <v>36.55013749</v>
      </c>
      <c r="C4452" s="8">
        <f t="array" ref="C4452">PRODUCT(1-'Sparkling Model'!D$2:D$38^A4452)</f>
        <v>0.6231451662</v>
      </c>
    </row>
    <row r="4453">
      <c r="A4453" s="6">
        <v>4451.0</v>
      </c>
      <c r="B4453" s="17">
        <f t="array" ref="B4453">SUM(1-'Sparkling Model'!D$2:D$38^A4453)</f>
        <v>36.5503989</v>
      </c>
      <c r="C4453" s="8">
        <f t="array" ref="C4453">PRODUCT(1-'Sparkling Model'!D$2:D$38^A4453)</f>
        <v>0.623323187</v>
      </c>
    </row>
    <row r="4454">
      <c r="A4454" s="6">
        <v>4452.0</v>
      </c>
      <c r="B4454" s="17">
        <f t="array" ref="B4454">SUM(1-'Sparkling Model'!D$2:D$38^A4454)</f>
        <v>36.55066014</v>
      </c>
      <c r="C4454" s="8">
        <f t="array" ref="C4454">PRODUCT(1-'Sparkling Model'!D$2:D$38^A4454)</f>
        <v>0.6235011332</v>
      </c>
    </row>
    <row r="4455">
      <c r="A4455" s="6">
        <v>4453.0</v>
      </c>
      <c r="B4455" s="17">
        <f t="array" ref="B4455">SUM(1-'Sparkling Model'!D$2:D$38^A4455)</f>
        <v>36.5509212</v>
      </c>
      <c r="C4455" s="8">
        <f t="array" ref="C4455">PRODUCT(1-'Sparkling Model'!D$2:D$38^A4455)</f>
        <v>0.6236790049</v>
      </c>
    </row>
    <row r="4456">
      <c r="A4456" s="6">
        <v>4454.0</v>
      </c>
      <c r="B4456" s="17">
        <f t="array" ref="B4456">SUM(1-'Sparkling Model'!D$2:D$38^A4456)</f>
        <v>36.55118209</v>
      </c>
      <c r="C4456" s="8">
        <f t="array" ref="C4456">PRODUCT(1-'Sparkling Model'!D$2:D$38^A4456)</f>
        <v>0.623856802</v>
      </c>
    </row>
    <row r="4457">
      <c r="A4457" s="6">
        <v>4455.0</v>
      </c>
      <c r="B4457" s="17">
        <f t="array" ref="B4457">SUM(1-'Sparkling Model'!D$2:D$38^A4457)</f>
        <v>36.5514428</v>
      </c>
      <c r="C4457" s="8">
        <f t="array" ref="C4457">PRODUCT(1-'Sparkling Model'!D$2:D$38^A4457)</f>
        <v>0.6240345246</v>
      </c>
    </row>
    <row r="4458">
      <c r="A4458" s="6">
        <v>4456.0</v>
      </c>
      <c r="B4458" s="17">
        <f t="array" ref="B4458">SUM(1-'Sparkling Model'!D$2:D$38^A4458)</f>
        <v>36.55170334</v>
      </c>
      <c r="C4458" s="8">
        <f t="array" ref="C4458">PRODUCT(1-'Sparkling Model'!D$2:D$38^A4458)</f>
        <v>0.6242121727</v>
      </c>
    </row>
    <row r="4459">
      <c r="A4459" s="6">
        <v>4457.0</v>
      </c>
      <c r="B4459" s="17">
        <f t="array" ref="B4459">SUM(1-'Sparkling Model'!D$2:D$38^A4459)</f>
        <v>36.5519637</v>
      </c>
      <c r="C4459" s="8">
        <f t="array" ref="C4459">PRODUCT(1-'Sparkling Model'!D$2:D$38^A4459)</f>
        <v>0.6243897463</v>
      </c>
    </row>
    <row r="4460">
      <c r="A4460" s="6">
        <v>4458.0</v>
      </c>
      <c r="B4460" s="17">
        <f t="array" ref="B4460">SUM(1-'Sparkling Model'!D$2:D$38^A4460)</f>
        <v>36.55222389</v>
      </c>
      <c r="C4460" s="8">
        <f t="array" ref="C4460">PRODUCT(1-'Sparkling Model'!D$2:D$38^A4460)</f>
        <v>0.6245672454</v>
      </c>
    </row>
    <row r="4461">
      <c r="A4461" s="6">
        <v>4459.0</v>
      </c>
      <c r="B4461" s="17">
        <f t="array" ref="B4461">SUM(1-'Sparkling Model'!D$2:D$38^A4461)</f>
        <v>36.55248391</v>
      </c>
      <c r="C4461" s="8">
        <f t="array" ref="C4461">PRODUCT(1-'Sparkling Model'!D$2:D$38^A4461)</f>
        <v>0.62474467</v>
      </c>
    </row>
    <row r="4462">
      <c r="A4462" s="6">
        <v>4460.0</v>
      </c>
      <c r="B4462" s="17">
        <f t="array" ref="B4462">SUM(1-'Sparkling Model'!D$2:D$38^A4462)</f>
        <v>36.55274375</v>
      </c>
      <c r="C4462" s="8">
        <f t="array" ref="C4462">PRODUCT(1-'Sparkling Model'!D$2:D$38^A4462)</f>
        <v>0.6249220202</v>
      </c>
    </row>
    <row r="4463">
      <c r="A4463" s="6">
        <v>4461.0</v>
      </c>
      <c r="B4463" s="17">
        <f t="array" ref="B4463">SUM(1-'Sparkling Model'!D$2:D$38^A4463)</f>
        <v>36.55300342</v>
      </c>
      <c r="C4463" s="8">
        <f t="array" ref="C4463">PRODUCT(1-'Sparkling Model'!D$2:D$38^A4463)</f>
        <v>0.625099296</v>
      </c>
    </row>
    <row r="4464">
      <c r="A4464" s="6">
        <v>4462.0</v>
      </c>
      <c r="B4464" s="17">
        <f t="array" ref="B4464">SUM(1-'Sparkling Model'!D$2:D$38^A4464)</f>
        <v>36.55326292</v>
      </c>
      <c r="C4464" s="8">
        <f t="array" ref="C4464">PRODUCT(1-'Sparkling Model'!D$2:D$38^A4464)</f>
        <v>0.6252764974</v>
      </c>
    </row>
    <row r="4465">
      <c r="A4465" s="6">
        <v>4463.0</v>
      </c>
      <c r="B4465" s="17">
        <f t="array" ref="B4465">SUM(1-'Sparkling Model'!D$2:D$38^A4465)</f>
        <v>36.55352224</v>
      </c>
      <c r="C4465" s="8">
        <f t="array" ref="C4465">PRODUCT(1-'Sparkling Model'!D$2:D$38^A4465)</f>
        <v>0.6254536244</v>
      </c>
    </row>
    <row r="4466">
      <c r="A4466" s="6">
        <v>4464.0</v>
      </c>
      <c r="B4466" s="17">
        <f t="array" ref="B4466">SUM(1-'Sparkling Model'!D$2:D$38^A4466)</f>
        <v>36.55378139</v>
      </c>
      <c r="C4466" s="8">
        <f t="array" ref="C4466">PRODUCT(1-'Sparkling Model'!D$2:D$38^A4466)</f>
        <v>0.625630677</v>
      </c>
    </row>
    <row r="4467">
      <c r="A4467" s="6">
        <v>4465.0</v>
      </c>
      <c r="B4467" s="17">
        <f t="array" ref="B4467">SUM(1-'Sparkling Model'!D$2:D$38^A4467)</f>
        <v>36.55404036</v>
      </c>
      <c r="C4467" s="8">
        <f t="array" ref="C4467">PRODUCT(1-'Sparkling Model'!D$2:D$38^A4467)</f>
        <v>0.6258076552</v>
      </c>
    </row>
    <row r="4468">
      <c r="A4468" s="6">
        <v>4466.0</v>
      </c>
      <c r="B4468" s="17">
        <f t="array" ref="B4468">SUM(1-'Sparkling Model'!D$2:D$38^A4468)</f>
        <v>36.55429917</v>
      </c>
      <c r="C4468" s="8">
        <f t="array" ref="C4468">PRODUCT(1-'Sparkling Model'!D$2:D$38^A4468)</f>
        <v>0.6259845591</v>
      </c>
    </row>
    <row r="4469">
      <c r="A4469" s="6">
        <v>4467.0</v>
      </c>
      <c r="B4469" s="17">
        <f t="array" ref="B4469">SUM(1-'Sparkling Model'!D$2:D$38^A4469)</f>
        <v>36.5545578</v>
      </c>
      <c r="C4469" s="8">
        <f t="array" ref="C4469">PRODUCT(1-'Sparkling Model'!D$2:D$38^A4469)</f>
        <v>0.6261613887</v>
      </c>
    </row>
    <row r="4470">
      <c r="A4470" s="6">
        <v>4468.0</v>
      </c>
      <c r="B4470" s="17">
        <f t="array" ref="B4470">SUM(1-'Sparkling Model'!D$2:D$38^A4470)</f>
        <v>36.55481625</v>
      </c>
      <c r="C4470" s="8">
        <f t="array" ref="C4470">PRODUCT(1-'Sparkling Model'!D$2:D$38^A4470)</f>
        <v>0.626338144</v>
      </c>
    </row>
    <row r="4471">
      <c r="A4471" s="6">
        <v>4469.0</v>
      </c>
      <c r="B4471" s="17">
        <f t="array" ref="B4471">SUM(1-'Sparkling Model'!D$2:D$38^A4471)</f>
        <v>36.55507454</v>
      </c>
      <c r="C4471" s="8">
        <f t="array" ref="C4471">PRODUCT(1-'Sparkling Model'!D$2:D$38^A4471)</f>
        <v>0.6265148249</v>
      </c>
    </row>
    <row r="4472">
      <c r="A4472" s="6">
        <v>4470.0</v>
      </c>
      <c r="B4472" s="17">
        <f t="array" ref="B4472">SUM(1-'Sparkling Model'!D$2:D$38^A4472)</f>
        <v>36.55533265</v>
      </c>
      <c r="C4472" s="8">
        <f t="array" ref="C4472">PRODUCT(1-'Sparkling Model'!D$2:D$38^A4472)</f>
        <v>0.6266914316</v>
      </c>
    </row>
    <row r="4473">
      <c r="A4473" s="6">
        <v>4471.0</v>
      </c>
      <c r="B4473" s="17">
        <f t="array" ref="B4473">SUM(1-'Sparkling Model'!D$2:D$38^A4473)</f>
        <v>36.55559059</v>
      </c>
      <c r="C4473" s="8">
        <f t="array" ref="C4473">PRODUCT(1-'Sparkling Model'!D$2:D$38^A4473)</f>
        <v>0.626867964</v>
      </c>
    </row>
    <row r="4474">
      <c r="A4474" s="6">
        <v>4472.0</v>
      </c>
      <c r="B4474" s="17">
        <f t="array" ref="B4474">SUM(1-'Sparkling Model'!D$2:D$38^A4474)</f>
        <v>36.55584836</v>
      </c>
      <c r="C4474" s="8">
        <f t="array" ref="C4474">PRODUCT(1-'Sparkling Model'!D$2:D$38^A4474)</f>
        <v>0.6270444221</v>
      </c>
    </row>
    <row r="4475">
      <c r="A4475" s="6">
        <v>4473.0</v>
      </c>
      <c r="B4475" s="17">
        <f t="array" ref="B4475">SUM(1-'Sparkling Model'!D$2:D$38^A4475)</f>
        <v>36.55610596</v>
      </c>
      <c r="C4475" s="8">
        <f t="array" ref="C4475">PRODUCT(1-'Sparkling Model'!D$2:D$38^A4475)</f>
        <v>0.627220806</v>
      </c>
    </row>
    <row r="4476">
      <c r="A4476" s="6">
        <v>4474.0</v>
      </c>
      <c r="B4476" s="17">
        <f t="array" ref="B4476">SUM(1-'Sparkling Model'!D$2:D$38^A4476)</f>
        <v>36.55636338</v>
      </c>
      <c r="C4476" s="8">
        <f t="array" ref="C4476">PRODUCT(1-'Sparkling Model'!D$2:D$38^A4476)</f>
        <v>0.6273971157</v>
      </c>
    </row>
    <row r="4477">
      <c r="A4477" s="6">
        <v>4475.0</v>
      </c>
      <c r="B4477" s="17">
        <f t="array" ref="B4477">SUM(1-'Sparkling Model'!D$2:D$38^A4477)</f>
        <v>36.55662063</v>
      </c>
      <c r="C4477" s="8">
        <f t="array" ref="C4477">PRODUCT(1-'Sparkling Model'!D$2:D$38^A4477)</f>
        <v>0.6275733512</v>
      </c>
    </row>
    <row r="4478">
      <c r="A4478" s="6">
        <v>4476.0</v>
      </c>
      <c r="B4478" s="17">
        <f t="array" ref="B4478">SUM(1-'Sparkling Model'!D$2:D$38^A4478)</f>
        <v>36.55687772</v>
      </c>
      <c r="C4478" s="8">
        <f t="array" ref="C4478">PRODUCT(1-'Sparkling Model'!D$2:D$38^A4478)</f>
        <v>0.6277495126</v>
      </c>
    </row>
    <row r="4479">
      <c r="A4479" s="6">
        <v>4477.0</v>
      </c>
      <c r="B4479" s="17">
        <f t="array" ref="B4479">SUM(1-'Sparkling Model'!D$2:D$38^A4479)</f>
        <v>36.55713463</v>
      </c>
      <c r="C4479" s="8">
        <f t="array" ref="C4479">PRODUCT(1-'Sparkling Model'!D$2:D$38^A4479)</f>
        <v>0.6279255997</v>
      </c>
    </row>
    <row r="4480">
      <c r="A4480" s="6">
        <v>4478.0</v>
      </c>
      <c r="B4480" s="17">
        <f t="array" ref="B4480">SUM(1-'Sparkling Model'!D$2:D$38^A4480)</f>
        <v>36.55739136</v>
      </c>
      <c r="C4480" s="8">
        <f t="array" ref="C4480">PRODUCT(1-'Sparkling Model'!D$2:D$38^A4480)</f>
        <v>0.6281016127</v>
      </c>
    </row>
    <row r="4481">
      <c r="A4481" s="6">
        <v>4479.0</v>
      </c>
      <c r="B4481" s="17">
        <f t="array" ref="B4481">SUM(1-'Sparkling Model'!D$2:D$38^A4481)</f>
        <v>36.55764793</v>
      </c>
      <c r="C4481" s="8">
        <f t="array" ref="C4481">PRODUCT(1-'Sparkling Model'!D$2:D$38^A4481)</f>
        <v>0.6282775516</v>
      </c>
    </row>
    <row r="4482">
      <c r="A4482" s="6">
        <v>4480.0</v>
      </c>
      <c r="B4482" s="17">
        <f t="array" ref="B4482">SUM(1-'Sparkling Model'!D$2:D$38^A4482)</f>
        <v>36.55790433</v>
      </c>
      <c r="C4482" s="8">
        <f t="array" ref="C4482">PRODUCT(1-'Sparkling Model'!D$2:D$38^A4482)</f>
        <v>0.6284534163</v>
      </c>
    </row>
    <row r="4483">
      <c r="A4483" s="6">
        <v>4481.0</v>
      </c>
      <c r="B4483" s="17">
        <f t="array" ref="B4483">SUM(1-'Sparkling Model'!D$2:D$38^A4483)</f>
        <v>36.55816055</v>
      </c>
      <c r="C4483" s="8">
        <f t="array" ref="C4483">PRODUCT(1-'Sparkling Model'!D$2:D$38^A4483)</f>
        <v>0.6286292069</v>
      </c>
    </row>
    <row r="4484">
      <c r="A4484" s="6">
        <v>4482.0</v>
      </c>
      <c r="B4484" s="17">
        <f t="array" ref="B4484">SUM(1-'Sparkling Model'!D$2:D$38^A4484)</f>
        <v>36.55841661</v>
      </c>
      <c r="C4484" s="8">
        <f t="array" ref="C4484">PRODUCT(1-'Sparkling Model'!D$2:D$38^A4484)</f>
        <v>0.6288049235</v>
      </c>
    </row>
    <row r="4485">
      <c r="A4485" s="6">
        <v>4483.0</v>
      </c>
      <c r="B4485" s="17">
        <f t="array" ref="B4485">SUM(1-'Sparkling Model'!D$2:D$38^A4485)</f>
        <v>36.55867249</v>
      </c>
      <c r="C4485" s="8">
        <f t="array" ref="C4485">PRODUCT(1-'Sparkling Model'!D$2:D$38^A4485)</f>
        <v>0.628980566</v>
      </c>
    </row>
    <row r="4486">
      <c r="A4486" s="6">
        <v>4484.0</v>
      </c>
      <c r="B4486" s="17">
        <f t="array" ref="B4486">SUM(1-'Sparkling Model'!D$2:D$38^A4486)</f>
        <v>36.55892821</v>
      </c>
      <c r="C4486" s="8">
        <f t="array" ref="C4486">PRODUCT(1-'Sparkling Model'!D$2:D$38^A4486)</f>
        <v>0.6291561344</v>
      </c>
    </row>
    <row r="4487">
      <c r="A4487" s="6">
        <v>4485.0</v>
      </c>
      <c r="B4487" s="17">
        <f t="array" ref="B4487">SUM(1-'Sparkling Model'!D$2:D$38^A4487)</f>
        <v>36.55918375</v>
      </c>
      <c r="C4487" s="8">
        <f t="array" ref="C4487">PRODUCT(1-'Sparkling Model'!D$2:D$38^A4487)</f>
        <v>0.6293316288</v>
      </c>
    </row>
    <row r="4488">
      <c r="A4488" s="6">
        <v>4486.0</v>
      </c>
      <c r="B4488" s="17">
        <f t="array" ref="B4488">SUM(1-'Sparkling Model'!D$2:D$38^A4488)</f>
        <v>36.55943913</v>
      </c>
      <c r="C4488" s="8">
        <f t="array" ref="C4488">PRODUCT(1-'Sparkling Model'!D$2:D$38^A4488)</f>
        <v>0.6295070492</v>
      </c>
    </row>
    <row r="4489">
      <c r="A4489" s="6">
        <v>4487.0</v>
      </c>
      <c r="B4489" s="17">
        <f t="array" ref="B4489">SUM(1-'Sparkling Model'!D$2:D$38^A4489)</f>
        <v>36.55969433</v>
      </c>
      <c r="C4489" s="8">
        <f t="array" ref="C4489">PRODUCT(1-'Sparkling Model'!D$2:D$38^A4489)</f>
        <v>0.6296823956</v>
      </c>
    </row>
    <row r="4490">
      <c r="A4490" s="6">
        <v>4488.0</v>
      </c>
      <c r="B4490" s="17">
        <f t="array" ref="B4490">SUM(1-'Sparkling Model'!D$2:D$38^A4490)</f>
        <v>36.55994937</v>
      </c>
      <c r="C4490" s="8">
        <f t="array" ref="C4490">PRODUCT(1-'Sparkling Model'!D$2:D$38^A4490)</f>
        <v>0.6298576679</v>
      </c>
    </row>
    <row r="4491">
      <c r="A4491" s="6">
        <v>4489.0</v>
      </c>
      <c r="B4491" s="17">
        <f t="array" ref="B4491">SUM(1-'Sparkling Model'!D$2:D$38^A4491)</f>
        <v>36.56020423</v>
      </c>
      <c r="C4491" s="8">
        <f t="array" ref="C4491">PRODUCT(1-'Sparkling Model'!D$2:D$38^A4491)</f>
        <v>0.6300328664</v>
      </c>
    </row>
    <row r="4492">
      <c r="A4492" s="6">
        <v>4490.0</v>
      </c>
      <c r="B4492" s="17">
        <f t="array" ref="B4492">SUM(1-'Sparkling Model'!D$2:D$38^A4492)</f>
        <v>36.56045893</v>
      </c>
      <c r="C4492" s="8">
        <f t="array" ref="C4492">PRODUCT(1-'Sparkling Model'!D$2:D$38^A4492)</f>
        <v>0.6302079908</v>
      </c>
    </row>
    <row r="4493">
      <c r="A4493" s="6">
        <v>4491.0</v>
      </c>
      <c r="B4493" s="17">
        <f t="array" ref="B4493">SUM(1-'Sparkling Model'!D$2:D$38^A4493)</f>
        <v>36.56071345</v>
      </c>
      <c r="C4493" s="8">
        <f t="array" ref="C4493">PRODUCT(1-'Sparkling Model'!D$2:D$38^A4493)</f>
        <v>0.6303830414</v>
      </c>
    </row>
    <row r="4494">
      <c r="A4494" s="6">
        <v>4492.0</v>
      </c>
      <c r="B4494" s="17">
        <f t="array" ref="B4494">SUM(1-'Sparkling Model'!D$2:D$38^A4494)</f>
        <v>36.56096781</v>
      </c>
      <c r="C4494" s="8">
        <f t="array" ref="C4494">PRODUCT(1-'Sparkling Model'!D$2:D$38^A4494)</f>
        <v>0.630558018</v>
      </c>
    </row>
    <row r="4495">
      <c r="A4495" s="6">
        <v>4493.0</v>
      </c>
      <c r="B4495" s="17">
        <f t="array" ref="B4495">SUM(1-'Sparkling Model'!D$2:D$38^A4495)</f>
        <v>36.561222</v>
      </c>
      <c r="C4495" s="8">
        <f t="array" ref="C4495">PRODUCT(1-'Sparkling Model'!D$2:D$38^A4495)</f>
        <v>0.6307329207</v>
      </c>
    </row>
    <row r="4496">
      <c r="A4496" s="6">
        <v>4494.0</v>
      </c>
      <c r="B4496" s="17">
        <f t="array" ref="B4496">SUM(1-'Sparkling Model'!D$2:D$38^A4496)</f>
        <v>36.56147601</v>
      </c>
      <c r="C4496" s="8">
        <f t="array" ref="C4496">PRODUCT(1-'Sparkling Model'!D$2:D$38^A4496)</f>
        <v>0.6309077495</v>
      </c>
    </row>
    <row r="4497">
      <c r="A4497" s="6">
        <v>4495.0</v>
      </c>
      <c r="B4497" s="17">
        <f t="array" ref="B4497">SUM(1-'Sparkling Model'!D$2:D$38^A4497)</f>
        <v>36.56172986</v>
      </c>
      <c r="C4497" s="8">
        <f t="array" ref="C4497">PRODUCT(1-'Sparkling Model'!D$2:D$38^A4497)</f>
        <v>0.6310825044</v>
      </c>
    </row>
    <row r="4498">
      <c r="A4498" s="6">
        <v>4496.0</v>
      </c>
      <c r="B4498" s="17">
        <f t="array" ref="B4498">SUM(1-'Sparkling Model'!D$2:D$38^A4498)</f>
        <v>36.56198354</v>
      </c>
      <c r="C4498" s="8">
        <f t="array" ref="C4498">PRODUCT(1-'Sparkling Model'!D$2:D$38^A4498)</f>
        <v>0.6312571855</v>
      </c>
    </row>
    <row r="4499">
      <c r="A4499" s="6">
        <v>4497.0</v>
      </c>
      <c r="B4499" s="17">
        <f t="array" ref="B4499">SUM(1-'Sparkling Model'!D$2:D$38^A4499)</f>
        <v>36.56223706</v>
      </c>
      <c r="C4499" s="8">
        <f t="array" ref="C4499">PRODUCT(1-'Sparkling Model'!D$2:D$38^A4499)</f>
        <v>0.6314317928</v>
      </c>
    </row>
    <row r="4500">
      <c r="A4500" s="6">
        <v>4498.0</v>
      </c>
      <c r="B4500" s="17">
        <f t="array" ref="B4500">SUM(1-'Sparkling Model'!D$2:D$38^A4500)</f>
        <v>36.5624904</v>
      </c>
      <c r="C4500" s="8">
        <f t="array" ref="C4500">PRODUCT(1-'Sparkling Model'!D$2:D$38^A4500)</f>
        <v>0.6316063262</v>
      </c>
    </row>
    <row r="4501">
      <c r="A4501" s="6">
        <v>4499.0</v>
      </c>
      <c r="B4501" s="17">
        <f t="array" ref="B4501">SUM(1-'Sparkling Model'!D$2:D$38^A4501)</f>
        <v>36.56274358</v>
      </c>
      <c r="C4501" s="8">
        <f t="array" ref="C4501">PRODUCT(1-'Sparkling Model'!D$2:D$38^A4501)</f>
        <v>0.6317807859</v>
      </c>
    </row>
    <row r="4502">
      <c r="A4502" s="6">
        <v>4500.0</v>
      </c>
      <c r="B4502" s="17">
        <f t="array" ref="B4502">SUM(1-'Sparkling Model'!D$2:D$38^A4502)</f>
        <v>36.56299658</v>
      </c>
      <c r="C4502" s="8">
        <f t="array" ref="C4502">PRODUCT(1-'Sparkling Model'!D$2:D$38^A4502)</f>
        <v>0.6319551717</v>
      </c>
    </row>
    <row r="4503">
      <c r="A4503" s="6">
        <v>4501.0</v>
      </c>
      <c r="B4503" s="17">
        <f t="array" ref="B4503">SUM(1-'Sparkling Model'!D$2:D$38^A4503)</f>
        <v>36.56324942</v>
      </c>
      <c r="C4503" s="8">
        <f t="array" ref="C4503">PRODUCT(1-'Sparkling Model'!D$2:D$38^A4503)</f>
        <v>0.6321294838</v>
      </c>
    </row>
    <row r="4504">
      <c r="A4504" s="6">
        <v>4502.0</v>
      </c>
      <c r="B4504" s="17">
        <f t="array" ref="B4504">SUM(1-'Sparkling Model'!D$2:D$38^A4504)</f>
        <v>36.56350209</v>
      </c>
      <c r="C4504" s="8">
        <f t="array" ref="C4504">PRODUCT(1-'Sparkling Model'!D$2:D$38^A4504)</f>
        <v>0.6323037222</v>
      </c>
    </row>
    <row r="4505">
      <c r="A4505" s="6">
        <v>4503.0</v>
      </c>
      <c r="B4505" s="17">
        <f t="array" ref="B4505">SUM(1-'Sparkling Model'!D$2:D$38^A4505)</f>
        <v>36.5637546</v>
      </c>
      <c r="C4505" s="8">
        <f t="array" ref="C4505">PRODUCT(1-'Sparkling Model'!D$2:D$38^A4505)</f>
        <v>0.6324778868</v>
      </c>
    </row>
    <row r="4506">
      <c r="A4506" s="6">
        <v>4504.0</v>
      </c>
      <c r="B4506" s="17">
        <f t="array" ref="B4506">SUM(1-'Sparkling Model'!D$2:D$38^A4506)</f>
        <v>36.56400693</v>
      </c>
      <c r="C4506" s="8">
        <f t="array" ref="C4506">PRODUCT(1-'Sparkling Model'!D$2:D$38^A4506)</f>
        <v>0.6326519777</v>
      </c>
    </row>
    <row r="4507">
      <c r="A4507" s="6">
        <v>4505.0</v>
      </c>
      <c r="B4507" s="17">
        <f t="array" ref="B4507">SUM(1-'Sparkling Model'!D$2:D$38^A4507)</f>
        <v>36.5642591</v>
      </c>
      <c r="C4507" s="8">
        <f t="array" ref="C4507">PRODUCT(1-'Sparkling Model'!D$2:D$38^A4507)</f>
        <v>0.6328259948</v>
      </c>
    </row>
    <row r="4508">
      <c r="A4508" s="6">
        <v>4506.0</v>
      </c>
      <c r="B4508" s="17">
        <f t="array" ref="B4508">SUM(1-'Sparkling Model'!D$2:D$38^A4508)</f>
        <v>36.5645111</v>
      </c>
      <c r="C4508" s="8">
        <f t="array" ref="C4508">PRODUCT(1-'Sparkling Model'!D$2:D$38^A4508)</f>
        <v>0.6329999383</v>
      </c>
    </row>
    <row r="4509">
      <c r="A4509" s="6">
        <v>4507.0</v>
      </c>
      <c r="B4509" s="17">
        <f t="array" ref="B4509">SUM(1-'Sparkling Model'!D$2:D$38^A4509)</f>
        <v>36.56476294</v>
      </c>
      <c r="C4509" s="8">
        <f t="array" ref="C4509">PRODUCT(1-'Sparkling Model'!D$2:D$38^A4509)</f>
        <v>0.6331738082</v>
      </c>
    </row>
    <row r="4510">
      <c r="A4510" s="6">
        <v>4508.0</v>
      </c>
      <c r="B4510" s="17">
        <f t="array" ref="B4510">SUM(1-'Sparkling Model'!D$2:D$38^A4510)</f>
        <v>36.5650146</v>
      </c>
      <c r="C4510" s="8">
        <f t="array" ref="C4510">PRODUCT(1-'Sparkling Model'!D$2:D$38^A4510)</f>
        <v>0.6333476044</v>
      </c>
    </row>
    <row r="4511">
      <c r="A4511" s="6">
        <v>4509.0</v>
      </c>
      <c r="B4511" s="17">
        <f t="array" ref="B4511">SUM(1-'Sparkling Model'!D$2:D$38^A4511)</f>
        <v>36.5652661</v>
      </c>
      <c r="C4511" s="8">
        <f t="array" ref="C4511">PRODUCT(1-'Sparkling Model'!D$2:D$38^A4511)</f>
        <v>0.6335213269</v>
      </c>
    </row>
    <row r="4512">
      <c r="A4512" s="6">
        <v>4510.0</v>
      </c>
      <c r="B4512" s="17">
        <f t="array" ref="B4512">SUM(1-'Sparkling Model'!D$2:D$38^A4512)</f>
        <v>36.56551744</v>
      </c>
      <c r="C4512" s="8">
        <f t="array" ref="C4512">PRODUCT(1-'Sparkling Model'!D$2:D$38^A4512)</f>
        <v>0.6336949759</v>
      </c>
    </row>
    <row r="4513">
      <c r="A4513" s="6">
        <v>4511.0</v>
      </c>
      <c r="B4513" s="17">
        <f t="array" ref="B4513">SUM(1-'Sparkling Model'!D$2:D$38^A4513)</f>
        <v>36.5657686</v>
      </c>
      <c r="C4513" s="8">
        <f t="array" ref="C4513">PRODUCT(1-'Sparkling Model'!D$2:D$38^A4513)</f>
        <v>0.6338685512</v>
      </c>
    </row>
    <row r="4514">
      <c r="A4514" s="6">
        <v>4512.0</v>
      </c>
      <c r="B4514" s="17">
        <f t="array" ref="B4514">SUM(1-'Sparkling Model'!D$2:D$38^A4514)</f>
        <v>36.5660196</v>
      </c>
      <c r="C4514" s="8">
        <f t="array" ref="C4514">PRODUCT(1-'Sparkling Model'!D$2:D$38^A4514)</f>
        <v>0.634042053</v>
      </c>
    </row>
    <row r="4515">
      <c r="A4515" s="6">
        <v>4513.0</v>
      </c>
      <c r="B4515" s="17">
        <f t="array" ref="B4515">SUM(1-'Sparkling Model'!D$2:D$38^A4515)</f>
        <v>36.56627044</v>
      </c>
      <c r="C4515" s="8">
        <f t="array" ref="C4515">PRODUCT(1-'Sparkling Model'!D$2:D$38^A4515)</f>
        <v>0.6342154812</v>
      </c>
    </row>
    <row r="4516">
      <c r="A4516" s="6">
        <v>4514.0</v>
      </c>
      <c r="B4516" s="17">
        <f t="array" ref="B4516">SUM(1-'Sparkling Model'!D$2:D$38^A4516)</f>
        <v>36.5665211</v>
      </c>
      <c r="C4516" s="8">
        <f t="array" ref="C4516">PRODUCT(1-'Sparkling Model'!D$2:D$38^A4516)</f>
        <v>0.6343888359</v>
      </c>
    </row>
    <row r="4517">
      <c r="A4517" s="6">
        <v>4515.0</v>
      </c>
      <c r="B4517" s="17">
        <f t="array" ref="B4517">SUM(1-'Sparkling Model'!D$2:D$38^A4517)</f>
        <v>36.56677161</v>
      </c>
      <c r="C4517" s="8">
        <f t="array" ref="C4517">PRODUCT(1-'Sparkling Model'!D$2:D$38^A4517)</f>
        <v>0.634562117</v>
      </c>
    </row>
    <row r="4518">
      <c r="A4518" s="6">
        <v>4516.0</v>
      </c>
      <c r="B4518" s="17">
        <f t="array" ref="B4518">SUM(1-'Sparkling Model'!D$2:D$38^A4518)</f>
        <v>36.56702194</v>
      </c>
      <c r="C4518" s="8">
        <f t="array" ref="C4518">PRODUCT(1-'Sparkling Model'!D$2:D$38^A4518)</f>
        <v>0.6347353246</v>
      </c>
    </row>
    <row r="4519">
      <c r="A4519" s="6">
        <v>4517.0</v>
      </c>
      <c r="B4519" s="17">
        <f t="array" ref="B4519">SUM(1-'Sparkling Model'!D$2:D$38^A4519)</f>
        <v>36.56727211</v>
      </c>
      <c r="C4519" s="8">
        <f t="array" ref="C4519">PRODUCT(1-'Sparkling Model'!D$2:D$38^A4519)</f>
        <v>0.6349084587</v>
      </c>
    </row>
    <row r="4520">
      <c r="A4520" s="6">
        <v>4518.0</v>
      </c>
      <c r="B4520" s="17">
        <f t="array" ref="B4520">SUM(1-'Sparkling Model'!D$2:D$38^A4520)</f>
        <v>36.56752211</v>
      </c>
      <c r="C4520" s="8">
        <f t="array" ref="C4520">PRODUCT(1-'Sparkling Model'!D$2:D$38^A4520)</f>
        <v>0.6350815194</v>
      </c>
    </row>
    <row r="4521">
      <c r="A4521" s="6">
        <v>4519.0</v>
      </c>
      <c r="B4521" s="17">
        <f t="array" ref="B4521">SUM(1-'Sparkling Model'!D$2:D$38^A4521)</f>
        <v>36.56777195</v>
      </c>
      <c r="C4521" s="8">
        <f t="array" ref="C4521">PRODUCT(1-'Sparkling Model'!D$2:D$38^A4521)</f>
        <v>0.6352545066</v>
      </c>
    </row>
    <row r="4522">
      <c r="A4522" s="6">
        <v>4520.0</v>
      </c>
      <c r="B4522" s="17">
        <f t="array" ref="B4522">SUM(1-'Sparkling Model'!D$2:D$38^A4522)</f>
        <v>36.56802162</v>
      </c>
      <c r="C4522" s="8">
        <f t="array" ref="C4522">PRODUCT(1-'Sparkling Model'!D$2:D$38^A4522)</f>
        <v>0.6354274203</v>
      </c>
    </row>
    <row r="4523">
      <c r="A4523" s="6">
        <v>4521.0</v>
      </c>
      <c r="B4523" s="17">
        <f t="array" ref="B4523">SUM(1-'Sparkling Model'!D$2:D$38^A4523)</f>
        <v>36.56827113</v>
      </c>
      <c r="C4523" s="8">
        <f t="array" ref="C4523">PRODUCT(1-'Sparkling Model'!D$2:D$38^A4523)</f>
        <v>0.6356002606</v>
      </c>
    </row>
    <row r="4524">
      <c r="A4524" s="6">
        <v>4522.0</v>
      </c>
      <c r="B4524" s="17">
        <f t="array" ref="B4524">SUM(1-'Sparkling Model'!D$2:D$38^A4524)</f>
        <v>36.56852047</v>
      </c>
      <c r="C4524" s="8">
        <f t="array" ref="C4524">PRODUCT(1-'Sparkling Model'!D$2:D$38^A4524)</f>
        <v>0.6357730276</v>
      </c>
    </row>
    <row r="4525">
      <c r="A4525" s="6">
        <v>4523.0</v>
      </c>
      <c r="B4525" s="17">
        <f t="array" ref="B4525">SUM(1-'Sparkling Model'!D$2:D$38^A4525)</f>
        <v>36.56876965</v>
      </c>
      <c r="C4525" s="8">
        <f t="array" ref="C4525">PRODUCT(1-'Sparkling Model'!D$2:D$38^A4525)</f>
        <v>0.6359457211</v>
      </c>
    </row>
    <row r="4526">
      <c r="A4526" s="6">
        <v>4524.0</v>
      </c>
      <c r="B4526" s="17">
        <f t="array" ref="B4526">SUM(1-'Sparkling Model'!D$2:D$38^A4526)</f>
        <v>36.56901866</v>
      </c>
      <c r="C4526" s="8">
        <f t="array" ref="C4526">PRODUCT(1-'Sparkling Model'!D$2:D$38^A4526)</f>
        <v>0.6361183412</v>
      </c>
    </row>
    <row r="4527">
      <c r="A4527" s="6">
        <v>4525.0</v>
      </c>
      <c r="B4527" s="17">
        <f t="array" ref="B4527">SUM(1-'Sparkling Model'!D$2:D$38^A4527)</f>
        <v>36.56926751</v>
      </c>
      <c r="C4527" s="8">
        <f t="array" ref="C4527">PRODUCT(1-'Sparkling Model'!D$2:D$38^A4527)</f>
        <v>0.636290888</v>
      </c>
    </row>
    <row r="4528">
      <c r="A4528" s="6">
        <v>4526.0</v>
      </c>
      <c r="B4528" s="17">
        <f t="array" ref="B4528">SUM(1-'Sparkling Model'!D$2:D$38^A4528)</f>
        <v>36.56951619</v>
      </c>
      <c r="C4528" s="8">
        <f t="array" ref="C4528">PRODUCT(1-'Sparkling Model'!D$2:D$38^A4528)</f>
        <v>0.6364633615</v>
      </c>
    </row>
    <row r="4529">
      <c r="A4529" s="6">
        <v>4527.0</v>
      </c>
      <c r="B4529" s="17">
        <f t="array" ref="B4529">SUM(1-'Sparkling Model'!D$2:D$38^A4529)</f>
        <v>36.56976471</v>
      </c>
      <c r="C4529" s="8">
        <f t="array" ref="C4529">PRODUCT(1-'Sparkling Model'!D$2:D$38^A4529)</f>
        <v>0.6366357617</v>
      </c>
    </row>
    <row r="4530">
      <c r="A4530" s="6">
        <v>4528.0</v>
      </c>
      <c r="B4530" s="17">
        <f t="array" ref="B4530">SUM(1-'Sparkling Model'!D$2:D$38^A4530)</f>
        <v>36.57001307</v>
      </c>
      <c r="C4530" s="8">
        <f t="array" ref="C4530">PRODUCT(1-'Sparkling Model'!D$2:D$38^A4530)</f>
        <v>0.6368080885</v>
      </c>
    </row>
    <row r="4531">
      <c r="A4531" s="6">
        <v>4529.0</v>
      </c>
      <c r="B4531" s="17">
        <f t="array" ref="B4531">SUM(1-'Sparkling Model'!D$2:D$38^A4531)</f>
        <v>36.57026126</v>
      </c>
      <c r="C4531" s="8">
        <f t="array" ref="C4531">PRODUCT(1-'Sparkling Model'!D$2:D$38^A4531)</f>
        <v>0.6369803421</v>
      </c>
    </row>
    <row r="4532">
      <c r="A4532" s="6">
        <v>4530.0</v>
      </c>
      <c r="B4532" s="17">
        <f t="array" ref="B4532">SUM(1-'Sparkling Model'!D$2:D$38^A4532)</f>
        <v>36.57050928</v>
      </c>
      <c r="C4532" s="8">
        <f t="array" ref="C4532">PRODUCT(1-'Sparkling Model'!D$2:D$38^A4532)</f>
        <v>0.6371525223</v>
      </c>
    </row>
    <row r="4533">
      <c r="A4533" s="6">
        <v>4531.0</v>
      </c>
      <c r="B4533" s="17">
        <f t="array" ref="B4533">SUM(1-'Sparkling Model'!D$2:D$38^A4533)</f>
        <v>36.57075714</v>
      </c>
      <c r="C4533" s="8">
        <f t="array" ref="C4533">PRODUCT(1-'Sparkling Model'!D$2:D$38^A4533)</f>
        <v>0.6373246294</v>
      </c>
    </row>
    <row r="4534">
      <c r="A4534" s="6">
        <v>4532.0</v>
      </c>
      <c r="B4534" s="17">
        <f t="array" ref="B4534">SUM(1-'Sparkling Model'!D$2:D$38^A4534)</f>
        <v>36.57100484</v>
      </c>
      <c r="C4534" s="8">
        <f t="array" ref="C4534">PRODUCT(1-'Sparkling Model'!D$2:D$38^A4534)</f>
        <v>0.6374966632</v>
      </c>
    </row>
    <row r="4535">
      <c r="A4535" s="6">
        <v>4533.0</v>
      </c>
      <c r="B4535" s="17">
        <f t="array" ref="B4535">SUM(1-'Sparkling Model'!D$2:D$38^A4535)</f>
        <v>36.57125238</v>
      </c>
      <c r="C4535" s="8">
        <f t="array" ref="C4535">PRODUCT(1-'Sparkling Model'!D$2:D$38^A4535)</f>
        <v>0.6376686238</v>
      </c>
    </row>
    <row r="4536">
      <c r="A4536" s="6">
        <v>4534.0</v>
      </c>
      <c r="B4536" s="17">
        <f t="array" ref="B4536">SUM(1-'Sparkling Model'!D$2:D$38^A4536)</f>
        <v>36.57149975</v>
      </c>
      <c r="C4536" s="8">
        <f t="array" ref="C4536">PRODUCT(1-'Sparkling Model'!D$2:D$38^A4536)</f>
        <v>0.6378405112</v>
      </c>
    </row>
    <row r="4537">
      <c r="A4537" s="6">
        <v>4535.0</v>
      </c>
      <c r="B4537" s="17">
        <f t="array" ref="B4537">SUM(1-'Sparkling Model'!D$2:D$38^A4537)</f>
        <v>36.57174695</v>
      </c>
      <c r="C4537" s="8">
        <f t="array" ref="C4537">PRODUCT(1-'Sparkling Model'!D$2:D$38^A4537)</f>
        <v>0.6380123254</v>
      </c>
    </row>
    <row r="4538">
      <c r="A4538" s="6">
        <v>4536.0</v>
      </c>
      <c r="B4538" s="17">
        <f t="array" ref="B4538">SUM(1-'Sparkling Model'!D$2:D$38^A4538)</f>
        <v>36.571994</v>
      </c>
      <c r="C4538" s="8">
        <f t="array" ref="C4538">PRODUCT(1-'Sparkling Model'!D$2:D$38^A4538)</f>
        <v>0.6381840665</v>
      </c>
    </row>
    <row r="4539">
      <c r="A4539" s="6">
        <v>4537.0</v>
      </c>
      <c r="B4539" s="17">
        <f t="array" ref="B4539">SUM(1-'Sparkling Model'!D$2:D$38^A4539)</f>
        <v>36.57224088</v>
      </c>
      <c r="C4539" s="8">
        <f t="array" ref="C4539">PRODUCT(1-'Sparkling Model'!D$2:D$38^A4539)</f>
        <v>0.6383557344</v>
      </c>
    </row>
    <row r="4540">
      <c r="A4540" s="6">
        <v>4538.0</v>
      </c>
      <c r="B4540" s="17">
        <f t="array" ref="B4540">SUM(1-'Sparkling Model'!D$2:D$38^A4540)</f>
        <v>36.5724876</v>
      </c>
      <c r="C4540" s="8">
        <f t="array" ref="C4540">PRODUCT(1-'Sparkling Model'!D$2:D$38^A4540)</f>
        <v>0.6385273292</v>
      </c>
    </row>
    <row r="4541">
      <c r="A4541" s="6">
        <v>4539.0</v>
      </c>
      <c r="B4541" s="17">
        <f t="array" ref="B4541">SUM(1-'Sparkling Model'!D$2:D$38^A4541)</f>
        <v>36.57273415</v>
      </c>
      <c r="C4541" s="8">
        <f t="array" ref="C4541">PRODUCT(1-'Sparkling Model'!D$2:D$38^A4541)</f>
        <v>0.6386988509</v>
      </c>
    </row>
    <row r="4542">
      <c r="A4542" s="6">
        <v>4540.0</v>
      </c>
      <c r="B4542" s="17">
        <f t="array" ref="B4542">SUM(1-'Sparkling Model'!D$2:D$38^A4542)</f>
        <v>36.57298054</v>
      </c>
      <c r="C4542" s="8">
        <f t="array" ref="C4542">PRODUCT(1-'Sparkling Model'!D$2:D$38^A4542)</f>
        <v>0.6388702995</v>
      </c>
    </row>
    <row r="4543">
      <c r="A4543" s="6">
        <v>4541.0</v>
      </c>
      <c r="B4543" s="17">
        <f t="array" ref="B4543">SUM(1-'Sparkling Model'!D$2:D$38^A4543)</f>
        <v>36.57322677</v>
      </c>
      <c r="C4543" s="8">
        <f t="array" ref="C4543">PRODUCT(1-'Sparkling Model'!D$2:D$38^A4543)</f>
        <v>0.639041675</v>
      </c>
    </row>
    <row r="4544">
      <c r="A4544" s="6">
        <v>4542.0</v>
      </c>
      <c r="B4544" s="17">
        <f t="array" ref="B4544">SUM(1-'Sparkling Model'!D$2:D$38^A4544)</f>
        <v>36.57347284</v>
      </c>
      <c r="C4544" s="8">
        <f t="array" ref="C4544">PRODUCT(1-'Sparkling Model'!D$2:D$38^A4544)</f>
        <v>0.6392129775</v>
      </c>
    </row>
    <row r="4545">
      <c r="A4545" s="6">
        <v>4543.0</v>
      </c>
      <c r="B4545" s="17">
        <f t="array" ref="B4545">SUM(1-'Sparkling Model'!D$2:D$38^A4545)</f>
        <v>36.57371874</v>
      </c>
      <c r="C4545" s="8">
        <f t="array" ref="C4545">PRODUCT(1-'Sparkling Model'!D$2:D$38^A4545)</f>
        <v>0.6393842069</v>
      </c>
    </row>
    <row r="4546">
      <c r="A4546" s="6">
        <v>4544.0</v>
      </c>
      <c r="B4546" s="17">
        <f t="array" ref="B4546">SUM(1-'Sparkling Model'!D$2:D$38^A4546)</f>
        <v>36.57396448</v>
      </c>
      <c r="C4546" s="8">
        <f t="array" ref="C4546">PRODUCT(1-'Sparkling Model'!D$2:D$38^A4546)</f>
        <v>0.6395553633</v>
      </c>
    </row>
    <row r="4547">
      <c r="A4547" s="6">
        <v>4545.0</v>
      </c>
      <c r="B4547" s="17">
        <f t="array" ref="B4547">SUM(1-'Sparkling Model'!D$2:D$38^A4547)</f>
        <v>36.57421006</v>
      </c>
      <c r="C4547" s="8">
        <f t="array" ref="C4547">PRODUCT(1-'Sparkling Model'!D$2:D$38^A4547)</f>
        <v>0.6397264467</v>
      </c>
    </row>
    <row r="4548">
      <c r="A4548" s="6">
        <v>4546.0</v>
      </c>
      <c r="B4548" s="17">
        <f t="array" ref="B4548">SUM(1-'Sparkling Model'!D$2:D$38^A4548)</f>
        <v>36.57445548</v>
      </c>
      <c r="C4548" s="8">
        <f t="array" ref="C4548">PRODUCT(1-'Sparkling Model'!D$2:D$38^A4548)</f>
        <v>0.6398974571</v>
      </c>
    </row>
    <row r="4549">
      <c r="A4549" s="6">
        <v>4547.0</v>
      </c>
      <c r="B4549" s="17">
        <f t="array" ref="B4549">SUM(1-'Sparkling Model'!D$2:D$38^A4549)</f>
        <v>36.57470074</v>
      </c>
      <c r="C4549" s="8">
        <f t="array" ref="C4549">PRODUCT(1-'Sparkling Model'!D$2:D$38^A4549)</f>
        <v>0.6400683946</v>
      </c>
    </row>
    <row r="4550">
      <c r="A4550" s="6">
        <v>4548.0</v>
      </c>
      <c r="B4550" s="17">
        <f t="array" ref="B4550">SUM(1-'Sparkling Model'!D$2:D$38^A4550)</f>
        <v>36.57494583</v>
      </c>
      <c r="C4550" s="8">
        <f t="array" ref="C4550">PRODUCT(1-'Sparkling Model'!D$2:D$38^A4550)</f>
        <v>0.6402392591</v>
      </c>
    </row>
    <row r="4551">
      <c r="A4551" s="6">
        <v>4549.0</v>
      </c>
      <c r="B4551" s="17">
        <f t="array" ref="B4551">SUM(1-'Sparkling Model'!D$2:D$38^A4551)</f>
        <v>36.57519077</v>
      </c>
      <c r="C4551" s="8">
        <f t="array" ref="C4551">PRODUCT(1-'Sparkling Model'!D$2:D$38^A4551)</f>
        <v>0.6404100507</v>
      </c>
    </row>
    <row r="4552">
      <c r="A4552" s="6">
        <v>4550.0</v>
      </c>
      <c r="B4552" s="17">
        <f t="array" ref="B4552">SUM(1-'Sparkling Model'!D$2:D$38^A4552)</f>
        <v>36.57543554</v>
      </c>
      <c r="C4552" s="8">
        <f t="array" ref="C4552">PRODUCT(1-'Sparkling Model'!D$2:D$38^A4552)</f>
        <v>0.6405807694</v>
      </c>
    </row>
    <row r="4553">
      <c r="A4553" s="6">
        <v>4551.0</v>
      </c>
      <c r="B4553" s="17">
        <f t="array" ref="B4553">SUM(1-'Sparkling Model'!D$2:D$38^A4553)</f>
        <v>36.57568015</v>
      </c>
      <c r="C4553" s="8">
        <f t="array" ref="C4553">PRODUCT(1-'Sparkling Model'!D$2:D$38^A4553)</f>
        <v>0.6407514152</v>
      </c>
    </row>
    <row r="4554">
      <c r="A4554" s="6">
        <v>4552.0</v>
      </c>
      <c r="B4554" s="17">
        <f t="array" ref="B4554">SUM(1-'Sparkling Model'!D$2:D$38^A4554)</f>
        <v>36.5759246</v>
      </c>
      <c r="C4554" s="8">
        <f t="array" ref="C4554">PRODUCT(1-'Sparkling Model'!D$2:D$38^A4554)</f>
        <v>0.6409219881</v>
      </c>
    </row>
    <row r="4555">
      <c r="A4555" s="6">
        <v>4553.0</v>
      </c>
      <c r="B4555" s="17">
        <f t="array" ref="B4555">SUM(1-'Sparkling Model'!D$2:D$38^A4555)</f>
        <v>36.57616888</v>
      </c>
      <c r="C4555" s="8">
        <f t="array" ref="C4555">PRODUCT(1-'Sparkling Model'!D$2:D$38^A4555)</f>
        <v>0.6410924881</v>
      </c>
    </row>
    <row r="4556">
      <c r="A4556" s="6">
        <v>4554.0</v>
      </c>
      <c r="B4556" s="17">
        <f t="array" ref="B4556">SUM(1-'Sparkling Model'!D$2:D$38^A4556)</f>
        <v>36.57641301</v>
      </c>
      <c r="C4556" s="8">
        <f t="array" ref="C4556">PRODUCT(1-'Sparkling Model'!D$2:D$38^A4556)</f>
        <v>0.6412629153</v>
      </c>
    </row>
    <row r="4557">
      <c r="A4557" s="6">
        <v>4555.0</v>
      </c>
      <c r="B4557" s="17">
        <f t="array" ref="B4557">SUM(1-'Sparkling Model'!D$2:D$38^A4557)</f>
        <v>36.57665698</v>
      </c>
      <c r="C4557" s="8">
        <f t="array" ref="C4557">PRODUCT(1-'Sparkling Model'!D$2:D$38^A4557)</f>
        <v>0.6414332697</v>
      </c>
    </row>
    <row r="4558">
      <c r="A4558" s="6">
        <v>4556.0</v>
      </c>
      <c r="B4558" s="17">
        <f t="array" ref="B4558">SUM(1-'Sparkling Model'!D$2:D$38^A4558)</f>
        <v>36.57690078</v>
      </c>
      <c r="C4558" s="8">
        <f t="array" ref="C4558">PRODUCT(1-'Sparkling Model'!D$2:D$38^A4558)</f>
        <v>0.6416035513</v>
      </c>
    </row>
    <row r="4559">
      <c r="A4559" s="6">
        <v>4557.0</v>
      </c>
      <c r="B4559" s="17">
        <f t="array" ref="B4559">SUM(1-'Sparkling Model'!D$2:D$38^A4559)</f>
        <v>36.57714443</v>
      </c>
      <c r="C4559" s="8">
        <f t="array" ref="C4559">PRODUCT(1-'Sparkling Model'!D$2:D$38^A4559)</f>
        <v>0.6417737601</v>
      </c>
    </row>
    <row r="4560">
      <c r="A4560" s="6">
        <v>4558.0</v>
      </c>
      <c r="B4560" s="17">
        <f t="array" ref="B4560">SUM(1-'Sparkling Model'!D$2:D$38^A4560)</f>
        <v>36.57738791</v>
      </c>
      <c r="C4560" s="8">
        <f t="array" ref="C4560">PRODUCT(1-'Sparkling Model'!D$2:D$38^A4560)</f>
        <v>0.6419438962</v>
      </c>
    </row>
    <row r="4561">
      <c r="A4561" s="6">
        <v>4559.0</v>
      </c>
      <c r="B4561" s="17">
        <f t="array" ref="B4561">SUM(1-'Sparkling Model'!D$2:D$38^A4561)</f>
        <v>36.57763124</v>
      </c>
      <c r="C4561" s="8">
        <f t="array" ref="C4561">PRODUCT(1-'Sparkling Model'!D$2:D$38^A4561)</f>
        <v>0.6421139595</v>
      </c>
    </row>
    <row r="4562">
      <c r="A4562" s="6">
        <v>4560.0</v>
      </c>
      <c r="B4562" s="17">
        <f t="array" ref="B4562">SUM(1-'Sparkling Model'!D$2:D$38^A4562)</f>
        <v>36.5778744</v>
      </c>
      <c r="C4562" s="8">
        <f t="array" ref="C4562">PRODUCT(1-'Sparkling Model'!D$2:D$38^A4562)</f>
        <v>0.64228395</v>
      </c>
    </row>
    <row r="4563">
      <c r="A4563" s="6">
        <v>4561.0</v>
      </c>
      <c r="B4563" s="17">
        <f t="array" ref="B4563">SUM(1-'Sparkling Model'!D$2:D$38^A4563)</f>
        <v>36.5781174</v>
      </c>
      <c r="C4563" s="8">
        <f t="array" ref="C4563">PRODUCT(1-'Sparkling Model'!D$2:D$38^A4563)</f>
        <v>0.6424538679</v>
      </c>
    </row>
    <row r="4564">
      <c r="A4564" s="6">
        <v>4562.0</v>
      </c>
      <c r="B4564" s="17">
        <f t="array" ref="B4564">SUM(1-'Sparkling Model'!D$2:D$38^A4564)</f>
        <v>36.57836025</v>
      </c>
      <c r="C4564" s="8">
        <f t="array" ref="C4564">PRODUCT(1-'Sparkling Model'!D$2:D$38^A4564)</f>
        <v>0.642623713</v>
      </c>
    </row>
    <row r="4565">
      <c r="A4565" s="6">
        <v>4563.0</v>
      </c>
      <c r="B4565" s="17">
        <f t="array" ref="B4565">SUM(1-'Sparkling Model'!D$2:D$38^A4565)</f>
        <v>36.57860293</v>
      </c>
      <c r="C4565" s="8">
        <f t="array" ref="C4565">PRODUCT(1-'Sparkling Model'!D$2:D$38^A4565)</f>
        <v>0.6427934855</v>
      </c>
    </row>
    <row r="4566">
      <c r="A4566" s="6">
        <v>4564.0</v>
      </c>
      <c r="B4566" s="17">
        <f t="array" ref="B4566">SUM(1-'Sparkling Model'!D$2:D$38^A4566)</f>
        <v>36.57884546</v>
      </c>
      <c r="C4566" s="8">
        <f t="array" ref="C4566">PRODUCT(1-'Sparkling Model'!D$2:D$38^A4566)</f>
        <v>0.6429631854</v>
      </c>
    </row>
    <row r="4567">
      <c r="A4567" s="6">
        <v>4565.0</v>
      </c>
      <c r="B4567" s="17">
        <f t="array" ref="B4567">SUM(1-'Sparkling Model'!D$2:D$38^A4567)</f>
        <v>36.57908782</v>
      </c>
      <c r="C4567" s="8">
        <f t="array" ref="C4567">PRODUCT(1-'Sparkling Model'!D$2:D$38^A4567)</f>
        <v>0.6431328125</v>
      </c>
    </row>
    <row r="4568">
      <c r="A4568" s="6">
        <v>4566.0</v>
      </c>
      <c r="B4568" s="17">
        <f t="array" ref="B4568">SUM(1-'Sparkling Model'!D$2:D$38^A4568)</f>
        <v>36.57933003</v>
      </c>
      <c r="C4568" s="8">
        <f t="array" ref="C4568">PRODUCT(1-'Sparkling Model'!D$2:D$38^A4568)</f>
        <v>0.6433023671</v>
      </c>
    </row>
    <row r="4569">
      <c r="A4569" s="6">
        <v>4567.0</v>
      </c>
      <c r="B4569" s="17">
        <f t="array" ref="B4569">SUM(1-'Sparkling Model'!D$2:D$38^A4569)</f>
        <v>36.57957207</v>
      </c>
      <c r="C4569" s="8">
        <f t="array" ref="C4569">PRODUCT(1-'Sparkling Model'!D$2:D$38^A4569)</f>
        <v>0.6434718491</v>
      </c>
    </row>
    <row r="4570">
      <c r="A4570" s="6">
        <v>4568.0</v>
      </c>
      <c r="B4570" s="17">
        <f t="array" ref="B4570">SUM(1-'Sparkling Model'!D$2:D$38^A4570)</f>
        <v>36.57981396</v>
      </c>
      <c r="C4570" s="8">
        <f t="array" ref="C4570">PRODUCT(1-'Sparkling Model'!D$2:D$38^A4570)</f>
        <v>0.6436412584</v>
      </c>
    </row>
    <row r="4571">
      <c r="A4571" s="6">
        <v>4569.0</v>
      </c>
      <c r="B4571" s="17">
        <f t="array" ref="B4571">SUM(1-'Sparkling Model'!D$2:D$38^A4571)</f>
        <v>36.58005569</v>
      </c>
      <c r="C4571" s="8">
        <f t="array" ref="C4571">PRODUCT(1-'Sparkling Model'!D$2:D$38^A4571)</f>
        <v>0.6438105953</v>
      </c>
    </row>
    <row r="4572">
      <c r="A4572" s="6">
        <v>4570.0</v>
      </c>
      <c r="B4572" s="17">
        <f t="array" ref="B4572">SUM(1-'Sparkling Model'!D$2:D$38^A4572)</f>
        <v>36.58029726</v>
      </c>
      <c r="C4572" s="8">
        <f t="array" ref="C4572">PRODUCT(1-'Sparkling Model'!D$2:D$38^A4572)</f>
        <v>0.6439798595</v>
      </c>
    </row>
    <row r="4573">
      <c r="A4573" s="6">
        <v>4571.0</v>
      </c>
      <c r="B4573" s="17">
        <f t="array" ref="B4573">SUM(1-'Sparkling Model'!D$2:D$38^A4573)</f>
        <v>36.58053867</v>
      </c>
      <c r="C4573" s="8">
        <f t="array" ref="C4573">PRODUCT(1-'Sparkling Model'!D$2:D$38^A4573)</f>
        <v>0.6441490513</v>
      </c>
    </row>
    <row r="4574">
      <c r="A4574" s="6">
        <v>4572.0</v>
      </c>
      <c r="B4574" s="17">
        <f t="array" ref="B4574">SUM(1-'Sparkling Model'!D$2:D$38^A4574)</f>
        <v>36.58077992</v>
      </c>
      <c r="C4574" s="8">
        <f t="array" ref="C4574">PRODUCT(1-'Sparkling Model'!D$2:D$38^A4574)</f>
        <v>0.6443181705</v>
      </c>
    </row>
    <row r="4575">
      <c r="A4575" s="6">
        <v>4573.0</v>
      </c>
      <c r="B4575" s="17">
        <f t="array" ref="B4575">SUM(1-'Sparkling Model'!D$2:D$38^A4575)</f>
        <v>36.58102102</v>
      </c>
      <c r="C4575" s="8">
        <f t="array" ref="C4575">PRODUCT(1-'Sparkling Model'!D$2:D$38^A4575)</f>
        <v>0.6444872172</v>
      </c>
    </row>
    <row r="4576">
      <c r="A4576" s="6">
        <v>4574.0</v>
      </c>
      <c r="B4576" s="17">
        <f t="array" ref="B4576">SUM(1-'Sparkling Model'!D$2:D$38^A4576)</f>
        <v>36.58126195</v>
      </c>
      <c r="C4576" s="8">
        <f t="array" ref="C4576">PRODUCT(1-'Sparkling Model'!D$2:D$38^A4576)</f>
        <v>0.6446561915</v>
      </c>
    </row>
    <row r="4577">
      <c r="A4577" s="6">
        <v>4575.0</v>
      </c>
      <c r="B4577" s="17">
        <f t="array" ref="B4577">SUM(1-'Sparkling Model'!D$2:D$38^A4577)</f>
        <v>36.58150273</v>
      </c>
      <c r="C4577" s="8">
        <f t="array" ref="C4577">PRODUCT(1-'Sparkling Model'!D$2:D$38^A4577)</f>
        <v>0.6448250933</v>
      </c>
    </row>
    <row r="4578">
      <c r="A4578" s="6">
        <v>4576.0</v>
      </c>
      <c r="B4578" s="17">
        <f t="array" ref="B4578">SUM(1-'Sparkling Model'!D$2:D$38^A4578)</f>
        <v>36.58174335</v>
      </c>
      <c r="C4578" s="8">
        <f t="array" ref="C4578">PRODUCT(1-'Sparkling Model'!D$2:D$38^A4578)</f>
        <v>0.6449939227</v>
      </c>
    </row>
    <row r="4579">
      <c r="A4579" s="6">
        <v>4577.0</v>
      </c>
      <c r="B4579" s="17">
        <f t="array" ref="B4579">SUM(1-'Sparkling Model'!D$2:D$38^A4579)</f>
        <v>36.58198381</v>
      </c>
      <c r="C4579" s="8">
        <f t="array" ref="C4579">PRODUCT(1-'Sparkling Model'!D$2:D$38^A4579)</f>
        <v>0.6451626796</v>
      </c>
    </row>
    <row r="4580">
      <c r="A4580" s="6">
        <v>4578.0</v>
      </c>
      <c r="B4580" s="17">
        <f t="array" ref="B4580">SUM(1-'Sparkling Model'!D$2:D$38^A4580)</f>
        <v>36.58222411</v>
      </c>
      <c r="C4580" s="8">
        <f t="array" ref="C4580">PRODUCT(1-'Sparkling Model'!D$2:D$38^A4580)</f>
        <v>0.6453313642</v>
      </c>
    </row>
    <row r="4581">
      <c r="A4581" s="6">
        <v>4579.0</v>
      </c>
      <c r="B4581" s="17">
        <f t="array" ref="B4581">SUM(1-'Sparkling Model'!D$2:D$38^A4581)</f>
        <v>36.58246426</v>
      </c>
      <c r="C4581" s="8">
        <f t="array" ref="C4581">PRODUCT(1-'Sparkling Model'!D$2:D$38^A4581)</f>
        <v>0.6454999764</v>
      </c>
    </row>
    <row r="4582">
      <c r="A4582" s="6">
        <v>4580.0</v>
      </c>
      <c r="B4582" s="17">
        <f t="array" ref="B4582">SUM(1-'Sparkling Model'!D$2:D$38^A4582)</f>
        <v>36.58270424</v>
      </c>
      <c r="C4582" s="8">
        <f t="array" ref="C4582">PRODUCT(1-'Sparkling Model'!D$2:D$38^A4582)</f>
        <v>0.6456685162</v>
      </c>
    </row>
    <row r="4583">
      <c r="A4583" s="6">
        <v>4581.0</v>
      </c>
      <c r="B4583" s="17">
        <f t="array" ref="B4583">SUM(1-'Sparkling Model'!D$2:D$38^A4583)</f>
        <v>36.58294407</v>
      </c>
      <c r="C4583" s="8">
        <f t="array" ref="C4583">PRODUCT(1-'Sparkling Model'!D$2:D$38^A4583)</f>
        <v>0.6458369836</v>
      </c>
    </row>
    <row r="4584">
      <c r="A4584" s="6">
        <v>4582.0</v>
      </c>
      <c r="B4584" s="17">
        <f t="array" ref="B4584">SUM(1-'Sparkling Model'!D$2:D$38^A4584)</f>
        <v>36.58318375</v>
      </c>
      <c r="C4584" s="8">
        <f t="array" ref="C4584">PRODUCT(1-'Sparkling Model'!D$2:D$38^A4584)</f>
        <v>0.6460053788</v>
      </c>
    </row>
    <row r="4585">
      <c r="A4585" s="6">
        <v>4583.0</v>
      </c>
      <c r="B4585" s="17">
        <f t="array" ref="B4585">SUM(1-'Sparkling Model'!D$2:D$38^A4585)</f>
        <v>36.58342326</v>
      </c>
      <c r="C4585" s="8">
        <f t="array" ref="C4585">PRODUCT(1-'Sparkling Model'!D$2:D$38^A4585)</f>
        <v>0.6461737016</v>
      </c>
    </row>
    <row r="4586">
      <c r="A4586" s="6">
        <v>4584.0</v>
      </c>
      <c r="B4586" s="17">
        <f t="array" ref="B4586">SUM(1-'Sparkling Model'!D$2:D$38^A4586)</f>
        <v>36.58366262</v>
      </c>
      <c r="C4586" s="8">
        <f t="array" ref="C4586">PRODUCT(1-'Sparkling Model'!D$2:D$38^A4586)</f>
        <v>0.6463419522</v>
      </c>
    </row>
    <row r="4587">
      <c r="A4587" s="6">
        <v>4585.0</v>
      </c>
      <c r="B4587" s="17">
        <f t="array" ref="B4587">SUM(1-'Sparkling Model'!D$2:D$38^A4587)</f>
        <v>36.58390182</v>
      </c>
      <c r="C4587" s="8">
        <f t="array" ref="C4587">PRODUCT(1-'Sparkling Model'!D$2:D$38^A4587)</f>
        <v>0.6465101304</v>
      </c>
    </row>
    <row r="4588">
      <c r="A4588" s="6">
        <v>4586.0</v>
      </c>
      <c r="B4588" s="17">
        <f t="array" ref="B4588">SUM(1-'Sparkling Model'!D$2:D$38^A4588)</f>
        <v>36.58414087</v>
      </c>
      <c r="C4588" s="8">
        <f t="array" ref="C4588">PRODUCT(1-'Sparkling Model'!D$2:D$38^A4588)</f>
        <v>0.6466782365</v>
      </c>
    </row>
    <row r="4589">
      <c r="A4589" s="6">
        <v>4587.0</v>
      </c>
      <c r="B4589" s="17">
        <f t="array" ref="B4589">SUM(1-'Sparkling Model'!D$2:D$38^A4589)</f>
        <v>36.58437975</v>
      </c>
      <c r="C4589" s="8">
        <f t="array" ref="C4589">PRODUCT(1-'Sparkling Model'!D$2:D$38^A4589)</f>
        <v>0.6468462703</v>
      </c>
    </row>
    <row r="4590">
      <c r="A4590" s="6">
        <v>4588.0</v>
      </c>
      <c r="B4590" s="17">
        <f t="array" ref="B4590">SUM(1-'Sparkling Model'!D$2:D$38^A4590)</f>
        <v>36.58461849</v>
      </c>
      <c r="C4590" s="8">
        <f t="array" ref="C4590">PRODUCT(1-'Sparkling Model'!D$2:D$38^A4590)</f>
        <v>0.6470142319</v>
      </c>
    </row>
    <row r="4591">
      <c r="A4591" s="6">
        <v>4589.0</v>
      </c>
      <c r="B4591" s="17">
        <f t="array" ref="B4591">SUM(1-'Sparkling Model'!D$2:D$38^A4591)</f>
        <v>36.58485706</v>
      </c>
      <c r="C4591" s="8">
        <f t="array" ref="C4591">PRODUCT(1-'Sparkling Model'!D$2:D$38^A4591)</f>
        <v>0.6471821212</v>
      </c>
    </row>
    <row r="4592">
      <c r="A4592" s="6">
        <v>4590.0</v>
      </c>
      <c r="B4592" s="17">
        <f t="array" ref="B4592">SUM(1-'Sparkling Model'!D$2:D$38^A4592)</f>
        <v>36.58509548</v>
      </c>
      <c r="C4592" s="8">
        <f t="array" ref="C4592">PRODUCT(1-'Sparkling Model'!D$2:D$38^A4592)</f>
        <v>0.6473499385</v>
      </c>
    </row>
    <row r="4593">
      <c r="A4593" s="6">
        <v>4591.0</v>
      </c>
      <c r="B4593" s="17">
        <f t="array" ref="B4593">SUM(1-'Sparkling Model'!D$2:D$38^A4593)</f>
        <v>36.58533374</v>
      </c>
      <c r="C4593" s="8">
        <f t="array" ref="C4593">PRODUCT(1-'Sparkling Model'!D$2:D$38^A4593)</f>
        <v>0.6475176835</v>
      </c>
    </row>
    <row r="4594">
      <c r="A4594" s="6">
        <v>4592.0</v>
      </c>
      <c r="B4594" s="17">
        <f t="array" ref="B4594">SUM(1-'Sparkling Model'!D$2:D$38^A4594)</f>
        <v>36.58557185</v>
      </c>
      <c r="C4594" s="8">
        <f t="array" ref="C4594">PRODUCT(1-'Sparkling Model'!D$2:D$38^A4594)</f>
        <v>0.6476853564</v>
      </c>
    </row>
    <row r="4595">
      <c r="A4595" s="6">
        <v>4593.0</v>
      </c>
      <c r="B4595" s="17">
        <f t="array" ref="B4595">SUM(1-'Sparkling Model'!D$2:D$38^A4595)</f>
        <v>36.5858098</v>
      </c>
      <c r="C4595" s="8">
        <f t="array" ref="C4595">PRODUCT(1-'Sparkling Model'!D$2:D$38^A4595)</f>
        <v>0.6478529572</v>
      </c>
    </row>
    <row r="4596">
      <c r="A4596" s="6">
        <v>4594.0</v>
      </c>
      <c r="B4596" s="17">
        <f t="array" ref="B4596">SUM(1-'Sparkling Model'!D$2:D$38^A4596)</f>
        <v>36.58604759</v>
      </c>
      <c r="C4596" s="8">
        <f t="array" ref="C4596">PRODUCT(1-'Sparkling Model'!D$2:D$38^A4596)</f>
        <v>0.6480204859</v>
      </c>
    </row>
    <row r="4597">
      <c r="A4597" s="6">
        <v>4595.0</v>
      </c>
      <c r="B4597" s="17">
        <f t="array" ref="B4597">SUM(1-'Sparkling Model'!D$2:D$38^A4597)</f>
        <v>36.58628523</v>
      </c>
      <c r="C4597" s="8">
        <f t="array" ref="C4597">PRODUCT(1-'Sparkling Model'!D$2:D$38^A4597)</f>
        <v>0.6481879426</v>
      </c>
    </row>
    <row r="4598">
      <c r="A4598" s="6">
        <v>4596.0</v>
      </c>
      <c r="B4598" s="17">
        <f t="array" ref="B4598">SUM(1-'Sparkling Model'!D$2:D$38^A4598)</f>
        <v>36.58652271</v>
      </c>
      <c r="C4598" s="8">
        <f t="array" ref="C4598">PRODUCT(1-'Sparkling Model'!D$2:D$38^A4598)</f>
        <v>0.6483553271</v>
      </c>
    </row>
    <row r="4599">
      <c r="A4599" s="6">
        <v>4597.0</v>
      </c>
      <c r="B4599" s="17">
        <f t="array" ref="B4599">SUM(1-'Sparkling Model'!D$2:D$38^A4599)</f>
        <v>36.58676004</v>
      </c>
      <c r="C4599" s="8">
        <f t="array" ref="C4599">PRODUCT(1-'Sparkling Model'!D$2:D$38^A4599)</f>
        <v>0.6485226396</v>
      </c>
    </row>
    <row r="4600">
      <c r="A4600" s="6">
        <v>4598.0</v>
      </c>
      <c r="B4600" s="17">
        <f t="array" ref="B4600">SUM(1-'Sparkling Model'!D$2:D$38^A4600)</f>
        <v>36.58699721</v>
      </c>
      <c r="C4600" s="8">
        <f t="array" ref="C4600">PRODUCT(1-'Sparkling Model'!D$2:D$38^A4600)</f>
        <v>0.6486898801</v>
      </c>
    </row>
    <row r="4601">
      <c r="A4601" s="6">
        <v>4599.0</v>
      </c>
      <c r="B4601" s="17">
        <f t="array" ref="B4601">SUM(1-'Sparkling Model'!D$2:D$38^A4601)</f>
        <v>36.58723423</v>
      </c>
      <c r="C4601" s="8">
        <f t="array" ref="C4601">PRODUCT(1-'Sparkling Model'!D$2:D$38^A4601)</f>
        <v>0.6488570486</v>
      </c>
    </row>
    <row r="4602">
      <c r="A4602" s="6">
        <v>4600.0</v>
      </c>
      <c r="B4602" s="17">
        <f t="array" ref="B4602">SUM(1-'Sparkling Model'!D$2:D$38^A4602)</f>
        <v>36.58747109</v>
      </c>
      <c r="C4602" s="8">
        <f t="array" ref="C4602">PRODUCT(1-'Sparkling Model'!D$2:D$38^A4602)</f>
        <v>0.6490241451</v>
      </c>
    </row>
    <row r="4603">
      <c r="A4603" s="6">
        <v>4601.0</v>
      </c>
      <c r="B4603" s="17">
        <f t="array" ref="B4603">SUM(1-'Sparkling Model'!D$2:D$38^A4603)</f>
        <v>36.5877078</v>
      </c>
      <c r="C4603" s="8">
        <f t="array" ref="C4603">PRODUCT(1-'Sparkling Model'!D$2:D$38^A4603)</f>
        <v>0.6491911696</v>
      </c>
    </row>
    <row r="4604">
      <c r="A4604" s="6">
        <v>4602.0</v>
      </c>
      <c r="B4604" s="17">
        <f t="array" ref="B4604">SUM(1-'Sparkling Model'!D$2:D$38^A4604)</f>
        <v>36.58794435</v>
      </c>
      <c r="C4604" s="8">
        <f t="array" ref="C4604">PRODUCT(1-'Sparkling Model'!D$2:D$38^A4604)</f>
        <v>0.6493581222</v>
      </c>
    </row>
    <row r="4605">
      <c r="A4605" s="6">
        <v>4603.0</v>
      </c>
      <c r="B4605" s="17">
        <f t="array" ref="B4605">SUM(1-'Sparkling Model'!D$2:D$38^A4605)</f>
        <v>36.58818075</v>
      </c>
      <c r="C4605" s="8">
        <f t="array" ref="C4605">PRODUCT(1-'Sparkling Model'!D$2:D$38^A4605)</f>
        <v>0.6495250028</v>
      </c>
    </row>
    <row r="4606">
      <c r="A4606" s="6">
        <v>4604.0</v>
      </c>
      <c r="B4606" s="17">
        <f t="array" ref="B4606">SUM(1-'Sparkling Model'!D$2:D$38^A4606)</f>
        <v>36.58841699</v>
      </c>
      <c r="C4606" s="8">
        <f t="array" ref="C4606">PRODUCT(1-'Sparkling Model'!D$2:D$38^A4606)</f>
        <v>0.6496918116</v>
      </c>
    </row>
    <row r="4607">
      <c r="A4607" s="6">
        <v>4605.0</v>
      </c>
      <c r="B4607" s="17">
        <f t="array" ref="B4607">SUM(1-'Sparkling Model'!D$2:D$38^A4607)</f>
        <v>36.58865308</v>
      </c>
      <c r="C4607" s="8">
        <f t="array" ref="C4607">PRODUCT(1-'Sparkling Model'!D$2:D$38^A4607)</f>
        <v>0.6498585484</v>
      </c>
    </row>
    <row r="4608">
      <c r="A4608" s="6">
        <v>4606.0</v>
      </c>
      <c r="B4608" s="17">
        <f t="array" ref="B4608">SUM(1-'Sparkling Model'!D$2:D$38^A4608)</f>
        <v>36.58888901</v>
      </c>
      <c r="C4608" s="8">
        <f t="array" ref="C4608">PRODUCT(1-'Sparkling Model'!D$2:D$38^A4608)</f>
        <v>0.6500252134</v>
      </c>
    </row>
    <row r="4609">
      <c r="A4609" s="6">
        <v>4607.0</v>
      </c>
      <c r="B4609" s="17">
        <f t="array" ref="B4609">SUM(1-'Sparkling Model'!D$2:D$38^A4609)</f>
        <v>36.58912479</v>
      </c>
      <c r="C4609" s="8">
        <f t="array" ref="C4609">PRODUCT(1-'Sparkling Model'!D$2:D$38^A4609)</f>
        <v>0.6501918065</v>
      </c>
    </row>
    <row r="4610">
      <c r="A4610" s="6">
        <v>4608.0</v>
      </c>
      <c r="B4610" s="17">
        <f t="array" ref="B4610">SUM(1-'Sparkling Model'!D$2:D$38^A4610)</f>
        <v>36.58936042</v>
      </c>
      <c r="C4610" s="8">
        <f t="array" ref="C4610">PRODUCT(1-'Sparkling Model'!D$2:D$38^A4610)</f>
        <v>0.6503583277</v>
      </c>
    </row>
    <row r="4611">
      <c r="A4611" s="6">
        <v>4609.0</v>
      </c>
      <c r="B4611" s="17">
        <f t="array" ref="B4611">SUM(1-'Sparkling Model'!D$2:D$38^A4611)</f>
        <v>36.58959589</v>
      </c>
      <c r="C4611" s="8">
        <f t="array" ref="C4611">PRODUCT(1-'Sparkling Model'!D$2:D$38^A4611)</f>
        <v>0.6505247772</v>
      </c>
    </row>
    <row r="4612">
      <c r="A4612" s="6">
        <v>4610.0</v>
      </c>
      <c r="B4612" s="17">
        <f t="array" ref="B4612">SUM(1-'Sparkling Model'!D$2:D$38^A4612)</f>
        <v>36.58983121</v>
      </c>
      <c r="C4612" s="8">
        <f t="array" ref="C4612">PRODUCT(1-'Sparkling Model'!D$2:D$38^A4612)</f>
        <v>0.6506911549</v>
      </c>
    </row>
    <row r="4613">
      <c r="A4613" s="6">
        <v>4611.0</v>
      </c>
      <c r="B4613" s="17">
        <f t="array" ref="B4613">SUM(1-'Sparkling Model'!D$2:D$38^A4613)</f>
        <v>36.59006637</v>
      </c>
      <c r="C4613" s="8">
        <f t="array" ref="C4613">PRODUCT(1-'Sparkling Model'!D$2:D$38^A4613)</f>
        <v>0.6508574608</v>
      </c>
    </row>
    <row r="4614">
      <c r="A4614" s="6">
        <v>4612.0</v>
      </c>
      <c r="B4614" s="17">
        <f t="array" ref="B4614">SUM(1-'Sparkling Model'!D$2:D$38^A4614)</f>
        <v>36.59030138</v>
      </c>
      <c r="C4614" s="8">
        <f t="array" ref="C4614">PRODUCT(1-'Sparkling Model'!D$2:D$38^A4614)</f>
        <v>0.6510236949</v>
      </c>
    </row>
    <row r="4615">
      <c r="A4615" s="6">
        <v>4613.0</v>
      </c>
      <c r="B4615" s="17">
        <f t="array" ref="B4615">SUM(1-'Sparkling Model'!D$2:D$38^A4615)</f>
        <v>36.59053624</v>
      </c>
      <c r="C4615" s="8">
        <f t="array" ref="C4615">PRODUCT(1-'Sparkling Model'!D$2:D$38^A4615)</f>
        <v>0.6511898573</v>
      </c>
    </row>
    <row r="4616">
      <c r="A4616" s="6">
        <v>4614.0</v>
      </c>
      <c r="B4616" s="17">
        <f t="array" ref="B4616">SUM(1-'Sparkling Model'!D$2:D$38^A4616)</f>
        <v>36.59077094</v>
      </c>
      <c r="C4616" s="8">
        <f t="array" ref="C4616">PRODUCT(1-'Sparkling Model'!D$2:D$38^A4616)</f>
        <v>0.6513559479</v>
      </c>
    </row>
    <row r="4617">
      <c r="A4617" s="6">
        <v>4615.0</v>
      </c>
      <c r="B4617" s="17">
        <f t="array" ref="B4617">SUM(1-'Sparkling Model'!D$2:D$38^A4617)</f>
        <v>36.59100549</v>
      </c>
      <c r="C4617" s="8">
        <f t="array" ref="C4617">PRODUCT(1-'Sparkling Model'!D$2:D$38^A4617)</f>
        <v>0.6515219669</v>
      </c>
    </row>
    <row r="4618">
      <c r="A4618" s="6">
        <v>4616.0</v>
      </c>
      <c r="B4618" s="17">
        <f t="array" ref="B4618">SUM(1-'Sparkling Model'!D$2:D$38^A4618)</f>
        <v>36.59123989</v>
      </c>
      <c r="C4618" s="8">
        <f t="array" ref="C4618">PRODUCT(1-'Sparkling Model'!D$2:D$38^A4618)</f>
        <v>0.6516879142</v>
      </c>
    </row>
    <row r="4619">
      <c r="A4619" s="6">
        <v>4617.0</v>
      </c>
      <c r="B4619" s="17">
        <f t="array" ref="B4619">SUM(1-'Sparkling Model'!D$2:D$38^A4619)</f>
        <v>36.59147414</v>
      </c>
      <c r="C4619" s="8">
        <f t="array" ref="C4619">PRODUCT(1-'Sparkling Model'!D$2:D$38^A4619)</f>
        <v>0.6518537898</v>
      </c>
    </row>
    <row r="4620">
      <c r="A4620" s="6">
        <v>4618.0</v>
      </c>
      <c r="B4620" s="17">
        <f t="array" ref="B4620">SUM(1-'Sparkling Model'!D$2:D$38^A4620)</f>
        <v>36.59170823</v>
      </c>
      <c r="C4620" s="8">
        <f t="array" ref="C4620">PRODUCT(1-'Sparkling Model'!D$2:D$38^A4620)</f>
        <v>0.6520195938</v>
      </c>
    </row>
    <row r="4621">
      <c r="A4621" s="6">
        <v>4619.0</v>
      </c>
      <c r="B4621" s="17">
        <f t="array" ref="B4621">SUM(1-'Sparkling Model'!D$2:D$38^A4621)</f>
        <v>36.59194217</v>
      </c>
      <c r="C4621" s="8">
        <f t="array" ref="C4621">PRODUCT(1-'Sparkling Model'!D$2:D$38^A4621)</f>
        <v>0.6521853261</v>
      </c>
    </row>
    <row r="4622">
      <c r="A4622" s="6">
        <v>4620.0</v>
      </c>
      <c r="B4622" s="17">
        <f t="array" ref="B4622">SUM(1-'Sparkling Model'!D$2:D$38^A4622)</f>
        <v>36.59217595</v>
      </c>
      <c r="C4622" s="8">
        <f t="array" ref="C4622">PRODUCT(1-'Sparkling Model'!D$2:D$38^A4622)</f>
        <v>0.6523509869</v>
      </c>
    </row>
    <row r="4623">
      <c r="A4623" s="6">
        <v>4621.0</v>
      </c>
      <c r="B4623" s="17">
        <f t="array" ref="B4623">SUM(1-'Sparkling Model'!D$2:D$38^A4623)</f>
        <v>36.59240959</v>
      </c>
      <c r="C4623" s="8">
        <f t="array" ref="C4623">PRODUCT(1-'Sparkling Model'!D$2:D$38^A4623)</f>
        <v>0.652516576</v>
      </c>
    </row>
    <row r="4624">
      <c r="A4624" s="6">
        <v>4622.0</v>
      </c>
      <c r="B4624" s="17">
        <f t="array" ref="B4624">SUM(1-'Sparkling Model'!D$2:D$38^A4624)</f>
        <v>36.59264307</v>
      </c>
      <c r="C4624" s="8">
        <f t="array" ref="C4624">PRODUCT(1-'Sparkling Model'!D$2:D$38^A4624)</f>
        <v>0.6526820936</v>
      </c>
    </row>
    <row r="4625">
      <c r="A4625" s="6">
        <v>4623.0</v>
      </c>
      <c r="B4625" s="17">
        <f t="array" ref="B4625">SUM(1-'Sparkling Model'!D$2:D$38^A4625)</f>
        <v>36.5928764</v>
      </c>
      <c r="C4625" s="8">
        <f t="array" ref="C4625">PRODUCT(1-'Sparkling Model'!D$2:D$38^A4625)</f>
        <v>0.6528475397</v>
      </c>
    </row>
    <row r="4626">
      <c r="A4626" s="6">
        <v>4624.0</v>
      </c>
      <c r="B4626" s="17">
        <f t="array" ref="B4626">SUM(1-'Sparkling Model'!D$2:D$38^A4626)</f>
        <v>36.59310957</v>
      </c>
      <c r="C4626" s="8">
        <f t="array" ref="C4626">PRODUCT(1-'Sparkling Model'!D$2:D$38^A4626)</f>
        <v>0.6530129142</v>
      </c>
    </row>
    <row r="4627">
      <c r="A4627" s="6">
        <v>4625.0</v>
      </c>
      <c r="B4627" s="17">
        <f t="array" ref="B4627">SUM(1-'Sparkling Model'!D$2:D$38^A4627)</f>
        <v>36.5933426</v>
      </c>
      <c r="C4627" s="8">
        <f t="array" ref="C4627">PRODUCT(1-'Sparkling Model'!D$2:D$38^A4627)</f>
        <v>0.6531782172</v>
      </c>
    </row>
    <row r="4628">
      <c r="A4628" s="6">
        <v>4626.0</v>
      </c>
      <c r="B4628" s="17">
        <f t="array" ref="B4628">SUM(1-'Sparkling Model'!D$2:D$38^A4628)</f>
        <v>36.59357547</v>
      </c>
      <c r="C4628" s="8">
        <f t="array" ref="C4628">PRODUCT(1-'Sparkling Model'!D$2:D$38^A4628)</f>
        <v>0.6533434487</v>
      </c>
    </row>
    <row r="4629">
      <c r="A4629" s="6">
        <v>4627.0</v>
      </c>
      <c r="B4629" s="17">
        <f t="array" ref="B4629">SUM(1-'Sparkling Model'!D$2:D$38^A4629)</f>
        <v>36.59380819</v>
      </c>
      <c r="C4629" s="8">
        <f t="array" ref="C4629">PRODUCT(1-'Sparkling Model'!D$2:D$38^A4629)</f>
        <v>0.6535086087</v>
      </c>
    </row>
    <row r="4630">
      <c r="A4630" s="6">
        <v>4628.0</v>
      </c>
      <c r="B4630" s="17">
        <f t="array" ref="B4630">SUM(1-'Sparkling Model'!D$2:D$38^A4630)</f>
        <v>36.59404076</v>
      </c>
      <c r="C4630" s="8">
        <f t="array" ref="C4630">PRODUCT(1-'Sparkling Model'!D$2:D$38^A4630)</f>
        <v>0.6536736973</v>
      </c>
    </row>
    <row r="4631">
      <c r="A4631" s="6">
        <v>4629.0</v>
      </c>
      <c r="B4631" s="17">
        <f t="array" ref="B4631">SUM(1-'Sparkling Model'!D$2:D$38^A4631)</f>
        <v>36.59427318</v>
      </c>
      <c r="C4631" s="8">
        <f t="array" ref="C4631">PRODUCT(1-'Sparkling Model'!D$2:D$38^A4631)</f>
        <v>0.6538387145</v>
      </c>
    </row>
    <row r="4632">
      <c r="A4632" s="6">
        <v>4630.0</v>
      </c>
      <c r="B4632" s="17">
        <f t="array" ref="B4632">SUM(1-'Sparkling Model'!D$2:D$38^A4632)</f>
        <v>36.59450544</v>
      </c>
      <c r="C4632" s="8">
        <f t="array" ref="C4632">PRODUCT(1-'Sparkling Model'!D$2:D$38^A4632)</f>
        <v>0.6540036603</v>
      </c>
    </row>
    <row r="4633">
      <c r="A4633" s="6">
        <v>4631.0</v>
      </c>
      <c r="B4633" s="17">
        <f t="array" ref="B4633">SUM(1-'Sparkling Model'!D$2:D$38^A4633)</f>
        <v>36.59473756</v>
      </c>
      <c r="C4633" s="8">
        <f t="array" ref="C4633">PRODUCT(1-'Sparkling Model'!D$2:D$38^A4633)</f>
        <v>0.6541685346</v>
      </c>
    </row>
    <row r="4634">
      <c r="A4634" s="6">
        <v>4632.0</v>
      </c>
      <c r="B4634" s="17">
        <f t="array" ref="B4634">SUM(1-'Sparkling Model'!D$2:D$38^A4634)</f>
        <v>36.59496952</v>
      </c>
      <c r="C4634" s="8">
        <f t="array" ref="C4634">PRODUCT(1-'Sparkling Model'!D$2:D$38^A4634)</f>
        <v>0.6543333376</v>
      </c>
    </row>
    <row r="4635">
      <c r="A4635" s="6">
        <v>4633.0</v>
      </c>
      <c r="B4635" s="17">
        <f t="array" ref="B4635">SUM(1-'Sparkling Model'!D$2:D$38^A4635)</f>
        <v>36.59520133</v>
      </c>
      <c r="C4635" s="8">
        <f t="array" ref="C4635">PRODUCT(1-'Sparkling Model'!D$2:D$38^A4635)</f>
        <v>0.6544980692</v>
      </c>
    </row>
    <row r="4636">
      <c r="A4636" s="6">
        <v>4634.0</v>
      </c>
      <c r="B4636" s="17">
        <f t="array" ref="B4636">SUM(1-'Sparkling Model'!D$2:D$38^A4636)</f>
        <v>36.595433</v>
      </c>
      <c r="C4636" s="8">
        <f t="array" ref="C4636">PRODUCT(1-'Sparkling Model'!D$2:D$38^A4636)</f>
        <v>0.6546627295</v>
      </c>
    </row>
    <row r="4637">
      <c r="A4637" s="6">
        <v>4635.0</v>
      </c>
      <c r="B4637" s="17">
        <f t="array" ref="B4637">SUM(1-'Sparkling Model'!D$2:D$38^A4637)</f>
        <v>36.59566451</v>
      </c>
      <c r="C4637" s="8">
        <f t="array" ref="C4637">PRODUCT(1-'Sparkling Model'!D$2:D$38^A4637)</f>
        <v>0.6548273185</v>
      </c>
    </row>
    <row r="4638">
      <c r="A4638" s="6">
        <v>4636.0</v>
      </c>
      <c r="B4638" s="17">
        <f t="array" ref="B4638">SUM(1-'Sparkling Model'!D$2:D$38^A4638)</f>
        <v>36.59589587</v>
      </c>
      <c r="C4638" s="8">
        <f t="array" ref="C4638">PRODUCT(1-'Sparkling Model'!D$2:D$38^A4638)</f>
        <v>0.6549918362</v>
      </c>
    </row>
    <row r="4639">
      <c r="A4639" s="6">
        <v>4637.0</v>
      </c>
      <c r="B4639" s="17">
        <f t="array" ref="B4639">SUM(1-'Sparkling Model'!D$2:D$38^A4639)</f>
        <v>36.59612708</v>
      </c>
      <c r="C4639" s="8">
        <f t="array" ref="C4639">PRODUCT(1-'Sparkling Model'!D$2:D$38^A4639)</f>
        <v>0.6551562826</v>
      </c>
    </row>
    <row r="4640">
      <c r="A4640" s="6">
        <v>4638.0</v>
      </c>
      <c r="B4640" s="17">
        <f t="array" ref="B4640">SUM(1-'Sparkling Model'!D$2:D$38^A4640)</f>
        <v>36.59635814</v>
      </c>
      <c r="C4640" s="8">
        <f t="array" ref="C4640">PRODUCT(1-'Sparkling Model'!D$2:D$38^A4640)</f>
        <v>0.6553206578</v>
      </c>
    </row>
    <row r="4641">
      <c r="A4641" s="6">
        <v>4639.0</v>
      </c>
      <c r="B4641" s="17">
        <f t="array" ref="B4641">SUM(1-'Sparkling Model'!D$2:D$38^A4641)</f>
        <v>36.59658904</v>
      </c>
      <c r="C4641" s="8">
        <f t="array" ref="C4641">PRODUCT(1-'Sparkling Model'!D$2:D$38^A4641)</f>
        <v>0.6554849617</v>
      </c>
    </row>
    <row r="4642">
      <c r="A4642" s="6">
        <v>4640.0</v>
      </c>
      <c r="B4642" s="17">
        <f t="array" ref="B4642">SUM(1-'Sparkling Model'!D$2:D$38^A4642)</f>
        <v>36.5968198</v>
      </c>
      <c r="C4642" s="8">
        <f t="array" ref="C4642">PRODUCT(1-'Sparkling Model'!D$2:D$38^A4642)</f>
        <v>0.6556491944</v>
      </c>
    </row>
    <row r="4643">
      <c r="A4643" s="6">
        <v>4641.0</v>
      </c>
      <c r="B4643" s="17">
        <f t="array" ref="B4643">SUM(1-'Sparkling Model'!D$2:D$38^A4643)</f>
        <v>36.59705041</v>
      </c>
      <c r="C4643" s="8">
        <f t="array" ref="C4643">PRODUCT(1-'Sparkling Model'!D$2:D$38^A4643)</f>
        <v>0.6558133559</v>
      </c>
    </row>
    <row r="4644">
      <c r="A4644" s="6">
        <v>4642.0</v>
      </c>
      <c r="B4644" s="17">
        <f t="array" ref="B4644">SUM(1-'Sparkling Model'!D$2:D$38^A4644)</f>
        <v>36.59728087</v>
      </c>
      <c r="C4644" s="8">
        <f t="array" ref="C4644">PRODUCT(1-'Sparkling Model'!D$2:D$38^A4644)</f>
        <v>0.6559774462</v>
      </c>
    </row>
    <row r="4645">
      <c r="A4645" s="6">
        <v>4643.0</v>
      </c>
      <c r="B4645" s="17">
        <f t="array" ref="B4645">SUM(1-'Sparkling Model'!D$2:D$38^A4645)</f>
        <v>36.59751118</v>
      </c>
      <c r="C4645" s="8">
        <f t="array" ref="C4645">PRODUCT(1-'Sparkling Model'!D$2:D$38^A4645)</f>
        <v>0.6561414654</v>
      </c>
    </row>
    <row r="4646">
      <c r="A4646" s="6">
        <v>4644.0</v>
      </c>
      <c r="B4646" s="17">
        <f t="array" ref="B4646">SUM(1-'Sparkling Model'!D$2:D$38^A4646)</f>
        <v>36.59774134</v>
      </c>
      <c r="C4646" s="8">
        <f t="array" ref="C4646">PRODUCT(1-'Sparkling Model'!D$2:D$38^A4646)</f>
        <v>0.6563054134</v>
      </c>
    </row>
    <row r="4647">
      <c r="A4647" s="6">
        <v>4645.0</v>
      </c>
      <c r="B4647" s="17">
        <f t="array" ref="B4647">SUM(1-'Sparkling Model'!D$2:D$38^A4647)</f>
        <v>36.59797135</v>
      </c>
      <c r="C4647" s="8">
        <f t="array" ref="C4647">PRODUCT(1-'Sparkling Model'!D$2:D$38^A4647)</f>
        <v>0.6564692903</v>
      </c>
    </row>
    <row r="4648">
      <c r="A4648" s="6">
        <v>4646.0</v>
      </c>
      <c r="B4648" s="17">
        <f t="array" ref="B4648">SUM(1-'Sparkling Model'!D$2:D$38^A4648)</f>
        <v>36.59820121</v>
      </c>
      <c r="C4648" s="8">
        <f t="array" ref="C4648">PRODUCT(1-'Sparkling Model'!D$2:D$38^A4648)</f>
        <v>0.6566330962</v>
      </c>
    </row>
    <row r="4649">
      <c r="A4649" s="6">
        <v>4647.0</v>
      </c>
      <c r="B4649" s="17">
        <f t="array" ref="B4649">SUM(1-'Sparkling Model'!D$2:D$38^A4649)</f>
        <v>36.59843092</v>
      </c>
      <c r="C4649" s="8">
        <f t="array" ref="C4649">PRODUCT(1-'Sparkling Model'!D$2:D$38^A4649)</f>
        <v>0.6567968309</v>
      </c>
    </row>
    <row r="4650">
      <c r="A4650" s="6">
        <v>4648.0</v>
      </c>
      <c r="B4650" s="17">
        <f t="array" ref="B4650">SUM(1-'Sparkling Model'!D$2:D$38^A4650)</f>
        <v>36.59866048</v>
      </c>
      <c r="C4650" s="8">
        <f t="array" ref="C4650">PRODUCT(1-'Sparkling Model'!D$2:D$38^A4650)</f>
        <v>0.6569604946</v>
      </c>
    </row>
    <row r="4651">
      <c r="A4651" s="6">
        <v>4649.0</v>
      </c>
      <c r="B4651" s="17">
        <f t="array" ref="B4651">SUM(1-'Sparkling Model'!D$2:D$38^A4651)</f>
        <v>36.59888989</v>
      </c>
      <c r="C4651" s="8">
        <f t="array" ref="C4651">PRODUCT(1-'Sparkling Model'!D$2:D$38^A4651)</f>
        <v>0.6571240872</v>
      </c>
    </row>
    <row r="4652">
      <c r="A4652" s="6">
        <v>4650.0</v>
      </c>
      <c r="B4652" s="17">
        <f t="array" ref="B4652">SUM(1-'Sparkling Model'!D$2:D$38^A4652)</f>
        <v>36.59911915</v>
      </c>
      <c r="C4652" s="8">
        <f t="array" ref="C4652">PRODUCT(1-'Sparkling Model'!D$2:D$38^A4652)</f>
        <v>0.6572876088</v>
      </c>
    </row>
    <row r="4653">
      <c r="A4653" s="6">
        <v>4651.0</v>
      </c>
      <c r="B4653" s="17">
        <f t="array" ref="B4653">SUM(1-'Sparkling Model'!D$2:D$38^A4653)</f>
        <v>36.59934827</v>
      </c>
      <c r="C4653" s="8">
        <f t="array" ref="C4653">PRODUCT(1-'Sparkling Model'!D$2:D$38^A4653)</f>
        <v>0.6574510594</v>
      </c>
    </row>
    <row r="4654">
      <c r="A4654" s="6">
        <v>4652.0</v>
      </c>
      <c r="B4654" s="17">
        <f t="array" ref="B4654">SUM(1-'Sparkling Model'!D$2:D$38^A4654)</f>
        <v>36.59957723</v>
      </c>
      <c r="C4654" s="8">
        <f t="array" ref="C4654">PRODUCT(1-'Sparkling Model'!D$2:D$38^A4654)</f>
        <v>0.657614439</v>
      </c>
    </row>
    <row r="4655">
      <c r="A4655" s="6">
        <v>4653.0</v>
      </c>
      <c r="B4655" s="17">
        <f t="array" ref="B4655">SUM(1-'Sparkling Model'!D$2:D$38^A4655)</f>
        <v>36.59980605</v>
      </c>
      <c r="C4655" s="8">
        <f t="array" ref="C4655">PRODUCT(1-'Sparkling Model'!D$2:D$38^A4655)</f>
        <v>0.6577777477</v>
      </c>
    </row>
    <row r="4656">
      <c r="A4656" s="6">
        <v>4654.0</v>
      </c>
      <c r="B4656" s="17">
        <f t="array" ref="B4656">SUM(1-'Sparkling Model'!D$2:D$38^A4656)</f>
        <v>36.60003471</v>
      </c>
      <c r="C4656" s="8">
        <f t="array" ref="C4656">PRODUCT(1-'Sparkling Model'!D$2:D$38^A4656)</f>
        <v>0.6579409854</v>
      </c>
    </row>
    <row r="4657">
      <c r="A4657" s="6">
        <v>4655.0</v>
      </c>
      <c r="B4657" s="17">
        <f t="array" ref="B4657">SUM(1-'Sparkling Model'!D$2:D$38^A4657)</f>
        <v>36.60026323</v>
      </c>
      <c r="C4657" s="8">
        <f t="array" ref="C4657">PRODUCT(1-'Sparkling Model'!D$2:D$38^A4657)</f>
        <v>0.6581041522</v>
      </c>
    </row>
    <row r="4658">
      <c r="A4658" s="6">
        <v>4656.0</v>
      </c>
      <c r="B4658" s="17">
        <f t="array" ref="B4658">SUM(1-'Sparkling Model'!D$2:D$38^A4658)</f>
        <v>36.6004916</v>
      </c>
      <c r="C4658" s="8">
        <f t="array" ref="C4658">PRODUCT(1-'Sparkling Model'!D$2:D$38^A4658)</f>
        <v>0.6582672481</v>
      </c>
    </row>
    <row r="4659">
      <c r="A4659" s="6">
        <v>4657.0</v>
      </c>
      <c r="B4659" s="17">
        <f t="array" ref="B4659">SUM(1-'Sparkling Model'!D$2:D$38^A4659)</f>
        <v>36.60071983</v>
      </c>
      <c r="C4659" s="8">
        <f t="array" ref="C4659">PRODUCT(1-'Sparkling Model'!D$2:D$38^A4659)</f>
        <v>0.6584302732</v>
      </c>
    </row>
    <row r="4660">
      <c r="A4660" s="6">
        <v>4658.0</v>
      </c>
      <c r="B4660" s="17">
        <f t="array" ref="B4660">SUM(1-'Sparkling Model'!D$2:D$38^A4660)</f>
        <v>36.6009479</v>
      </c>
      <c r="C4660" s="8">
        <f t="array" ref="C4660">PRODUCT(1-'Sparkling Model'!D$2:D$38^A4660)</f>
        <v>0.6585932273</v>
      </c>
    </row>
    <row r="4661">
      <c r="A4661" s="6">
        <v>4659.0</v>
      </c>
      <c r="B4661" s="17">
        <f t="array" ref="B4661">SUM(1-'Sparkling Model'!D$2:D$38^A4661)</f>
        <v>36.60117583</v>
      </c>
      <c r="C4661" s="8">
        <f t="array" ref="C4661">PRODUCT(1-'Sparkling Model'!D$2:D$38^A4661)</f>
        <v>0.6587561106</v>
      </c>
    </row>
    <row r="4662">
      <c r="A4662" s="6">
        <v>4660.0</v>
      </c>
      <c r="B4662" s="17">
        <f t="array" ref="B4662">SUM(1-'Sparkling Model'!D$2:D$38^A4662)</f>
        <v>36.60140361</v>
      </c>
      <c r="C4662" s="8">
        <f t="array" ref="C4662">PRODUCT(1-'Sparkling Model'!D$2:D$38^A4662)</f>
        <v>0.6589189231</v>
      </c>
    </row>
    <row r="4663">
      <c r="A4663" s="6">
        <v>4661.0</v>
      </c>
      <c r="B4663" s="17">
        <f t="array" ref="B4663">SUM(1-'Sparkling Model'!D$2:D$38^A4663)</f>
        <v>36.60163124</v>
      </c>
      <c r="C4663" s="8">
        <f t="array" ref="C4663">PRODUCT(1-'Sparkling Model'!D$2:D$38^A4663)</f>
        <v>0.6590816648</v>
      </c>
    </row>
    <row r="4664">
      <c r="A4664" s="6">
        <v>4662.0</v>
      </c>
      <c r="B4664" s="17">
        <f t="array" ref="B4664">SUM(1-'Sparkling Model'!D$2:D$38^A4664)</f>
        <v>36.60185872</v>
      </c>
      <c r="C4664" s="8">
        <f t="array" ref="C4664">PRODUCT(1-'Sparkling Model'!D$2:D$38^A4664)</f>
        <v>0.6592443357</v>
      </c>
    </row>
    <row r="4665">
      <c r="A4665" s="6">
        <v>4663.0</v>
      </c>
      <c r="B4665" s="17">
        <f t="array" ref="B4665">SUM(1-'Sparkling Model'!D$2:D$38^A4665)</f>
        <v>36.60208606</v>
      </c>
      <c r="C4665" s="8">
        <f t="array" ref="C4665">PRODUCT(1-'Sparkling Model'!D$2:D$38^A4665)</f>
        <v>0.6594069359</v>
      </c>
    </row>
    <row r="4666">
      <c r="A4666" s="6">
        <v>4664.0</v>
      </c>
      <c r="B4666" s="17">
        <f t="array" ref="B4666">SUM(1-'Sparkling Model'!D$2:D$38^A4666)</f>
        <v>36.60231325</v>
      </c>
      <c r="C4666" s="8">
        <f t="array" ref="C4666">PRODUCT(1-'Sparkling Model'!D$2:D$38^A4666)</f>
        <v>0.6595694653</v>
      </c>
    </row>
    <row r="4667">
      <c r="A4667" s="6">
        <v>4665.0</v>
      </c>
      <c r="B4667" s="17">
        <f t="array" ref="B4667">SUM(1-'Sparkling Model'!D$2:D$38^A4667)</f>
        <v>36.60254029</v>
      </c>
      <c r="C4667" s="8">
        <f t="array" ref="C4667">PRODUCT(1-'Sparkling Model'!D$2:D$38^A4667)</f>
        <v>0.6597319239</v>
      </c>
    </row>
    <row r="4668">
      <c r="A4668" s="6">
        <v>4666.0</v>
      </c>
      <c r="B4668" s="17">
        <f t="array" ref="B4668">SUM(1-'Sparkling Model'!D$2:D$38^A4668)</f>
        <v>36.60276718</v>
      </c>
      <c r="C4668" s="8">
        <f t="array" ref="C4668">PRODUCT(1-'Sparkling Model'!D$2:D$38^A4668)</f>
        <v>0.6598943119</v>
      </c>
    </row>
    <row r="4669">
      <c r="A4669" s="6">
        <v>4667.0</v>
      </c>
      <c r="B4669" s="17">
        <f t="array" ref="B4669">SUM(1-'Sparkling Model'!D$2:D$38^A4669)</f>
        <v>36.60299393</v>
      </c>
      <c r="C4669" s="8">
        <f t="array" ref="C4669">PRODUCT(1-'Sparkling Model'!D$2:D$38^A4669)</f>
        <v>0.6600566292</v>
      </c>
    </row>
    <row r="4670">
      <c r="A4670" s="6">
        <v>4668.0</v>
      </c>
      <c r="B4670" s="17">
        <f t="array" ref="B4670">SUM(1-'Sparkling Model'!D$2:D$38^A4670)</f>
        <v>36.60322053</v>
      </c>
      <c r="C4670" s="8">
        <f t="array" ref="C4670">PRODUCT(1-'Sparkling Model'!D$2:D$38^A4670)</f>
        <v>0.6602188758</v>
      </c>
    </row>
    <row r="4671">
      <c r="A4671" s="6">
        <v>4669.0</v>
      </c>
      <c r="B4671" s="17">
        <f t="array" ref="B4671">SUM(1-'Sparkling Model'!D$2:D$38^A4671)</f>
        <v>36.60344698</v>
      </c>
      <c r="C4671" s="8">
        <f t="array" ref="C4671">PRODUCT(1-'Sparkling Model'!D$2:D$38^A4671)</f>
        <v>0.6603810518</v>
      </c>
    </row>
    <row r="4672">
      <c r="A4672" s="6">
        <v>4670.0</v>
      </c>
      <c r="B4672" s="17">
        <f t="array" ref="B4672">SUM(1-'Sparkling Model'!D$2:D$38^A4672)</f>
        <v>36.60367329</v>
      </c>
      <c r="C4672" s="8">
        <f t="array" ref="C4672">PRODUCT(1-'Sparkling Model'!D$2:D$38^A4672)</f>
        <v>0.6605431572</v>
      </c>
    </row>
    <row r="4673">
      <c r="A4673" s="6">
        <v>4671.0</v>
      </c>
      <c r="B4673" s="17">
        <f t="array" ref="B4673">SUM(1-'Sparkling Model'!D$2:D$38^A4673)</f>
        <v>36.60389945</v>
      </c>
      <c r="C4673" s="8">
        <f t="array" ref="C4673">PRODUCT(1-'Sparkling Model'!D$2:D$38^A4673)</f>
        <v>0.6607051919</v>
      </c>
    </row>
    <row r="4674">
      <c r="A4674" s="6">
        <v>4672.0</v>
      </c>
      <c r="B4674" s="17">
        <f t="array" ref="B4674">SUM(1-'Sparkling Model'!D$2:D$38^A4674)</f>
        <v>36.60412546</v>
      </c>
      <c r="C4674" s="8">
        <f t="array" ref="C4674">PRODUCT(1-'Sparkling Model'!D$2:D$38^A4674)</f>
        <v>0.6608671561</v>
      </c>
    </row>
    <row r="4675">
      <c r="A4675" s="6">
        <v>4673.0</v>
      </c>
      <c r="B4675" s="17">
        <f t="array" ref="B4675">SUM(1-'Sparkling Model'!D$2:D$38^A4675)</f>
        <v>36.60435133</v>
      </c>
      <c r="C4675" s="8">
        <f t="array" ref="C4675">PRODUCT(1-'Sparkling Model'!D$2:D$38^A4675)</f>
        <v>0.6610290497</v>
      </c>
    </row>
    <row r="4676">
      <c r="A4676" s="6">
        <v>4674.0</v>
      </c>
      <c r="B4676" s="17">
        <f t="array" ref="B4676">SUM(1-'Sparkling Model'!D$2:D$38^A4676)</f>
        <v>36.60457705</v>
      </c>
      <c r="C4676" s="8">
        <f t="array" ref="C4676">PRODUCT(1-'Sparkling Model'!D$2:D$38^A4676)</f>
        <v>0.6611908728</v>
      </c>
    </row>
    <row r="4677">
      <c r="A4677" s="6">
        <v>4675.0</v>
      </c>
      <c r="B4677" s="17">
        <f t="array" ref="B4677">SUM(1-'Sparkling Model'!D$2:D$38^A4677)</f>
        <v>36.60480262</v>
      </c>
      <c r="C4677" s="8">
        <f t="array" ref="C4677">PRODUCT(1-'Sparkling Model'!D$2:D$38^A4677)</f>
        <v>0.6613526253</v>
      </c>
    </row>
    <row r="4678">
      <c r="A4678" s="6">
        <v>4676.0</v>
      </c>
      <c r="B4678" s="17">
        <f t="array" ref="B4678">SUM(1-'Sparkling Model'!D$2:D$38^A4678)</f>
        <v>36.60502805</v>
      </c>
      <c r="C4678" s="8">
        <f t="array" ref="C4678">PRODUCT(1-'Sparkling Model'!D$2:D$38^A4678)</f>
        <v>0.6615143074</v>
      </c>
    </row>
    <row r="4679">
      <c r="A4679" s="6">
        <v>4677.0</v>
      </c>
      <c r="B4679" s="17">
        <f t="array" ref="B4679">SUM(1-'Sparkling Model'!D$2:D$38^A4679)</f>
        <v>36.60525334</v>
      </c>
      <c r="C4679" s="8">
        <f t="array" ref="C4679">PRODUCT(1-'Sparkling Model'!D$2:D$38^A4679)</f>
        <v>0.6616759189</v>
      </c>
    </row>
    <row r="4680">
      <c r="A4680" s="6">
        <v>4678.0</v>
      </c>
      <c r="B4680" s="17">
        <f t="array" ref="B4680">SUM(1-'Sparkling Model'!D$2:D$38^A4680)</f>
        <v>36.60547847</v>
      </c>
      <c r="C4680" s="8">
        <f t="array" ref="C4680">PRODUCT(1-'Sparkling Model'!D$2:D$38^A4680)</f>
        <v>0.66183746</v>
      </c>
    </row>
    <row r="4681">
      <c r="A4681" s="6">
        <v>4679.0</v>
      </c>
      <c r="B4681" s="17">
        <f t="array" ref="B4681">SUM(1-'Sparkling Model'!D$2:D$38^A4681)</f>
        <v>36.60570346</v>
      </c>
      <c r="C4681" s="8">
        <f t="array" ref="C4681">PRODUCT(1-'Sparkling Model'!D$2:D$38^A4681)</f>
        <v>0.6619989307</v>
      </c>
    </row>
    <row r="4682">
      <c r="A4682" s="6">
        <v>4680.0</v>
      </c>
      <c r="B4682" s="17">
        <f t="array" ref="B4682">SUM(1-'Sparkling Model'!D$2:D$38^A4682)</f>
        <v>36.60592831</v>
      </c>
      <c r="C4682" s="8">
        <f t="array" ref="C4682">PRODUCT(1-'Sparkling Model'!D$2:D$38^A4682)</f>
        <v>0.6621603309</v>
      </c>
    </row>
    <row r="4683">
      <c r="A4683" s="6">
        <v>4681.0</v>
      </c>
      <c r="B4683" s="17">
        <f t="array" ref="B4683">SUM(1-'Sparkling Model'!D$2:D$38^A4683)</f>
        <v>36.60615301</v>
      </c>
      <c r="C4683" s="8">
        <f t="array" ref="C4683">PRODUCT(1-'Sparkling Model'!D$2:D$38^A4683)</f>
        <v>0.6623216607</v>
      </c>
    </row>
    <row r="4684">
      <c r="A4684" s="6">
        <v>4682.0</v>
      </c>
      <c r="B4684" s="17">
        <f t="array" ref="B4684">SUM(1-'Sparkling Model'!D$2:D$38^A4684)</f>
        <v>36.60637756</v>
      </c>
      <c r="C4684" s="8">
        <f t="array" ref="C4684">PRODUCT(1-'Sparkling Model'!D$2:D$38^A4684)</f>
        <v>0.6624829202</v>
      </c>
    </row>
    <row r="4685">
      <c r="A4685" s="6">
        <v>4683.0</v>
      </c>
      <c r="B4685" s="17">
        <f t="array" ref="B4685">SUM(1-'Sparkling Model'!D$2:D$38^A4685)</f>
        <v>36.60660197</v>
      </c>
      <c r="C4685" s="8">
        <f t="array" ref="C4685">PRODUCT(1-'Sparkling Model'!D$2:D$38^A4685)</f>
        <v>0.6626441093</v>
      </c>
    </row>
    <row r="4686">
      <c r="A4686" s="6">
        <v>4684.0</v>
      </c>
      <c r="B4686" s="17">
        <f t="array" ref="B4686">SUM(1-'Sparkling Model'!D$2:D$38^A4686)</f>
        <v>36.60682624</v>
      </c>
      <c r="C4686" s="8">
        <f t="array" ref="C4686">PRODUCT(1-'Sparkling Model'!D$2:D$38^A4686)</f>
        <v>0.662805228</v>
      </c>
    </row>
    <row r="4687">
      <c r="A4687" s="6">
        <v>4685.0</v>
      </c>
      <c r="B4687" s="17">
        <f t="array" ref="B4687">SUM(1-'Sparkling Model'!D$2:D$38^A4687)</f>
        <v>36.60705036</v>
      </c>
      <c r="C4687" s="8">
        <f t="array" ref="C4687">PRODUCT(1-'Sparkling Model'!D$2:D$38^A4687)</f>
        <v>0.6629662764</v>
      </c>
    </row>
    <row r="4688">
      <c r="A4688" s="6">
        <v>4686.0</v>
      </c>
      <c r="B4688" s="17">
        <f t="array" ref="B4688">SUM(1-'Sparkling Model'!D$2:D$38^A4688)</f>
        <v>36.60727433</v>
      </c>
      <c r="C4688" s="8">
        <f t="array" ref="C4688">PRODUCT(1-'Sparkling Model'!D$2:D$38^A4688)</f>
        <v>0.6631272545</v>
      </c>
    </row>
    <row r="4689">
      <c r="A4689" s="6">
        <v>4687.0</v>
      </c>
      <c r="B4689" s="17">
        <f t="array" ref="B4689">SUM(1-'Sparkling Model'!D$2:D$38^A4689)</f>
        <v>36.60749816</v>
      </c>
      <c r="C4689" s="8">
        <f t="array" ref="C4689">PRODUCT(1-'Sparkling Model'!D$2:D$38^A4689)</f>
        <v>0.6632881624</v>
      </c>
    </row>
    <row r="4690">
      <c r="A4690" s="6">
        <v>4688.0</v>
      </c>
      <c r="B4690" s="17">
        <f t="array" ref="B4690">SUM(1-'Sparkling Model'!D$2:D$38^A4690)</f>
        <v>36.60772185</v>
      </c>
      <c r="C4690" s="8">
        <f t="array" ref="C4690">PRODUCT(1-'Sparkling Model'!D$2:D$38^A4690)</f>
        <v>0.6634489999</v>
      </c>
    </row>
    <row r="4691">
      <c r="A4691" s="6">
        <v>4689.0</v>
      </c>
      <c r="B4691" s="17">
        <f t="array" ref="B4691">SUM(1-'Sparkling Model'!D$2:D$38^A4691)</f>
        <v>36.60794539</v>
      </c>
      <c r="C4691" s="8">
        <f t="array" ref="C4691">PRODUCT(1-'Sparkling Model'!D$2:D$38^A4691)</f>
        <v>0.6636097673</v>
      </c>
    </row>
    <row r="4692">
      <c r="A4692" s="6">
        <v>4690.0</v>
      </c>
      <c r="B4692" s="17">
        <f t="array" ref="B4692">SUM(1-'Sparkling Model'!D$2:D$38^A4692)</f>
        <v>36.60816879</v>
      </c>
      <c r="C4692" s="8">
        <f t="array" ref="C4692">PRODUCT(1-'Sparkling Model'!D$2:D$38^A4692)</f>
        <v>0.6637704644</v>
      </c>
    </row>
    <row r="4693">
      <c r="A4693" s="6">
        <v>4691.0</v>
      </c>
      <c r="B4693" s="17">
        <f t="array" ref="B4693">SUM(1-'Sparkling Model'!D$2:D$38^A4693)</f>
        <v>36.60839204</v>
      </c>
      <c r="C4693" s="8">
        <f t="array" ref="C4693">PRODUCT(1-'Sparkling Model'!D$2:D$38^A4693)</f>
        <v>0.6639310913</v>
      </c>
    </row>
    <row r="4694">
      <c r="A4694" s="6">
        <v>4692.0</v>
      </c>
      <c r="B4694" s="17">
        <f t="array" ref="B4694">SUM(1-'Sparkling Model'!D$2:D$38^A4694)</f>
        <v>36.60861515</v>
      </c>
      <c r="C4694" s="8">
        <f t="array" ref="C4694">PRODUCT(1-'Sparkling Model'!D$2:D$38^A4694)</f>
        <v>0.664091648</v>
      </c>
    </row>
    <row r="4695">
      <c r="A4695" s="6">
        <v>4693.0</v>
      </c>
      <c r="B4695" s="17">
        <f t="array" ref="B4695">SUM(1-'Sparkling Model'!D$2:D$38^A4695)</f>
        <v>36.60883811</v>
      </c>
      <c r="C4695" s="8">
        <f t="array" ref="C4695">PRODUCT(1-'Sparkling Model'!D$2:D$38^A4695)</f>
        <v>0.6642521346</v>
      </c>
    </row>
    <row r="4696">
      <c r="A4696" s="6">
        <v>4694.0</v>
      </c>
      <c r="B4696" s="17">
        <f t="array" ref="B4696">SUM(1-'Sparkling Model'!D$2:D$38^A4696)</f>
        <v>36.60906093</v>
      </c>
      <c r="C4696" s="8">
        <f t="array" ref="C4696">PRODUCT(1-'Sparkling Model'!D$2:D$38^A4696)</f>
        <v>0.6644125511</v>
      </c>
    </row>
    <row r="4697">
      <c r="A4697" s="6">
        <v>4695.0</v>
      </c>
      <c r="B4697" s="17">
        <f t="array" ref="B4697">SUM(1-'Sparkling Model'!D$2:D$38^A4697)</f>
        <v>36.60928361</v>
      </c>
      <c r="C4697" s="8">
        <f t="array" ref="C4697">PRODUCT(1-'Sparkling Model'!D$2:D$38^A4697)</f>
        <v>0.6645728974</v>
      </c>
    </row>
    <row r="4698">
      <c r="A4698" s="6">
        <v>4696.0</v>
      </c>
      <c r="B4698" s="17">
        <f t="array" ref="B4698">SUM(1-'Sparkling Model'!D$2:D$38^A4698)</f>
        <v>36.60950614</v>
      </c>
      <c r="C4698" s="8">
        <f t="array" ref="C4698">PRODUCT(1-'Sparkling Model'!D$2:D$38^A4698)</f>
        <v>0.6647331736</v>
      </c>
    </row>
    <row r="4699">
      <c r="A4699" s="6">
        <v>4697.0</v>
      </c>
      <c r="B4699" s="17">
        <f t="array" ref="B4699">SUM(1-'Sparkling Model'!D$2:D$38^A4699)</f>
        <v>36.60972853</v>
      </c>
      <c r="C4699" s="8">
        <f t="array" ref="C4699">PRODUCT(1-'Sparkling Model'!D$2:D$38^A4699)</f>
        <v>0.6648933797</v>
      </c>
    </row>
    <row r="4700">
      <c r="A4700" s="6">
        <v>4698.0</v>
      </c>
      <c r="B4700" s="17">
        <f t="array" ref="B4700">SUM(1-'Sparkling Model'!D$2:D$38^A4700)</f>
        <v>36.60995077</v>
      </c>
      <c r="C4700" s="8">
        <f t="array" ref="C4700">PRODUCT(1-'Sparkling Model'!D$2:D$38^A4700)</f>
        <v>0.6650535158</v>
      </c>
    </row>
    <row r="4701">
      <c r="A4701" s="6">
        <v>4699.0</v>
      </c>
      <c r="B4701" s="17">
        <f t="array" ref="B4701">SUM(1-'Sparkling Model'!D$2:D$38^A4701)</f>
        <v>36.61017288</v>
      </c>
      <c r="C4701" s="8">
        <f t="array" ref="C4701">PRODUCT(1-'Sparkling Model'!D$2:D$38^A4701)</f>
        <v>0.6652135818</v>
      </c>
    </row>
    <row r="4702">
      <c r="A4702" s="6">
        <v>4700.0</v>
      </c>
      <c r="B4702" s="17">
        <f t="array" ref="B4702">SUM(1-'Sparkling Model'!D$2:D$38^A4702)</f>
        <v>36.61039483</v>
      </c>
      <c r="C4702" s="8">
        <f t="array" ref="C4702">PRODUCT(1-'Sparkling Model'!D$2:D$38^A4702)</f>
        <v>0.6653735779</v>
      </c>
    </row>
    <row r="4703">
      <c r="A4703" s="6">
        <v>4701.0</v>
      </c>
      <c r="B4703" s="17">
        <f t="array" ref="B4703">SUM(1-'Sparkling Model'!D$2:D$38^A4703)</f>
        <v>36.61061665</v>
      </c>
      <c r="C4703" s="8">
        <f t="array" ref="C4703">PRODUCT(1-'Sparkling Model'!D$2:D$38^A4703)</f>
        <v>0.6655335039</v>
      </c>
    </row>
    <row r="4704">
      <c r="A4704" s="6">
        <v>4702.0</v>
      </c>
      <c r="B4704" s="17">
        <f t="array" ref="B4704">SUM(1-'Sparkling Model'!D$2:D$38^A4704)</f>
        <v>36.61083832</v>
      </c>
      <c r="C4704" s="8">
        <f t="array" ref="C4704">PRODUCT(1-'Sparkling Model'!D$2:D$38^A4704)</f>
        <v>0.66569336</v>
      </c>
    </row>
    <row r="4705">
      <c r="A4705" s="6">
        <v>4703.0</v>
      </c>
      <c r="B4705" s="17">
        <f t="array" ref="B4705">SUM(1-'Sparkling Model'!D$2:D$38^A4705)</f>
        <v>36.61105985</v>
      </c>
      <c r="C4705" s="8">
        <f t="array" ref="C4705">PRODUCT(1-'Sparkling Model'!D$2:D$38^A4705)</f>
        <v>0.6658531461</v>
      </c>
    </row>
    <row r="4706">
      <c r="A4706" s="6">
        <v>4704.0</v>
      </c>
      <c r="B4706" s="17">
        <f t="array" ref="B4706">SUM(1-'Sparkling Model'!D$2:D$38^A4706)</f>
        <v>36.61128124</v>
      </c>
      <c r="C4706" s="8">
        <f t="array" ref="C4706">PRODUCT(1-'Sparkling Model'!D$2:D$38^A4706)</f>
        <v>0.6660128622</v>
      </c>
    </row>
    <row r="4707">
      <c r="A4707" s="6">
        <v>4705.0</v>
      </c>
      <c r="B4707" s="17">
        <f t="array" ref="B4707">SUM(1-'Sparkling Model'!D$2:D$38^A4707)</f>
        <v>36.61150248</v>
      </c>
      <c r="C4707" s="8">
        <f t="array" ref="C4707">PRODUCT(1-'Sparkling Model'!D$2:D$38^A4707)</f>
        <v>0.6661725085</v>
      </c>
    </row>
    <row r="4708">
      <c r="A4708" s="6">
        <v>4706.0</v>
      </c>
      <c r="B4708" s="17">
        <f t="array" ref="B4708">SUM(1-'Sparkling Model'!D$2:D$38^A4708)</f>
        <v>36.61172358</v>
      </c>
      <c r="C4708" s="8">
        <f t="array" ref="C4708">PRODUCT(1-'Sparkling Model'!D$2:D$38^A4708)</f>
        <v>0.6663320848</v>
      </c>
    </row>
    <row r="4709">
      <c r="A4709" s="6">
        <v>4707.0</v>
      </c>
      <c r="B4709" s="17">
        <f t="array" ref="B4709">SUM(1-'Sparkling Model'!D$2:D$38^A4709)</f>
        <v>36.61194454</v>
      </c>
      <c r="C4709" s="8">
        <f t="array" ref="C4709">PRODUCT(1-'Sparkling Model'!D$2:D$38^A4709)</f>
        <v>0.6664915913</v>
      </c>
    </row>
    <row r="4710">
      <c r="A4710" s="6">
        <v>4708.0</v>
      </c>
      <c r="B4710" s="17">
        <f t="array" ref="B4710">SUM(1-'Sparkling Model'!D$2:D$38^A4710)</f>
        <v>36.61216536</v>
      </c>
      <c r="C4710" s="8">
        <f t="array" ref="C4710">PRODUCT(1-'Sparkling Model'!D$2:D$38^A4710)</f>
        <v>0.6666510279</v>
      </c>
    </row>
    <row r="4711">
      <c r="A4711" s="6">
        <v>4709.0</v>
      </c>
      <c r="B4711" s="17">
        <f t="array" ref="B4711">SUM(1-'Sparkling Model'!D$2:D$38^A4711)</f>
        <v>36.61238603</v>
      </c>
      <c r="C4711" s="8">
        <f t="array" ref="C4711">PRODUCT(1-'Sparkling Model'!D$2:D$38^A4711)</f>
        <v>0.6668103947</v>
      </c>
    </row>
    <row r="4712">
      <c r="A4712" s="6">
        <v>4710.0</v>
      </c>
      <c r="B4712" s="17">
        <f t="array" ref="B4712">SUM(1-'Sparkling Model'!D$2:D$38^A4712)</f>
        <v>36.61260656</v>
      </c>
      <c r="C4712" s="8">
        <f t="array" ref="C4712">PRODUCT(1-'Sparkling Model'!D$2:D$38^A4712)</f>
        <v>0.6669696917</v>
      </c>
    </row>
    <row r="4713">
      <c r="A4713" s="6">
        <v>4711.0</v>
      </c>
      <c r="B4713" s="17">
        <f t="array" ref="B4713">SUM(1-'Sparkling Model'!D$2:D$38^A4713)</f>
        <v>36.61282695</v>
      </c>
      <c r="C4713" s="8">
        <f t="array" ref="C4713">PRODUCT(1-'Sparkling Model'!D$2:D$38^A4713)</f>
        <v>0.6671289189</v>
      </c>
    </row>
    <row r="4714">
      <c r="A4714" s="6">
        <v>4712.0</v>
      </c>
      <c r="B4714" s="17">
        <f t="array" ref="B4714">SUM(1-'Sparkling Model'!D$2:D$38^A4714)</f>
        <v>36.6130472</v>
      </c>
      <c r="C4714" s="8">
        <f t="array" ref="C4714">PRODUCT(1-'Sparkling Model'!D$2:D$38^A4714)</f>
        <v>0.6672880763</v>
      </c>
    </row>
    <row r="4715">
      <c r="A4715" s="6">
        <v>4713.0</v>
      </c>
      <c r="B4715" s="17">
        <f t="array" ref="B4715">SUM(1-'Sparkling Model'!D$2:D$38^A4715)</f>
        <v>36.61326731</v>
      </c>
      <c r="C4715" s="8">
        <f t="array" ref="C4715">PRODUCT(1-'Sparkling Model'!D$2:D$38^A4715)</f>
        <v>0.6674471639</v>
      </c>
    </row>
    <row r="4716">
      <c r="A4716" s="6">
        <v>4714.0</v>
      </c>
      <c r="B4716" s="17">
        <f t="array" ref="B4716">SUM(1-'Sparkling Model'!D$2:D$38^A4716)</f>
        <v>36.61348727</v>
      </c>
      <c r="C4716" s="8">
        <f t="array" ref="C4716">PRODUCT(1-'Sparkling Model'!D$2:D$38^A4716)</f>
        <v>0.6676061819</v>
      </c>
    </row>
    <row r="4717">
      <c r="A4717" s="6">
        <v>4715.0</v>
      </c>
      <c r="B4717" s="17">
        <f t="array" ref="B4717">SUM(1-'Sparkling Model'!D$2:D$38^A4717)</f>
        <v>36.61370709</v>
      </c>
      <c r="C4717" s="8">
        <f t="array" ref="C4717">PRODUCT(1-'Sparkling Model'!D$2:D$38^A4717)</f>
        <v>0.6677651301</v>
      </c>
    </row>
    <row r="4718">
      <c r="A4718" s="6">
        <v>4716.0</v>
      </c>
      <c r="B4718" s="17">
        <f t="array" ref="B4718">SUM(1-'Sparkling Model'!D$2:D$38^A4718)</f>
        <v>36.61392678</v>
      </c>
      <c r="C4718" s="8">
        <f t="array" ref="C4718">PRODUCT(1-'Sparkling Model'!D$2:D$38^A4718)</f>
        <v>0.6679240086</v>
      </c>
    </row>
    <row r="4719">
      <c r="A4719" s="6">
        <v>4717.0</v>
      </c>
      <c r="B4719" s="17">
        <f t="array" ref="B4719">SUM(1-'Sparkling Model'!D$2:D$38^A4719)</f>
        <v>36.61414632</v>
      </c>
      <c r="C4719" s="8">
        <f t="array" ref="C4719">PRODUCT(1-'Sparkling Model'!D$2:D$38^A4719)</f>
        <v>0.6680828175</v>
      </c>
    </row>
    <row r="4720">
      <c r="A4720" s="6">
        <v>4718.0</v>
      </c>
      <c r="B4720" s="17">
        <f t="array" ref="B4720">SUM(1-'Sparkling Model'!D$2:D$38^A4720)</f>
        <v>36.61436571</v>
      </c>
      <c r="C4720" s="8">
        <f t="array" ref="C4720">PRODUCT(1-'Sparkling Model'!D$2:D$38^A4720)</f>
        <v>0.6682415567</v>
      </c>
    </row>
    <row r="4721">
      <c r="A4721" s="6">
        <v>4719.0</v>
      </c>
      <c r="B4721" s="17">
        <f t="array" ref="B4721">SUM(1-'Sparkling Model'!D$2:D$38^A4721)</f>
        <v>36.61458497</v>
      </c>
      <c r="C4721" s="8">
        <f t="array" ref="C4721">PRODUCT(1-'Sparkling Model'!D$2:D$38^A4721)</f>
        <v>0.6684002263</v>
      </c>
    </row>
    <row r="4722">
      <c r="A4722" s="6">
        <v>4720.0</v>
      </c>
      <c r="B4722" s="17">
        <f t="array" ref="B4722">SUM(1-'Sparkling Model'!D$2:D$38^A4722)</f>
        <v>36.61480409</v>
      </c>
      <c r="C4722" s="8">
        <f t="array" ref="C4722">PRODUCT(1-'Sparkling Model'!D$2:D$38^A4722)</f>
        <v>0.6685588263</v>
      </c>
    </row>
    <row r="4723">
      <c r="A4723" s="6">
        <v>4721.0</v>
      </c>
      <c r="B4723" s="17">
        <f t="array" ref="B4723">SUM(1-'Sparkling Model'!D$2:D$38^A4723)</f>
        <v>36.61502306</v>
      </c>
      <c r="C4723" s="8">
        <f t="array" ref="C4723">PRODUCT(1-'Sparkling Model'!D$2:D$38^A4723)</f>
        <v>0.6687173567</v>
      </c>
    </row>
    <row r="4724">
      <c r="A4724" s="6">
        <v>4722.0</v>
      </c>
      <c r="B4724" s="17">
        <f t="array" ref="B4724">SUM(1-'Sparkling Model'!D$2:D$38^A4724)</f>
        <v>36.6152419</v>
      </c>
      <c r="C4724" s="8">
        <f t="array" ref="C4724">PRODUCT(1-'Sparkling Model'!D$2:D$38^A4724)</f>
        <v>0.6688758175</v>
      </c>
    </row>
    <row r="4725">
      <c r="A4725" s="6">
        <v>4723.0</v>
      </c>
      <c r="B4725" s="17">
        <f t="array" ref="B4725">SUM(1-'Sparkling Model'!D$2:D$38^A4725)</f>
        <v>36.61546059</v>
      </c>
      <c r="C4725" s="8">
        <f t="array" ref="C4725">PRODUCT(1-'Sparkling Model'!D$2:D$38^A4725)</f>
        <v>0.6690342088</v>
      </c>
    </row>
    <row r="4726">
      <c r="A4726" s="6">
        <v>4724.0</v>
      </c>
      <c r="B4726" s="17">
        <f t="array" ref="B4726">SUM(1-'Sparkling Model'!D$2:D$38^A4726)</f>
        <v>36.61567914</v>
      </c>
      <c r="C4726" s="8">
        <f t="array" ref="C4726">PRODUCT(1-'Sparkling Model'!D$2:D$38^A4726)</f>
        <v>0.6691925306</v>
      </c>
    </row>
    <row r="4727">
      <c r="A4727" s="6">
        <v>4725.0</v>
      </c>
      <c r="B4727" s="17">
        <f t="array" ref="B4727">SUM(1-'Sparkling Model'!D$2:D$38^A4727)</f>
        <v>36.61589756</v>
      </c>
      <c r="C4727" s="8">
        <f t="array" ref="C4727">PRODUCT(1-'Sparkling Model'!D$2:D$38^A4727)</f>
        <v>0.6693507828</v>
      </c>
    </row>
    <row r="4728">
      <c r="A4728" s="6">
        <v>4726.0</v>
      </c>
      <c r="B4728" s="17">
        <f t="array" ref="B4728">SUM(1-'Sparkling Model'!D$2:D$38^A4728)</f>
        <v>36.61611583</v>
      </c>
      <c r="C4728" s="8">
        <f t="array" ref="C4728">PRODUCT(1-'Sparkling Model'!D$2:D$38^A4728)</f>
        <v>0.6695089656</v>
      </c>
    </row>
    <row r="4729">
      <c r="A4729" s="6">
        <v>4727.0</v>
      </c>
      <c r="B4729" s="17">
        <f t="array" ref="B4729">SUM(1-'Sparkling Model'!D$2:D$38^A4729)</f>
        <v>36.61633396</v>
      </c>
      <c r="C4729" s="8">
        <f t="array" ref="C4729">PRODUCT(1-'Sparkling Model'!D$2:D$38^A4729)</f>
        <v>0.6696670789</v>
      </c>
    </row>
    <row r="4730">
      <c r="A4730" s="6">
        <v>4728.0</v>
      </c>
      <c r="B4730" s="17">
        <f t="array" ref="B4730">SUM(1-'Sparkling Model'!D$2:D$38^A4730)</f>
        <v>36.61655195</v>
      </c>
      <c r="C4730" s="8">
        <f t="array" ref="C4730">PRODUCT(1-'Sparkling Model'!D$2:D$38^A4730)</f>
        <v>0.6698251228</v>
      </c>
    </row>
    <row r="4731">
      <c r="A4731" s="6">
        <v>4729.0</v>
      </c>
      <c r="B4731" s="17">
        <f t="array" ref="B4731">SUM(1-'Sparkling Model'!D$2:D$38^A4731)</f>
        <v>36.61676981</v>
      </c>
      <c r="C4731" s="8">
        <f t="array" ref="C4731">PRODUCT(1-'Sparkling Model'!D$2:D$38^A4731)</f>
        <v>0.6699830973</v>
      </c>
    </row>
    <row r="4732">
      <c r="A4732" s="6">
        <v>4730.0</v>
      </c>
      <c r="B4732" s="17">
        <f t="array" ref="B4732">SUM(1-'Sparkling Model'!D$2:D$38^A4732)</f>
        <v>36.61698752</v>
      </c>
      <c r="C4732" s="8">
        <f t="array" ref="C4732">PRODUCT(1-'Sparkling Model'!D$2:D$38^A4732)</f>
        <v>0.6701410023</v>
      </c>
    </row>
    <row r="4733">
      <c r="A4733" s="6">
        <v>4731.0</v>
      </c>
      <c r="B4733" s="17">
        <f t="array" ref="B4733">SUM(1-'Sparkling Model'!D$2:D$38^A4733)</f>
        <v>36.61720509</v>
      </c>
      <c r="C4733" s="8">
        <f t="array" ref="C4733">PRODUCT(1-'Sparkling Model'!D$2:D$38^A4733)</f>
        <v>0.670298838</v>
      </c>
    </row>
    <row r="4734">
      <c r="A4734" s="6">
        <v>4732.0</v>
      </c>
      <c r="B4734" s="17">
        <f t="array" ref="B4734">SUM(1-'Sparkling Model'!D$2:D$38^A4734)</f>
        <v>36.61742252</v>
      </c>
      <c r="C4734" s="8">
        <f t="array" ref="C4734">PRODUCT(1-'Sparkling Model'!D$2:D$38^A4734)</f>
        <v>0.6704566043</v>
      </c>
    </row>
    <row r="4735">
      <c r="A4735" s="6">
        <v>4733.0</v>
      </c>
      <c r="B4735" s="17">
        <f t="array" ref="B4735">SUM(1-'Sparkling Model'!D$2:D$38^A4735)</f>
        <v>36.61763981</v>
      </c>
      <c r="C4735" s="8">
        <f t="array" ref="C4735">PRODUCT(1-'Sparkling Model'!D$2:D$38^A4735)</f>
        <v>0.6706143013</v>
      </c>
    </row>
    <row r="4736">
      <c r="A4736" s="6">
        <v>4734.0</v>
      </c>
      <c r="B4736" s="17">
        <f t="array" ref="B4736">SUM(1-'Sparkling Model'!D$2:D$38^A4736)</f>
        <v>36.61785697</v>
      </c>
      <c r="C4736" s="8">
        <f t="array" ref="C4736">PRODUCT(1-'Sparkling Model'!D$2:D$38^A4736)</f>
        <v>0.6707719289</v>
      </c>
    </row>
    <row r="4737">
      <c r="A4737" s="6">
        <v>4735.0</v>
      </c>
      <c r="B4737" s="17">
        <f t="array" ref="B4737">SUM(1-'Sparkling Model'!D$2:D$38^A4737)</f>
        <v>36.61807398</v>
      </c>
      <c r="C4737" s="8">
        <f t="array" ref="C4737">PRODUCT(1-'Sparkling Model'!D$2:D$38^A4737)</f>
        <v>0.6709294873</v>
      </c>
    </row>
    <row r="4738">
      <c r="A4738" s="6">
        <v>4736.0</v>
      </c>
      <c r="B4738" s="17">
        <f t="array" ref="B4738">SUM(1-'Sparkling Model'!D$2:D$38^A4738)</f>
        <v>36.61829085</v>
      </c>
      <c r="C4738" s="8">
        <f t="array" ref="C4738">PRODUCT(1-'Sparkling Model'!D$2:D$38^A4738)</f>
        <v>0.6710869764</v>
      </c>
    </row>
    <row r="4739">
      <c r="A4739" s="6">
        <v>4737.0</v>
      </c>
      <c r="B4739" s="17">
        <f t="array" ref="B4739">SUM(1-'Sparkling Model'!D$2:D$38^A4739)</f>
        <v>36.61850759</v>
      </c>
      <c r="C4739" s="8">
        <f t="array" ref="C4739">PRODUCT(1-'Sparkling Model'!D$2:D$38^A4739)</f>
        <v>0.6712443962</v>
      </c>
    </row>
    <row r="4740">
      <c r="A4740" s="6">
        <v>4738.0</v>
      </c>
      <c r="B4740" s="17">
        <f t="array" ref="B4740">SUM(1-'Sparkling Model'!D$2:D$38^A4740)</f>
        <v>36.61872419</v>
      </c>
      <c r="C4740" s="8">
        <f t="array" ref="C4740">PRODUCT(1-'Sparkling Model'!D$2:D$38^A4740)</f>
        <v>0.6714017468</v>
      </c>
    </row>
    <row r="4741">
      <c r="A4741" s="6">
        <v>4739.0</v>
      </c>
      <c r="B4741" s="17">
        <f t="array" ref="B4741">SUM(1-'Sparkling Model'!D$2:D$38^A4741)</f>
        <v>36.61894064</v>
      </c>
      <c r="C4741" s="8">
        <f t="array" ref="C4741">PRODUCT(1-'Sparkling Model'!D$2:D$38^A4741)</f>
        <v>0.6715590282</v>
      </c>
    </row>
    <row r="4742">
      <c r="A4742" s="6">
        <v>4740.0</v>
      </c>
      <c r="B4742" s="17">
        <f t="array" ref="B4742">SUM(1-'Sparkling Model'!D$2:D$38^A4742)</f>
        <v>36.61915696</v>
      </c>
      <c r="C4742" s="8">
        <f t="array" ref="C4742">PRODUCT(1-'Sparkling Model'!D$2:D$38^A4742)</f>
        <v>0.6717162404</v>
      </c>
    </row>
    <row r="4743">
      <c r="A4743" s="6">
        <v>4741.0</v>
      </c>
      <c r="B4743" s="17">
        <f t="array" ref="B4743">SUM(1-'Sparkling Model'!D$2:D$38^A4743)</f>
        <v>36.61937314</v>
      </c>
      <c r="C4743" s="8">
        <f t="array" ref="C4743">PRODUCT(1-'Sparkling Model'!D$2:D$38^A4743)</f>
        <v>0.6718733835</v>
      </c>
    </row>
    <row r="4744">
      <c r="A4744" s="6">
        <v>4742.0</v>
      </c>
      <c r="B4744" s="17">
        <f t="array" ref="B4744">SUM(1-'Sparkling Model'!D$2:D$38^A4744)</f>
        <v>36.61958918</v>
      </c>
      <c r="C4744" s="8">
        <f t="array" ref="C4744">PRODUCT(1-'Sparkling Model'!D$2:D$38^A4744)</f>
        <v>0.6720304573</v>
      </c>
    </row>
    <row r="4745">
      <c r="A4745" s="6">
        <v>4743.0</v>
      </c>
      <c r="B4745" s="17">
        <f t="array" ref="B4745">SUM(1-'Sparkling Model'!D$2:D$38^A4745)</f>
        <v>36.61980508</v>
      </c>
      <c r="C4745" s="8">
        <f t="array" ref="C4745">PRODUCT(1-'Sparkling Model'!D$2:D$38^A4745)</f>
        <v>0.6721874621</v>
      </c>
    </row>
    <row r="4746">
      <c r="A4746" s="6">
        <v>4744.0</v>
      </c>
      <c r="B4746" s="17">
        <f t="array" ref="B4746">SUM(1-'Sparkling Model'!D$2:D$38^A4746)</f>
        <v>36.62002085</v>
      </c>
      <c r="C4746" s="8">
        <f t="array" ref="C4746">PRODUCT(1-'Sparkling Model'!D$2:D$38^A4746)</f>
        <v>0.6723443977</v>
      </c>
    </row>
    <row r="4747">
      <c r="A4747" s="6">
        <v>4745.0</v>
      </c>
      <c r="B4747" s="17">
        <f t="array" ref="B4747">SUM(1-'Sparkling Model'!D$2:D$38^A4747)</f>
        <v>36.62023647</v>
      </c>
      <c r="C4747" s="8">
        <f t="array" ref="C4747">PRODUCT(1-'Sparkling Model'!D$2:D$38^A4747)</f>
        <v>0.6725012643</v>
      </c>
    </row>
    <row r="4748">
      <c r="A4748" s="6">
        <v>4746.0</v>
      </c>
      <c r="B4748" s="17">
        <f t="array" ref="B4748">SUM(1-'Sparkling Model'!D$2:D$38^A4748)</f>
        <v>36.62045196</v>
      </c>
      <c r="C4748" s="8">
        <f t="array" ref="C4748">PRODUCT(1-'Sparkling Model'!D$2:D$38^A4748)</f>
        <v>0.6726580618</v>
      </c>
    </row>
    <row r="4749">
      <c r="A4749" s="6">
        <v>4747.0</v>
      </c>
      <c r="B4749" s="17">
        <f t="array" ref="B4749">SUM(1-'Sparkling Model'!D$2:D$38^A4749)</f>
        <v>36.62066731</v>
      </c>
      <c r="C4749" s="8">
        <f t="array" ref="C4749">PRODUCT(1-'Sparkling Model'!D$2:D$38^A4749)</f>
        <v>0.6728147902</v>
      </c>
    </row>
    <row r="4750">
      <c r="A4750" s="6">
        <v>4748.0</v>
      </c>
      <c r="B4750" s="17">
        <f t="array" ref="B4750">SUM(1-'Sparkling Model'!D$2:D$38^A4750)</f>
        <v>36.62088252</v>
      </c>
      <c r="C4750" s="8">
        <f t="array" ref="C4750">PRODUCT(1-'Sparkling Model'!D$2:D$38^A4750)</f>
        <v>0.6729714496</v>
      </c>
    </row>
    <row r="4751">
      <c r="A4751" s="6">
        <v>4749.0</v>
      </c>
      <c r="B4751" s="17">
        <f t="array" ref="B4751">SUM(1-'Sparkling Model'!D$2:D$38^A4751)</f>
        <v>36.62109759</v>
      </c>
      <c r="C4751" s="8">
        <f t="array" ref="C4751">PRODUCT(1-'Sparkling Model'!D$2:D$38^A4751)</f>
        <v>0.6731280401</v>
      </c>
    </row>
    <row r="4752">
      <c r="A4752" s="6">
        <v>4750.0</v>
      </c>
      <c r="B4752" s="17">
        <f t="array" ref="B4752">SUM(1-'Sparkling Model'!D$2:D$38^A4752)</f>
        <v>36.62131253</v>
      </c>
      <c r="C4752" s="8">
        <f t="array" ref="C4752">PRODUCT(1-'Sparkling Model'!D$2:D$38^A4752)</f>
        <v>0.6732845615</v>
      </c>
    </row>
    <row r="4753">
      <c r="A4753" s="6">
        <v>4751.0</v>
      </c>
      <c r="B4753" s="17">
        <f t="array" ref="B4753">SUM(1-'Sparkling Model'!D$2:D$38^A4753)</f>
        <v>36.62152732</v>
      </c>
      <c r="C4753" s="8">
        <f t="array" ref="C4753">PRODUCT(1-'Sparkling Model'!D$2:D$38^A4753)</f>
        <v>0.673441014</v>
      </c>
    </row>
    <row r="4754">
      <c r="A4754" s="6">
        <v>4752.0</v>
      </c>
      <c r="B4754" s="17">
        <f t="array" ref="B4754">SUM(1-'Sparkling Model'!D$2:D$38^A4754)</f>
        <v>36.62174198</v>
      </c>
      <c r="C4754" s="8">
        <f t="array" ref="C4754">PRODUCT(1-'Sparkling Model'!D$2:D$38^A4754)</f>
        <v>0.6735973975</v>
      </c>
    </row>
    <row r="4755">
      <c r="A4755" s="6">
        <v>4753.0</v>
      </c>
      <c r="B4755" s="17">
        <f t="array" ref="B4755">SUM(1-'Sparkling Model'!D$2:D$38^A4755)</f>
        <v>36.62195651</v>
      </c>
      <c r="C4755" s="8">
        <f t="array" ref="C4755">PRODUCT(1-'Sparkling Model'!D$2:D$38^A4755)</f>
        <v>0.6737537121</v>
      </c>
    </row>
    <row r="4756">
      <c r="A4756" s="6">
        <v>4754.0</v>
      </c>
      <c r="B4756" s="17">
        <f t="array" ref="B4756">SUM(1-'Sparkling Model'!D$2:D$38^A4756)</f>
        <v>36.62217089</v>
      </c>
      <c r="C4756" s="8">
        <f t="array" ref="C4756">PRODUCT(1-'Sparkling Model'!D$2:D$38^A4756)</f>
        <v>0.6739099578</v>
      </c>
    </row>
    <row r="4757">
      <c r="A4757" s="6">
        <v>4755.0</v>
      </c>
      <c r="B4757" s="17">
        <f t="array" ref="B4757">SUM(1-'Sparkling Model'!D$2:D$38^A4757)</f>
        <v>36.62238514</v>
      </c>
      <c r="C4757" s="8">
        <f t="array" ref="C4757">PRODUCT(1-'Sparkling Model'!D$2:D$38^A4757)</f>
        <v>0.6740661347</v>
      </c>
    </row>
    <row r="4758">
      <c r="A4758" s="6">
        <v>4756.0</v>
      </c>
      <c r="B4758" s="17">
        <f t="array" ref="B4758">SUM(1-'Sparkling Model'!D$2:D$38^A4758)</f>
        <v>36.62259925</v>
      </c>
      <c r="C4758" s="8">
        <f t="array" ref="C4758">PRODUCT(1-'Sparkling Model'!D$2:D$38^A4758)</f>
        <v>0.6742222426</v>
      </c>
    </row>
    <row r="4759">
      <c r="A4759" s="6">
        <v>4757.0</v>
      </c>
      <c r="B4759" s="17">
        <f t="array" ref="B4759">SUM(1-'Sparkling Model'!D$2:D$38^A4759)</f>
        <v>36.62281322</v>
      </c>
      <c r="C4759" s="8">
        <f t="array" ref="C4759">PRODUCT(1-'Sparkling Model'!D$2:D$38^A4759)</f>
        <v>0.6743782818</v>
      </c>
    </row>
    <row r="4760">
      <c r="A4760" s="6">
        <v>4758.0</v>
      </c>
      <c r="B4760" s="17">
        <f t="array" ref="B4760">SUM(1-'Sparkling Model'!D$2:D$38^A4760)</f>
        <v>36.62302706</v>
      </c>
      <c r="C4760" s="8">
        <f t="array" ref="C4760">PRODUCT(1-'Sparkling Model'!D$2:D$38^A4760)</f>
        <v>0.6745342521</v>
      </c>
    </row>
    <row r="4761">
      <c r="A4761" s="6">
        <v>4759.0</v>
      </c>
      <c r="B4761" s="17">
        <f t="array" ref="B4761">SUM(1-'Sparkling Model'!D$2:D$38^A4761)</f>
        <v>36.62324076</v>
      </c>
      <c r="C4761" s="8">
        <f t="array" ref="C4761">PRODUCT(1-'Sparkling Model'!D$2:D$38^A4761)</f>
        <v>0.6746901536</v>
      </c>
    </row>
    <row r="4762">
      <c r="A4762" s="6">
        <v>4760.0</v>
      </c>
      <c r="B4762" s="17">
        <f t="array" ref="B4762">SUM(1-'Sparkling Model'!D$2:D$38^A4762)</f>
        <v>36.62345432</v>
      </c>
      <c r="C4762" s="8">
        <f t="array" ref="C4762">PRODUCT(1-'Sparkling Model'!D$2:D$38^A4762)</f>
        <v>0.6748459864</v>
      </c>
    </row>
    <row r="4763">
      <c r="A4763" s="6">
        <v>4761.0</v>
      </c>
      <c r="B4763" s="17">
        <f t="array" ref="B4763">SUM(1-'Sparkling Model'!D$2:D$38^A4763)</f>
        <v>36.62366775</v>
      </c>
      <c r="C4763" s="8">
        <f t="array" ref="C4763">PRODUCT(1-'Sparkling Model'!D$2:D$38^A4763)</f>
        <v>0.6750017504</v>
      </c>
    </row>
    <row r="4764">
      <c r="A4764" s="6">
        <v>4762.0</v>
      </c>
      <c r="B4764" s="17">
        <f t="array" ref="B4764">SUM(1-'Sparkling Model'!D$2:D$38^A4764)</f>
        <v>36.62388104</v>
      </c>
      <c r="C4764" s="8">
        <f t="array" ref="C4764">PRODUCT(1-'Sparkling Model'!D$2:D$38^A4764)</f>
        <v>0.6751574457</v>
      </c>
    </row>
    <row r="4765">
      <c r="A4765" s="6">
        <v>4763.0</v>
      </c>
      <c r="B4765" s="17">
        <f t="array" ref="B4765">SUM(1-'Sparkling Model'!D$2:D$38^A4765)</f>
        <v>36.62409419</v>
      </c>
      <c r="C4765" s="8">
        <f t="array" ref="C4765">PRODUCT(1-'Sparkling Model'!D$2:D$38^A4765)</f>
        <v>0.6753130723</v>
      </c>
    </row>
    <row r="4766">
      <c r="A4766" s="6">
        <v>4764.0</v>
      </c>
      <c r="B4766" s="17">
        <f t="array" ref="B4766">SUM(1-'Sparkling Model'!D$2:D$38^A4766)</f>
        <v>36.62430721</v>
      </c>
      <c r="C4766" s="8">
        <f t="array" ref="C4766">PRODUCT(1-'Sparkling Model'!D$2:D$38^A4766)</f>
        <v>0.6754686302</v>
      </c>
    </row>
    <row r="4767">
      <c r="A4767" s="6">
        <v>4765.0</v>
      </c>
      <c r="B4767" s="17">
        <f t="array" ref="B4767">SUM(1-'Sparkling Model'!D$2:D$38^A4767)</f>
        <v>36.62452009</v>
      </c>
      <c r="C4767" s="8">
        <f t="array" ref="C4767">PRODUCT(1-'Sparkling Model'!D$2:D$38^A4767)</f>
        <v>0.6756241194</v>
      </c>
    </row>
    <row r="4768">
      <c r="A4768" s="6">
        <v>4766.0</v>
      </c>
      <c r="B4768" s="17">
        <f t="array" ref="B4768">SUM(1-'Sparkling Model'!D$2:D$38^A4768)</f>
        <v>36.62473283</v>
      </c>
      <c r="C4768" s="8">
        <f t="array" ref="C4768">PRODUCT(1-'Sparkling Model'!D$2:D$38^A4768)</f>
        <v>0.67577954</v>
      </c>
    </row>
    <row r="4769">
      <c r="A4769" s="6">
        <v>4767.0</v>
      </c>
      <c r="B4769" s="17">
        <f t="array" ref="B4769">SUM(1-'Sparkling Model'!D$2:D$38^A4769)</f>
        <v>36.62494544</v>
      </c>
      <c r="C4769" s="8">
        <f t="array" ref="C4769">PRODUCT(1-'Sparkling Model'!D$2:D$38^A4769)</f>
        <v>0.6759348919</v>
      </c>
    </row>
    <row r="4770">
      <c r="A4770" s="6">
        <v>4768.0</v>
      </c>
      <c r="B4770" s="17">
        <f t="array" ref="B4770">SUM(1-'Sparkling Model'!D$2:D$38^A4770)</f>
        <v>36.62515792</v>
      </c>
      <c r="C4770" s="8">
        <f t="array" ref="C4770">PRODUCT(1-'Sparkling Model'!D$2:D$38^A4770)</f>
        <v>0.6760901753</v>
      </c>
    </row>
    <row r="4771">
      <c r="A4771" s="6">
        <v>4769.0</v>
      </c>
      <c r="B4771" s="17">
        <f t="array" ref="B4771">SUM(1-'Sparkling Model'!D$2:D$38^A4771)</f>
        <v>36.62537025</v>
      </c>
      <c r="C4771" s="8">
        <f t="array" ref="C4771">PRODUCT(1-'Sparkling Model'!D$2:D$38^A4771)</f>
        <v>0.67624539</v>
      </c>
    </row>
    <row r="4772">
      <c r="A4772" s="6">
        <v>4770.0</v>
      </c>
      <c r="B4772" s="17">
        <f t="array" ref="B4772">SUM(1-'Sparkling Model'!D$2:D$38^A4772)</f>
        <v>36.62558245</v>
      </c>
      <c r="C4772" s="8">
        <f t="array" ref="C4772">PRODUCT(1-'Sparkling Model'!D$2:D$38^A4772)</f>
        <v>0.6764005362</v>
      </c>
    </row>
    <row r="4773">
      <c r="A4773" s="6">
        <v>4771.0</v>
      </c>
      <c r="B4773" s="17">
        <f t="array" ref="B4773">SUM(1-'Sparkling Model'!D$2:D$38^A4773)</f>
        <v>36.62579452</v>
      </c>
      <c r="C4773" s="8">
        <f t="array" ref="C4773">PRODUCT(1-'Sparkling Model'!D$2:D$38^A4773)</f>
        <v>0.6765556139</v>
      </c>
    </row>
    <row r="4774">
      <c r="A4774" s="6">
        <v>4772.0</v>
      </c>
      <c r="B4774" s="17">
        <f t="array" ref="B4774">SUM(1-'Sparkling Model'!D$2:D$38^A4774)</f>
        <v>36.62600645</v>
      </c>
      <c r="C4774" s="8">
        <f t="array" ref="C4774">PRODUCT(1-'Sparkling Model'!D$2:D$38^A4774)</f>
        <v>0.676710623</v>
      </c>
    </row>
    <row r="4775">
      <c r="A4775" s="6">
        <v>4773.0</v>
      </c>
      <c r="B4775" s="17">
        <f t="array" ref="B4775">SUM(1-'Sparkling Model'!D$2:D$38^A4775)</f>
        <v>36.62621825</v>
      </c>
      <c r="C4775" s="8">
        <f t="array" ref="C4775">PRODUCT(1-'Sparkling Model'!D$2:D$38^A4775)</f>
        <v>0.6768655637</v>
      </c>
    </row>
    <row r="4776">
      <c r="A4776" s="6">
        <v>4774.0</v>
      </c>
      <c r="B4776" s="17">
        <f t="array" ref="B4776">SUM(1-'Sparkling Model'!D$2:D$38^A4776)</f>
        <v>36.62642991</v>
      </c>
      <c r="C4776" s="8">
        <f t="array" ref="C4776">PRODUCT(1-'Sparkling Model'!D$2:D$38^A4776)</f>
        <v>0.6770204359</v>
      </c>
    </row>
    <row r="4777">
      <c r="A4777" s="6">
        <v>4775.0</v>
      </c>
      <c r="B4777" s="17">
        <f t="array" ref="B4777">SUM(1-'Sparkling Model'!D$2:D$38^A4777)</f>
        <v>36.62664143</v>
      </c>
      <c r="C4777" s="8">
        <f t="array" ref="C4777">PRODUCT(1-'Sparkling Model'!D$2:D$38^A4777)</f>
        <v>0.6771752396</v>
      </c>
    </row>
    <row r="4778">
      <c r="A4778" s="6">
        <v>4776.0</v>
      </c>
      <c r="B4778" s="17">
        <f t="array" ref="B4778">SUM(1-'Sparkling Model'!D$2:D$38^A4778)</f>
        <v>36.62685282</v>
      </c>
      <c r="C4778" s="8">
        <f t="array" ref="C4778">PRODUCT(1-'Sparkling Model'!D$2:D$38^A4778)</f>
        <v>0.6773299748</v>
      </c>
    </row>
    <row r="4779">
      <c r="A4779" s="6">
        <v>4777.0</v>
      </c>
      <c r="B4779" s="17">
        <f t="array" ref="B4779">SUM(1-'Sparkling Model'!D$2:D$38^A4779)</f>
        <v>36.62706407</v>
      </c>
      <c r="C4779" s="8">
        <f t="array" ref="C4779">PRODUCT(1-'Sparkling Model'!D$2:D$38^A4779)</f>
        <v>0.6774846417</v>
      </c>
    </row>
    <row r="4780">
      <c r="A4780" s="6">
        <v>4778.0</v>
      </c>
      <c r="B4780" s="17">
        <f t="array" ref="B4780">SUM(1-'Sparkling Model'!D$2:D$38^A4780)</f>
        <v>36.62727519</v>
      </c>
      <c r="C4780" s="8">
        <f t="array" ref="C4780">PRODUCT(1-'Sparkling Model'!D$2:D$38^A4780)</f>
        <v>0.6776392402</v>
      </c>
    </row>
    <row r="4781">
      <c r="A4781" s="6">
        <v>4779.0</v>
      </c>
      <c r="B4781" s="17">
        <f t="array" ref="B4781">SUM(1-'Sparkling Model'!D$2:D$38^A4781)</f>
        <v>36.62748618</v>
      </c>
      <c r="C4781" s="8">
        <f t="array" ref="C4781">PRODUCT(1-'Sparkling Model'!D$2:D$38^A4781)</f>
        <v>0.6777937703</v>
      </c>
    </row>
    <row r="4782">
      <c r="A4782" s="6">
        <v>4780.0</v>
      </c>
      <c r="B4782" s="17">
        <f t="array" ref="B4782">SUM(1-'Sparkling Model'!D$2:D$38^A4782)</f>
        <v>36.62769703</v>
      </c>
      <c r="C4782" s="8">
        <f t="array" ref="C4782">PRODUCT(1-'Sparkling Model'!D$2:D$38^A4782)</f>
        <v>0.6779482321</v>
      </c>
    </row>
    <row r="4783">
      <c r="A4783" s="6">
        <v>4781.0</v>
      </c>
      <c r="B4783" s="17">
        <f t="array" ref="B4783">SUM(1-'Sparkling Model'!D$2:D$38^A4783)</f>
        <v>36.62790774</v>
      </c>
      <c r="C4783" s="8">
        <f t="array" ref="C4783">PRODUCT(1-'Sparkling Model'!D$2:D$38^A4783)</f>
        <v>0.6781026255</v>
      </c>
    </row>
    <row r="4784">
      <c r="A4784" s="6">
        <v>4782.0</v>
      </c>
      <c r="B4784" s="17">
        <f t="array" ref="B4784">SUM(1-'Sparkling Model'!D$2:D$38^A4784)</f>
        <v>36.62811833</v>
      </c>
      <c r="C4784" s="8">
        <f t="array" ref="C4784">PRODUCT(1-'Sparkling Model'!D$2:D$38^A4784)</f>
        <v>0.6782569506</v>
      </c>
    </row>
    <row r="4785">
      <c r="A4785" s="6">
        <v>4783.0</v>
      </c>
      <c r="B4785" s="17">
        <f t="array" ref="B4785">SUM(1-'Sparkling Model'!D$2:D$38^A4785)</f>
        <v>36.62832877</v>
      </c>
      <c r="C4785" s="8">
        <f t="array" ref="C4785">PRODUCT(1-'Sparkling Model'!D$2:D$38^A4785)</f>
        <v>0.6784112075</v>
      </c>
    </row>
    <row r="4786">
      <c r="A4786" s="6">
        <v>4784.0</v>
      </c>
      <c r="B4786" s="17">
        <f t="array" ref="B4786">SUM(1-'Sparkling Model'!D$2:D$38^A4786)</f>
        <v>36.62853909</v>
      </c>
      <c r="C4786" s="8">
        <f t="array" ref="C4786">PRODUCT(1-'Sparkling Model'!D$2:D$38^A4786)</f>
        <v>0.678565396</v>
      </c>
    </row>
    <row r="4787">
      <c r="A4787" s="6">
        <v>4785.0</v>
      </c>
      <c r="B4787" s="17">
        <f t="array" ref="B4787">SUM(1-'Sparkling Model'!D$2:D$38^A4787)</f>
        <v>36.62874926</v>
      </c>
      <c r="C4787" s="8">
        <f t="array" ref="C4787">PRODUCT(1-'Sparkling Model'!D$2:D$38^A4787)</f>
        <v>0.6787195164</v>
      </c>
    </row>
    <row r="4788">
      <c r="A4788" s="6">
        <v>4786.0</v>
      </c>
      <c r="B4788" s="17">
        <f t="array" ref="B4788">SUM(1-'Sparkling Model'!D$2:D$38^A4788)</f>
        <v>36.62895931</v>
      </c>
      <c r="C4788" s="8">
        <f t="array" ref="C4788">PRODUCT(1-'Sparkling Model'!D$2:D$38^A4788)</f>
        <v>0.6788735685</v>
      </c>
    </row>
    <row r="4789">
      <c r="A4789" s="6">
        <v>4787.0</v>
      </c>
      <c r="B4789" s="17">
        <f t="array" ref="B4789">SUM(1-'Sparkling Model'!D$2:D$38^A4789)</f>
        <v>36.62916922</v>
      </c>
      <c r="C4789" s="8">
        <f t="array" ref="C4789">PRODUCT(1-'Sparkling Model'!D$2:D$38^A4789)</f>
        <v>0.6790275524</v>
      </c>
    </row>
    <row r="4790">
      <c r="A4790" s="6">
        <v>4788.0</v>
      </c>
      <c r="B4790" s="17">
        <f t="array" ref="B4790">SUM(1-'Sparkling Model'!D$2:D$38^A4790)</f>
        <v>36.629379</v>
      </c>
      <c r="C4790" s="8">
        <f t="array" ref="C4790">PRODUCT(1-'Sparkling Model'!D$2:D$38^A4790)</f>
        <v>0.6791814681</v>
      </c>
    </row>
    <row r="4791">
      <c r="A4791" s="6">
        <v>4789.0</v>
      </c>
      <c r="B4791" s="17">
        <f t="array" ref="B4791">SUM(1-'Sparkling Model'!D$2:D$38^A4791)</f>
        <v>36.62958864</v>
      </c>
      <c r="C4791" s="8">
        <f t="array" ref="C4791">PRODUCT(1-'Sparkling Model'!D$2:D$38^A4791)</f>
        <v>0.6793353157</v>
      </c>
    </row>
    <row r="4792">
      <c r="A4792" s="6">
        <v>4790.0</v>
      </c>
      <c r="B4792" s="17">
        <f t="array" ref="B4792">SUM(1-'Sparkling Model'!D$2:D$38^A4792)</f>
        <v>36.62979815</v>
      </c>
      <c r="C4792" s="8">
        <f t="array" ref="C4792">PRODUCT(1-'Sparkling Model'!D$2:D$38^A4792)</f>
        <v>0.6794890952</v>
      </c>
    </row>
    <row r="4793">
      <c r="A4793" s="6">
        <v>4791.0</v>
      </c>
      <c r="B4793" s="17">
        <f t="array" ref="B4793">SUM(1-'Sparkling Model'!D$2:D$38^A4793)</f>
        <v>36.63000752</v>
      </c>
      <c r="C4793" s="8">
        <f t="array" ref="C4793">PRODUCT(1-'Sparkling Model'!D$2:D$38^A4793)</f>
        <v>0.6796428065</v>
      </c>
    </row>
    <row r="4794">
      <c r="A4794" s="6">
        <v>4792.0</v>
      </c>
      <c r="B4794" s="17">
        <f t="array" ref="B4794">SUM(1-'Sparkling Model'!D$2:D$38^A4794)</f>
        <v>36.63021677</v>
      </c>
      <c r="C4794" s="8">
        <f t="array" ref="C4794">PRODUCT(1-'Sparkling Model'!D$2:D$38^A4794)</f>
        <v>0.6797964497</v>
      </c>
    </row>
    <row r="4795">
      <c r="A4795" s="6">
        <v>4793.0</v>
      </c>
      <c r="B4795" s="17">
        <f t="array" ref="B4795">SUM(1-'Sparkling Model'!D$2:D$38^A4795)</f>
        <v>36.63042588</v>
      </c>
      <c r="C4795" s="8">
        <f t="array" ref="C4795">PRODUCT(1-'Sparkling Model'!D$2:D$38^A4795)</f>
        <v>0.6799500249</v>
      </c>
    </row>
    <row r="4796">
      <c r="A4796" s="6">
        <v>4794.0</v>
      </c>
      <c r="B4796" s="17">
        <f t="array" ref="B4796">SUM(1-'Sparkling Model'!D$2:D$38^A4796)</f>
        <v>36.63063485</v>
      </c>
      <c r="C4796" s="8">
        <f t="array" ref="C4796">PRODUCT(1-'Sparkling Model'!D$2:D$38^A4796)</f>
        <v>0.680103532</v>
      </c>
    </row>
    <row r="4797">
      <c r="A4797" s="6">
        <v>4795.0</v>
      </c>
      <c r="B4797" s="17">
        <f t="array" ref="B4797">SUM(1-'Sparkling Model'!D$2:D$38^A4797)</f>
        <v>36.6308437</v>
      </c>
      <c r="C4797" s="8">
        <f t="array" ref="C4797">PRODUCT(1-'Sparkling Model'!D$2:D$38^A4797)</f>
        <v>0.6802569711</v>
      </c>
    </row>
    <row r="4798">
      <c r="A4798" s="6">
        <v>4796.0</v>
      </c>
      <c r="B4798" s="17">
        <f t="array" ref="B4798">SUM(1-'Sparkling Model'!D$2:D$38^A4798)</f>
        <v>36.63105241</v>
      </c>
      <c r="C4798" s="8">
        <f t="array" ref="C4798">PRODUCT(1-'Sparkling Model'!D$2:D$38^A4798)</f>
        <v>0.6804103422</v>
      </c>
    </row>
    <row r="4799">
      <c r="A4799" s="6">
        <v>4797.0</v>
      </c>
      <c r="B4799" s="17">
        <f t="array" ref="B4799">SUM(1-'Sparkling Model'!D$2:D$38^A4799)</f>
        <v>36.63126098</v>
      </c>
      <c r="C4799" s="8">
        <f t="array" ref="C4799">PRODUCT(1-'Sparkling Model'!D$2:D$38^A4799)</f>
        <v>0.6805636453</v>
      </c>
    </row>
    <row r="4800">
      <c r="A4800" s="6">
        <v>4798.0</v>
      </c>
      <c r="B4800" s="17">
        <f t="array" ref="B4800">SUM(1-'Sparkling Model'!D$2:D$38^A4800)</f>
        <v>36.63146943</v>
      </c>
      <c r="C4800" s="8">
        <f t="array" ref="C4800">PRODUCT(1-'Sparkling Model'!D$2:D$38^A4800)</f>
        <v>0.6807168804</v>
      </c>
    </row>
    <row r="4801">
      <c r="A4801" s="6">
        <v>4799.0</v>
      </c>
      <c r="B4801" s="17">
        <f t="array" ref="B4801">SUM(1-'Sparkling Model'!D$2:D$38^A4801)</f>
        <v>36.63167774</v>
      </c>
      <c r="C4801" s="8">
        <f t="array" ref="C4801">PRODUCT(1-'Sparkling Model'!D$2:D$38^A4801)</f>
        <v>0.6808700476</v>
      </c>
    </row>
    <row r="4802">
      <c r="A4802" s="6">
        <v>4800.0</v>
      </c>
      <c r="B4802" s="17">
        <f t="array" ref="B4802">SUM(1-'Sparkling Model'!D$2:D$38^A4802)</f>
        <v>36.63188592</v>
      </c>
      <c r="C4802" s="8">
        <f t="array" ref="C4802">PRODUCT(1-'Sparkling Model'!D$2:D$38^A4802)</f>
        <v>0.6810231468</v>
      </c>
    </row>
    <row r="4803">
      <c r="A4803" s="6">
        <v>4801.0</v>
      </c>
      <c r="B4803" s="17">
        <f t="array" ref="B4803">SUM(1-'Sparkling Model'!D$2:D$38^A4803)</f>
        <v>36.63209396</v>
      </c>
      <c r="C4803" s="8">
        <f t="array" ref="C4803">PRODUCT(1-'Sparkling Model'!D$2:D$38^A4803)</f>
        <v>0.6811761782</v>
      </c>
    </row>
    <row r="4804">
      <c r="A4804" s="6">
        <v>4802.0</v>
      </c>
      <c r="B4804" s="17">
        <f t="array" ref="B4804">SUM(1-'Sparkling Model'!D$2:D$38^A4804)</f>
        <v>36.63230188</v>
      </c>
      <c r="C4804" s="8">
        <f t="array" ref="C4804">PRODUCT(1-'Sparkling Model'!D$2:D$38^A4804)</f>
        <v>0.6813291417</v>
      </c>
    </row>
    <row r="4805">
      <c r="A4805" s="6">
        <v>4803.0</v>
      </c>
      <c r="B4805" s="17">
        <f t="array" ref="B4805">SUM(1-'Sparkling Model'!D$2:D$38^A4805)</f>
        <v>36.63250966</v>
      </c>
      <c r="C4805" s="8">
        <f t="array" ref="C4805">PRODUCT(1-'Sparkling Model'!D$2:D$38^A4805)</f>
        <v>0.6814820373</v>
      </c>
    </row>
    <row r="4806">
      <c r="A4806" s="6">
        <v>4804.0</v>
      </c>
      <c r="B4806" s="17">
        <f t="array" ref="B4806">SUM(1-'Sparkling Model'!D$2:D$38^A4806)</f>
        <v>36.63271731</v>
      </c>
      <c r="C4806" s="8">
        <f t="array" ref="C4806">PRODUCT(1-'Sparkling Model'!D$2:D$38^A4806)</f>
        <v>0.6816348651</v>
      </c>
    </row>
    <row r="4807">
      <c r="A4807" s="6">
        <v>4805.0</v>
      </c>
      <c r="B4807" s="17">
        <f t="array" ref="B4807">SUM(1-'Sparkling Model'!D$2:D$38^A4807)</f>
        <v>36.63292483</v>
      </c>
      <c r="C4807" s="8">
        <f t="array" ref="C4807">PRODUCT(1-'Sparkling Model'!D$2:D$38^A4807)</f>
        <v>0.6817876251</v>
      </c>
    </row>
    <row r="4808">
      <c r="A4808" s="6">
        <v>4806.0</v>
      </c>
      <c r="B4808" s="17">
        <f t="array" ref="B4808">SUM(1-'Sparkling Model'!D$2:D$38^A4808)</f>
        <v>36.63313221</v>
      </c>
      <c r="C4808" s="8">
        <f t="array" ref="C4808">PRODUCT(1-'Sparkling Model'!D$2:D$38^A4808)</f>
        <v>0.6819403173</v>
      </c>
    </row>
    <row r="4809">
      <c r="A4809" s="6">
        <v>4807.0</v>
      </c>
      <c r="B4809" s="17">
        <f t="array" ref="B4809">SUM(1-'Sparkling Model'!D$2:D$38^A4809)</f>
        <v>36.63333947</v>
      </c>
      <c r="C4809" s="8">
        <f t="array" ref="C4809">PRODUCT(1-'Sparkling Model'!D$2:D$38^A4809)</f>
        <v>0.6820929417</v>
      </c>
    </row>
    <row r="4810">
      <c r="A4810" s="6">
        <v>4808.0</v>
      </c>
      <c r="B4810" s="17">
        <f t="array" ref="B4810">SUM(1-'Sparkling Model'!D$2:D$38^A4810)</f>
        <v>36.63354659</v>
      </c>
      <c r="C4810" s="8">
        <f t="array" ref="C4810">PRODUCT(1-'Sparkling Model'!D$2:D$38^A4810)</f>
        <v>0.6822454983</v>
      </c>
    </row>
    <row r="4811">
      <c r="A4811" s="6">
        <v>4809.0</v>
      </c>
      <c r="B4811" s="17">
        <f t="array" ref="B4811">SUM(1-'Sparkling Model'!D$2:D$38^A4811)</f>
        <v>36.63375358</v>
      </c>
      <c r="C4811" s="8">
        <f t="array" ref="C4811">PRODUCT(1-'Sparkling Model'!D$2:D$38^A4811)</f>
        <v>0.6823979873</v>
      </c>
    </row>
    <row r="4812">
      <c r="A4812" s="6">
        <v>4810.0</v>
      </c>
      <c r="B4812" s="17">
        <f t="array" ref="B4812">SUM(1-'Sparkling Model'!D$2:D$38^A4812)</f>
        <v>36.63396044</v>
      </c>
      <c r="C4812" s="8">
        <f t="array" ref="C4812">PRODUCT(1-'Sparkling Model'!D$2:D$38^A4812)</f>
        <v>0.6825504085</v>
      </c>
    </row>
    <row r="4813">
      <c r="A4813" s="6">
        <v>4811.0</v>
      </c>
      <c r="B4813" s="17">
        <f t="array" ref="B4813">SUM(1-'Sparkling Model'!D$2:D$38^A4813)</f>
        <v>36.63416717</v>
      </c>
      <c r="C4813" s="8">
        <f t="array" ref="C4813">PRODUCT(1-'Sparkling Model'!D$2:D$38^A4813)</f>
        <v>0.6827027621</v>
      </c>
    </row>
    <row r="4814">
      <c r="A4814" s="6">
        <v>4812.0</v>
      </c>
      <c r="B4814" s="17">
        <f t="array" ref="B4814">SUM(1-'Sparkling Model'!D$2:D$38^A4814)</f>
        <v>36.63437376</v>
      </c>
      <c r="C4814" s="8">
        <f t="array" ref="C4814">PRODUCT(1-'Sparkling Model'!D$2:D$38^A4814)</f>
        <v>0.6828550479</v>
      </c>
    </row>
    <row r="4815">
      <c r="A4815" s="6">
        <v>4813.0</v>
      </c>
      <c r="B4815" s="17">
        <f t="array" ref="B4815">SUM(1-'Sparkling Model'!D$2:D$38^A4815)</f>
        <v>36.63458023</v>
      </c>
      <c r="C4815" s="8">
        <f t="array" ref="C4815">PRODUCT(1-'Sparkling Model'!D$2:D$38^A4815)</f>
        <v>0.6830072662</v>
      </c>
    </row>
    <row r="4816">
      <c r="A4816" s="6">
        <v>4814.0</v>
      </c>
      <c r="B4816" s="17">
        <f t="array" ref="B4816">SUM(1-'Sparkling Model'!D$2:D$38^A4816)</f>
        <v>36.63478656</v>
      </c>
      <c r="C4816" s="8">
        <f t="array" ref="C4816">PRODUCT(1-'Sparkling Model'!D$2:D$38^A4816)</f>
        <v>0.6831594168</v>
      </c>
    </row>
    <row r="4817">
      <c r="A4817" s="6">
        <v>4815.0</v>
      </c>
      <c r="B4817" s="17">
        <f t="array" ref="B4817">SUM(1-'Sparkling Model'!D$2:D$38^A4817)</f>
        <v>36.63499276</v>
      </c>
      <c r="C4817" s="8">
        <f t="array" ref="C4817">PRODUCT(1-'Sparkling Model'!D$2:D$38^A4817)</f>
        <v>0.6833114998</v>
      </c>
    </row>
    <row r="4818">
      <c r="A4818" s="6">
        <v>4816.0</v>
      </c>
      <c r="B4818" s="17">
        <f t="array" ref="B4818">SUM(1-'Sparkling Model'!D$2:D$38^A4818)</f>
        <v>36.63519883</v>
      </c>
      <c r="C4818" s="8">
        <f t="array" ref="C4818">PRODUCT(1-'Sparkling Model'!D$2:D$38^A4818)</f>
        <v>0.6834635152</v>
      </c>
    </row>
    <row r="4819">
      <c r="A4819" s="6">
        <v>4817.0</v>
      </c>
      <c r="B4819" s="17">
        <f t="array" ref="B4819">SUM(1-'Sparkling Model'!D$2:D$38^A4819)</f>
        <v>36.63540478</v>
      </c>
      <c r="C4819" s="8">
        <f t="array" ref="C4819">PRODUCT(1-'Sparkling Model'!D$2:D$38^A4819)</f>
        <v>0.6836154631</v>
      </c>
    </row>
    <row r="4820">
      <c r="A4820" s="6">
        <v>4818.0</v>
      </c>
      <c r="B4820" s="17">
        <f t="array" ref="B4820">SUM(1-'Sparkling Model'!D$2:D$38^A4820)</f>
        <v>36.63561059</v>
      </c>
      <c r="C4820" s="8">
        <f t="array" ref="C4820">PRODUCT(1-'Sparkling Model'!D$2:D$38^A4820)</f>
        <v>0.6837673435</v>
      </c>
    </row>
    <row r="4821">
      <c r="A4821" s="6">
        <v>4819.0</v>
      </c>
      <c r="B4821" s="17">
        <f t="array" ref="B4821">SUM(1-'Sparkling Model'!D$2:D$38^A4821)</f>
        <v>36.63581626</v>
      </c>
      <c r="C4821" s="8">
        <f t="array" ref="C4821">PRODUCT(1-'Sparkling Model'!D$2:D$38^A4821)</f>
        <v>0.6839191563</v>
      </c>
    </row>
    <row r="4822">
      <c r="A4822" s="6">
        <v>4820.0</v>
      </c>
      <c r="B4822" s="17">
        <f t="array" ref="B4822">SUM(1-'Sparkling Model'!D$2:D$38^A4822)</f>
        <v>36.63602181</v>
      </c>
      <c r="C4822" s="8">
        <f t="array" ref="C4822">PRODUCT(1-'Sparkling Model'!D$2:D$38^A4822)</f>
        <v>0.6840709017</v>
      </c>
    </row>
    <row r="4823">
      <c r="A4823" s="6">
        <v>4821.0</v>
      </c>
      <c r="B4823" s="17">
        <f t="array" ref="B4823">SUM(1-'Sparkling Model'!D$2:D$38^A4823)</f>
        <v>36.63622723</v>
      </c>
      <c r="C4823" s="8">
        <f t="array" ref="C4823">PRODUCT(1-'Sparkling Model'!D$2:D$38^A4823)</f>
        <v>0.6842225795</v>
      </c>
    </row>
    <row r="4824">
      <c r="A4824" s="6">
        <v>4822.0</v>
      </c>
      <c r="B4824" s="17">
        <f t="array" ref="B4824">SUM(1-'Sparkling Model'!D$2:D$38^A4824)</f>
        <v>36.63643252</v>
      </c>
      <c r="C4824" s="8">
        <f t="array" ref="C4824">PRODUCT(1-'Sparkling Model'!D$2:D$38^A4824)</f>
        <v>0.68437419</v>
      </c>
    </row>
    <row r="4825">
      <c r="A4825" s="6">
        <v>4823.0</v>
      </c>
      <c r="B4825" s="17">
        <f t="array" ref="B4825">SUM(1-'Sparkling Model'!D$2:D$38^A4825)</f>
        <v>36.63663768</v>
      </c>
      <c r="C4825" s="8">
        <f t="array" ref="C4825">PRODUCT(1-'Sparkling Model'!D$2:D$38^A4825)</f>
        <v>0.684525733</v>
      </c>
    </row>
    <row r="4826">
      <c r="A4826" s="6">
        <v>4824.0</v>
      </c>
      <c r="B4826" s="17">
        <f t="array" ref="B4826">SUM(1-'Sparkling Model'!D$2:D$38^A4826)</f>
        <v>36.6368427</v>
      </c>
      <c r="C4826" s="8">
        <f t="array" ref="C4826">PRODUCT(1-'Sparkling Model'!D$2:D$38^A4826)</f>
        <v>0.6846772086</v>
      </c>
    </row>
    <row r="4827">
      <c r="A4827" s="6">
        <v>4825.0</v>
      </c>
      <c r="B4827" s="17">
        <f t="array" ref="B4827">SUM(1-'Sparkling Model'!D$2:D$38^A4827)</f>
        <v>36.6370476</v>
      </c>
      <c r="C4827" s="8">
        <f t="array" ref="C4827">PRODUCT(1-'Sparkling Model'!D$2:D$38^A4827)</f>
        <v>0.6848286168</v>
      </c>
    </row>
    <row r="4828">
      <c r="A4828" s="6">
        <v>4826.0</v>
      </c>
      <c r="B4828" s="17">
        <f t="array" ref="B4828">SUM(1-'Sparkling Model'!D$2:D$38^A4828)</f>
        <v>36.63725237</v>
      </c>
      <c r="C4828" s="8">
        <f t="array" ref="C4828">PRODUCT(1-'Sparkling Model'!D$2:D$38^A4828)</f>
        <v>0.6849799576</v>
      </c>
    </row>
    <row r="4829">
      <c r="A4829" s="6">
        <v>4827.0</v>
      </c>
      <c r="B4829" s="17">
        <f t="array" ref="B4829">SUM(1-'Sparkling Model'!D$2:D$38^A4829)</f>
        <v>36.63745701</v>
      </c>
      <c r="C4829" s="8">
        <f t="array" ref="C4829">PRODUCT(1-'Sparkling Model'!D$2:D$38^A4829)</f>
        <v>0.6851312312</v>
      </c>
    </row>
    <row r="4830">
      <c r="A4830" s="6">
        <v>4828.0</v>
      </c>
      <c r="B4830" s="17">
        <f t="array" ref="B4830">SUM(1-'Sparkling Model'!D$2:D$38^A4830)</f>
        <v>36.63766151</v>
      </c>
      <c r="C4830" s="8">
        <f t="array" ref="C4830">PRODUCT(1-'Sparkling Model'!D$2:D$38^A4830)</f>
        <v>0.6852824374</v>
      </c>
    </row>
    <row r="4831">
      <c r="A4831" s="6">
        <v>4829.0</v>
      </c>
      <c r="B4831" s="17">
        <f t="array" ref="B4831">SUM(1-'Sparkling Model'!D$2:D$38^A4831)</f>
        <v>36.63786589</v>
      </c>
      <c r="C4831" s="8">
        <f t="array" ref="C4831">PRODUCT(1-'Sparkling Model'!D$2:D$38^A4831)</f>
        <v>0.6854335763</v>
      </c>
    </row>
    <row r="4832">
      <c r="A4832" s="6">
        <v>4830.0</v>
      </c>
      <c r="B4832" s="17">
        <f t="array" ref="B4832">SUM(1-'Sparkling Model'!D$2:D$38^A4832)</f>
        <v>36.63807014</v>
      </c>
      <c r="C4832" s="8">
        <f t="array" ref="C4832">PRODUCT(1-'Sparkling Model'!D$2:D$38^A4832)</f>
        <v>0.6855846479</v>
      </c>
    </row>
    <row r="4833">
      <c r="A4833" s="6">
        <v>4831.0</v>
      </c>
      <c r="B4833" s="17">
        <f t="array" ref="B4833">SUM(1-'Sparkling Model'!D$2:D$38^A4833)</f>
        <v>36.63827426</v>
      </c>
      <c r="C4833" s="8">
        <f t="array" ref="C4833">PRODUCT(1-'Sparkling Model'!D$2:D$38^A4833)</f>
        <v>0.6857356523</v>
      </c>
    </row>
    <row r="4834">
      <c r="A4834" s="6">
        <v>4832.0</v>
      </c>
      <c r="B4834" s="17">
        <f t="array" ref="B4834">SUM(1-'Sparkling Model'!D$2:D$38^A4834)</f>
        <v>36.63847825</v>
      </c>
      <c r="C4834" s="8">
        <f t="array" ref="C4834">PRODUCT(1-'Sparkling Model'!D$2:D$38^A4834)</f>
        <v>0.6858865894</v>
      </c>
    </row>
    <row r="4835">
      <c r="A4835" s="6">
        <v>4833.0</v>
      </c>
      <c r="B4835" s="17">
        <f t="array" ref="B4835">SUM(1-'Sparkling Model'!D$2:D$38^A4835)</f>
        <v>36.63868211</v>
      </c>
      <c r="C4835" s="8">
        <f t="array" ref="C4835">PRODUCT(1-'Sparkling Model'!D$2:D$38^A4835)</f>
        <v>0.6860374593</v>
      </c>
    </row>
    <row r="4836">
      <c r="A4836" s="6">
        <v>4834.0</v>
      </c>
      <c r="B4836" s="17">
        <f t="array" ref="B4836">SUM(1-'Sparkling Model'!D$2:D$38^A4836)</f>
        <v>36.63888584</v>
      </c>
      <c r="C4836" s="8">
        <f t="array" ref="C4836">PRODUCT(1-'Sparkling Model'!D$2:D$38^A4836)</f>
        <v>0.6861882621</v>
      </c>
    </row>
    <row r="4837">
      <c r="A4837" s="6">
        <v>4835.0</v>
      </c>
      <c r="B4837" s="17">
        <f t="array" ref="B4837">SUM(1-'Sparkling Model'!D$2:D$38^A4837)</f>
        <v>36.63908944</v>
      </c>
      <c r="C4837" s="8">
        <f t="array" ref="C4837">PRODUCT(1-'Sparkling Model'!D$2:D$38^A4837)</f>
        <v>0.6863389977</v>
      </c>
    </row>
    <row r="4838">
      <c r="A4838" s="6">
        <v>4836.0</v>
      </c>
      <c r="B4838" s="17">
        <f t="array" ref="B4838">SUM(1-'Sparkling Model'!D$2:D$38^A4838)</f>
        <v>36.63929291</v>
      </c>
      <c r="C4838" s="8">
        <f t="array" ref="C4838">PRODUCT(1-'Sparkling Model'!D$2:D$38^A4838)</f>
        <v>0.6864896661</v>
      </c>
    </row>
    <row r="4839">
      <c r="A4839" s="6">
        <v>4837.0</v>
      </c>
      <c r="B4839" s="17">
        <f t="array" ref="B4839">SUM(1-'Sparkling Model'!D$2:D$38^A4839)</f>
        <v>36.63949626</v>
      </c>
      <c r="C4839" s="8">
        <f t="array" ref="C4839">PRODUCT(1-'Sparkling Model'!D$2:D$38^A4839)</f>
        <v>0.6866402674</v>
      </c>
    </row>
    <row r="4840">
      <c r="A4840" s="6">
        <v>4838.0</v>
      </c>
      <c r="B4840" s="17">
        <f t="array" ref="B4840">SUM(1-'Sparkling Model'!D$2:D$38^A4840)</f>
        <v>36.63969947</v>
      </c>
      <c r="C4840" s="8">
        <f t="array" ref="C4840">PRODUCT(1-'Sparkling Model'!D$2:D$38^A4840)</f>
        <v>0.6867908016</v>
      </c>
    </row>
    <row r="4841">
      <c r="A4841" s="6">
        <v>4839.0</v>
      </c>
      <c r="B4841" s="17">
        <f t="array" ref="B4841">SUM(1-'Sparkling Model'!D$2:D$38^A4841)</f>
        <v>36.63990256</v>
      </c>
      <c r="C4841" s="8">
        <f t="array" ref="C4841">PRODUCT(1-'Sparkling Model'!D$2:D$38^A4841)</f>
        <v>0.6869412688</v>
      </c>
    </row>
    <row r="4842">
      <c r="A4842" s="6">
        <v>4840.0</v>
      </c>
      <c r="B4842" s="17">
        <f t="array" ref="B4842">SUM(1-'Sparkling Model'!D$2:D$38^A4842)</f>
        <v>36.64010552</v>
      </c>
      <c r="C4842" s="8">
        <f t="array" ref="C4842">PRODUCT(1-'Sparkling Model'!D$2:D$38^A4842)</f>
        <v>0.6870916688</v>
      </c>
    </row>
    <row r="4843">
      <c r="A4843" s="6">
        <v>4841.0</v>
      </c>
      <c r="B4843" s="17">
        <f t="array" ref="B4843">SUM(1-'Sparkling Model'!D$2:D$38^A4843)</f>
        <v>36.64030835</v>
      </c>
      <c r="C4843" s="8">
        <f t="array" ref="C4843">PRODUCT(1-'Sparkling Model'!D$2:D$38^A4843)</f>
        <v>0.6872420019</v>
      </c>
    </row>
    <row r="4844">
      <c r="A4844" s="6">
        <v>4842.0</v>
      </c>
      <c r="B4844" s="17">
        <f t="array" ref="B4844">SUM(1-'Sparkling Model'!D$2:D$38^A4844)</f>
        <v>36.64051105</v>
      </c>
      <c r="C4844" s="8">
        <f t="array" ref="C4844">PRODUCT(1-'Sparkling Model'!D$2:D$38^A4844)</f>
        <v>0.6873922679</v>
      </c>
    </row>
    <row r="4845">
      <c r="A4845" s="6">
        <v>4843.0</v>
      </c>
      <c r="B4845" s="17">
        <f t="array" ref="B4845">SUM(1-'Sparkling Model'!D$2:D$38^A4845)</f>
        <v>36.64071362</v>
      </c>
      <c r="C4845" s="8">
        <f t="array" ref="C4845">PRODUCT(1-'Sparkling Model'!D$2:D$38^A4845)</f>
        <v>0.6875424669</v>
      </c>
    </row>
    <row r="4846">
      <c r="A4846" s="6">
        <v>4844.0</v>
      </c>
      <c r="B4846" s="17">
        <f t="array" ref="B4846">SUM(1-'Sparkling Model'!D$2:D$38^A4846)</f>
        <v>36.64091607</v>
      </c>
      <c r="C4846" s="8">
        <f t="array" ref="C4846">PRODUCT(1-'Sparkling Model'!D$2:D$38^A4846)</f>
        <v>0.687692599</v>
      </c>
    </row>
    <row r="4847">
      <c r="A4847" s="6">
        <v>4845.0</v>
      </c>
      <c r="B4847" s="17">
        <f t="array" ref="B4847">SUM(1-'Sparkling Model'!D$2:D$38^A4847)</f>
        <v>36.64111838</v>
      </c>
      <c r="C4847" s="8">
        <f t="array" ref="C4847">PRODUCT(1-'Sparkling Model'!D$2:D$38^A4847)</f>
        <v>0.6878426641</v>
      </c>
    </row>
    <row r="4848">
      <c r="A4848" s="6">
        <v>4846.0</v>
      </c>
      <c r="B4848" s="17">
        <f t="array" ref="B4848">SUM(1-'Sparkling Model'!D$2:D$38^A4848)</f>
        <v>36.64132057</v>
      </c>
      <c r="C4848" s="8">
        <f t="array" ref="C4848">PRODUCT(1-'Sparkling Model'!D$2:D$38^A4848)</f>
        <v>0.6879926623</v>
      </c>
    </row>
    <row r="4849">
      <c r="A4849" s="6">
        <v>4847.0</v>
      </c>
      <c r="B4849" s="17">
        <f t="array" ref="B4849">SUM(1-'Sparkling Model'!D$2:D$38^A4849)</f>
        <v>36.64152263</v>
      </c>
      <c r="C4849" s="8">
        <f t="array" ref="C4849">PRODUCT(1-'Sparkling Model'!D$2:D$38^A4849)</f>
        <v>0.6881425936</v>
      </c>
    </row>
    <row r="4850">
      <c r="A4850" s="6">
        <v>4848.0</v>
      </c>
      <c r="B4850" s="17">
        <f t="array" ref="B4850">SUM(1-'Sparkling Model'!D$2:D$38^A4850)</f>
        <v>36.64172457</v>
      </c>
      <c r="C4850" s="8">
        <f t="array" ref="C4850">PRODUCT(1-'Sparkling Model'!D$2:D$38^A4850)</f>
        <v>0.688292458</v>
      </c>
    </row>
    <row r="4851">
      <c r="A4851" s="6">
        <v>4849.0</v>
      </c>
      <c r="B4851" s="17">
        <f t="array" ref="B4851">SUM(1-'Sparkling Model'!D$2:D$38^A4851)</f>
        <v>36.64192637</v>
      </c>
      <c r="C4851" s="8">
        <f t="array" ref="C4851">PRODUCT(1-'Sparkling Model'!D$2:D$38^A4851)</f>
        <v>0.6884422555</v>
      </c>
    </row>
    <row r="4852">
      <c r="A4852" s="6">
        <v>4850.0</v>
      </c>
      <c r="B4852" s="17">
        <f t="array" ref="B4852">SUM(1-'Sparkling Model'!D$2:D$38^A4852)</f>
        <v>36.64212805</v>
      </c>
      <c r="C4852" s="8">
        <f t="array" ref="C4852">PRODUCT(1-'Sparkling Model'!D$2:D$38^A4852)</f>
        <v>0.6885919862</v>
      </c>
    </row>
    <row r="4853">
      <c r="A4853" s="6">
        <v>4851.0</v>
      </c>
      <c r="B4853" s="17">
        <f t="array" ref="B4853">SUM(1-'Sparkling Model'!D$2:D$38^A4853)</f>
        <v>36.6423296</v>
      </c>
      <c r="C4853" s="8">
        <f t="array" ref="C4853">PRODUCT(1-'Sparkling Model'!D$2:D$38^A4853)</f>
        <v>0.6887416501</v>
      </c>
    </row>
    <row r="4854">
      <c r="A4854" s="6">
        <v>4852.0</v>
      </c>
      <c r="B4854" s="17">
        <f t="array" ref="B4854">SUM(1-'Sparkling Model'!D$2:D$38^A4854)</f>
        <v>36.64253102</v>
      </c>
      <c r="C4854" s="8">
        <f t="array" ref="C4854">PRODUCT(1-'Sparkling Model'!D$2:D$38^A4854)</f>
        <v>0.6888912472</v>
      </c>
    </row>
    <row r="4855">
      <c r="A4855" s="6">
        <v>4853.0</v>
      </c>
      <c r="B4855" s="17">
        <f t="array" ref="B4855">SUM(1-'Sparkling Model'!D$2:D$38^A4855)</f>
        <v>36.64273232</v>
      </c>
      <c r="C4855" s="8">
        <f t="array" ref="C4855">PRODUCT(1-'Sparkling Model'!D$2:D$38^A4855)</f>
        <v>0.6890407775</v>
      </c>
    </row>
    <row r="4856">
      <c r="A4856" s="6">
        <v>4854.0</v>
      </c>
      <c r="B4856" s="17">
        <f t="array" ref="B4856">SUM(1-'Sparkling Model'!D$2:D$38^A4856)</f>
        <v>36.64293349</v>
      </c>
      <c r="C4856" s="8">
        <f t="array" ref="C4856">PRODUCT(1-'Sparkling Model'!D$2:D$38^A4856)</f>
        <v>0.6891902411</v>
      </c>
    </row>
    <row r="4857">
      <c r="A4857" s="6">
        <v>4855.0</v>
      </c>
      <c r="B4857" s="17">
        <f t="array" ref="B4857">SUM(1-'Sparkling Model'!D$2:D$38^A4857)</f>
        <v>36.64313453</v>
      </c>
      <c r="C4857" s="8">
        <f t="array" ref="C4857">PRODUCT(1-'Sparkling Model'!D$2:D$38^A4857)</f>
        <v>0.6893396379</v>
      </c>
    </row>
    <row r="4858">
      <c r="A4858" s="6">
        <v>4856.0</v>
      </c>
      <c r="B4858" s="17">
        <f t="array" ref="B4858">SUM(1-'Sparkling Model'!D$2:D$38^A4858)</f>
        <v>36.64333544</v>
      </c>
      <c r="C4858" s="8">
        <f t="array" ref="C4858">PRODUCT(1-'Sparkling Model'!D$2:D$38^A4858)</f>
        <v>0.6894889681</v>
      </c>
    </row>
    <row r="4859">
      <c r="A4859" s="6">
        <v>4857.0</v>
      </c>
      <c r="B4859" s="17">
        <f t="array" ref="B4859">SUM(1-'Sparkling Model'!D$2:D$38^A4859)</f>
        <v>36.64353623</v>
      </c>
      <c r="C4859" s="8">
        <f t="array" ref="C4859">PRODUCT(1-'Sparkling Model'!D$2:D$38^A4859)</f>
        <v>0.6896382315</v>
      </c>
    </row>
    <row r="4860">
      <c r="A4860" s="6">
        <v>4858.0</v>
      </c>
      <c r="B4860" s="17">
        <f t="array" ref="B4860">SUM(1-'Sparkling Model'!D$2:D$38^A4860)</f>
        <v>36.64373689</v>
      </c>
      <c r="C4860" s="8">
        <f t="array" ref="C4860">PRODUCT(1-'Sparkling Model'!D$2:D$38^A4860)</f>
        <v>0.6897874283</v>
      </c>
    </row>
    <row r="4861">
      <c r="A4861" s="6">
        <v>4859.0</v>
      </c>
      <c r="B4861" s="17">
        <f t="array" ref="B4861">SUM(1-'Sparkling Model'!D$2:D$38^A4861)</f>
        <v>36.64393742</v>
      </c>
      <c r="C4861" s="8">
        <f t="array" ref="C4861">PRODUCT(1-'Sparkling Model'!D$2:D$38^A4861)</f>
        <v>0.6899365584</v>
      </c>
    </row>
    <row r="4862">
      <c r="A4862" s="6">
        <v>4860.0</v>
      </c>
      <c r="B4862" s="17">
        <f t="array" ref="B4862">SUM(1-'Sparkling Model'!D$2:D$38^A4862)</f>
        <v>36.64413783</v>
      </c>
      <c r="C4862" s="8">
        <f t="array" ref="C4862">PRODUCT(1-'Sparkling Model'!D$2:D$38^A4862)</f>
        <v>0.6900856219</v>
      </c>
    </row>
    <row r="4863">
      <c r="A4863" s="6">
        <v>4861.0</v>
      </c>
      <c r="B4863" s="17">
        <f t="array" ref="B4863">SUM(1-'Sparkling Model'!D$2:D$38^A4863)</f>
        <v>36.64433811</v>
      </c>
      <c r="C4863" s="8">
        <f t="array" ref="C4863">PRODUCT(1-'Sparkling Model'!D$2:D$38^A4863)</f>
        <v>0.6902346188</v>
      </c>
    </row>
    <row r="4864">
      <c r="A4864" s="6">
        <v>4862.0</v>
      </c>
      <c r="B4864" s="17">
        <f t="array" ref="B4864">SUM(1-'Sparkling Model'!D$2:D$38^A4864)</f>
        <v>36.64453826</v>
      </c>
      <c r="C4864" s="8">
        <f t="array" ref="C4864">PRODUCT(1-'Sparkling Model'!D$2:D$38^A4864)</f>
        <v>0.6903835492</v>
      </c>
    </row>
    <row r="4865">
      <c r="A4865" s="6">
        <v>4863.0</v>
      </c>
      <c r="B4865" s="17">
        <f t="array" ref="B4865">SUM(1-'Sparkling Model'!D$2:D$38^A4865)</f>
        <v>36.64473829</v>
      </c>
      <c r="C4865" s="8">
        <f t="array" ref="C4865">PRODUCT(1-'Sparkling Model'!D$2:D$38^A4865)</f>
        <v>0.6905324129</v>
      </c>
    </row>
    <row r="4866">
      <c r="A4866" s="6">
        <v>4864.0</v>
      </c>
      <c r="B4866" s="17">
        <f t="array" ref="B4866">SUM(1-'Sparkling Model'!D$2:D$38^A4866)</f>
        <v>36.64493819</v>
      </c>
      <c r="C4866" s="8">
        <f t="array" ref="C4866">PRODUCT(1-'Sparkling Model'!D$2:D$38^A4866)</f>
        <v>0.6906812102</v>
      </c>
    </row>
    <row r="4867">
      <c r="A4867" s="6">
        <v>4865.0</v>
      </c>
      <c r="B4867" s="17">
        <f t="array" ref="B4867">SUM(1-'Sparkling Model'!D$2:D$38^A4867)</f>
        <v>36.64513797</v>
      </c>
      <c r="C4867" s="8">
        <f t="array" ref="C4867">PRODUCT(1-'Sparkling Model'!D$2:D$38^A4867)</f>
        <v>0.6908299409</v>
      </c>
    </row>
    <row r="4868">
      <c r="A4868" s="6">
        <v>4866.0</v>
      </c>
      <c r="B4868" s="17">
        <f t="array" ref="B4868">SUM(1-'Sparkling Model'!D$2:D$38^A4868)</f>
        <v>36.64533762</v>
      </c>
      <c r="C4868" s="8">
        <f t="array" ref="C4868">PRODUCT(1-'Sparkling Model'!D$2:D$38^A4868)</f>
        <v>0.6909786052</v>
      </c>
    </row>
    <row r="4869">
      <c r="A4869" s="6">
        <v>4867.0</v>
      </c>
      <c r="B4869" s="17">
        <f t="array" ref="B4869">SUM(1-'Sparkling Model'!D$2:D$38^A4869)</f>
        <v>36.64553714</v>
      </c>
      <c r="C4869" s="8">
        <f t="array" ref="C4869">PRODUCT(1-'Sparkling Model'!D$2:D$38^A4869)</f>
        <v>0.691127203</v>
      </c>
    </row>
    <row r="4870">
      <c r="A4870" s="6">
        <v>4868.0</v>
      </c>
      <c r="B4870" s="17">
        <f t="array" ref="B4870">SUM(1-'Sparkling Model'!D$2:D$38^A4870)</f>
        <v>36.64573654</v>
      </c>
      <c r="C4870" s="8">
        <f t="array" ref="C4870">PRODUCT(1-'Sparkling Model'!D$2:D$38^A4870)</f>
        <v>0.6912757343</v>
      </c>
    </row>
    <row r="4871">
      <c r="A4871" s="6">
        <v>4869.0</v>
      </c>
      <c r="B4871" s="17">
        <f t="array" ref="B4871">SUM(1-'Sparkling Model'!D$2:D$38^A4871)</f>
        <v>36.64593581</v>
      </c>
      <c r="C4871" s="8">
        <f t="array" ref="C4871">PRODUCT(1-'Sparkling Model'!D$2:D$38^A4871)</f>
        <v>0.6914241992</v>
      </c>
    </row>
    <row r="4872">
      <c r="A4872" s="6">
        <v>4870.0</v>
      </c>
      <c r="B4872" s="17">
        <f t="array" ref="B4872">SUM(1-'Sparkling Model'!D$2:D$38^A4872)</f>
        <v>36.64613495</v>
      </c>
      <c r="C4872" s="8">
        <f t="array" ref="C4872">PRODUCT(1-'Sparkling Model'!D$2:D$38^A4872)</f>
        <v>0.6915725977</v>
      </c>
    </row>
    <row r="4873">
      <c r="A4873" s="6">
        <v>4871.0</v>
      </c>
      <c r="B4873" s="17">
        <f t="array" ref="B4873">SUM(1-'Sparkling Model'!D$2:D$38^A4873)</f>
        <v>36.64633397</v>
      </c>
      <c r="C4873" s="8">
        <f t="array" ref="C4873">PRODUCT(1-'Sparkling Model'!D$2:D$38^A4873)</f>
        <v>0.6917209298</v>
      </c>
    </row>
    <row r="4874">
      <c r="A4874" s="6">
        <v>4872.0</v>
      </c>
      <c r="B4874" s="17">
        <f t="array" ref="B4874">SUM(1-'Sparkling Model'!D$2:D$38^A4874)</f>
        <v>36.64653287</v>
      </c>
      <c r="C4874" s="8">
        <f t="array" ref="C4874">PRODUCT(1-'Sparkling Model'!D$2:D$38^A4874)</f>
        <v>0.6918691956</v>
      </c>
    </row>
    <row r="4875">
      <c r="A4875" s="6">
        <v>4873.0</v>
      </c>
      <c r="B4875" s="17">
        <f t="array" ref="B4875">SUM(1-'Sparkling Model'!D$2:D$38^A4875)</f>
        <v>36.64673164</v>
      </c>
      <c r="C4875" s="8">
        <f t="array" ref="C4875">PRODUCT(1-'Sparkling Model'!D$2:D$38^A4875)</f>
        <v>0.6920173951</v>
      </c>
    </row>
    <row r="4876">
      <c r="A4876" s="6">
        <v>4874.0</v>
      </c>
      <c r="B4876" s="17">
        <f t="array" ref="B4876">SUM(1-'Sparkling Model'!D$2:D$38^A4876)</f>
        <v>36.64693028</v>
      </c>
      <c r="C4876" s="8">
        <f t="array" ref="C4876">PRODUCT(1-'Sparkling Model'!D$2:D$38^A4876)</f>
        <v>0.6921655282</v>
      </c>
    </row>
    <row r="4877">
      <c r="A4877" s="6">
        <v>4875.0</v>
      </c>
      <c r="B4877" s="17">
        <f t="array" ref="B4877">SUM(1-'Sparkling Model'!D$2:D$38^A4877)</f>
        <v>36.6471288</v>
      </c>
      <c r="C4877" s="8">
        <f t="array" ref="C4877">PRODUCT(1-'Sparkling Model'!D$2:D$38^A4877)</f>
        <v>0.692313595</v>
      </c>
    </row>
    <row r="4878">
      <c r="A4878" s="6">
        <v>4876.0</v>
      </c>
      <c r="B4878" s="17">
        <f t="array" ref="B4878">SUM(1-'Sparkling Model'!D$2:D$38^A4878)</f>
        <v>36.64732719</v>
      </c>
      <c r="C4878" s="8">
        <f t="array" ref="C4878">PRODUCT(1-'Sparkling Model'!D$2:D$38^A4878)</f>
        <v>0.6924615956</v>
      </c>
    </row>
    <row r="4879">
      <c r="A4879" s="6">
        <v>4877.0</v>
      </c>
      <c r="B4879" s="17">
        <f t="array" ref="B4879">SUM(1-'Sparkling Model'!D$2:D$38^A4879)</f>
        <v>36.64752546</v>
      </c>
      <c r="C4879" s="8">
        <f t="array" ref="C4879">PRODUCT(1-'Sparkling Model'!D$2:D$38^A4879)</f>
        <v>0.6926095299</v>
      </c>
    </row>
    <row r="4880">
      <c r="A4880" s="6">
        <v>4878.0</v>
      </c>
      <c r="B4880" s="17">
        <f t="array" ref="B4880">SUM(1-'Sparkling Model'!D$2:D$38^A4880)</f>
        <v>36.6477236</v>
      </c>
      <c r="C4880" s="8">
        <f t="array" ref="C4880">PRODUCT(1-'Sparkling Model'!D$2:D$38^A4880)</f>
        <v>0.692757398</v>
      </c>
    </row>
    <row r="4881">
      <c r="A4881" s="6">
        <v>4879.0</v>
      </c>
      <c r="B4881" s="17">
        <f t="array" ref="B4881">SUM(1-'Sparkling Model'!D$2:D$38^A4881)</f>
        <v>36.64792162</v>
      </c>
      <c r="C4881" s="8">
        <f t="array" ref="C4881">PRODUCT(1-'Sparkling Model'!D$2:D$38^A4881)</f>
        <v>0.6929051999</v>
      </c>
    </row>
    <row r="4882">
      <c r="A4882" s="6">
        <v>4880.0</v>
      </c>
      <c r="B4882" s="17">
        <f t="array" ref="B4882">SUM(1-'Sparkling Model'!D$2:D$38^A4882)</f>
        <v>36.64811952</v>
      </c>
      <c r="C4882" s="8">
        <f t="array" ref="C4882">PRODUCT(1-'Sparkling Model'!D$2:D$38^A4882)</f>
        <v>0.6930529356</v>
      </c>
    </row>
    <row r="4883">
      <c r="A4883" s="6">
        <v>4881.0</v>
      </c>
      <c r="B4883" s="17">
        <f t="array" ref="B4883">SUM(1-'Sparkling Model'!D$2:D$38^A4883)</f>
        <v>36.64831729</v>
      </c>
      <c r="C4883" s="8">
        <f t="array" ref="C4883">PRODUCT(1-'Sparkling Model'!D$2:D$38^A4883)</f>
        <v>0.6932006051</v>
      </c>
    </row>
    <row r="4884">
      <c r="A4884" s="6">
        <v>4882.0</v>
      </c>
      <c r="B4884" s="17">
        <f t="array" ref="B4884">SUM(1-'Sparkling Model'!D$2:D$38^A4884)</f>
        <v>36.64851493</v>
      </c>
      <c r="C4884" s="8">
        <f t="array" ref="C4884">PRODUCT(1-'Sparkling Model'!D$2:D$38^A4884)</f>
        <v>0.6933482085</v>
      </c>
    </row>
    <row r="4885">
      <c r="A4885" s="6">
        <v>4883.0</v>
      </c>
      <c r="B4885" s="17">
        <f t="array" ref="B4885">SUM(1-'Sparkling Model'!D$2:D$38^A4885)</f>
        <v>36.64871245</v>
      </c>
      <c r="C4885" s="8">
        <f t="array" ref="C4885">PRODUCT(1-'Sparkling Model'!D$2:D$38^A4885)</f>
        <v>0.6934957458</v>
      </c>
    </row>
    <row r="4886">
      <c r="A4886" s="6">
        <v>4884.0</v>
      </c>
      <c r="B4886" s="17">
        <f t="array" ref="B4886">SUM(1-'Sparkling Model'!D$2:D$38^A4886)</f>
        <v>36.64890985</v>
      </c>
      <c r="C4886" s="8">
        <f t="array" ref="C4886">PRODUCT(1-'Sparkling Model'!D$2:D$38^A4886)</f>
        <v>0.693643217</v>
      </c>
    </row>
    <row r="4887">
      <c r="A4887" s="6">
        <v>4885.0</v>
      </c>
      <c r="B4887" s="17">
        <f t="array" ref="B4887">SUM(1-'Sparkling Model'!D$2:D$38^A4887)</f>
        <v>36.64910712</v>
      </c>
      <c r="C4887" s="8">
        <f t="array" ref="C4887">PRODUCT(1-'Sparkling Model'!D$2:D$38^A4887)</f>
        <v>0.6937906222</v>
      </c>
    </row>
    <row r="4888">
      <c r="A4888" s="6">
        <v>4886.0</v>
      </c>
      <c r="B4888" s="17">
        <f t="array" ref="B4888">SUM(1-'Sparkling Model'!D$2:D$38^A4888)</f>
        <v>36.64930427</v>
      </c>
      <c r="C4888" s="8">
        <f t="array" ref="C4888">PRODUCT(1-'Sparkling Model'!D$2:D$38^A4888)</f>
        <v>0.6939379613</v>
      </c>
    </row>
    <row r="4889">
      <c r="A4889" s="6">
        <v>4887.0</v>
      </c>
      <c r="B4889" s="17">
        <f t="array" ref="B4889">SUM(1-'Sparkling Model'!D$2:D$38^A4889)</f>
        <v>36.64950129</v>
      </c>
      <c r="C4889" s="8">
        <f t="array" ref="C4889">PRODUCT(1-'Sparkling Model'!D$2:D$38^A4889)</f>
        <v>0.6940852343</v>
      </c>
    </row>
    <row r="4890">
      <c r="A4890" s="6">
        <v>4888.0</v>
      </c>
      <c r="B4890" s="17">
        <f t="array" ref="B4890">SUM(1-'Sparkling Model'!D$2:D$38^A4890)</f>
        <v>36.64969819</v>
      </c>
      <c r="C4890" s="8">
        <f t="array" ref="C4890">PRODUCT(1-'Sparkling Model'!D$2:D$38^A4890)</f>
        <v>0.6942324414</v>
      </c>
    </row>
    <row r="4891">
      <c r="A4891" s="6">
        <v>4889.0</v>
      </c>
      <c r="B4891" s="17">
        <f t="array" ref="B4891">SUM(1-'Sparkling Model'!D$2:D$38^A4891)</f>
        <v>36.64989496</v>
      </c>
      <c r="C4891" s="8">
        <f t="array" ref="C4891">PRODUCT(1-'Sparkling Model'!D$2:D$38^A4891)</f>
        <v>0.6943795824</v>
      </c>
    </row>
    <row r="4892">
      <c r="A4892" s="6">
        <v>4890.0</v>
      </c>
      <c r="B4892" s="17">
        <f t="array" ref="B4892">SUM(1-'Sparkling Model'!D$2:D$38^A4892)</f>
        <v>36.65009162</v>
      </c>
      <c r="C4892" s="8">
        <f t="array" ref="C4892">PRODUCT(1-'Sparkling Model'!D$2:D$38^A4892)</f>
        <v>0.6945266575</v>
      </c>
    </row>
    <row r="4893">
      <c r="A4893" s="6">
        <v>4891.0</v>
      </c>
      <c r="B4893" s="17">
        <f t="array" ref="B4893">SUM(1-'Sparkling Model'!D$2:D$38^A4893)</f>
        <v>36.65028814</v>
      </c>
      <c r="C4893" s="8">
        <f t="array" ref="C4893">PRODUCT(1-'Sparkling Model'!D$2:D$38^A4893)</f>
        <v>0.6946736667</v>
      </c>
    </row>
    <row r="4894">
      <c r="A4894" s="6">
        <v>4892.0</v>
      </c>
      <c r="B4894" s="17">
        <f t="array" ref="B4894">SUM(1-'Sparkling Model'!D$2:D$38^A4894)</f>
        <v>36.65048455</v>
      </c>
      <c r="C4894" s="8">
        <f t="array" ref="C4894">PRODUCT(1-'Sparkling Model'!D$2:D$38^A4894)</f>
        <v>0.69482061</v>
      </c>
    </row>
    <row r="4895">
      <c r="A4895" s="6">
        <v>4893.0</v>
      </c>
      <c r="B4895" s="17">
        <f t="array" ref="B4895">SUM(1-'Sparkling Model'!D$2:D$38^A4895)</f>
        <v>36.65068083</v>
      </c>
      <c r="C4895" s="8">
        <f t="array" ref="C4895">PRODUCT(1-'Sparkling Model'!D$2:D$38^A4895)</f>
        <v>0.6949674873</v>
      </c>
    </row>
    <row r="4896">
      <c r="A4896" s="6">
        <v>4894.0</v>
      </c>
      <c r="B4896" s="17">
        <f t="array" ref="B4896">SUM(1-'Sparkling Model'!D$2:D$38^A4896)</f>
        <v>36.65087699</v>
      </c>
      <c r="C4896" s="8">
        <f t="array" ref="C4896">PRODUCT(1-'Sparkling Model'!D$2:D$38^A4896)</f>
        <v>0.6951142988</v>
      </c>
    </row>
    <row r="4897">
      <c r="A4897" s="6">
        <v>4895.0</v>
      </c>
      <c r="B4897" s="17">
        <f t="array" ref="B4897">SUM(1-'Sparkling Model'!D$2:D$38^A4897)</f>
        <v>36.65107302</v>
      </c>
      <c r="C4897" s="8">
        <f t="array" ref="C4897">PRODUCT(1-'Sparkling Model'!D$2:D$38^A4897)</f>
        <v>0.6952610444</v>
      </c>
    </row>
    <row r="4898">
      <c r="A4898" s="6">
        <v>4896.0</v>
      </c>
      <c r="B4898" s="17">
        <f t="array" ref="B4898">SUM(1-'Sparkling Model'!D$2:D$38^A4898)</f>
        <v>36.65126893</v>
      </c>
      <c r="C4898" s="8">
        <f t="array" ref="C4898">PRODUCT(1-'Sparkling Model'!D$2:D$38^A4898)</f>
        <v>0.6954077242</v>
      </c>
    </row>
    <row r="4899">
      <c r="A4899" s="6">
        <v>4897.0</v>
      </c>
      <c r="B4899" s="17">
        <f t="array" ref="B4899">SUM(1-'Sparkling Model'!D$2:D$38^A4899)</f>
        <v>36.65146472</v>
      </c>
      <c r="C4899" s="8">
        <f t="array" ref="C4899">PRODUCT(1-'Sparkling Model'!D$2:D$38^A4899)</f>
        <v>0.6955543382</v>
      </c>
    </row>
    <row r="4900">
      <c r="A4900" s="6">
        <v>4898.0</v>
      </c>
      <c r="B4900" s="17">
        <f t="array" ref="B4900">SUM(1-'Sparkling Model'!D$2:D$38^A4900)</f>
        <v>36.65166038</v>
      </c>
      <c r="C4900" s="8">
        <f t="array" ref="C4900">PRODUCT(1-'Sparkling Model'!D$2:D$38^A4900)</f>
        <v>0.6957008864</v>
      </c>
    </row>
    <row r="4901">
      <c r="A4901" s="6">
        <v>4899.0</v>
      </c>
      <c r="B4901" s="17">
        <f t="array" ref="B4901">SUM(1-'Sparkling Model'!D$2:D$38^A4901)</f>
        <v>36.65185593</v>
      </c>
      <c r="C4901" s="8">
        <f t="array" ref="C4901">PRODUCT(1-'Sparkling Model'!D$2:D$38^A4901)</f>
        <v>0.6958473689</v>
      </c>
    </row>
    <row r="4902">
      <c r="A4902" s="6">
        <v>4900.0</v>
      </c>
      <c r="B4902" s="17">
        <f t="array" ref="B4902">SUM(1-'Sparkling Model'!D$2:D$38^A4902)</f>
        <v>36.65205135</v>
      </c>
      <c r="C4902" s="8">
        <f t="array" ref="C4902">PRODUCT(1-'Sparkling Model'!D$2:D$38^A4902)</f>
        <v>0.6959937856</v>
      </c>
    </row>
    <row r="4903">
      <c r="A4903" s="6">
        <v>4901.0</v>
      </c>
      <c r="B4903" s="17">
        <f t="array" ref="B4903">SUM(1-'Sparkling Model'!D$2:D$38^A4903)</f>
        <v>36.65224664</v>
      </c>
      <c r="C4903" s="8">
        <f t="array" ref="C4903">PRODUCT(1-'Sparkling Model'!D$2:D$38^A4903)</f>
        <v>0.6961401366</v>
      </c>
    </row>
    <row r="4904">
      <c r="A4904" s="6">
        <v>4902.0</v>
      </c>
      <c r="B4904" s="17">
        <f t="array" ref="B4904">SUM(1-'Sparkling Model'!D$2:D$38^A4904)</f>
        <v>36.65244181</v>
      </c>
      <c r="C4904" s="8">
        <f t="array" ref="C4904">PRODUCT(1-'Sparkling Model'!D$2:D$38^A4904)</f>
        <v>0.6962864219</v>
      </c>
    </row>
    <row r="4905">
      <c r="A4905" s="6">
        <v>4903.0</v>
      </c>
      <c r="B4905" s="17">
        <f t="array" ref="B4905">SUM(1-'Sparkling Model'!D$2:D$38^A4905)</f>
        <v>36.65263687</v>
      </c>
      <c r="C4905" s="8">
        <f t="array" ref="C4905">PRODUCT(1-'Sparkling Model'!D$2:D$38^A4905)</f>
        <v>0.6964326415</v>
      </c>
    </row>
    <row r="4906">
      <c r="A4906" s="6">
        <v>4904.0</v>
      </c>
      <c r="B4906" s="17">
        <f t="array" ref="B4906">SUM(1-'Sparkling Model'!D$2:D$38^A4906)</f>
        <v>36.65283179</v>
      </c>
      <c r="C4906" s="8">
        <f t="array" ref="C4906">PRODUCT(1-'Sparkling Model'!D$2:D$38^A4906)</f>
        <v>0.6965787955</v>
      </c>
    </row>
    <row r="4907">
      <c r="A4907" s="6">
        <v>4905.0</v>
      </c>
      <c r="B4907" s="17">
        <f t="array" ref="B4907">SUM(1-'Sparkling Model'!D$2:D$38^A4907)</f>
        <v>36.6530266</v>
      </c>
      <c r="C4907" s="8">
        <f t="array" ref="C4907">PRODUCT(1-'Sparkling Model'!D$2:D$38^A4907)</f>
        <v>0.6967248839</v>
      </c>
    </row>
    <row r="4908">
      <c r="A4908" s="6">
        <v>4906.0</v>
      </c>
      <c r="B4908" s="17">
        <f t="array" ref="B4908">SUM(1-'Sparkling Model'!D$2:D$38^A4908)</f>
        <v>36.65322128</v>
      </c>
      <c r="C4908" s="8">
        <f t="array" ref="C4908">PRODUCT(1-'Sparkling Model'!D$2:D$38^A4908)</f>
        <v>0.6968709066</v>
      </c>
    </row>
    <row r="4909">
      <c r="A4909" s="6">
        <v>4907.0</v>
      </c>
      <c r="B4909" s="17">
        <f t="array" ref="B4909">SUM(1-'Sparkling Model'!D$2:D$38^A4909)</f>
        <v>36.65341584</v>
      </c>
      <c r="C4909" s="8">
        <f t="array" ref="C4909">PRODUCT(1-'Sparkling Model'!D$2:D$38^A4909)</f>
        <v>0.6970168638</v>
      </c>
    </row>
    <row r="4910">
      <c r="A4910" s="6">
        <v>4908.0</v>
      </c>
      <c r="B4910" s="17">
        <f t="array" ref="B4910">SUM(1-'Sparkling Model'!D$2:D$38^A4910)</f>
        <v>36.65361028</v>
      </c>
      <c r="C4910" s="8">
        <f t="array" ref="C4910">PRODUCT(1-'Sparkling Model'!D$2:D$38^A4910)</f>
        <v>0.6971627554</v>
      </c>
    </row>
    <row r="4911">
      <c r="A4911" s="6">
        <v>4909.0</v>
      </c>
      <c r="B4911" s="17">
        <f t="array" ref="B4911">SUM(1-'Sparkling Model'!D$2:D$38^A4911)</f>
        <v>36.6538046</v>
      </c>
      <c r="C4911" s="8">
        <f t="array" ref="C4911">PRODUCT(1-'Sparkling Model'!D$2:D$38^A4911)</f>
        <v>0.6973085814</v>
      </c>
    </row>
    <row r="4912">
      <c r="A4912" s="6">
        <v>4910.0</v>
      </c>
      <c r="B4912" s="17">
        <f t="array" ref="B4912">SUM(1-'Sparkling Model'!D$2:D$38^A4912)</f>
        <v>36.6539988</v>
      </c>
      <c r="C4912" s="8">
        <f t="array" ref="C4912">PRODUCT(1-'Sparkling Model'!D$2:D$38^A4912)</f>
        <v>0.6974543419</v>
      </c>
    </row>
    <row r="4913">
      <c r="A4913" s="6">
        <v>4911.0</v>
      </c>
      <c r="B4913" s="17">
        <f t="array" ref="B4913">SUM(1-'Sparkling Model'!D$2:D$38^A4913)</f>
        <v>36.65419287</v>
      </c>
      <c r="C4913" s="8">
        <f t="array" ref="C4913">PRODUCT(1-'Sparkling Model'!D$2:D$38^A4913)</f>
        <v>0.697600037</v>
      </c>
    </row>
    <row r="4914">
      <c r="A4914" s="6">
        <v>4912.0</v>
      </c>
      <c r="B4914" s="17">
        <f t="array" ref="B4914">SUM(1-'Sparkling Model'!D$2:D$38^A4914)</f>
        <v>36.65438682</v>
      </c>
      <c r="C4914" s="8">
        <f t="array" ref="C4914">PRODUCT(1-'Sparkling Model'!D$2:D$38^A4914)</f>
        <v>0.6977456666</v>
      </c>
    </row>
    <row r="4915">
      <c r="A4915" s="6">
        <v>4913.0</v>
      </c>
      <c r="B4915" s="17">
        <f t="array" ref="B4915">SUM(1-'Sparkling Model'!D$2:D$38^A4915)</f>
        <v>36.65458065</v>
      </c>
      <c r="C4915" s="8">
        <f t="array" ref="C4915">PRODUCT(1-'Sparkling Model'!D$2:D$38^A4915)</f>
        <v>0.6978912307</v>
      </c>
    </row>
    <row r="4916">
      <c r="A4916" s="6">
        <v>4914.0</v>
      </c>
      <c r="B4916" s="17">
        <f t="array" ref="B4916">SUM(1-'Sparkling Model'!D$2:D$38^A4916)</f>
        <v>36.65477436</v>
      </c>
      <c r="C4916" s="8">
        <f t="array" ref="C4916">PRODUCT(1-'Sparkling Model'!D$2:D$38^A4916)</f>
        <v>0.6980367294</v>
      </c>
    </row>
    <row r="4917">
      <c r="A4917" s="6">
        <v>4915.0</v>
      </c>
      <c r="B4917" s="17">
        <f t="array" ref="B4917">SUM(1-'Sparkling Model'!D$2:D$38^A4917)</f>
        <v>36.65496795</v>
      </c>
      <c r="C4917" s="8">
        <f t="array" ref="C4917">PRODUCT(1-'Sparkling Model'!D$2:D$38^A4917)</f>
        <v>0.6981821626</v>
      </c>
    </row>
    <row r="4918">
      <c r="A4918" s="6">
        <v>4916.0</v>
      </c>
      <c r="B4918" s="17">
        <f t="array" ref="B4918">SUM(1-'Sparkling Model'!D$2:D$38^A4918)</f>
        <v>36.65516141</v>
      </c>
      <c r="C4918" s="8">
        <f t="array" ref="C4918">PRODUCT(1-'Sparkling Model'!D$2:D$38^A4918)</f>
        <v>0.6983275305</v>
      </c>
    </row>
    <row r="4919">
      <c r="A4919" s="6">
        <v>4917.0</v>
      </c>
      <c r="B4919" s="17">
        <f t="array" ref="B4919">SUM(1-'Sparkling Model'!D$2:D$38^A4919)</f>
        <v>36.65535476</v>
      </c>
      <c r="C4919" s="8">
        <f t="array" ref="C4919">PRODUCT(1-'Sparkling Model'!D$2:D$38^A4919)</f>
        <v>0.6984728331</v>
      </c>
    </row>
    <row r="4920">
      <c r="A4920" s="6">
        <v>4918.0</v>
      </c>
      <c r="B4920" s="17">
        <f t="array" ref="B4920">SUM(1-'Sparkling Model'!D$2:D$38^A4920)</f>
        <v>36.65554798</v>
      </c>
      <c r="C4920" s="8">
        <f t="array" ref="C4920">PRODUCT(1-'Sparkling Model'!D$2:D$38^A4920)</f>
        <v>0.6986180702</v>
      </c>
    </row>
    <row r="4921">
      <c r="A4921" s="6">
        <v>4919.0</v>
      </c>
      <c r="B4921" s="17">
        <f t="array" ref="B4921">SUM(1-'Sparkling Model'!D$2:D$38^A4921)</f>
        <v>36.65574108</v>
      </c>
      <c r="C4921" s="8">
        <f t="array" ref="C4921">PRODUCT(1-'Sparkling Model'!D$2:D$38^A4921)</f>
        <v>0.6987632421</v>
      </c>
    </row>
    <row r="4922">
      <c r="A4922" s="6">
        <v>4920.0</v>
      </c>
      <c r="B4922" s="17">
        <f t="array" ref="B4922">SUM(1-'Sparkling Model'!D$2:D$38^A4922)</f>
        <v>36.65593406</v>
      </c>
      <c r="C4922" s="8">
        <f t="array" ref="C4922">PRODUCT(1-'Sparkling Model'!D$2:D$38^A4922)</f>
        <v>0.6989083487</v>
      </c>
    </row>
    <row r="4923">
      <c r="A4923" s="6">
        <v>4921.0</v>
      </c>
      <c r="B4923" s="17">
        <f t="array" ref="B4923">SUM(1-'Sparkling Model'!D$2:D$38^A4923)</f>
        <v>36.65612692</v>
      </c>
      <c r="C4923" s="8">
        <f t="array" ref="C4923">PRODUCT(1-'Sparkling Model'!D$2:D$38^A4923)</f>
        <v>0.69905339</v>
      </c>
    </row>
    <row r="4924">
      <c r="A4924" s="6">
        <v>4922.0</v>
      </c>
      <c r="B4924" s="17">
        <f t="array" ref="B4924">SUM(1-'Sparkling Model'!D$2:D$38^A4924)</f>
        <v>36.65631966</v>
      </c>
      <c r="C4924" s="8">
        <f t="array" ref="C4924">PRODUCT(1-'Sparkling Model'!D$2:D$38^A4924)</f>
        <v>0.6991983661</v>
      </c>
    </row>
    <row r="4925">
      <c r="A4925" s="6">
        <v>4923.0</v>
      </c>
      <c r="B4925" s="17">
        <f t="array" ref="B4925">SUM(1-'Sparkling Model'!D$2:D$38^A4925)</f>
        <v>36.65651228</v>
      </c>
      <c r="C4925" s="8">
        <f t="array" ref="C4925">PRODUCT(1-'Sparkling Model'!D$2:D$38^A4925)</f>
        <v>0.6993432769</v>
      </c>
    </row>
    <row r="4926">
      <c r="A4926" s="6">
        <v>4924.0</v>
      </c>
      <c r="B4926" s="17">
        <f t="array" ref="B4926">SUM(1-'Sparkling Model'!D$2:D$38^A4926)</f>
        <v>36.65670478</v>
      </c>
      <c r="C4926" s="8">
        <f t="array" ref="C4926">PRODUCT(1-'Sparkling Model'!D$2:D$38^A4926)</f>
        <v>0.6994881225</v>
      </c>
    </row>
    <row r="4927">
      <c r="A4927" s="6">
        <v>4925.0</v>
      </c>
      <c r="B4927" s="17">
        <f t="array" ref="B4927">SUM(1-'Sparkling Model'!D$2:D$38^A4927)</f>
        <v>36.65689715</v>
      </c>
      <c r="C4927" s="8">
        <f t="array" ref="C4927">PRODUCT(1-'Sparkling Model'!D$2:D$38^A4927)</f>
        <v>0.6996329029</v>
      </c>
    </row>
    <row r="4928">
      <c r="A4928" s="6">
        <v>4926.0</v>
      </c>
      <c r="B4928" s="17">
        <f t="array" ref="B4928">SUM(1-'Sparkling Model'!D$2:D$38^A4928)</f>
        <v>36.65708941</v>
      </c>
      <c r="C4928" s="8">
        <f t="array" ref="C4928">PRODUCT(1-'Sparkling Model'!D$2:D$38^A4928)</f>
        <v>0.6997776182</v>
      </c>
    </row>
    <row r="4929">
      <c r="A4929" s="6">
        <v>4927.0</v>
      </c>
      <c r="B4929" s="17">
        <f t="array" ref="B4929">SUM(1-'Sparkling Model'!D$2:D$38^A4929)</f>
        <v>36.65728155</v>
      </c>
      <c r="C4929" s="8">
        <f t="array" ref="C4929">PRODUCT(1-'Sparkling Model'!D$2:D$38^A4929)</f>
        <v>0.6999222683</v>
      </c>
    </row>
    <row r="4930">
      <c r="A4930" s="6">
        <v>4928.0</v>
      </c>
      <c r="B4930" s="17">
        <f t="array" ref="B4930">SUM(1-'Sparkling Model'!D$2:D$38^A4930)</f>
        <v>36.65747356</v>
      </c>
      <c r="C4930" s="8">
        <f t="array" ref="C4930">PRODUCT(1-'Sparkling Model'!D$2:D$38^A4930)</f>
        <v>0.7000668533</v>
      </c>
    </row>
    <row r="4931">
      <c r="A4931" s="6">
        <v>4929.0</v>
      </c>
      <c r="B4931" s="17">
        <f t="array" ref="B4931">SUM(1-'Sparkling Model'!D$2:D$38^A4931)</f>
        <v>36.65766546</v>
      </c>
      <c r="C4931" s="8">
        <f t="array" ref="C4931">PRODUCT(1-'Sparkling Model'!D$2:D$38^A4931)</f>
        <v>0.7002113732</v>
      </c>
    </row>
    <row r="4932">
      <c r="A4932" s="6">
        <v>4930.0</v>
      </c>
      <c r="B4932" s="17">
        <f t="array" ref="B4932">SUM(1-'Sparkling Model'!D$2:D$38^A4932)</f>
        <v>36.65785723</v>
      </c>
      <c r="C4932" s="8">
        <f t="array" ref="C4932">PRODUCT(1-'Sparkling Model'!D$2:D$38^A4932)</f>
        <v>0.7003558281</v>
      </c>
    </row>
    <row r="4933">
      <c r="A4933" s="6">
        <v>4931.0</v>
      </c>
      <c r="B4933" s="17">
        <f t="array" ref="B4933">SUM(1-'Sparkling Model'!D$2:D$38^A4933)</f>
        <v>36.65804889</v>
      </c>
      <c r="C4933" s="8">
        <f t="array" ref="C4933">PRODUCT(1-'Sparkling Model'!D$2:D$38^A4933)</f>
        <v>0.7005002179</v>
      </c>
    </row>
    <row r="4934">
      <c r="A4934" s="6">
        <v>4932.0</v>
      </c>
      <c r="B4934" s="17">
        <f t="array" ref="B4934">SUM(1-'Sparkling Model'!D$2:D$38^A4934)</f>
        <v>36.65824042</v>
      </c>
      <c r="C4934" s="8">
        <f t="array" ref="C4934">PRODUCT(1-'Sparkling Model'!D$2:D$38^A4934)</f>
        <v>0.7006445426</v>
      </c>
    </row>
    <row r="4935">
      <c r="A4935" s="6">
        <v>4933.0</v>
      </c>
      <c r="B4935" s="17">
        <f t="array" ref="B4935">SUM(1-'Sparkling Model'!D$2:D$38^A4935)</f>
        <v>36.65843184</v>
      </c>
      <c r="C4935" s="8">
        <f t="array" ref="C4935">PRODUCT(1-'Sparkling Model'!D$2:D$38^A4935)</f>
        <v>0.7007888024</v>
      </c>
    </row>
    <row r="4936">
      <c r="A4936" s="6">
        <v>4934.0</v>
      </c>
      <c r="B4936" s="17">
        <f t="array" ref="B4936">SUM(1-'Sparkling Model'!D$2:D$38^A4936)</f>
        <v>36.65862313</v>
      </c>
      <c r="C4936" s="8">
        <f t="array" ref="C4936">PRODUCT(1-'Sparkling Model'!D$2:D$38^A4936)</f>
        <v>0.7009329972</v>
      </c>
    </row>
    <row r="4937">
      <c r="A4937" s="6">
        <v>4935.0</v>
      </c>
      <c r="B4937" s="17">
        <f t="array" ref="B4937">SUM(1-'Sparkling Model'!D$2:D$38^A4937)</f>
        <v>36.65881431</v>
      </c>
      <c r="C4937" s="8">
        <f t="array" ref="C4937">PRODUCT(1-'Sparkling Model'!D$2:D$38^A4937)</f>
        <v>0.701077127</v>
      </c>
    </row>
    <row r="4938">
      <c r="A4938" s="6">
        <v>4936.0</v>
      </c>
      <c r="B4938" s="17">
        <f t="array" ref="B4938">SUM(1-'Sparkling Model'!D$2:D$38^A4938)</f>
        <v>36.65900537</v>
      </c>
      <c r="C4938" s="8">
        <f t="array" ref="C4938">PRODUCT(1-'Sparkling Model'!D$2:D$38^A4938)</f>
        <v>0.7012211918</v>
      </c>
    </row>
    <row r="4939">
      <c r="A4939" s="6">
        <v>4937.0</v>
      </c>
      <c r="B4939" s="17">
        <f t="array" ref="B4939">SUM(1-'Sparkling Model'!D$2:D$38^A4939)</f>
        <v>36.6591963</v>
      </c>
      <c r="C4939" s="8">
        <f t="array" ref="C4939">PRODUCT(1-'Sparkling Model'!D$2:D$38^A4939)</f>
        <v>0.7013651918</v>
      </c>
    </row>
    <row r="4940">
      <c r="A4940" s="6">
        <v>4938.0</v>
      </c>
      <c r="B4940" s="17">
        <f t="array" ref="B4940">SUM(1-'Sparkling Model'!D$2:D$38^A4940)</f>
        <v>36.65938712</v>
      </c>
      <c r="C4940" s="8">
        <f t="array" ref="C4940">PRODUCT(1-'Sparkling Model'!D$2:D$38^A4940)</f>
        <v>0.7015091269</v>
      </c>
    </row>
    <row r="4941">
      <c r="A4941" s="6">
        <v>4939.0</v>
      </c>
      <c r="B4941" s="17">
        <f t="array" ref="B4941">SUM(1-'Sparkling Model'!D$2:D$38^A4941)</f>
        <v>36.65957782</v>
      </c>
      <c r="C4941" s="8">
        <f t="array" ref="C4941">PRODUCT(1-'Sparkling Model'!D$2:D$38^A4941)</f>
        <v>0.701652997</v>
      </c>
    </row>
    <row r="4942">
      <c r="A4942" s="6">
        <v>4940.0</v>
      </c>
      <c r="B4942" s="17">
        <f t="array" ref="B4942">SUM(1-'Sparkling Model'!D$2:D$38^A4942)</f>
        <v>36.6597684</v>
      </c>
      <c r="C4942" s="8">
        <f t="array" ref="C4942">PRODUCT(1-'Sparkling Model'!D$2:D$38^A4942)</f>
        <v>0.7017968024</v>
      </c>
    </row>
    <row r="4943">
      <c r="A4943" s="6">
        <v>4941.0</v>
      </c>
      <c r="B4943" s="17">
        <f t="array" ref="B4943">SUM(1-'Sparkling Model'!D$2:D$38^A4943)</f>
        <v>36.65995886</v>
      </c>
      <c r="C4943" s="8">
        <f t="array" ref="C4943">PRODUCT(1-'Sparkling Model'!D$2:D$38^A4943)</f>
        <v>0.7019405429</v>
      </c>
    </row>
    <row r="4944">
      <c r="A4944" s="6">
        <v>4942.0</v>
      </c>
      <c r="B4944" s="17">
        <f t="array" ref="B4944">SUM(1-'Sparkling Model'!D$2:D$38^A4944)</f>
        <v>36.6601492</v>
      </c>
      <c r="C4944" s="8">
        <f t="array" ref="C4944">PRODUCT(1-'Sparkling Model'!D$2:D$38^A4944)</f>
        <v>0.7020842186</v>
      </c>
    </row>
    <row r="4945">
      <c r="A4945" s="6">
        <v>4943.0</v>
      </c>
      <c r="B4945" s="17">
        <f t="array" ref="B4945">SUM(1-'Sparkling Model'!D$2:D$38^A4945)</f>
        <v>36.66033942</v>
      </c>
      <c r="C4945" s="8">
        <f t="array" ref="C4945">PRODUCT(1-'Sparkling Model'!D$2:D$38^A4945)</f>
        <v>0.7022278295</v>
      </c>
    </row>
    <row r="4946">
      <c r="A4946" s="6">
        <v>4944.0</v>
      </c>
      <c r="B4946" s="17">
        <f t="array" ref="B4946">SUM(1-'Sparkling Model'!D$2:D$38^A4946)</f>
        <v>36.66052952</v>
      </c>
      <c r="C4946" s="8">
        <f t="array" ref="C4946">PRODUCT(1-'Sparkling Model'!D$2:D$38^A4946)</f>
        <v>0.7023713757</v>
      </c>
    </row>
    <row r="4947">
      <c r="A4947" s="6">
        <v>4945.0</v>
      </c>
      <c r="B4947" s="17">
        <f t="array" ref="B4947">SUM(1-'Sparkling Model'!D$2:D$38^A4947)</f>
        <v>36.66071951</v>
      </c>
      <c r="C4947" s="8">
        <f t="array" ref="C4947">PRODUCT(1-'Sparkling Model'!D$2:D$38^A4947)</f>
        <v>0.7025148571</v>
      </c>
    </row>
    <row r="4948">
      <c r="A4948" s="6">
        <v>4946.0</v>
      </c>
      <c r="B4948" s="17">
        <f t="array" ref="B4948">SUM(1-'Sparkling Model'!D$2:D$38^A4948)</f>
        <v>36.66090937</v>
      </c>
      <c r="C4948" s="8">
        <f t="array" ref="C4948">PRODUCT(1-'Sparkling Model'!D$2:D$38^A4948)</f>
        <v>0.7026582738</v>
      </c>
    </row>
    <row r="4949">
      <c r="A4949" s="6">
        <v>4947.0</v>
      </c>
      <c r="B4949" s="17">
        <f t="array" ref="B4949">SUM(1-'Sparkling Model'!D$2:D$38^A4949)</f>
        <v>36.66109912</v>
      </c>
      <c r="C4949" s="8">
        <f t="array" ref="C4949">PRODUCT(1-'Sparkling Model'!D$2:D$38^A4949)</f>
        <v>0.7028016258</v>
      </c>
    </row>
    <row r="4950">
      <c r="A4950" s="6">
        <v>4948.0</v>
      </c>
      <c r="B4950" s="17">
        <f t="array" ref="B4950">SUM(1-'Sparkling Model'!D$2:D$38^A4950)</f>
        <v>36.66128875</v>
      </c>
      <c r="C4950" s="8">
        <f t="array" ref="C4950">PRODUCT(1-'Sparkling Model'!D$2:D$38^A4950)</f>
        <v>0.7029449131</v>
      </c>
    </row>
    <row r="4951">
      <c r="A4951" s="6">
        <v>4949.0</v>
      </c>
      <c r="B4951" s="17">
        <f t="array" ref="B4951">SUM(1-'Sparkling Model'!D$2:D$38^A4951)</f>
        <v>36.66147826</v>
      </c>
      <c r="C4951" s="8">
        <f t="array" ref="C4951">PRODUCT(1-'Sparkling Model'!D$2:D$38^A4951)</f>
        <v>0.7030881358</v>
      </c>
    </row>
    <row r="4952">
      <c r="A4952" s="6">
        <v>4950.0</v>
      </c>
      <c r="B4952" s="17">
        <f t="array" ref="B4952">SUM(1-'Sparkling Model'!D$2:D$38^A4952)</f>
        <v>36.66166765</v>
      </c>
      <c r="C4952" s="8">
        <f t="array" ref="C4952">PRODUCT(1-'Sparkling Model'!D$2:D$38^A4952)</f>
        <v>0.7032312939</v>
      </c>
    </row>
    <row r="4953">
      <c r="A4953" s="6">
        <v>4951.0</v>
      </c>
      <c r="B4953" s="17">
        <f t="array" ref="B4953">SUM(1-'Sparkling Model'!D$2:D$38^A4953)</f>
        <v>36.66185692</v>
      </c>
      <c r="C4953" s="8">
        <f t="array" ref="C4953">PRODUCT(1-'Sparkling Model'!D$2:D$38^A4953)</f>
        <v>0.7033743874</v>
      </c>
    </row>
    <row r="4954">
      <c r="A4954" s="6">
        <v>4952.0</v>
      </c>
      <c r="B4954" s="17">
        <f t="array" ref="B4954">SUM(1-'Sparkling Model'!D$2:D$38^A4954)</f>
        <v>36.66204608</v>
      </c>
      <c r="C4954" s="8">
        <f t="array" ref="C4954">PRODUCT(1-'Sparkling Model'!D$2:D$38^A4954)</f>
        <v>0.7035174162</v>
      </c>
    </row>
    <row r="4955">
      <c r="A4955" s="6">
        <v>4953.0</v>
      </c>
      <c r="B4955" s="17">
        <f t="array" ref="B4955">SUM(1-'Sparkling Model'!D$2:D$38^A4955)</f>
        <v>36.66223512</v>
      </c>
      <c r="C4955" s="8">
        <f t="array" ref="C4955">PRODUCT(1-'Sparkling Model'!D$2:D$38^A4955)</f>
        <v>0.7036603806</v>
      </c>
    </row>
    <row r="4956">
      <c r="A4956" s="6">
        <v>4954.0</v>
      </c>
      <c r="B4956" s="17">
        <f t="array" ref="B4956">SUM(1-'Sparkling Model'!D$2:D$38^A4956)</f>
        <v>36.66242403</v>
      </c>
      <c r="C4956" s="8">
        <f t="array" ref="C4956">PRODUCT(1-'Sparkling Model'!D$2:D$38^A4956)</f>
        <v>0.7038032803</v>
      </c>
    </row>
    <row r="4957">
      <c r="A4957" s="6">
        <v>4955.0</v>
      </c>
      <c r="B4957" s="17">
        <f t="array" ref="B4957">SUM(1-'Sparkling Model'!D$2:D$38^A4957)</f>
        <v>36.66261284</v>
      </c>
      <c r="C4957" s="8">
        <f t="array" ref="C4957">PRODUCT(1-'Sparkling Model'!D$2:D$38^A4957)</f>
        <v>0.7039461156</v>
      </c>
    </row>
    <row r="4958">
      <c r="A4958" s="6">
        <v>4956.0</v>
      </c>
      <c r="B4958" s="17">
        <f t="array" ref="B4958">SUM(1-'Sparkling Model'!D$2:D$38^A4958)</f>
        <v>36.66280152</v>
      </c>
      <c r="C4958" s="8">
        <f t="array" ref="C4958">PRODUCT(1-'Sparkling Model'!D$2:D$38^A4958)</f>
        <v>0.7040888864</v>
      </c>
    </row>
    <row r="4959">
      <c r="A4959" s="6">
        <v>4957.0</v>
      </c>
      <c r="B4959" s="17">
        <f t="array" ref="B4959">SUM(1-'Sparkling Model'!D$2:D$38^A4959)</f>
        <v>36.66299008</v>
      </c>
      <c r="C4959" s="8">
        <f t="array" ref="C4959">PRODUCT(1-'Sparkling Model'!D$2:D$38^A4959)</f>
        <v>0.7042315927</v>
      </c>
    </row>
    <row r="4960">
      <c r="A4960" s="6">
        <v>4958.0</v>
      </c>
      <c r="B4960" s="17">
        <f t="array" ref="B4960">SUM(1-'Sparkling Model'!D$2:D$38^A4960)</f>
        <v>36.66317853</v>
      </c>
      <c r="C4960" s="8">
        <f t="array" ref="C4960">PRODUCT(1-'Sparkling Model'!D$2:D$38^A4960)</f>
        <v>0.7043742345</v>
      </c>
    </row>
    <row r="4961">
      <c r="A4961" s="6">
        <v>4959.0</v>
      </c>
      <c r="B4961" s="17">
        <f t="array" ref="B4961">SUM(1-'Sparkling Model'!D$2:D$38^A4961)</f>
        <v>36.66336686</v>
      </c>
      <c r="C4961" s="8">
        <f t="array" ref="C4961">PRODUCT(1-'Sparkling Model'!D$2:D$38^A4961)</f>
        <v>0.704516812</v>
      </c>
    </row>
    <row r="4962">
      <c r="A4962" s="6">
        <v>4960.0</v>
      </c>
      <c r="B4962" s="17">
        <f t="array" ref="B4962">SUM(1-'Sparkling Model'!D$2:D$38^A4962)</f>
        <v>36.66355508</v>
      </c>
      <c r="C4962" s="8">
        <f t="array" ref="C4962">PRODUCT(1-'Sparkling Model'!D$2:D$38^A4962)</f>
        <v>0.704659325</v>
      </c>
    </row>
    <row r="4963">
      <c r="A4963" s="6">
        <v>4961.0</v>
      </c>
      <c r="B4963" s="17">
        <f t="array" ref="B4963">SUM(1-'Sparkling Model'!D$2:D$38^A4963)</f>
        <v>36.66374317</v>
      </c>
      <c r="C4963" s="8">
        <f t="array" ref="C4963">PRODUCT(1-'Sparkling Model'!D$2:D$38^A4963)</f>
        <v>0.7048017736</v>
      </c>
    </row>
    <row r="4964">
      <c r="A4964" s="6">
        <v>4962.0</v>
      </c>
      <c r="B4964" s="17">
        <f t="array" ref="B4964">SUM(1-'Sparkling Model'!D$2:D$38^A4964)</f>
        <v>36.66393115</v>
      </c>
      <c r="C4964" s="8">
        <f t="array" ref="C4964">PRODUCT(1-'Sparkling Model'!D$2:D$38^A4964)</f>
        <v>0.7049441579</v>
      </c>
    </row>
    <row r="4965">
      <c r="A4965" s="6">
        <v>4963.0</v>
      </c>
      <c r="B4965" s="17">
        <f t="array" ref="B4965">SUM(1-'Sparkling Model'!D$2:D$38^A4965)</f>
        <v>36.66411901</v>
      </c>
      <c r="C4965" s="8">
        <f t="array" ref="C4965">PRODUCT(1-'Sparkling Model'!D$2:D$38^A4965)</f>
        <v>0.7050864779</v>
      </c>
    </row>
    <row r="4966">
      <c r="A4966" s="6">
        <v>4964.0</v>
      </c>
      <c r="B4966" s="17">
        <f t="array" ref="B4966">SUM(1-'Sparkling Model'!D$2:D$38^A4966)</f>
        <v>36.66430675</v>
      </c>
      <c r="C4966" s="8">
        <f t="array" ref="C4966">PRODUCT(1-'Sparkling Model'!D$2:D$38^A4966)</f>
        <v>0.7052287335</v>
      </c>
    </row>
    <row r="4967">
      <c r="A4967" s="6">
        <v>4965.0</v>
      </c>
      <c r="B4967" s="17">
        <f t="array" ref="B4967">SUM(1-'Sparkling Model'!D$2:D$38^A4967)</f>
        <v>36.66449438</v>
      </c>
      <c r="C4967" s="8">
        <f t="array" ref="C4967">PRODUCT(1-'Sparkling Model'!D$2:D$38^A4967)</f>
        <v>0.7053709249</v>
      </c>
    </row>
    <row r="4968">
      <c r="A4968" s="6">
        <v>4966.0</v>
      </c>
      <c r="B4968" s="17">
        <f t="array" ref="B4968">SUM(1-'Sparkling Model'!D$2:D$38^A4968)</f>
        <v>36.66468189</v>
      </c>
      <c r="C4968" s="8">
        <f t="array" ref="C4968">PRODUCT(1-'Sparkling Model'!D$2:D$38^A4968)</f>
        <v>0.705513052</v>
      </c>
    </row>
    <row r="4969">
      <c r="A4969" s="6">
        <v>4967.0</v>
      </c>
      <c r="B4969" s="17">
        <f t="array" ref="B4969">SUM(1-'Sparkling Model'!D$2:D$38^A4969)</f>
        <v>36.66486928</v>
      </c>
      <c r="C4969" s="8">
        <f t="array" ref="C4969">PRODUCT(1-'Sparkling Model'!D$2:D$38^A4969)</f>
        <v>0.7056551148</v>
      </c>
    </row>
    <row r="4970">
      <c r="A4970" s="6">
        <v>4968.0</v>
      </c>
      <c r="B4970" s="17">
        <f t="array" ref="B4970">SUM(1-'Sparkling Model'!D$2:D$38^A4970)</f>
        <v>36.66505656</v>
      </c>
      <c r="C4970" s="8">
        <f t="array" ref="C4970">PRODUCT(1-'Sparkling Model'!D$2:D$38^A4970)</f>
        <v>0.7057971134</v>
      </c>
    </row>
    <row r="4971">
      <c r="A4971" s="6">
        <v>4969.0</v>
      </c>
      <c r="B4971" s="17">
        <f t="array" ref="B4971">SUM(1-'Sparkling Model'!D$2:D$38^A4971)</f>
        <v>36.66524372</v>
      </c>
      <c r="C4971" s="8">
        <f t="array" ref="C4971">PRODUCT(1-'Sparkling Model'!D$2:D$38^A4971)</f>
        <v>0.7059390478</v>
      </c>
    </row>
    <row r="4972">
      <c r="A4972" s="6">
        <v>4970.0</v>
      </c>
      <c r="B4972" s="17">
        <f t="array" ref="B4972">SUM(1-'Sparkling Model'!D$2:D$38^A4972)</f>
        <v>36.66543076</v>
      </c>
      <c r="C4972" s="8">
        <f t="array" ref="C4972">PRODUCT(1-'Sparkling Model'!D$2:D$38^A4972)</f>
        <v>0.706080918</v>
      </c>
    </row>
    <row r="4973">
      <c r="A4973" s="6">
        <v>4971.0</v>
      </c>
      <c r="B4973" s="17">
        <f t="array" ref="B4973">SUM(1-'Sparkling Model'!D$2:D$38^A4973)</f>
        <v>36.66561769</v>
      </c>
      <c r="C4973" s="8">
        <f t="array" ref="C4973">PRODUCT(1-'Sparkling Model'!D$2:D$38^A4973)</f>
        <v>0.7062227241</v>
      </c>
    </row>
    <row r="4974">
      <c r="A4974" s="6">
        <v>4972.0</v>
      </c>
      <c r="B4974" s="17">
        <f t="array" ref="B4974">SUM(1-'Sparkling Model'!D$2:D$38^A4974)</f>
        <v>36.6658045</v>
      </c>
      <c r="C4974" s="8">
        <f t="array" ref="C4974">PRODUCT(1-'Sparkling Model'!D$2:D$38^A4974)</f>
        <v>0.7063644661</v>
      </c>
    </row>
    <row r="4975">
      <c r="A4975" s="6">
        <v>4973.0</v>
      </c>
      <c r="B4975" s="17">
        <f t="array" ref="B4975">SUM(1-'Sparkling Model'!D$2:D$38^A4975)</f>
        <v>36.66599119</v>
      </c>
      <c r="C4975" s="8">
        <f t="array" ref="C4975">PRODUCT(1-'Sparkling Model'!D$2:D$38^A4975)</f>
        <v>0.7065061439</v>
      </c>
    </row>
    <row r="4976">
      <c r="A4976" s="6">
        <v>4974.0</v>
      </c>
      <c r="B4976" s="17">
        <f t="array" ref="B4976">SUM(1-'Sparkling Model'!D$2:D$38^A4976)</f>
        <v>36.66617777</v>
      </c>
      <c r="C4976" s="8">
        <f t="array" ref="C4976">PRODUCT(1-'Sparkling Model'!D$2:D$38^A4976)</f>
        <v>0.7066477576</v>
      </c>
    </row>
    <row r="4977">
      <c r="A4977" s="6">
        <v>4975.0</v>
      </c>
      <c r="B4977" s="17">
        <f t="array" ref="B4977">SUM(1-'Sparkling Model'!D$2:D$38^A4977)</f>
        <v>36.66636423</v>
      </c>
      <c r="C4977" s="8">
        <f t="array" ref="C4977">PRODUCT(1-'Sparkling Model'!D$2:D$38^A4977)</f>
        <v>0.7067893073</v>
      </c>
    </row>
    <row r="4978">
      <c r="A4978" s="6">
        <v>4976.0</v>
      </c>
      <c r="B4978" s="17">
        <f t="array" ref="B4978">SUM(1-'Sparkling Model'!D$2:D$38^A4978)</f>
        <v>36.66655058</v>
      </c>
      <c r="C4978" s="8">
        <f t="array" ref="C4978">PRODUCT(1-'Sparkling Model'!D$2:D$38^A4978)</f>
        <v>0.706930793</v>
      </c>
    </row>
    <row r="4979">
      <c r="A4979" s="6">
        <v>4977.0</v>
      </c>
      <c r="B4979" s="17">
        <f t="array" ref="B4979">SUM(1-'Sparkling Model'!D$2:D$38^A4979)</f>
        <v>36.66673681</v>
      </c>
      <c r="C4979" s="8">
        <f t="array" ref="C4979">PRODUCT(1-'Sparkling Model'!D$2:D$38^A4979)</f>
        <v>0.7070722146</v>
      </c>
    </row>
    <row r="4980">
      <c r="A4980" s="6">
        <v>4978.0</v>
      </c>
      <c r="B4980" s="17">
        <f t="array" ref="B4980">SUM(1-'Sparkling Model'!D$2:D$38^A4980)</f>
        <v>36.66692292</v>
      </c>
      <c r="C4980" s="8">
        <f t="array" ref="C4980">PRODUCT(1-'Sparkling Model'!D$2:D$38^A4980)</f>
        <v>0.7072135722</v>
      </c>
    </row>
    <row r="4981">
      <c r="A4981" s="6">
        <v>4979.0</v>
      </c>
      <c r="B4981" s="17">
        <f t="array" ref="B4981">SUM(1-'Sparkling Model'!D$2:D$38^A4981)</f>
        <v>36.66710892</v>
      </c>
      <c r="C4981" s="8">
        <f t="array" ref="C4981">PRODUCT(1-'Sparkling Model'!D$2:D$38^A4981)</f>
        <v>0.7073548658</v>
      </c>
    </row>
    <row r="4982">
      <c r="A4982" s="6">
        <v>4980.0</v>
      </c>
      <c r="B4982" s="17">
        <f t="array" ref="B4982">SUM(1-'Sparkling Model'!D$2:D$38^A4982)</f>
        <v>36.6672948</v>
      </c>
      <c r="C4982" s="8">
        <f t="array" ref="C4982">PRODUCT(1-'Sparkling Model'!D$2:D$38^A4982)</f>
        <v>0.7074960955</v>
      </c>
    </row>
    <row r="4983">
      <c r="A4983" s="6">
        <v>4981.0</v>
      </c>
      <c r="B4983" s="17">
        <f t="array" ref="B4983">SUM(1-'Sparkling Model'!D$2:D$38^A4983)</f>
        <v>36.66748057</v>
      </c>
      <c r="C4983" s="8">
        <f t="array" ref="C4983">PRODUCT(1-'Sparkling Model'!D$2:D$38^A4983)</f>
        <v>0.7076372613</v>
      </c>
    </row>
    <row r="4984">
      <c r="A4984" s="6">
        <v>4982.0</v>
      </c>
      <c r="B4984" s="17">
        <f t="array" ref="B4984">SUM(1-'Sparkling Model'!D$2:D$38^A4984)</f>
        <v>36.66766622</v>
      </c>
      <c r="C4984" s="8">
        <f t="array" ref="C4984">PRODUCT(1-'Sparkling Model'!D$2:D$38^A4984)</f>
        <v>0.7077783631</v>
      </c>
    </row>
    <row r="4985">
      <c r="A4985" s="6">
        <v>4983.0</v>
      </c>
      <c r="B4985" s="17">
        <f t="array" ref="B4985">SUM(1-'Sparkling Model'!D$2:D$38^A4985)</f>
        <v>36.66785175</v>
      </c>
      <c r="C4985" s="8">
        <f t="array" ref="C4985">PRODUCT(1-'Sparkling Model'!D$2:D$38^A4985)</f>
        <v>0.7079194011</v>
      </c>
    </row>
    <row r="4986">
      <c r="A4986" s="6">
        <v>4984.0</v>
      </c>
      <c r="B4986" s="17">
        <f t="array" ref="B4986">SUM(1-'Sparkling Model'!D$2:D$38^A4986)</f>
        <v>36.66803717</v>
      </c>
      <c r="C4986" s="8">
        <f t="array" ref="C4986">PRODUCT(1-'Sparkling Model'!D$2:D$38^A4986)</f>
        <v>0.7080603752</v>
      </c>
    </row>
    <row r="4987">
      <c r="A4987" s="6">
        <v>4985.0</v>
      </c>
      <c r="B4987" s="17">
        <f t="array" ref="B4987">SUM(1-'Sparkling Model'!D$2:D$38^A4987)</f>
        <v>36.66822247</v>
      </c>
      <c r="C4987" s="8">
        <f t="array" ref="C4987">PRODUCT(1-'Sparkling Model'!D$2:D$38^A4987)</f>
        <v>0.7082012854</v>
      </c>
    </row>
    <row r="4988">
      <c r="A4988" s="6">
        <v>4986.0</v>
      </c>
      <c r="B4988" s="17">
        <f t="array" ref="B4988">SUM(1-'Sparkling Model'!D$2:D$38^A4988)</f>
        <v>36.66840766</v>
      </c>
      <c r="C4988" s="8">
        <f t="array" ref="C4988">PRODUCT(1-'Sparkling Model'!D$2:D$38^A4988)</f>
        <v>0.7083421318</v>
      </c>
    </row>
    <row r="4989">
      <c r="A4989" s="6">
        <v>4987.0</v>
      </c>
      <c r="B4989" s="17">
        <f t="array" ref="B4989">SUM(1-'Sparkling Model'!D$2:D$38^A4989)</f>
        <v>36.66859274</v>
      </c>
      <c r="C4989" s="8">
        <f t="array" ref="C4989">PRODUCT(1-'Sparkling Model'!D$2:D$38^A4989)</f>
        <v>0.7084829145</v>
      </c>
    </row>
    <row r="4990">
      <c r="A4990" s="6">
        <v>4988.0</v>
      </c>
      <c r="B4990" s="17">
        <f t="array" ref="B4990">SUM(1-'Sparkling Model'!D$2:D$38^A4990)</f>
        <v>36.6687777</v>
      </c>
      <c r="C4990" s="8">
        <f t="array" ref="C4990">PRODUCT(1-'Sparkling Model'!D$2:D$38^A4990)</f>
        <v>0.7086236333</v>
      </c>
    </row>
    <row r="4991">
      <c r="A4991" s="6">
        <v>4989.0</v>
      </c>
      <c r="B4991" s="17">
        <f t="array" ref="B4991">SUM(1-'Sparkling Model'!D$2:D$38^A4991)</f>
        <v>36.66896254</v>
      </c>
      <c r="C4991" s="8">
        <f t="array" ref="C4991">PRODUCT(1-'Sparkling Model'!D$2:D$38^A4991)</f>
        <v>0.7087642884</v>
      </c>
    </row>
    <row r="4992">
      <c r="A4992" s="6">
        <v>4990.0</v>
      </c>
      <c r="B4992" s="17">
        <f t="array" ref="B4992">SUM(1-'Sparkling Model'!D$2:D$38^A4992)</f>
        <v>36.66914727</v>
      </c>
      <c r="C4992" s="8">
        <f t="array" ref="C4992">PRODUCT(1-'Sparkling Model'!D$2:D$38^A4992)</f>
        <v>0.7089048798</v>
      </c>
    </row>
    <row r="4993">
      <c r="A4993" s="6">
        <v>4991.0</v>
      </c>
      <c r="B4993" s="17">
        <f t="array" ref="B4993">SUM(1-'Sparkling Model'!D$2:D$38^A4993)</f>
        <v>36.66933188</v>
      </c>
      <c r="C4993" s="8">
        <f t="array" ref="C4993">PRODUCT(1-'Sparkling Model'!D$2:D$38^A4993)</f>
        <v>0.7090454075</v>
      </c>
    </row>
    <row r="4994">
      <c r="A4994" s="6">
        <v>4992.0</v>
      </c>
      <c r="B4994" s="17">
        <f t="array" ref="B4994">SUM(1-'Sparkling Model'!D$2:D$38^A4994)</f>
        <v>36.66951638</v>
      </c>
      <c r="C4994" s="8">
        <f t="array" ref="C4994">PRODUCT(1-'Sparkling Model'!D$2:D$38^A4994)</f>
        <v>0.7091858715</v>
      </c>
    </row>
    <row r="4995">
      <c r="A4995" s="6">
        <v>4993.0</v>
      </c>
      <c r="B4995" s="17">
        <f t="array" ref="B4995">SUM(1-'Sparkling Model'!D$2:D$38^A4995)</f>
        <v>36.66970077</v>
      </c>
      <c r="C4995" s="8">
        <f t="array" ref="C4995">PRODUCT(1-'Sparkling Model'!D$2:D$38^A4995)</f>
        <v>0.7093262718</v>
      </c>
    </row>
    <row r="4996">
      <c r="A4996" s="6">
        <v>4994.0</v>
      </c>
      <c r="B4996" s="17">
        <f t="array" ref="B4996">SUM(1-'Sparkling Model'!D$2:D$38^A4996)</f>
        <v>36.66988504</v>
      </c>
      <c r="C4996" s="8">
        <f t="array" ref="C4996">PRODUCT(1-'Sparkling Model'!D$2:D$38^A4996)</f>
        <v>0.7094666085</v>
      </c>
    </row>
    <row r="4997">
      <c r="A4997" s="6">
        <v>4995.0</v>
      </c>
      <c r="B4997" s="17">
        <f t="array" ref="B4997">SUM(1-'Sparkling Model'!D$2:D$38^A4997)</f>
        <v>36.6700692</v>
      </c>
      <c r="C4997" s="8">
        <f t="array" ref="C4997">PRODUCT(1-'Sparkling Model'!D$2:D$38^A4997)</f>
        <v>0.7096068816</v>
      </c>
    </row>
    <row r="4998">
      <c r="A4998" s="6">
        <v>4996.0</v>
      </c>
      <c r="B4998" s="17">
        <f t="array" ref="B4998">SUM(1-'Sparkling Model'!D$2:D$38^A4998)</f>
        <v>36.67025324</v>
      </c>
      <c r="C4998" s="8">
        <f t="array" ref="C4998">PRODUCT(1-'Sparkling Model'!D$2:D$38^A4998)</f>
        <v>0.7097470911</v>
      </c>
    </row>
    <row r="4999">
      <c r="A4999" s="6">
        <v>4997.0</v>
      </c>
      <c r="B4999" s="17">
        <f t="array" ref="B4999">SUM(1-'Sparkling Model'!D$2:D$38^A4999)</f>
        <v>36.67043716</v>
      </c>
      <c r="C4999" s="8">
        <f t="array" ref="C4999">PRODUCT(1-'Sparkling Model'!D$2:D$38^A4999)</f>
        <v>0.709887237</v>
      </c>
    </row>
    <row r="5000">
      <c r="A5000" s="6">
        <v>4998.0</v>
      </c>
      <c r="B5000" s="17">
        <f t="array" ref="B5000">SUM(1-'Sparkling Model'!D$2:D$38^A5000)</f>
        <v>36.67062098</v>
      </c>
      <c r="C5000" s="8">
        <f t="array" ref="C5000">PRODUCT(1-'Sparkling Model'!D$2:D$38^A5000)</f>
        <v>0.7100273193</v>
      </c>
    </row>
    <row r="5001">
      <c r="A5001" s="6">
        <v>4999.0</v>
      </c>
      <c r="B5001" s="17">
        <f t="array" ref="B5001">SUM(1-'Sparkling Model'!D$2:D$38^A5001)</f>
        <v>36.67080468</v>
      </c>
      <c r="C5001" s="8">
        <f t="array" ref="C5001">PRODUCT(1-'Sparkling Model'!D$2:D$38^A5001)</f>
        <v>0.7101673382</v>
      </c>
    </row>
    <row r="5002">
      <c r="A5002" s="6">
        <v>5000.0</v>
      </c>
      <c r="B5002" s="17">
        <f t="array" ref="B5002">SUM(1-'Sparkling Model'!D$2:D$38^A5002)</f>
        <v>36.67098826</v>
      </c>
      <c r="C5002" s="8">
        <f t="array" ref="C5002">PRODUCT(1-'Sparkling Model'!D$2:D$38^A5002)</f>
        <v>0.7103072935</v>
      </c>
    </row>
    <row r="5003">
      <c r="A5003" s="6">
        <v>5001.0</v>
      </c>
      <c r="B5003" s="17">
        <f t="array" ref="B5003">SUM(1-'Sparkling Model'!D$2:D$38^A5003)</f>
        <v>36.67117173</v>
      </c>
      <c r="C5003" s="8">
        <f t="array" ref="C5003">PRODUCT(1-'Sparkling Model'!D$2:D$38^A5003)</f>
        <v>0.7104471854</v>
      </c>
    </row>
    <row r="5004">
      <c r="A5004" s="6">
        <v>5002.0</v>
      </c>
      <c r="B5004" s="17">
        <f t="array" ref="B5004">SUM(1-'Sparkling Model'!D$2:D$38^A5004)</f>
        <v>36.67135509</v>
      </c>
      <c r="C5004" s="8">
        <f t="array" ref="C5004">PRODUCT(1-'Sparkling Model'!D$2:D$38^A5004)</f>
        <v>0.7105870138</v>
      </c>
    </row>
    <row r="5005">
      <c r="A5005" s="6">
        <v>5003.0</v>
      </c>
      <c r="B5005" s="17">
        <f t="array" ref="B5005">SUM(1-'Sparkling Model'!D$2:D$38^A5005)</f>
        <v>36.67153833</v>
      </c>
      <c r="C5005" s="8">
        <f t="array" ref="C5005">PRODUCT(1-'Sparkling Model'!D$2:D$38^A5005)</f>
        <v>0.7107267787</v>
      </c>
    </row>
    <row r="5006">
      <c r="A5006" s="6">
        <v>5004.0</v>
      </c>
      <c r="B5006" s="17">
        <f t="array" ref="B5006">SUM(1-'Sparkling Model'!D$2:D$38^A5006)</f>
        <v>36.67172146</v>
      </c>
      <c r="C5006" s="8">
        <f t="array" ref="C5006">PRODUCT(1-'Sparkling Model'!D$2:D$38^A5006)</f>
        <v>0.7108664803</v>
      </c>
    </row>
    <row r="5007">
      <c r="A5007" s="6">
        <v>5005.0</v>
      </c>
      <c r="B5007" s="17">
        <f t="array" ref="B5007">SUM(1-'Sparkling Model'!D$2:D$38^A5007)</f>
        <v>36.67190448</v>
      </c>
      <c r="C5007" s="8">
        <f t="array" ref="C5007">PRODUCT(1-'Sparkling Model'!D$2:D$38^A5007)</f>
        <v>0.7110061184</v>
      </c>
    </row>
    <row r="5008">
      <c r="A5008" s="6">
        <v>5006.0</v>
      </c>
      <c r="B5008" s="17">
        <f t="array" ref="B5008">SUM(1-'Sparkling Model'!D$2:D$38^A5008)</f>
        <v>36.67208738</v>
      </c>
      <c r="C5008" s="8">
        <f t="array" ref="C5008">PRODUCT(1-'Sparkling Model'!D$2:D$38^A5008)</f>
        <v>0.7111456932</v>
      </c>
    </row>
    <row r="5009">
      <c r="A5009" s="6">
        <v>5007.0</v>
      </c>
      <c r="B5009" s="17">
        <f t="array" ref="B5009">SUM(1-'Sparkling Model'!D$2:D$38^A5009)</f>
        <v>36.67227017</v>
      </c>
      <c r="C5009" s="8">
        <f t="array" ref="C5009">PRODUCT(1-'Sparkling Model'!D$2:D$38^A5009)</f>
        <v>0.7112852046</v>
      </c>
    </row>
    <row r="5010">
      <c r="A5010" s="6">
        <v>5008.0</v>
      </c>
      <c r="B5010" s="17">
        <f t="array" ref="B5010">SUM(1-'Sparkling Model'!D$2:D$38^A5010)</f>
        <v>36.67245285</v>
      </c>
      <c r="C5010" s="8">
        <f t="array" ref="C5010">PRODUCT(1-'Sparkling Model'!D$2:D$38^A5010)</f>
        <v>0.7114246527</v>
      </c>
    </row>
    <row r="5011">
      <c r="A5011" s="6">
        <v>5009.0</v>
      </c>
      <c r="B5011" s="17">
        <f t="array" ref="B5011">SUM(1-'Sparkling Model'!D$2:D$38^A5011)</f>
        <v>36.67263541</v>
      </c>
      <c r="C5011" s="8">
        <f t="array" ref="C5011">PRODUCT(1-'Sparkling Model'!D$2:D$38^A5011)</f>
        <v>0.7115640375</v>
      </c>
    </row>
    <row r="5012">
      <c r="A5012" s="6">
        <v>5010.0</v>
      </c>
      <c r="B5012" s="17">
        <f t="array" ref="B5012">SUM(1-'Sparkling Model'!D$2:D$38^A5012)</f>
        <v>36.67281786</v>
      </c>
      <c r="C5012" s="8">
        <f t="array" ref="C5012">PRODUCT(1-'Sparkling Model'!D$2:D$38^A5012)</f>
        <v>0.7117033591</v>
      </c>
    </row>
    <row r="5013">
      <c r="A5013" s="6">
        <v>5011.0</v>
      </c>
      <c r="B5013" s="17">
        <f t="array" ref="B5013">SUM(1-'Sparkling Model'!D$2:D$38^A5013)</f>
        <v>36.6730002</v>
      </c>
      <c r="C5013" s="8">
        <f t="array" ref="C5013">PRODUCT(1-'Sparkling Model'!D$2:D$38^A5013)</f>
        <v>0.7118426174</v>
      </c>
    </row>
    <row r="5014">
      <c r="A5014" s="6">
        <v>5012.0</v>
      </c>
      <c r="B5014" s="17">
        <f t="array" ref="B5014">SUM(1-'Sparkling Model'!D$2:D$38^A5014)</f>
        <v>36.67318242</v>
      </c>
      <c r="C5014" s="8">
        <f t="array" ref="C5014">PRODUCT(1-'Sparkling Model'!D$2:D$38^A5014)</f>
        <v>0.7119818124</v>
      </c>
    </row>
    <row r="5015">
      <c r="A5015" s="6">
        <v>5013.0</v>
      </c>
      <c r="B5015" s="17">
        <f t="array" ref="B5015">SUM(1-'Sparkling Model'!D$2:D$38^A5015)</f>
        <v>36.67336453</v>
      </c>
      <c r="C5015" s="8">
        <f t="array" ref="C5015">PRODUCT(1-'Sparkling Model'!D$2:D$38^A5015)</f>
        <v>0.7121209442</v>
      </c>
    </row>
    <row r="5016">
      <c r="A5016" s="6">
        <v>5014.0</v>
      </c>
      <c r="B5016" s="17">
        <f t="array" ref="B5016">SUM(1-'Sparkling Model'!D$2:D$38^A5016)</f>
        <v>36.67354653</v>
      </c>
      <c r="C5016" s="8">
        <f t="array" ref="C5016">PRODUCT(1-'Sparkling Model'!D$2:D$38^A5016)</f>
        <v>0.7122600129</v>
      </c>
    </row>
    <row r="5017">
      <c r="A5017" s="6">
        <v>5015.0</v>
      </c>
      <c r="B5017" s="17">
        <f t="array" ref="B5017">SUM(1-'Sparkling Model'!D$2:D$38^A5017)</f>
        <v>36.67372841</v>
      </c>
      <c r="C5017" s="8">
        <f t="array" ref="C5017">PRODUCT(1-'Sparkling Model'!D$2:D$38^A5017)</f>
        <v>0.7123990184</v>
      </c>
    </row>
    <row r="5018">
      <c r="A5018" s="6">
        <v>5016.0</v>
      </c>
      <c r="B5018" s="17">
        <f t="array" ref="B5018">SUM(1-'Sparkling Model'!D$2:D$38^A5018)</f>
        <v>36.67391018</v>
      </c>
      <c r="C5018" s="8">
        <f t="array" ref="C5018">PRODUCT(1-'Sparkling Model'!D$2:D$38^A5018)</f>
        <v>0.7125379607</v>
      </c>
    </row>
    <row r="5019">
      <c r="A5019" s="6">
        <v>5017.0</v>
      </c>
      <c r="B5019" s="17">
        <f t="array" ref="B5019">SUM(1-'Sparkling Model'!D$2:D$38^A5019)</f>
        <v>36.67409184</v>
      </c>
      <c r="C5019" s="8">
        <f t="array" ref="C5019">PRODUCT(1-'Sparkling Model'!D$2:D$38^A5019)</f>
        <v>0.7126768399</v>
      </c>
    </row>
    <row r="5020">
      <c r="A5020" s="6">
        <v>5018.0</v>
      </c>
      <c r="B5020" s="17">
        <f t="array" ref="B5020">SUM(1-'Sparkling Model'!D$2:D$38^A5020)</f>
        <v>36.67427339</v>
      </c>
      <c r="C5020" s="8">
        <f t="array" ref="C5020">PRODUCT(1-'Sparkling Model'!D$2:D$38^A5020)</f>
        <v>0.7128156561</v>
      </c>
    </row>
    <row r="5021">
      <c r="A5021" s="6">
        <v>5019.0</v>
      </c>
      <c r="B5021" s="17">
        <f t="array" ref="B5021">SUM(1-'Sparkling Model'!D$2:D$38^A5021)</f>
        <v>36.67445482</v>
      </c>
      <c r="C5021" s="8">
        <f t="array" ref="C5021">PRODUCT(1-'Sparkling Model'!D$2:D$38^A5021)</f>
        <v>0.7129544091</v>
      </c>
    </row>
    <row r="5022">
      <c r="A5022" s="6">
        <v>5020.0</v>
      </c>
      <c r="B5022" s="17">
        <f t="array" ref="B5022">SUM(1-'Sparkling Model'!D$2:D$38^A5022)</f>
        <v>36.67463615</v>
      </c>
      <c r="C5022" s="8">
        <f t="array" ref="C5022">PRODUCT(1-'Sparkling Model'!D$2:D$38^A5022)</f>
        <v>0.7130930991</v>
      </c>
    </row>
    <row r="5023">
      <c r="A5023" s="6">
        <v>5021.0</v>
      </c>
      <c r="B5023" s="17">
        <f t="array" ref="B5023">SUM(1-'Sparkling Model'!D$2:D$38^A5023)</f>
        <v>36.67481735</v>
      </c>
      <c r="C5023" s="8">
        <f t="array" ref="C5023">PRODUCT(1-'Sparkling Model'!D$2:D$38^A5023)</f>
        <v>0.7132317261</v>
      </c>
    </row>
    <row r="5024">
      <c r="A5024" s="6">
        <v>5022.0</v>
      </c>
      <c r="B5024" s="17">
        <f t="array" ref="B5024">SUM(1-'Sparkling Model'!D$2:D$38^A5024)</f>
        <v>36.67499845</v>
      </c>
      <c r="C5024" s="8">
        <f t="array" ref="C5024">PRODUCT(1-'Sparkling Model'!D$2:D$38^A5024)</f>
        <v>0.71337029</v>
      </c>
    </row>
    <row r="5025">
      <c r="A5025" s="6">
        <v>5023.0</v>
      </c>
      <c r="B5025" s="17">
        <f t="array" ref="B5025">SUM(1-'Sparkling Model'!D$2:D$38^A5025)</f>
        <v>36.67517944</v>
      </c>
      <c r="C5025" s="8">
        <f t="array" ref="C5025">PRODUCT(1-'Sparkling Model'!D$2:D$38^A5025)</f>
        <v>0.713508791</v>
      </c>
    </row>
    <row r="5026">
      <c r="A5026" s="6">
        <v>5024.0</v>
      </c>
      <c r="B5026" s="17">
        <f t="array" ref="B5026">SUM(1-'Sparkling Model'!D$2:D$38^A5026)</f>
        <v>36.67536031</v>
      </c>
      <c r="C5026" s="8">
        <f t="array" ref="C5026">PRODUCT(1-'Sparkling Model'!D$2:D$38^A5026)</f>
        <v>0.713647229</v>
      </c>
    </row>
    <row r="5027">
      <c r="A5027" s="6">
        <v>5025.0</v>
      </c>
      <c r="B5027" s="17">
        <f t="array" ref="B5027">SUM(1-'Sparkling Model'!D$2:D$38^A5027)</f>
        <v>36.67554107</v>
      </c>
      <c r="C5027" s="8">
        <f t="array" ref="C5027">PRODUCT(1-'Sparkling Model'!D$2:D$38^A5027)</f>
        <v>0.7137856041</v>
      </c>
    </row>
    <row r="5028">
      <c r="A5028" s="6">
        <v>5026.0</v>
      </c>
      <c r="B5028" s="17">
        <f t="array" ref="B5028">SUM(1-'Sparkling Model'!D$2:D$38^A5028)</f>
        <v>36.67572172</v>
      </c>
      <c r="C5028" s="8">
        <f t="array" ref="C5028">PRODUCT(1-'Sparkling Model'!D$2:D$38^A5028)</f>
        <v>0.7139239162</v>
      </c>
    </row>
    <row r="5029">
      <c r="A5029" s="6">
        <v>5027.0</v>
      </c>
      <c r="B5029" s="17">
        <f t="array" ref="B5029">SUM(1-'Sparkling Model'!D$2:D$38^A5029)</f>
        <v>36.67590226</v>
      </c>
      <c r="C5029" s="8">
        <f t="array" ref="C5029">PRODUCT(1-'Sparkling Model'!D$2:D$38^A5029)</f>
        <v>0.7140621655</v>
      </c>
    </row>
    <row r="5030">
      <c r="A5030" s="6">
        <v>5028.0</v>
      </c>
      <c r="B5030" s="17">
        <f t="array" ref="B5030">SUM(1-'Sparkling Model'!D$2:D$38^A5030)</f>
        <v>36.67608269</v>
      </c>
      <c r="C5030" s="8">
        <f t="array" ref="C5030">PRODUCT(1-'Sparkling Model'!D$2:D$38^A5030)</f>
        <v>0.7142003519</v>
      </c>
    </row>
    <row r="5031">
      <c r="A5031" s="6">
        <v>5029.0</v>
      </c>
      <c r="B5031" s="17">
        <f t="array" ref="B5031">SUM(1-'Sparkling Model'!D$2:D$38^A5031)</f>
        <v>36.676263</v>
      </c>
      <c r="C5031" s="8">
        <f t="array" ref="C5031">PRODUCT(1-'Sparkling Model'!D$2:D$38^A5031)</f>
        <v>0.7143384754</v>
      </c>
    </row>
    <row r="5032">
      <c r="A5032" s="6">
        <v>5030.0</v>
      </c>
      <c r="B5032" s="17">
        <f t="array" ref="B5032">SUM(1-'Sparkling Model'!D$2:D$38^A5032)</f>
        <v>36.6764432</v>
      </c>
      <c r="C5032" s="8">
        <f t="array" ref="C5032">PRODUCT(1-'Sparkling Model'!D$2:D$38^A5032)</f>
        <v>0.7144765361</v>
      </c>
    </row>
    <row r="5033">
      <c r="A5033" s="6">
        <v>5031.0</v>
      </c>
      <c r="B5033" s="17">
        <f t="array" ref="B5033">SUM(1-'Sparkling Model'!D$2:D$38^A5033)</f>
        <v>36.67662329</v>
      </c>
      <c r="C5033" s="8">
        <f t="array" ref="C5033">PRODUCT(1-'Sparkling Model'!D$2:D$38^A5033)</f>
        <v>0.714614534</v>
      </c>
    </row>
    <row r="5034">
      <c r="A5034" s="6">
        <v>5032.0</v>
      </c>
      <c r="B5034" s="17">
        <f t="array" ref="B5034">SUM(1-'Sparkling Model'!D$2:D$38^A5034)</f>
        <v>36.67680327</v>
      </c>
      <c r="C5034" s="8">
        <f t="array" ref="C5034">PRODUCT(1-'Sparkling Model'!D$2:D$38^A5034)</f>
        <v>0.7147524692</v>
      </c>
    </row>
    <row r="5035">
      <c r="A5035" s="6">
        <v>5033.0</v>
      </c>
      <c r="B5035" s="17">
        <f t="array" ref="B5035">SUM(1-'Sparkling Model'!D$2:D$38^A5035)</f>
        <v>36.67698314</v>
      </c>
      <c r="C5035" s="8">
        <f t="array" ref="C5035">PRODUCT(1-'Sparkling Model'!D$2:D$38^A5035)</f>
        <v>0.7148903415</v>
      </c>
    </row>
    <row r="5036">
      <c r="A5036" s="6">
        <v>5034.0</v>
      </c>
      <c r="B5036" s="17">
        <f t="array" ref="B5036">SUM(1-'Sparkling Model'!D$2:D$38^A5036)</f>
        <v>36.6771629</v>
      </c>
      <c r="C5036" s="8">
        <f t="array" ref="C5036">PRODUCT(1-'Sparkling Model'!D$2:D$38^A5036)</f>
        <v>0.7150281512</v>
      </c>
    </row>
    <row r="5037">
      <c r="A5037" s="6">
        <v>5035.0</v>
      </c>
      <c r="B5037" s="17">
        <f t="array" ref="B5037">SUM(1-'Sparkling Model'!D$2:D$38^A5037)</f>
        <v>36.67734255</v>
      </c>
      <c r="C5037" s="8">
        <f t="array" ref="C5037">PRODUCT(1-'Sparkling Model'!D$2:D$38^A5037)</f>
        <v>0.7151658981</v>
      </c>
    </row>
    <row r="5038">
      <c r="A5038" s="6">
        <v>5036.0</v>
      </c>
      <c r="B5038" s="17">
        <f t="array" ref="B5038">SUM(1-'Sparkling Model'!D$2:D$38^A5038)</f>
        <v>36.67752208</v>
      </c>
      <c r="C5038" s="8">
        <f t="array" ref="C5038">PRODUCT(1-'Sparkling Model'!D$2:D$38^A5038)</f>
        <v>0.7153035823</v>
      </c>
    </row>
    <row r="5039">
      <c r="A5039" s="6">
        <v>5037.0</v>
      </c>
      <c r="B5039" s="17">
        <f t="array" ref="B5039">SUM(1-'Sparkling Model'!D$2:D$38^A5039)</f>
        <v>36.67770151</v>
      </c>
      <c r="C5039" s="8">
        <f t="array" ref="C5039">PRODUCT(1-'Sparkling Model'!D$2:D$38^A5039)</f>
        <v>0.7154412039</v>
      </c>
    </row>
    <row r="5040">
      <c r="A5040" s="6">
        <v>5038.0</v>
      </c>
      <c r="B5040" s="17">
        <f t="array" ref="B5040">SUM(1-'Sparkling Model'!D$2:D$38^A5040)</f>
        <v>36.67788082</v>
      </c>
      <c r="C5040" s="8">
        <f t="array" ref="C5040">PRODUCT(1-'Sparkling Model'!D$2:D$38^A5040)</f>
        <v>0.7155787628</v>
      </c>
    </row>
    <row r="5041">
      <c r="A5041" s="6">
        <v>5039.0</v>
      </c>
      <c r="B5041" s="17">
        <f t="array" ref="B5041">SUM(1-'Sparkling Model'!D$2:D$38^A5041)</f>
        <v>36.67806002</v>
      </c>
      <c r="C5041" s="8">
        <f t="array" ref="C5041">PRODUCT(1-'Sparkling Model'!D$2:D$38^A5041)</f>
        <v>0.7157162591</v>
      </c>
    </row>
    <row r="5042">
      <c r="A5042" s="6">
        <v>5040.0</v>
      </c>
      <c r="B5042" s="17">
        <f t="array" ref="B5042">SUM(1-'Sparkling Model'!D$2:D$38^A5042)</f>
        <v>36.67823912</v>
      </c>
      <c r="C5042" s="8">
        <f t="array" ref="C5042">PRODUCT(1-'Sparkling Model'!D$2:D$38^A5042)</f>
        <v>0.7158536928</v>
      </c>
    </row>
    <row r="5043">
      <c r="A5043" s="6">
        <v>5041.0</v>
      </c>
      <c r="B5043" s="17">
        <f t="array" ref="B5043">SUM(1-'Sparkling Model'!D$2:D$38^A5043)</f>
        <v>36.6784181</v>
      </c>
      <c r="C5043" s="8">
        <f t="array" ref="C5043">PRODUCT(1-'Sparkling Model'!D$2:D$38^A5043)</f>
        <v>0.7159910639</v>
      </c>
    </row>
    <row r="5044">
      <c r="A5044" s="6">
        <v>5042.0</v>
      </c>
      <c r="B5044" s="17">
        <f t="array" ref="B5044">SUM(1-'Sparkling Model'!D$2:D$38^A5044)</f>
        <v>36.67859697</v>
      </c>
      <c r="C5044" s="8">
        <f t="array" ref="C5044">PRODUCT(1-'Sparkling Model'!D$2:D$38^A5044)</f>
        <v>0.7161283725</v>
      </c>
    </row>
    <row r="5045">
      <c r="A5045" s="6">
        <v>5043.0</v>
      </c>
      <c r="B5045" s="17">
        <f t="array" ref="B5045">SUM(1-'Sparkling Model'!D$2:D$38^A5045)</f>
        <v>36.67877573</v>
      </c>
      <c r="C5045" s="8">
        <f t="array" ref="C5045">PRODUCT(1-'Sparkling Model'!D$2:D$38^A5045)</f>
        <v>0.7162656185</v>
      </c>
    </row>
    <row r="5046">
      <c r="A5046" s="6">
        <v>5044.0</v>
      </c>
      <c r="B5046" s="17">
        <f t="array" ref="B5046">SUM(1-'Sparkling Model'!D$2:D$38^A5046)</f>
        <v>36.67895438</v>
      </c>
      <c r="C5046" s="8">
        <f t="array" ref="C5046">PRODUCT(1-'Sparkling Model'!D$2:D$38^A5046)</f>
        <v>0.716402802</v>
      </c>
    </row>
    <row r="5047">
      <c r="A5047" s="6">
        <v>5045.0</v>
      </c>
      <c r="B5047" s="17">
        <f t="array" ref="B5047">SUM(1-'Sparkling Model'!D$2:D$38^A5047)</f>
        <v>36.67913292</v>
      </c>
      <c r="C5047" s="8">
        <f t="array" ref="C5047">PRODUCT(1-'Sparkling Model'!D$2:D$38^A5047)</f>
        <v>0.716539923</v>
      </c>
    </row>
    <row r="5048">
      <c r="A5048" s="6">
        <v>5046.0</v>
      </c>
      <c r="B5048" s="17">
        <f t="array" ref="B5048">SUM(1-'Sparkling Model'!D$2:D$38^A5048)</f>
        <v>36.67931135</v>
      </c>
      <c r="C5048" s="8">
        <f t="array" ref="C5048">PRODUCT(1-'Sparkling Model'!D$2:D$38^A5048)</f>
        <v>0.7166769816</v>
      </c>
    </row>
    <row r="5049">
      <c r="A5049" s="6">
        <v>5047.0</v>
      </c>
      <c r="B5049" s="17">
        <f t="array" ref="B5049">SUM(1-'Sparkling Model'!D$2:D$38^A5049)</f>
        <v>36.67948967</v>
      </c>
      <c r="C5049" s="8">
        <f t="array" ref="C5049">PRODUCT(1-'Sparkling Model'!D$2:D$38^A5049)</f>
        <v>0.7168139777</v>
      </c>
    </row>
    <row r="5050">
      <c r="A5050" s="6">
        <v>5048.0</v>
      </c>
      <c r="B5050" s="17">
        <f t="array" ref="B5050">SUM(1-'Sparkling Model'!D$2:D$38^A5050)</f>
        <v>36.67966788</v>
      </c>
      <c r="C5050" s="8">
        <f t="array" ref="C5050">PRODUCT(1-'Sparkling Model'!D$2:D$38^A5050)</f>
        <v>0.7169509114</v>
      </c>
    </row>
    <row r="5051">
      <c r="A5051" s="6">
        <v>5049.0</v>
      </c>
      <c r="B5051" s="17">
        <f t="array" ref="B5051">SUM(1-'Sparkling Model'!D$2:D$38^A5051)</f>
        <v>36.67984598</v>
      </c>
      <c r="C5051" s="8">
        <f t="array" ref="C5051">PRODUCT(1-'Sparkling Model'!D$2:D$38^A5051)</f>
        <v>0.7170877827</v>
      </c>
    </row>
    <row r="5052">
      <c r="A5052" s="6">
        <v>5050.0</v>
      </c>
      <c r="B5052" s="17">
        <f t="array" ref="B5052">SUM(1-'Sparkling Model'!D$2:D$38^A5052)</f>
        <v>36.68002396</v>
      </c>
      <c r="C5052" s="8">
        <f t="array" ref="C5052">PRODUCT(1-'Sparkling Model'!D$2:D$38^A5052)</f>
        <v>0.7172245917</v>
      </c>
    </row>
    <row r="5053">
      <c r="A5053" s="6">
        <v>5051.0</v>
      </c>
      <c r="B5053" s="17">
        <f t="array" ref="B5053">SUM(1-'Sparkling Model'!D$2:D$38^A5053)</f>
        <v>36.68020184</v>
      </c>
      <c r="C5053" s="8">
        <f t="array" ref="C5053">PRODUCT(1-'Sparkling Model'!D$2:D$38^A5053)</f>
        <v>0.7173613383</v>
      </c>
    </row>
    <row r="5054">
      <c r="A5054" s="6">
        <v>5052.0</v>
      </c>
      <c r="B5054" s="17">
        <f t="array" ref="B5054">SUM(1-'Sparkling Model'!D$2:D$38^A5054)</f>
        <v>36.68037961</v>
      </c>
      <c r="C5054" s="8">
        <f t="array" ref="C5054">PRODUCT(1-'Sparkling Model'!D$2:D$38^A5054)</f>
        <v>0.7174980225</v>
      </c>
    </row>
    <row r="5055">
      <c r="A5055" s="6">
        <v>5053.0</v>
      </c>
      <c r="B5055" s="17">
        <f t="array" ref="B5055">SUM(1-'Sparkling Model'!D$2:D$38^A5055)</f>
        <v>36.68055727</v>
      </c>
      <c r="C5055" s="8">
        <f t="array" ref="C5055">PRODUCT(1-'Sparkling Model'!D$2:D$38^A5055)</f>
        <v>0.7176346445</v>
      </c>
    </row>
    <row r="5056">
      <c r="A5056" s="6">
        <v>5054.0</v>
      </c>
      <c r="B5056" s="17">
        <f t="array" ref="B5056">SUM(1-'Sparkling Model'!D$2:D$38^A5056)</f>
        <v>36.68073482</v>
      </c>
      <c r="C5056" s="8">
        <f t="array" ref="C5056">PRODUCT(1-'Sparkling Model'!D$2:D$38^A5056)</f>
        <v>0.7177712041</v>
      </c>
    </row>
    <row r="5057">
      <c r="A5057" s="6">
        <v>5055.0</v>
      </c>
      <c r="B5057" s="17">
        <f t="array" ref="B5057">SUM(1-'Sparkling Model'!D$2:D$38^A5057)</f>
        <v>36.68091227</v>
      </c>
      <c r="C5057" s="8">
        <f t="array" ref="C5057">PRODUCT(1-'Sparkling Model'!D$2:D$38^A5057)</f>
        <v>0.7179077015</v>
      </c>
    </row>
    <row r="5058">
      <c r="A5058" s="6">
        <v>5056.0</v>
      </c>
      <c r="B5058" s="17">
        <f t="array" ref="B5058">SUM(1-'Sparkling Model'!D$2:D$38^A5058)</f>
        <v>36.6810896</v>
      </c>
      <c r="C5058" s="8">
        <f t="array" ref="C5058">PRODUCT(1-'Sparkling Model'!D$2:D$38^A5058)</f>
        <v>0.7180441367</v>
      </c>
    </row>
    <row r="5059">
      <c r="A5059" s="6">
        <v>5057.0</v>
      </c>
      <c r="B5059" s="17">
        <f t="array" ref="B5059">SUM(1-'Sparkling Model'!D$2:D$38^A5059)</f>
        <v>36.68126682</v>
      </c>
      <c r="C5059" s="8">
        <f t="array" ref="C5059">PRODUCT(1-'Sparkling Model'!D$2:D$38^A5059)</f>
        <v>0.7181805097</v>
      </c>
    </row>
    <row r="5060">
      <c r="A5060" s="6">
        <v>5058.0</v>
      </c>
      <c r="B5060" s="17">
        <f t="array" ref="B5060">SUM(1-'Sparkling Model'!D$2:D$38^A5060)</f>
        <v>36.68144393</v>
      </c>
      <c r="C5060" s="8">
        <f t="array" ref="C5060">PRODUCT(1-'Sparkling Model'!D$2:D$38^A5060)</f>
        <v>0.7183168204</v>
      </c>
    </row>
    <row r="5061">
      <c r="A5061" s="6">
        <v>5059.0</v>
      </c>
      <c r="B5061" s="17">
        <f t="array" ref="B5061">SUM(1-'Sparkling Model'!D$2:D$38^A5061)</f>
        <v>36.68162094</v>
      </c>
      <c r="C5061" s="8">
        <f t="array" ref="C5061">PRODUCT(1-'Sparkling Model'!D$2:D$38^A5061)</f>
        <v>0.718453069</v>
      </c>
    </row>
    <row r="5062">
      <c r="A5062" s="6">
        <v>5060.0</v>
      </c>
      <c r="B5062" s="17">
        <f t="array" ref="B5062">SUM(1-'Sparkling Model'!D$2:D$38^A5062)</f>
        <v>36.68179783</v>
      </c>
      <c r="C5062" s="8">
        <f t="array" ref="C5062">PRODUCT(1-'Sparkling Model'!D$2:D$38^A5062)</f>
        <v>0.7185892555</v>
      </c>
    </row>
    <row r="5063">
      <c r="A5063" s="6">
        <v>5061.0</v>
      </c>
      <c r="B5063" s="17">
        <f t="array" ref="B5063">SUM(1-'Sparkling Model'!D$2:D$38^A5063)</f>
        <v>36.68197462</v>
      </c>
      <c r="C5063" s="8">
        <f t="array" ref="C5063">PRODUCT(1-'Sparkling Model'!D$2:D$38^A5063)</f>
        <v>0.7187253798</v>
      </c>
    </row>
    <row r="5064">
      <c r="A5064" s="6">
        <v>5062.0</v>
      </c>
      <c r="B5064" s="17">
        <f t="array" ref="B5064">SUM(1-'Sparkling Model'!D$2:D$38^A5064)</f>
        <v>36.68215129</v>
      </c>
      <c r="C5064" s="8">
        <f t="array" ref="C5064">PRODUCT(1-'Sparkling Model'!D$2:D$38^A5064)</f>
        <v>0.718861442</v>
      </c>
    </row>
    <row r="5065">
      <c r="A5065" s="6">
        <v>5063.0</v>
      </c>
      <c r="B5065" s="17">
        <f t="array" ref="B5065">SUM(1-'Sparkling Model'!D$2:D$38^A5065)</f>
        <v>36.68232786</v>
      </c>
      <c r="C5065" s="8">
        <f t="array" ref="C5065">PRODUCT(1-'Sparkling Model'!D$2:D$38^A5065)</f>
        <v>0.7189974421</v>
      </c>
    </row>
    <row r="5066">
      <c r="A5066" s="6">
        <v>5064.0</v>
      </c>
      <c r="B5066" s="17">
        <f t="array" ref="B5066">SUM(1-'Sparkling Model'!D$2:D$38^A5066)</f>
        <v>36.68250432</v>
      </c>
      <c r="C5066" s="8">
        <f t="array" ref="C5066">PRODUCT(1-'Sparkling Model'!D$2:D$38^A5066)</f>
        <v>0.7191333802</v>
      </c>
    </row>
    <row r="5067">
      <c r="A5067" s="6">
        <v>5065.0</v>
      </c>
      <c r="B5067" s="17">
        <f t="array" ref="B5067">SUM(1-'Sparkling Model'!D$2:D$38^A5067)</f>
        <v>36.68268067</v>
      </c>
      <c r="C5067" s="8">
        <f t="array" ref="C5067">PRODUCT(1-'Sparkling Model'!D$2:D$38^A5067)</f>
        <v>0.7192692562</v>
      </c>
    </row>
    <row r="5068">
      <c r="A5068" s="6">
        <v>5066.0</v>
      </c>
      <c r="B5068" s="17">
        <f t="array" ref="B5068">SUM(1-'Sparkling Model'!D$2:D$38^A5068)</f>
        <v>36.68285691</v>
      </c>
      <c r="C5068" s="8">
        <f t="array" ref="C5068">PRODUCT(1-'Sparkling Model'!D$2:D$38^A5068)</f>
        <v>0.7194050703</v>
      </c>
    </row>
    <row r="5069">
      <c r="A5069" s="6">
        <v>5067.0</v>
      </c>
      <c r="B5069" s="17">
        <f t="array" ref="B5069">SUM(1-'Sparkling Model'!D$2:D$38^A5069)</f>
        <v>36.68303304</v>
      </c>
      <c r="C5069" s="8">
        <f t="array" ref="C5069">PRODUCT(1-'Sparkling Model'!D$2:D$38^A5069)</f>
        <v>0.7195408223</v>
      </c>
    </row>
    <row r="5070">
      <c r="A5070" s="6">
        <v>5068.0</v>
      </c>
      <c r="B5070" s="17">
        <f t="array" ref="B5070">SUM(1-'Sparkling Model'!D$2:D$38^A5070)</f>
        <v>36.68320907</v>
      </c>
      <c r="C5070" s="8">
        <f t="array" ref="C5070">PRODUCT(1-'Sparkling Model'!D$2:D$38^A5070)</f>
        <v>0.7196765124</v>
      </c>
    </row>
    <row r="5071">
      <c r="A5071" s="6">
        <v>5069.0</v>
      </c>
      <c r="B5071" s="17">
        <f t="array" ref="B5071">SUM(1-'Sparkling Model'!D$2:D$38^A5071)</f>
        <v>36.68338499</v>
      </c>
      <c r="C5071" s="8">
        <f t="array" ref="C5071">PRODUCT(1-'Sparkling Model'!D$2:D$38^A5071)</f>
        <v>0.7198121405</v>
      </c>
    </row>
    <row r="5072">
      <c r="A5072" s="6">
        <v>5070.0</v>
      </c>
      <c r="B5072" s="17">
        <f t="array" ref="B5072">SUM(1-'Sparkling Model'!D$2:D$38^A5072)</f>
        <v>36.68356079</v>
      </c>
      <c r="C5072" s="8">
        <f t="array" ref="C5072">PRODUCT(1-'Sparkling Model'!D$2:D$38^A5072)</f>
        <v>0.7199477068</v>
      </c>
    </row>
    <row r="5073">
      <c r="A5073" s="6">
        <v>5071.0</v>
      </c>
      <c r="B5073" s="17">
        <f t="array" ref="B5073">SUM(1-'Sparkling Model'!D$2:D$38^A5073)</f>
        <v>36.68373649</v>
      </c>
      <c r="C5073" s="8">
        <f t="array" ref="C5073">PRODUCT(1-'Sparkling Model'!D$2:D$38^A5073)</f>
        <v>0.7200832111</v>
      </c>
    </row>
    <row r="5074">
      <c r="A5074" s="6">
        <v>5072.0</v>
      </c>
      <c r="B5074" s="17">
        <f t="array" ref="B5074">SUM(1-'Sparkling Model'!D$2:D$38^A5074)</f>
        <v>36.68391208</v>
      </c>
      <c r="C5074" s="8">
        <f t="array" ref="C5074">PRODUCT(1-'Sparkling Model'!D$2:D$38^A5074)</f>
        <v>0.7202186535</v>
      </c>
    </row>
    <row r="5075">
      <c r="A5075" s="6">
        <v>5073.0</v>
      </c>
      <c r="B5075" s="17">
        <f t="array" ref="B5075">SUM(1-'Sparkling Model'!D$2:D$38^A5075)</f>
        <v>36.68408757</v>
      </c>
      <c r="C5075" s="8">
        <f t="array" ref="C5075">PRODUCT(1-'Sparkling Model'!D$2:D$38^A5075)</f>
        <v>0.7203540341</v>
      </c>
    </row>
    <row r="5076">
      <c r="A5076" s="6">
        <v>5074.0</v>
      </c>
      <c r="B5076" s="17">
        <f t="array" ref="B5076">SUM(1-'Sparkling Model'!D$2:D$38^A5076)</f>
        <v>36.68426294</v>
      </c>
      <c r="C5076" s="8">
        <f t="array" ref="C5076">PRODUCT(1-'Sparkling Model'!D$2:D$38^A5076)</f>
        <v>0.7204893529</v>
      </c>
    </row>
    <row r="5077">
      <c r="A5077" s="6">
        <v>5075.0</v>
      </c>
      <c r="B5077" s="17">
        <f t="array" ref="B5077">SUM(1-'Sparkling Model'!D$2:D$38^A5077)</f>
        <v>36.68443821</v>
      </c>
      <c r="C5077" s="8">
        <f t="array" ref="C5077">PRODUCT(1-'Sparkling Model'!D$2:D$38^A5077)</f>
        <v>0.7206246098</v>
      </c>
    </row>
    <row r="5078">
      <c r="A5078" s="6">
        <v>5076.0</v>
      </c>
      <c r="B5078" s="17">
        <f t="array" ref="B5078">SUM(1-'Sparkling Model'!D$2:D$38^A5078)</f>
        <v>36.68461337</v>
      </c>
      <c r="C5078" s="8">
        <f t="array" ref="C5078">PRODUCT(1-'Sparkling Model'!D$2:D$38^A5078)</f>
        <v>0.720759805</v>
      </c>
    </row>
    <row r="5079">
      <c r="A5079" s="6">
        <v>5077.0</v>
      </c>
      <c r="B5079" s="17">
        <f t="array" ref="B5079">SUM(1-'Sparkling Model'!D$2:D$38^A5079)</f>
        <v>36.68478842</v>
      </c>
      <c r="C5079" s="8">
        <f t="array" ref="C5079">PRODUCT(1-'Sparkling Model'!D$2:D$38^A5079)</f>
        <v>0.7208949384</v>
      </c>
    </row>
    <row r="5080">
      <c r="A5080" s="6">
        <v>5078.0</v>
      </c>
      <c r="B5080" s="17">
        <f t="array" ref="B5080">SUM(1-'Sparkling Model'!D$2:D$38^A5080)</f>
        <v>36.68496337</v>
      </c>
      <c r="C5080" s="8">
        <f t="array" ref="C5080">PRODUCT(1-'Sparkling Model'!D$2:D$38^A5080)</f>
        <v>0.7210300101</v>
      </c>
    </row>
    <row r="5081">
      <c r="A5081" s="6">
        <v>5079.0</v>
      </c>
      <c r="B5081" s="17">
        <f t="array" ref="B5081">SUM(1-'Sparkling Model'!D$2:D$38^A5081)</f>
        <v>36.6851382</v>
      </c>
      <c r="C5081" s="8">
        <f t="array" ref="C5081">PRODUCT(1-'Sparkling Model'!D$2:D$38^A5081)</f>
        <v>0.72116502</v>
      </c>
    </row>
    <row r="5082">
      <c r="A5082" s="6">
        <v>5080.0</v>
      </c>
      <c r="B5082" s="17">
        <f t="array" ref="B5082">SUM(1-'Sparkling Model'!D$2:D$38^A5082)</f>
        <v>36.68531293</v>
      </c>
      <c r="C5082" s="8">
        <f t="array" ref="C5082">PRODUCT(1-'Sparkling Model'!D$2:D$38^A5082)</f>
        <v>0.7212999683</v>
      </c>
    </row>
    <row r="5083">
      <c r="A5083" s="6">
        <v>5081.0</v>
      </c>
      <c r="B5083" s="17">
        <f t="array" ref="B5083">SUM(1-'Sparkling Model'!D$2:D$38^A5083)</f>
        <v>36.68548755</v>
      </c>
      <c r="C5083" s="8">
        <f t="array" ref="C5083">PRODUCT(1-'Sparkling Model'!D$2:D$38^A5083)</f>
        <v>0.7214348548</v>
      </c>
    </row>
    <row r="5084">
      <c r="A5084" s="6">
        <v>5082.0</v>
      </c>
      <c r="B5084" s="17">
        <f t="array" ref="B5084">SUM(1-'Sparkling Model'!D$2:D$38^A5084)</f>
        <v>36.68566207</v>
      </c>
      <c r="C5084" s="8">
        <f t="array" ref="C5084">PRODUCT(1-'Sparkling Model'!D$2:D$38^A5084)</f>
        <v>0.7215696798</v>
      </c>
    </row>
    <row r="5085">
      <c r="A5085" s="6">
        <v>5083.0</v>
      </c>
      <c r="B5085" s="17">
        <f t="array" ref="B5085">SUM(1-'Sparkling Model'!D$2:D$38^A5085)</f>
        <v>36.68583648</v>
      </c>
      <c r="C5085" s="8">
        <f t="array" ref="C5085">PRODUCT(1-'Sparkling Model'!D$2:D$38^A5085)</f>
        <v>0.7217044431</v>
      </c>
    </row>
    <row r="5086">
      <c r="A5086" s="6">
        <v>5084.0</v>
      </c>
      <c r="B5086" s="17">
        <f t="array" ref="B5086">SUM(1-'Sparkling Model'!D$2:D$38^A5086)</f>
        <v>36.68601077</v>
      </c>
      <c r="C5086" s="8">
        <f t="array" ref="C5086">PRODUCT(1-'Sparkling Model'!D$2:D$38^A5086)</f>
        <v>0.7218391448</v>
      </c>
    </row>
    <row r="5087">
      <c r="A5087" s="6">
        <v>5085.0</v>
      </c>
      <c r="B5087" s="17">
        <f t="array" ref="B5087">SUM(1-'Sparkling Model'!D$2:D$38^A5087)</f>
        <v>36.68618497</v>
      </c>
      <c r="C5087" s="8">
        <f t="array" ref="C5087">PRODUCT(1-'Sparkling Model'!D$2:D$38^A5087)</f>
        <v>0.7219737849</v>
      </c>
    </row>
    <row r="5088">
      <c r="A5088" s="6">
        <v>5086.0</v>
      </c>
      <c r="B5088" s="17">
        <f t="array" ref="B5088">SUM(1-'Sparkling Model'!D$2:D$38^A5088)</f>
        <v>36.68635905</v>
      </c>
      <c r="C5088" s="8">
        <f t="array" ref="C5088">PRODUCT(1-'Sparkling Model'!D$2:D$38^A5088)</f>
        <v>0.7221083635</v>
      </c>
    </row>
    <row r="5089">
      <c r="A5089" s="6">
        <v>5087.0</v>
      </c>
      <c r="B5089" s="17">
        <f t="array" ref="B5089">SUM(1-'Sparkling Model'!D$2:D$38^A5089)</f>
        <v>36.68653303</v>
      </c>
      <c r="C5089" s="8">
        <f t="array" ref="C5089">PRODUCT(1-'Sparkling Model'!D$2:D$38^A5089)</f>
        <v>0.7222428805</v>
      </c>
    </row>
    <row r="5090">
      <c r="A5090" s="6">
        <v>5088.0</v>
      </c>
      <c r="B5090" s="17">
        <f t="array" ref="B5090">SUM(1-'Sparkling Model'!D$2:D$38^A5090)</f>
        <v>36.6867069</v>
      </c>
      <c r="C5090" s="8">
        <f t="array" ref="C5090">PRODUCT(1-'Sparkling Model'!D$2:D$38^A5090)</f>
        <v>0.7223773361</v>
      </c>
    </row>
    <row r="5091">
      <c r="A5091" s="6">
        <v>5089.0</v>
      </c>
      <c r="B5091" s="17">
        <f t="array" ref="B5091">SUM(1-'Sparkling Model'!D$2:D$38^A5091)</f>
        <v>36.68688067</v>
      </c>
      <c r="C5091" s="8">
        <f t="array" ref="C5091">PRODUCT(1-'Sparkling Model'!D$2:D$38^A5091)</f>
        <v>0.7225117301</v>
      </c>
    </row>
    <row r="5092">
      <c r="A5092" s="6">
        <v>5090.0</v>
      </c>
      <c r="B5092" s="17">
        <f t="array" ref="B5092">SUM(1-'Sparkling Model'!D$2:D$38^A5092)</f>
        <v>36.68705433</v>
      </c>
      <c r="C5092" s="8">
        <f t="array" ref="C5092">PRODUCT(1-'Sparkling Model'!D$2:D$38^A5092)</f>
        <v>0.7226460627</v>
      </c>
    </row>
    <row r="5093">
      <c r="A5093" s="6">
        <v>5091.0</v>
      </c>
      <c r="B5093" s="17">
        <f t="array" ref="B5093">SUM(1-'Sparkling Model'!D$2:D$38^A5093)</f>
        <v>36.68722788</v>
      </c>
      <c r="C5093" s="8">
        <f t="array" ref="C5093">PRODUCT(1-'Sparkling Model'!D$2:D$38^A5093)</f>
        <v>0.7227803338</v>
      </c>
    </row>
    <row r="5094">
      <c r="A5094" s="6">
        <v>5092.0</v>
      </c>
      <c r="B5094" s="17">
        <f t="array" ref="B5094">SUM(1-'Sparkling Model'!D$2:D$38^A5094)</f>
        <v>36.68740132</v>
      </c>
      <c r="C5094" s="8">
        <f t="array" ref="C5094">PRODUCT(1-'Sparkling Model'!D$2:D$38^A5094)</f>
        <v>0.7229145435</v>
      </c>
    </row>
    <row r="5095">
      <c r="A5095" s="6">
        <v>5093.0</v>
      </c>
      <c r="B5095" s="17">
        <f t="array" ref="B5095">SUM(1-'Sparkling Model'!D$2:D$38^A5095)</f>
        <v>36.68757466</v>
      </c>
      <c r="C5095" s="8">
        <f t="array" ref="C5095">PRODUCT(1-'Sparkling Model'!D$2:D$38^A5095)</f>
        <v>0.7230486918</v>
      </c>
    </row>
    <row r="5096">
      <c r="A5096" s="6">
        <v>5094.0</v>
      </c>
      <c r="B5096" s="17">
        <f t="array" ref="B5096">SUM(1-'Sparkling Model'!D$2:D$38^A5096)</f>
        <v>36.68774789</v>
      </c>
      <c r="C5096" s="8">
        <f t="array" ref="C5096">PRODUCT(1-'Sparkling Model'!D$2:D$38^A5096)</f>
        <v>0.7231827787</v>
      </c>
    </row>
    <row r="5097">
      <c r="A5097" s="6">
        <v>5095.0</v>
      </c>
      <c r="B5097" s="17">
        <f t="array" ref="B5097">SUM(1-'Sparkling Model'!D$2:D$38^A5097)</f>
        <v>36.68792102</v>
      </c>
      <c r="C5097" s="8">
        <f t="array" ref="C5097">PRODUCT(1-'Sparkling Model'!D$2:D$38^A5097)</f>
        <v>0.7233168043</v>
      </c>
    </row>
    <row r="5098">
      <c r="A5098" s="6">
        <v>5096.0</v>
      </c>
      <c r="B5098" s="17">
        <f t="array" ref="B5098">SUM(1-'Sparkling Model'!D$2:D$38^A5098)</f>
        <v>36.68809404</v>
      </c>
      <c r="C5098" s="8">
        <f t="array" ref="C5098">PRODUCT(1-'Sparkling Model'!D$2:D$38^A5098)</f>
        <v>0.7234507685</v>
      </c>
    </row>
    <row r="5099">
      <c r="A5099" s="6">
        <v>5097.0</v>
      </c>
      <c r="B5099" s="17">
        <f t="array" ref="B5099">SUM(1-'Sparkling Model'!D$2:D$38^A5099)</f>
        <v>36.68826695</v>
      </c>
      <c r="C5099" s="8">
        <f t="array" ref="C5099">PRODUCT(1-'Sparkling Model'!D$2:D$38^A5099)</f>
        <v>0.7235846714</v>
      </c>
    </row>
    <row r="5100">
      <c r="A5100" s="6">
        <v>5098.0</v>
      </c>
      <c r="B5100" s="17">
        <f t="array" ref="B5100">SUM(1-'Sparkling Model'!D$2:D$38^A5100)</f>
        <v>36.68843976</v>
      </c>
      <c r="C5100" s="8">
        <f t="array" ref="C5100">PRODUCT(1-'Sparkling Model'!D$2:D$38^A5100)</f>
        <v>0.7237185131</v>
      </c>
    </row>
    <row r="5101">
      <c r="A5101" s="6">
        <v>5099.0</v>
      </c>
      <c r="B5101" s="17">
        <f t="array" ref="B5101">SUM(1-'Sparkling Model'!D$2:D$38^A5101)</f>
        <v>36.68861246</v>
      </c>
      <c r="C5101" s="8">
        <f t="array" ref="C5101">PRODUCT(1-'Sparkling Model'!D$2:D$38^A5101)</f>
        <v>0.7238522935</v>
      </c>
    </row>
    <row r="5102">
      <c r="A5102" s="6">
        <v>5100.0</v>
      </c>
      <c r="B5102" s="17">
        <f t="array" ref="B5102">SUM(1-'Sparkling Model'!D$2:D$38^A5102)</f>
        <v>36.68878505</v>
      </c>
      <c r="C5102" s="8">
        <f t="array" ref="C5102">PRODUCT(1-'Sparkling Model'!D$2:D$38^A5102)</f>
        <v>0.7239860126</v>
      </c>
    </row>
    <row r="5103">
      <c r="A5103" s="6">
        <v>5101.0</v>
      </c>
      <c r="B5103" s="17">
        <f t="array" ref="B5103">SUM(1-'Sparkling Model'!D$2:D$38^A5103)</f>
        <v>36.68895754</v>
      </c>
      <c r="C5103" s="8">
        <f t="array" ref="C5103">PRODUCT(1-'Sparkling Model'!D$2:D$38^A5103)</f>
        <v>0.7241196705</v>
      </c>
    </row>
    <row r="5104">
      <c r="A5104" s="6">
        <v>5102.0</v>
      </c>
      <c r="B5104" s="17">
        <f t="array" ref="B5104">SUM(1-'Sparkling Model'!D$2:D$38^A5104)</f>
        <v>36.68912993</v>
      </c>
      <c r="C5104" s="8">
        <f t="array" ref="C5104">PRODUCT(1-'Sparkling Model'!D$2:D$38^A5104)</f>
        <v>0.7242532673</v>
      </c>
    </row>
    <row r="5105">
      <c r="A5105" s="6">
        <v>5103.0</v>
      </c>
      <c r="B5105" s="17">
        <f t="array" ref="B5105">SUM(1-'Sparkling Model'!D$2:D$38^A5105)</f>
        <v>36.6893022</v>
      </c>
      <c r="C5105" s="8">
        <f t="array" ref="C5105">PRODUCT(1-'Sparkling Model'!D$2:D$38^A5105)</f>
        <v>0.7243868028</v>
      </c>
    </row>
    <row r="5106">
      <c r="A5106" s="6">
        <v>5104.0</v>
      </c>
      <c r="B5106" s="17">
        <f t="array" ref="B5106">SUM(1-'Sparkling Model'!D$2:D$38^A5106)</f>
        <v>36.68947438</v>
      </c>
      <c r="C5106" s="8">
        <f t="array" ref="C5106">PRODUCT(1-'Sparkling Model'!D$2:D$38^A5106)</f>
        <v>0.7245202772</v>
      </c>
    </row>
    <row r="5107">
      <c r="A5107" s="6">
        <v>5105.0</v>
      </c>
      <c r="B5107" s="17">
        <f t="array" ref="B5107">SUM(1-'Sparkling Model'!D$2:D$38^A5107)</f>
        <v>36.68964644</v>
      </c>
      <c r="C5107" s="8">
        <f t="array" ref="C5107">PRODUCT(1-'Sparkling Model'!D$2:D$38^A5107)</f>
        <v>0.7246536905</v>
      </c>
    </row>
    <row r="5108">
      <c r="A5108" s="6">
        <v>5106.0</v>
      </c>
      <c r="B5108" s="17">
        <f t="array" ref="B5108">SUM(1-'Sparkling Model'!D$2:D$38^A5108)</f>
        <v>36.6898184</v>
      </c>
      <c r="C5108" s="8">
        <f t="array" ref="C5108">PRODUCT(1-'Sparkling Model'!D$2:D$38^A5108)</f>
        <v>0.7247870427</v>
      </c>
    </row>
    <row r="5109">
      <c r="A5109" s="6">
        <v>5107.0</v>
      </c>
      <c r="B5109" s="17">
        <f t="array" ref="B5109">SUM(1-'Sparkling Model'!D$2:D$38^A5109)</f>
        <v>36.68999026</v>
      </c>
      <c r="C5109" s="8">
        <f t="array" ref="C5109">PRODUCT(1-'Sparkling Model'!D$2:D$38^A5109)</f>
        <v>0.7249203338</v>
      </c>
    </row>
    <row r="5110">
      <c r="A5110" s="6">
        <v>5108.0</v>
      </c>
      <c r="B5110" s="17">
        <f t="array" ref="B5110">SUM(1-'Sparkling Model'!D$2:D$38^A5110)</f>
        <v>36.69016201</v>
      </c>
      <c r="C5110" s="8">
        <f t="array" ref="C5110">PRODUCT(1-'Sparkling Model'!D$2:D$38^A5110)</f>
        <v>0.7250535638</v>
      </c>
    </row>
    <row r="5111">
      <c r="A5111" s="6">
        <v>5109.0</v>
      </c>
      <c r="B5111" s="17">
        <f t="array" ref="B5111">SUM(1-'Sparkling Model'!D$2:D$38^A5111)</f>
        <v>36.69033365</v>
      </c>
      <c r="C5111" s="8">
        <f t="array" ref="C5111">PRODUCT(1-'Sparkling Model'!D$2:D$38^A5111)</f>
        <v>0.7251867328</v>
      </c>
    </row>
    <row r="5112">
      <c r="A5112" s="6">
        <v>5110.0</v>
      </c>
      <c r="B5112" s="17">
        <f t="array" ref="B5112">SUM(1-'Sparkling Model'!D$2:D$38^A5112)</f>
        <v>36.69050519</v>
      </c>
      <c r="C5112" s="8">
        <f t="array" ref="C5112">PRODUCT(1-'Sparkling Model'!D$2:D$38^A5112)</f>
        <v>0.7253198408</v>
      </c>
    </row>
    <row r="5113">
      <c r="A5113" s="6">
        <v>5111.0</v>
      </c>
      <c r="B5113" s="17">
        <f t="array" ref="B5113">SUM(1-'Sparkling Model'!D$2:D$38^A5113)</f>
        <v>36.69067663</v>
      </c>
      <c r="C5113" s="8">
        <f t="array" ref="C5113">PRODUCT(1-'Sparkling Model'!D$2:D$38^A5113)</f>
        <v>0.7254528878</v>
      </c>
    </row>
    <row r="5114">
      <c r="A5114" s="6">
        <v>5112.0</v>
      </c>
      <c r="B5114" s="17">
        <f t="array" ref="B5114">SUM(1-'Sparkling Model'!D$2:D$38^A5114)</f>
        <v>36.69084795</v>
      </c>
      <c r="C5114" s="8">
        <f t="array" ref="C5114">PRODUCT(1-'Sparkling Model'!D$2:D$38^A5114)</f>
        <v>0.7255858739</v>
      </c>
    </row>
    <row r="5115">
      <c r="A5115" s="6">
        <v>5113.0</v>
      </c>
      <c r="B5115" s="17">
        <f t="array" ref="B5115">SUM(1-'Sparkling Model'!D$2:D$38^A5115)</f>
        <v>36.69101918</v>
      </c>
      <c r="C5115" s="8">
        <f t="array" ref="C5115">PRODUCT(1-'Sparkling Model'!D$2:D$38^A5115)</f>
        <v>0.7257187989</v>
      </c>
    </row>
    <row r="5116">
      <c r="A5116" s="6">
        <v>5114.0</v>
      </c>
      <c r="B5116" s="17">
        <f t="array" ref="B5116">SUM(1-'Sparkling Model'!D$2:D$38^A5116)</f>
        <v>36.6911903</v>
      </c>
      <c r="C5116" s="8">
        <f t="array" ref="C5116">PRODUCT(1-'Sparkling Model'!D$2:D$38^A5116)</f>
        <v>0.7258516631</v>
      </c>
    </row>
    <row r="5117">
      <c r="A5117" s="6">
        <v>5115.0</v>
      </c>
      <c r="B5117" s="17">
        <f t="array" ref="B5117">SUM(1-'Sparkling Model'!D$2:D$38^A5117)</f>
        <v>36.69136131</v>
      </c>
      <c r="C5117" s="8">
        <f t="array" ref="C5117">PRODUCT(1-'Sparkling Model'!D$2:D$38^A5117)</f>
        <v>0.7259844664</v>
      </c>
    </row>
    <row r="5118">
      <c r="A5118" s="6">
        <v>5116.0</v>
      </c>
      <c r="B5118" s="17">
        <f t="array" ref="B5118">SUM(1-'Sparkling Model'!D$2:D$38^A5118)</f>
        <v>36.69153222</v>
      </c>
      <c r="C5118" s="8">
        <f t="array" ref="C5118">PRODUCT(1-'Sparkling Model'!D$2:D$38^A5118)</f>
        <v>0.7261172088</v>
      </c>
    </row>
    <row r="5119">
      <c r="A5119" s="6">
        <v>5117.0</v>
      </c>
      <c r="B5119" s="17">
        <f t="array" ref="B5119">SUM(1-'Sparkling Model'!D$2:D$38^A5119)</f>
        <v>36.69170303</v>
      </c>
      <c r="C5119" s="8">
        <f t="array" ref="C5119">PRODUCT(1-'Sparkling Model'!D$2:D$38^A5119)</f>
        <v>0.7262498903</v>
      </c>
    </row>
    <row r="5120">
      <c r="A5120" s="6">
        <v>5118.0</v>
      </c>
      <c r="B5120" s="17">
        <f t="array" ref="B5120">SUM(1-'Sparkling Model'!D$2:D$38^A5120)</f>
        <v>36.69187373</v>
      </c>
      <c r="C5120" s="8">
        <f t="array" ref="C5120">PRODUCT(1-'Sparkling Model'!D$2:D$38^A5120)</f>
        <v>0.726382511</v>
      </c>
    </row>
    <row r="5121">
      <c r="A5121" s="6">
        <v>5119.0</v>
      </c>
      <c r="B5121" s="17">
        <f t="array" ref="B5121">SUM(1-'Sparkling Model'!D$2:D$38^A5121)</f>
        <v>36.69204432</v>
      </c>
      <c r="C5121" s="8">
        <f t="array" ref="C5121">PRODUCT(1-'Sparkling Model'!D$2:D$38^A5121)</f>
        <v>0.7265150709</v>
      </c>
    </row>
    <row r="5122">
      <c r="A5122" s="6">
        <v>5120.0</v>
      </c>
      <c r="B5122" s="17">
        <f t="array" ref="B5122">SUM(1-'Sparkling Model'!D$2:D$38^A5122)</f>
        <v>36.69221482</v>
      </c>
      <c r="C5122" s="8">
        <f t="array" ref="C5122">PRODUCT(1-'Sparkling Model'!D$2:D$38^A5122)</f>
        <v>0.72664757</v>
      </c>
    </row>
    <row r="5123">
      <c r="A5123" s="6">
        <v>5121.0</v>
      </c>
      <c r="B5123" s="17">
        <f t="array" ref="B5123">SUM(1-'Sparkling Model'!D$2:D$38^A5123)</f>
        <v>36.6923852</v>
      </c>
      <c r="C5123" s="8">
        <f t="array" ref="C5123">PRODUCT(1-'Sparkling Model'!D$2:D$38^A5123)</f>
        <v>0.7267800084</v>
      </c>
    </row>
    <row r="5124">
      <c r="A5124" s="6">
        <v>5122.0</v>
      </c>
      <c r="B5124" s="17">
        <f t="array" ref="B5124">SUM(1-'Sparkling Model'!D$2:D$38^A5124)</f>
        <v>36.69255549</v>
      </c>
      <c r="C5124" s="8">
        <f t="array" ref="C5124">PRODUCT(1-'Sparkling Model'!D$2:D$38^A5124)</f>
        <v>0.726912386</v>
      </c>
    </row>
    <row r="5125">
      <c r="A5125" s="6">
        <v>5123.0</v>
      </c>
      <c r="B5125" s="17">
        <f t="array" ref="B5125">SUM(1-'Sparkling Model'!D$2:D$38^A5125)</f>
        <v>36.69272566</v>
      </c>
      <c r="C5125" s="8">
        <f t="array" ref="C5125">PRODUCT(1-'Sparkling Model'!D$2:D$38^A5125)</f>
        <v>0.7270447028</v>
      </c>
    </row>
    <row r="5126">
      <c r="A5126" s="6">
        <v>5124.0</v>
      </c>
      <c r="B5126" s="17">
        <f t="array" ref="B5126">SUM(1-'Sparkling Model'!D$2:D$38^A5126)</f>
        <v>36.69289574</v>
      </c>
      <c r="C5126" s="8">
        <f t="array" ref="C5126">PRODUCT(1-'Sparkling Model'!D$2:D$38^A5126)</f>
        <v>0.727176959</v>
      </c>
    </row>
    <row r="5127">
      <c r="A5127" s="6">
        <v>5125.0</v>
      </c>
      <c r="B5127" s="17">
        <f t="array" ref="B5127">SUM(1-'Sparkling Model'!D$2:D$38^A5127)</f>
        <v>36.69306571</v>
      </c>
      <c r="C5127" s="8">
        <f t="array" ref="C5127">PRODUCT(1-'Sparkling Model'!D$2:D$38^A5127)</f>
        <v>0.7273091546</v>
      </c>
    </row>
    <row r="5128">
      <c r="A5128" s="6">
        <v>5126.0</v>
      </c>
      <c r="B5128" s="17">
        <f t="array" ref="B5128">SUM(1-'Sparkling Model'!D$2:D$38^A5128)</f>
        <v>36.69323558</v>
      </c>
      <c r="C5128" s="8">
        <f t="array" ref="C5128">PRODUCT(1-'Sparkling Model'!D$2:D$38^A5128)</f>
        <v>0.7274412894</v>
      </c>
    </row>
    <row r="5129">
      <c r="A5129" s="6">
        <v>5127.0</v>
      </c>
      <c r="B5129" s="17">
        <f t="array" ref="B5129">SUM(1-'Sparkling Model'!D$2:D$38^A5129)</f>
        <v>36.69340534</v>
      </c>
      <c r="C5129" s="8">
        <f t="array" ref="C5129">PRODUCT(1-'Sparkling Model'!D$2:D$38^A5129)</f>
        <v>0.7275733637</v>
      </c>
    </row>
    <row r="5130">
      <c r="A5130" s="6">
        <v>5128.0</v>
      </c>
      <c r="B5130" s="17">
        <f t="array" ref="B5130">SUM(1-'Sparkling Model'!D$2:D$38^A5130)</f>
        <v>36.693575</v>
      </c>
      <c r="C5130" s="8">
        <f t="array" ref="C5130">PRODUCT(1-'Sparkling Model'!D$2:D$38^A5130)</f>
        <v>0.7277053773</v>
      </c>
    </row>
    <row r="5131">
      <c r="A5131" s="6">
        <v>5129.0</v>
      </c>
      <c r="B5131" s="17">
        <f t="array" ref="B5131">SUM(1-'Sparkling Model'!D$2:D$38^A5131)</f>
        <v>36.69374455</v>
      </c>
      <c r="C5131" s="8">
        <f t="array" ref="C5131">PRODUCT(1-'Sparkling Model'!D$2:D$38^A5131)</f>
        <v>0.7278373304</v>
      </c>
    </row>
    <row r="5132">
      <c r="A5132" s="6">
        <v>5130.0</v>
      </c>
      <c r="B5132" s="17">
        <f t="array" ref="B5132">SUM(1-'Sparkling Model'!D$2:D$38^A5132)</f>
        <v>36.693914</v>
      </c>
      <c r="C5132" s="8">
        <f t="array" ref="C5132">PRODUCT(1-'Sparkling Model'!D$2:D$38^A5132)</f>
        <v>0.7279692229</v>
      </c>
    </row>
    <row r="5133">
      <c r="A5133" s="6">
        <v>5131.0</v>
      </c>
      <c r="B5133" s="17">
        <f t="array" ref="B5133">SUM(1-'Sparkling Model'!D$2:D$38^A5133)</f>
        <v>36.69408335</v>
      </c>
      <c r="C5133" s="8">
        <f t="array" ref="C5133">PRODUCT(1-'Sparkling Model'!D$2:D$38^A5133)</f>
        <v>0.7281010548</v>
      </c>
    </row>
    <row r="5134">
      <c r="A5134" s="6">
        <v>5132.0</v>
      </c>
      <c r="B5134" s="17">
        <f t="array" ref="B5134">SUM(1-'Sparkling Model'!D$2:D$38^A5134)</f>
        <v>36.69425259</v>
      </c>
      <c r="C5134" s="8">
        <f t="array" ref="C5134">PRODUCT(1-'Sparkling Model'!D$2:D$38^A5134)</f>
        <v>0.7282328263</v>
      </c>
    </row>
    <row r="5135">
      <c r="A5135" s="6">
        <v>5133.0</v>
      </c>
      <c r="B5135" s="17">
        <f t="array" ref="B5135">SUM(1-'Sparkling Model'!D$2:D$38^A5135)</f>
        <v>36.69442173</v>
      </c>
      <c r="C5135" s="8">
        <f t="array" ref="C5135">PRODUCT(1-'Sparkling Model'!D$2:D$38^A5135)</f>
        <v>0.7283645372</v>
      </c>
    </row>
    <row r="5136">
      <c r="A5136" s="6">
        <v>5134.0</v>
      </c>
      <c r="B5136" s="17">
        <f t="array" ref="B5136">SUM(1-'Sparkling Model'!D$2:D$38^A5136)</f>
        <v>36.69459077</v>
      </c>
      <c r="C5136" s="8">
        <f t="array" ref="C5136">PRODUCT(1-'Sparkling Model'!D$2:D$38^A5136)</f>
        <v>0.7284961877</v>
      </c>
    </row>
    <row r="5137">
      <c r="A5137" s="6">
        <v>5135.0</v>
      </c>
      <c r="B5137" s="17">
        <f t="array" ref="B5137">SUM(1-'Sparkling Model'!D$2:D$38^A5137)</f>
        <v>36.69475971</v>
      </c>
      <c r="C5137" s="8">
        <f t="array" ref="C5137">PRODUCT(1-'Sparkling Model'!D$2:D$38^A5137)</f>
        <v>0.7286277778</v>
      </c>
    </row>
    <row r="5138">
      <c r="A5138" s="6">
        <v>5136.0</v>
      </c>
      <c r="B5138" s="17">
        <f t="array" ref="B5138">SUM(1-'Sparkling Model'!D$2:D$38^A5138)</f>
        <v>36.69492854</v>
      </c>
      <c r="C5138" s="8">
        <f t="array" ref="C5138">PRODUCT(1-'Sparkling Model'!D$2:D$38^A5138)</f>
        <v>0.7287593074</v>
      </c>
    </row>
    <row r="5139">
      <c r="A5139" s="6">
        <v>5137.0</v>
      </c>
      <c r="B5139" s="17">
        <f t="array" ref="B5139">SUM(1-'Sparkling Model'!D$2:D$38^A5139)</f>
        <v>36.69509726</v>
      </c>
      <c r="C5139" s="8">
        <f t="array" ref="C5139">PRODUCT(1-'Sparkling Model'!D$2:D$38^A5139)</f>
        <v>0.7288907766</v>
      </c>
    </row>
    <row r="5140">
      <c r="A5140" s="6">
        <v>5138.0</v>
      </c>
      <c r="B5140" s="17">
        <f t="array" ref="B5140">SUM(1-'Sparkling Model'!D$2:D$38^A5140)</f>
        <v>36.69526589</v>
      </c>
      <c r="C5140" s="8">
        <f t="array" ref="C5140">PRODUCT(1-'Sparkling Model'!D$2:D$38^A5140)</f>
        <v>0.7290221855</v>
      </c>
    </row>
    <row r="5141">
      <c r="A5141" s="6">
        <v>5139.0</v>
      </c>
      <c r="B5141" s="17">
        <f t="array" ref="B5141">SUM(1-'Sparkling Model'!D$2:D$38^A5141)</f>
        <v>36.69543441</v>
      </c>
      <c r="C5141" s="8">
        <f t="array" ref="C5141">PRODUCT(1-'Sparkling Model'!D$2:D$38^A5141)</f>
        <v>0.7291535339</v>
      </c>
    </row>
    <row r="5142">
      <c r="A5142" s="6">
        <v>5140.0</v>
      </c>
      <c r="B5142" s="17">
        <f t="array" ref="B5142">SUM(1-'Sparkling Model'!D$2:D$38^A5142)</f>
        <v>36.69560283</v>
      </c>
      <c r="C5142" s="8">
        <f t="array" ref="C5142">PRODUCT(1-'Sparkling Model'!D$2:D$38^A5142)</f>
        <v>0.7292848221</v>
      </c>
    </row>
    <row r="5143">
      <c r="A5143" s="6">
        <v>5141.0</v>
      </c>
      <c r="B5143" s="17">
        <f t="array" ref="B5143">SUM(1-'Sparkling Model'!D$2:D$38^A5143)</f>
        <v>36.69577114</v>
      </c>
      <c r="C5143" s="8">
        <f t="array" ref="C5143">PRODUCT(1-'Sparkling Model'!D$2:D$38^A5143)</f>
        <v>0.7294160499</v>
      </c>
    </row>
    <row r="5144">
      <c r="A5144" s="6">
        <v>5142.0</v>
      </c>
      <c r="B5144" s="17">
        <f t="array" ref="B5144">SUM(1-'Sparkling Model'!D$2:D$38^A5144)</f>
        <v>36.69593936</v>
      </c>
      <c r="C5144" s="8">
        <f t="array" ref="C5144">PRODUCT(1-'Sparkling Model'!D$2:D$38^A5144)</f>
        <v>0.7295472175</v>
      </c>
    </row>
    <row r="5145">
      <c r="A5145" s="6">
        <v>5143.0</v>
      </c>
      <c r="B5145" s="17">
        <f t="array" ref="B5145">SUM(1-'Sparkling Model'!D$2:D$38^A5145)</f>
        <v>36.69610747</v>
      </c>
      <c r="C5145" s="8">
        <f t="array" ref="C5145">PRODUCT(1-'Sparkling Model'!D$2:D$38^A5145)</f>
        <v>0.7296783248</v>
      </c>
    </row>
    <row r="5146">
      <c r="A5146" s="6">
        <v>5144.0</v>
      </c>
      <c r="B5146" s="17">
        <f t="array" ref="B5146">SUM(1-'Sparkling Model'!D$2:D$38^A5146)</f>
        <v>36.69627547</v>
      </c>
      <c r="C5146" s="8">
        <f t="array" ref="C5146">PRODUCT(1-'Sparkling Model'!D$2:D$38^A5146)</f>
        <v>0.7298093719</v>
      </c>
    </row>
    <row r="5147">
      <c r="A5147" s="6">
        <v>5145.0</v>
      </c>
      <c r="B5147" s="17">
        <f t="array" ref="B5147">SUM(1-'Sparkling Model'!D$2:D$38^A5147)</f>
        <v>36.69644338</v>
      </c>
      <c r="C5147" s="8">
        <f t="array" ref="C5147">PRODUCT(1-'Sparkling Model'!D$2:D$38^A5147)</f>
        <v>0.7299403587</v>
      </c>
    </row>
    <row r="5148">
      <c r="A5148" s="6">
        <v>5146.0</v>
      </c>
      <c r="B5148" s="17">
        <f t="array" ref="B5148">SUM(1-'Sparkling Model'!D$2:D$38^A5148)</f>
        <v>36.69661118</v>
      </c>
      <c r="C5148" s="8">
        <f t="array" ref="C5148">PRODUCT(1-'Sparkling Model'!D$2:D$38^A5148)</f>
        <v>0.7300712853</v>
      </c>
    </row>
    <row r="5149">
      <c r="A5149" s="6">
        <v>5147.0</v>
      </c>
      <c r="B5149" s="17">
        <f t="array" ref="B5149">SUM(1-'Sparkling Model'!D$2:D$38^A5149)</f>
        <v>36.69677888</v>
      </c>
      <c r="C5149" s="8">
        <f t="array" ref="C5149">PRODUCT(1-'Sparkling Model'!D$2:D$38^A5149)</f>
        <v>0.7302021518</v>
      </c>
    </row>
    <row r="5150">
      <c r="A5150" s="6">
        <v>5148.0</v>
      </c>
      <c r="B5150" s="17">
        <f t="array" ref="B5150">SUM(1-'Sparkling Model'!D$2:D$38^A5150)</f>
        <v>36.69694648</v>
      </c>
      <c r="C5150" s="8">
        <f t="array" ref="C5150">PRODUCT(1-'Sparkling Model'!D$2:D$38^A5150)</f>
        <v>0.7303329581</v>
      </c>
    </row>
    <row r="5151">
      <c r="A5151" s="6">
        <v>5149.0</v>
      </c>
      <c r="B5151" s="17">
        <f t="array" ref="B5151">SUM(1-'Sparkling Model'!D$2:D$38^A5151)</f>
        <v>36.69711397</v>
      </c>
      <c r="C5151" s="8">
        <f t="array" ref="C5151">PRODUCT(1-'Sparkling Model'!D$2:D$38^A5151)</f>
        <v>0.7304637043</v>
      </c>
    </row>
    <row r="5152">
      <c r="A5152" s="6">
        <v>5150.0</v>
      </c>
      <c r="B5152" s="17">
        <f t="array" ref="B5152">SUM(1-'Sparkling Model'!D$2:D$38^A5152)</f>
        <v>36.69728136</v>
      </c>
      <c r="C5152" s="8">
        <f t="array" ref="C5152">PRODUCT(1-'Sparkling Model'!D$2:D$38^A5152)</f>
        <v>0.7305943904</v>
      </c>
    </row>
    <row r="5153">
      <c r="A5153" s="6">
        <v>5151.0</v>
      </c>
      <c r="B5153" s="17">
        <f t="array" ref="B5153">SUM(1-'Sparkling Model'!D$2:D$38^A5153)</f>
        <v>36.69744866</v>
      </c>
      <c r="C5153" s="8">
        <f t="array" ref="C5153">PRODUCT(1-'Sparkling Model'!D$2:D$38^A5153)</f>
        <v>0.7307250164</v>
      </c>
    </row>
    <row r="5154">
      <c r="A5154" s="6">
        <v>5152.0</v>
      </c>
      <c r="B5154" s="17">
        <f t="array" ref="B5154">SUM(1-'Sparkling Model'!D$2:D$38^A5154)</f>
        <v>36.69761584</v>
      </c>
      <c r="C5154" s="8">
        <f t="array" ref="C5154">PRODUCT(1-'Sparkling Model'!D$2:D$38^A5154)</f>
        <v>0.7308555824</v>
      </c>
    </row>
    <row r="5155">
      <c r="A5155" s="6">
        <v>5153.0</v>
      </c>
      <c r="B5155" s="17">
        <f t="array" ref="B5155">SUM(1-'Sparkling Model'!D$2:D$38^A5155)</f>
        <v>36.69778293</v>
      </c>
      <c r="C5155" s="8">
        <f t="array" ref="C5155">PRODUCT(1-'Sparkling Model'!D$2:D$38^A5155)</f>
        <v>0.7309860883</v>
      </c>
    </row>
    <row r="5156">
      <c r="A5156" s="6">
        <v>5154.0</v>
      </c>
      <c r="B5156" s="17">
        <f t="array" ref="B5156">SUM(1-'Sparkling Model'!D$2:D$38^A5156)</f>
        <v>36.69794992</v>
      </c>
      <c r="C5156" s="8">
        <f t="array" ref="C5156">PRODUCT(1-'Sparkling Model'!D$2:D$38^A5156)</f>
        <v>0.7311165342</v>
      </c>
    </row>
    <row r="5157">
      <c r="A5157" s="6">
        <v>5155.0</v>
      </c>
      <c r="B5157" s="17">
        <f t="array" ref="B5157">SUM(1-'Sparkling Model'!D$2:D$38^A5157)</f>
        <v>36.6981168</v>
      </c>
      <c r="C5157" s="8">
        <f t="array" ref="C5157">PRODUCT(1-'Sparkling Model'!D$2:D$38^A5157)</f>
        <v>0.7312469201</v>
      </c>
    </row>
    <row r="5158">
      <c r="A5158" s="6">
        <v>5156.0</v>
      </c>
      <c r="B5158" s="17">
        <f t="array" ref="B5158">SUM(1-'Sparkling Model'!D$2:D$38^A5158)</f>
        <v>36.69828358</v>
      </c>
      <c r="C5158" s="8">
        <f t="array" ref="C5158">PRODUCT(1-'Sparkling Model'!D$2:D$38^A5158)</f>
        <v>0.731377246</v>
      </c>
    </row>
    <row r="5159">
      <c r="A5159" s="6">
        <v>5157.0</v>
      </c>
      <c r="B5159" s="17">
        <f t="array" ref="B5159">SUM(1-'Sparkling Model'!D$2:D$38^A5159)</f>
        <v>36.69845026</v>
      </c>
      <c r="C5159" s="8">
        <f t="array" ref="C5159">PRODUCT(1-'Sparkling Model'!D$2:D$38^A5159)</f>
        <v>0.731507512</v>
      </c>
    </row>
    <row r="5160">
      <c r="A5160" s="6">
        <v>5158.0</v>
      </c>
      <c r="B5160" s="17">
        <f t="array" ref="B5160">SUM(1-'Sparkling Model'!D$2:D$38^A5160)</f>
        <v>36.69861684</v>
      </c>
      <c r="C5160" s="8">
        <f t="array" ref="C5160">PRODUCT(1-'Sparkling Model'!D$2:D$38^A5160)</f>
        <v>0.7316377181</v>
      </c>
    </row>
    <row r="5161">
      <c r="A5161" s="6">
        <v>5159.0</v>
      </c>
      <c r="B5161" s="17">
        <f t="array" ref="B5161">SUM(1-'Sparkling Model'!D$2:D$38^A5161)</f>
        <v>36.69878331</v>
      </c>
      <c r="C5161" s="8">
        <f t="array" ref="C5161">PRODUCT(1-'Sparkling Model'!D$2:D$38^A5161)</f>
        <v>0.7317678642</v>
      </c>
    </row>
    <row r="5162">
      <c r="A5162" s="6">
        <v>5160.0</v>
      </c>
      <c r="B5162" s="17">
        <f t="array" ref="B5162">SUM(1-'Sparkling Model'!D$2:D$38^A5162)</f>
        <v>36.69894969</v>
      </c>
      <c r="C5162" s="8">
        <f t="array" ref="C5162">PRODUCT(1-'Sparkling Model'!D$2:D$38^A5162)</f>
        <v>0.7318979505</v>
      </c>
    </row>
    <row r="5163">
      <c r="A5163" s="6">
        <v>5161.0</v>
      </c>
      <c r="B5163" s="17">
        <f t="array" ref="B5163">SUM(1-'Sparkling Model'!D$2:D$38^A5163)</f>
        <v>36.69911596</v>
      </c>
      <c r="C5163" s="8">
        <f t="array" ref="C5163">PRODUCT(1-'Sparkling Model'!D$2:D$38^A5163)</f>
        <v>0.732027977</v>
      </c>
    </row>
    <row r="5164">
      <c r="A5164" s="6">
        <v>5162.0</v>
      </c>
      <c r="B5164" s="17">
        <f t="array" ref="B5164">SUM(1-'Sparkling Model'!D$2:D$38^A5164)</f>
        <v>36.69928213</v>
      </c>
      <c r="C5164" s="8">
        <f t="array" ref="C5164">PRODUCT(1-'Sparkling Model'!D$2:D$38^A5164)</f>
        <v>0.7321579436</v>
      </c>
    </row>
    <row r="5165">
      <c r="A5165" s="6">
        <v>5163.0</v>
      </c>
      <c r="B5165" s="17">
        <f t="array" ref="B5165">SUM(1-'Sparkling Model'!D$2:D$38^A5165)</f>
        <v>36.6994482</v>
      </c>
      <c r="C5165" s="8">
        <f t="array" ref="C5165">PRODUCT(1-'Sparkling Model'!D$2:D$38^A5165)</f>
        <v>0.7322878504</v>
      </c>
    </row>
    <row r="5166">
      <c r="A5166" s="6">
        <v>5164.0</v>
      </c>
      <c r="B5166" s="17">
        <f t="array" ref="B5166">SUM(1-'Sparkling Model'!D$2:D$38^A5166)</f>
        <v>36.69961417</v>
      </c>
      <c r="C5166" s="8">
        <f t="array" ref="C5166">PRODUCT(1-'Sparkling Model'!D$2:D$38^A5166)</f>
        <v>0.7324176974</v>
      </c>
    </row>
    <row r="5167">
      <c r="A5167" s="6">
        <v>5165.0</v>
      </c>
      <c r="B5167" s="17">
        <f t="array" ref="B5167">SUM(1-'Sparkling Model'!D$2:D$38^A5167)</f>
        <v>36.69978004</v>
      </c>
      <c r="C5167" s="8">
        <f t="array" ref="C5167">PRODUCT(1-'Sparkling Model'!D$2:D$38^A5167)</f>
        <v>0.7325474846</v>
      </c>
    </row>
    <row r="5168">
      <c r="A5168" s="6">
        <v>5166.0</v>
      </c>
      <c r="B5168" s="17">
        <f t="array" ref="B5168">SUM(1-'Sparkling Model'!D$2:D$38^A5168)</f>
        <v>36.69994581</v>
      </c>
      <c r="C5168" s="8">
        <f t="array" ref="C5168">PRODUCT(1-'Sparkling Model'!D$2:D$38^A5168)</f>
        <v>0.7326772121</v>
      </c>
    </row>
    <row r="5169">
      <c r="A5169" s="6">
        <v>5167.0</v>
      </c>
      <c r="B5169" s="17">
        <f t="array" ref="B5169">SUM(1-'Sparkling Model'!D$2:D$38^A5169)</f>
        <v>36.70011148</v>
      </c>
      <c r="C5169" s="8">
        <f t="array" ref="C5169">PRODUCT(1-'Sparkling Model'!D$2:D$38^A5169)</f>
        <v>0.7328068799</v>
      </c>
    </row>
    <row r="5170">
      <c r="A5170" s="6">
        <v>5168.0</v>
      </c>
      <c r="B5170" s="17">
        <f t="array" ref="B5170">SUM(1-'Sparkling Model'!D$2:D$38^A5170)</f>
        <v>36.70027704</v>
      </c>
      <c r="C5170" s="8">
        <f t="array" ref="C5170">PRODUCT(1-'Sparkling Model'!D$2:D$38^A5170)</f>
        <v>0.732936488</v>
      </c>
    </row>
    <row r="5171">
      <c r="A5171" s="6">
        <v>5169.0</v>
      </c>
      <c r="B5171" s="17">
        <f t="array" ref="B5171">SUM(1-'Sparkling Model'!D$2:D$38^A5171)</f>
        <v>36.70044251</v>
      </c>
      <c r="C5171" s="8">
        <f t="array" ref="C5171">PRODUCT(1-'Sparkling Model'!D$2:D$38^A5171)</f>
        <v>0.7330660364</v>
      </c>
    </row>
    <row r="5172">
      <c r="A5172" s="6">
        <v>5170.0</v>
      </c>
      <c r="B5172" s="17">
        <f t="array" ref="B5172">SUM(1-'Sparkling Model'!D$2:D$38^A5172)</f>
        <v>36.70060787</v>
      </c>
      <c r="C5172" s="8">
        <f t="array" ref="C5172">PRODUCT(1-'Sparkling Model'!D$2:D$38^A5172)</f>
        <v>0.7331955251</v>
      </c>
    </row>
    <row r="5173">
      <c r="A5173" s="6">
        <v>5171.0</v>
      </c>
      <c r="B5173" s="17">
        <f t="array" ref="B5173">SUM(1-'Sparkling Model'!D$2:D$38^A5173)</f>
        <v>36.70077313</v>
      </c>
      <c r="C5173" s="8">
        <f t="array" ref="C5173">PRODUCT(1-'Sparkling Model'!D$2:D$38^A5173)</f>
        <v>0.7333249543</v>
      </c>
    </row>
    <row r="5174">
      <c r="A5174" s="6">
        <v>5172.0</v>
      </c>
      <c r="B5174" s="17">
        <f t="array" ref="B5174">SUM(1-'Sparkling Model'!D$2:D$38^A5174)</f>
        <v>36.7009383</v>
      </c>
      <c r="C5174" s="8">
        <f t="array" ref="C5174">PRODUCT(1-'Sparkling Model'!D$2:D$38^A5174)</f>
        <v>0.7334543238</v>
      </c>
    </row>
    <row r="5175">
      <c r="A5175" s="6">
        <v>5173.0</v>
      </c>
      <c r="B5175" s="17">
        <f t="array" ref="B5175">SUM(1-'Sparkling Model'!D$2:D$38^A5175)</f>
        <v>36.70110336</v>
      </c>
      <c r="C5175" s="8">
        <f t="array" ref="C5175">PRODUCT(1-'Sparkling Model'!D$2:D$38^A5175)</f>
        <v>0.7335836337</v>
      </c>
    </row>
    <row r="5176">
      <c r="A5176" s="6">
        <v>5174.0</v>
      </c>
      <c r="B5176" s="17">
        <f t="array" ref="B5176">SUM(1-'Sparkling Model'!D$2:D$38^A5176)</f>
        <v>36.70126832</v>
      </c>
      <c r="C5176" s="8">
        <f t="array" ref="C5176">PRODUCT(1-'Sparkling Model'!D$2:D$38^A5176)</f>
        <v>0.7337128841</v>
      </c>
    </row>
    <row r="5177">
      <c r="A5177" s="6">
        <v>5175.0</v>
      </c>
      <c r="B5177" s="17">
        <f t="array" ref="B5177">SUM(1-'Sparkling Model'!D$2:D$38^A5177)</f>
        <v>36.70143318</v>
      </c>
      <c r="C5177" s="8">
        <f t="array" ref="C5177">PRODUCT(1-'Sparkling Model'!D$2:D$38^A5177)</f>
        <v>0.7338420749</v>
      </c>
    </row>
    <row r="5178">
      <c r="A5178" s="6">
        <v>5176.0</v>
      </c>
      <c r="B5178" s="17">
        <f t="array" ref="B5178">SUM(1-'Sparkling Model'!D$2:D$38^A5178)</f>
        <v>36.70159794</v>
      </c>
      <c r="C5178" s="8">
        <f t="array" ref="C5178">PRODUCT(1-'Sparkling Model'!D$2:D$38^A5178)</f>
        <v>0.7339712063</v>
      </c>
    </row>
    <row r="5179">
      <c r="A5179" s="6">
        <v>5177.0</v>
      </c>
      <c r="B5179" s="17">
        <f t="array" ref="B5179">SUM(1-'Sparkling Model'!D$2:D$38^A5179)</f>
        <v>36.7017626</v>
      </c>
      <c r="C5179" s="8">
        <f t="array" ref="C5179">PRODUCT(1-'Sparkling Model'!D$2:D$38^A5179)</f>
        <v>0.7341002781</v>
      </c>
    </row>
    <row r="5180">
      <c r="A5180" s="6">
        <v>5178.0</v>
      </c>
      <c r="B5180" s="17">
        <f t="array" ref="B5180">SUM(1-'Sparkling Model'!D$2:D$38^A5180)</f>
        <v>36.70192716</v>
      </c>
      <c r="C5180" s="8">
        <f t="array" ref="C5180">PRODUCT(1-'Sparkling Model'!D$2:D$38^A5180)</f>
        <v>0.7342292905</v>
      </c>
    </row>
    <row r="5181">
      <c r="A5181" s="6">
        <v>5179.0</v>
      </c>
      <c r="B5181" s="17">
        <f t="array" ref="B5181">SUM(1-'Sparkling Model'!D$2:D$38^A5181)</f>
        <v>36.70209163</v>
      </c>
      <c r="C5181" s="8">
        <f t="array" ref="C5181">PRODUCT(1-'Sparkling Model'!D$2:D$38^A5181)</f>
        <v>0.7343582434</v>
      </c>
    </row>
    <row r="5182">
      <c r="A5182" s="6">
        <v>5180.0</v>
      </c>
      <c r="B5182" s="17">
        <f t="array" ref="B5182">SUM(1-'Sparkling Model'!D$2:D$38^A5182)</f>
        <v>36.70225599</v>
      </c>
      <c r="C5182" s="8">
        <f t="array" ref="C5182">PRODUCT(1-'Sparkling Model'!D$2:D$38^A5182)</f>
        <v>0.7344871369</v>
      </c>
    </row>
    <row r="5183">
      <c r="A5183" s="6">
        <v>5181.0</v>
      </c>
      <c r="B5183" s="17">
        <f t="array" ref="B5183">SUM(1-'Sparkling Model'!D$2:D$38^A5183)</f>
        <v>36.70242025</v>
      </c>
      <c r="C5183" s="8">
        <f t="array" ref="C5183">PRODUCT(1-'Sparkling Model'!D$2:D$38^A5183)</f>
        <v>0.734615971</v>
      </c>
    </row>
    <row r="5184">
      <c r="A5184" s="6">
        <v>5182.0</v>
      </c>
      <c r="B5184" s="17">
        <f t="array" ref="B5184">SUM(1-'Sparkling Model'!D$2:D$38^A5184)</f>
        <v>36.70258441</v>
      </c>
      <c r="C5184" s="8">
        <f t="array" ref="C5184">PRODUCT(1-'Sparkling Model'!D$2:D$38^A5184)</f>
        <v>0.7347447457</v>
      </c>
    </row>
    <row r="5185">
      <c r="A5185" s="6">
        <v>5183.0</v>
      </c>
      <c r="B5185" s="17">
        <f t="array" ref="B5185">SUM(1-'Sparkling Model'!D$2:D$38^A5185)</f>
        <v>36.70274847</v>
      </c>
      <c r="C5185" s="8">
        <f t="array" ref="C5185">PRODUCT(1-'Sparkling Model'!D$2:D$38^A5185)</f>
        <v>0.7348734611</v>
      </c>
    </row>
    <row r="5186">
      <c r="A5186" s="6">
        <v>5184.0</v>
      </c>
      <c r="B5186" s="17">
        <f t="array" ref="B5186">SUM(1-'Sparkling Model'!D$2:D$38^A5186)</f>
        <v>36.70291243</v>
      </c>
      <c r="C5186" s="8">
        <f t="array" ref="C5186">PRODUCT(1-'Sparkling Model'!D$2:D$38^A5186)</f>
        <v>0.7350021171</v>
      </c>
    </row>
    <row r="5187">
      <c r="A5187" s="6">
        <v>5185.0</v>
      </c>
      <c r="B5187" s="17">
        <f t="array" ref="B5187">SUM(1-'Sparkling Model'!D$2:D$38^A5187)</f>
        <v>36.70307629</v>
      </c>
      <c r="C5187" s="8">
        <f t="array" ref="C5187">PRODUCT(1-'Sparkling Model'!D$2:D$38^A5187)</f>
        <v>0.7351307138</v>
      </c>
    </row>
    <row r="5188">
      <c r="A5188" s="6">
        <v>5186.0</v>
      </c>
      <c r="B5188" s="17">
        <f t="array" ref="B5188">SUM(1-'Sparkling Model'!D$2:D$38^A5188)</f>
        <v>36.70324005</v>
      </c>
      <c r="C5188" s="8">
        <f t="array" ref="C5188">PRODUCT(1-'Sparkling Model'!D$2:D$38^A5188)</f>
        <v>0.7352592513</v>
      </c>
    </row>
    <row r="5189">
      <c r="A5189" s="6">
        <v>5187.0</v>
      </c>
      <c r="B5189" s="17">
        <f t="array" ref="B5189">SUM(1-'Sparkling Model'!D$2:D$38^A5189)</f>
        <v>36.70340371</v>
      </c>
      <c r="C5189" s="8">
        <f t="array" ref="C5189">PRODUCT(1-'Sparkling Model'!D$2:D$38^A5189)</f>
        <v>0.7353877294</v>
      </c>
    </row>
    <row r="5190">
      <c r="A5190" s="6">
        <v>5188.0</v>
      </c>
      <c r="B5190" s="17">
        <f t="array" ref="B5190">SUM(1-'Sparkling Model'!D$2:D$38^A5190)</f>
        <v>36.70356728</v>
      </c>
      <c r="C5190" s="8">
        <f t="array" ref="C5190">PRODUCT(1-'Sparkling Model'!D$2:D$38^A5190)</f>
        <v>0.7355161484</v>
      </c>
    </row>
    <row r="5191">
      <c r="A5191" s="6">
        <v>5189.0</v>
      </c>
      <c r="B5191" s="17">
        <f t="array" ref="B5191">SUM(1-'Sparkling Model'!D$2:D$38^A5191)</f>
        <v>36.70373074</v>
      </c>
      <c r="C5191" s="8">
        <f t="array" ref="C5191">PRODUCT(1-'Sparkling Model'!D$2:D$38^A5191)</f>
        <v>0.7356445081</v>
      </c>
    </row>
    <row r="5192">
      <c r="A5192" s="6">
        <v>5190.0</v>
      </c>
      <c r="B5192" s="17">
        <f t="array" ref="B5192">SUM(1-'Sparkling Model'!D$2:D$38^A5192)</f>
        <v>36.7038941</v>
      </c>
      <c r="C5192" s="8">
        <f t="array" ref="C5192">PRODUCT(1-'Sparkling Model'!D$2:D$38^A5192)</f>
        <v>0.7357728086</v>
      </c>
    </row>
    <row r="5193">
      <c r="A5193" s="6">
        <v>5191.0</v>
      </c>
      <c r="B5193" s="17">
        <f t="array" ref="B5193">SUM(1-'Sparkling Model'!D$2:D$38^A5193)</f>
        <v>36.70405737</v>
      </c>
      <c r="C5193" s="8">
        <f t="array" ref="C5193">PRODUCT(1-'Sparkling Model'!D$2:D$38^A5193)</f>
        <v>0.7359010499</v>
      </c>
    </row>
    <row r="5194">
      <c r="A5194" s="6">
        <v>5192.0</v>
      </c>
      <c r="B5194" s="17">
        <f t="array" ref="B5194">SUM(1-'Sparkling Model'!D$2:D$38^A5194)</f>
        <v>36.70422054</v>
      </c>
      <c r="C5194" s="8">
        <f t="array" ref="C5194">PRODUCT(1-'Sparkling Model'!D$2:D$38^A5194)</f>
        <v>0.7360292321</v>
      </c>
    </row>
    <row r="5195">
      <c r="A5195" s="6">
        <v>5193.0</v>
      </c>
      <c r="B5195" s="17">
        <f t="array" ref="B5195">SUM(1-'Sparkling Model'!D$2:D$38^A5195)</f>
        <v>36.7043836</v>
      </c>
      <c r="C5195" s="8">
        <f t="array" ref="C5195">PRODUCT(1-'Sparkling Model'!D$2:D$38^A5195)</f>
        <v>0.7361573551</v>
      </c>
    </row>
    <row r="5196">
      <c r="A5196" s="6">
        <v>5194.0</v>
      </c>
      <c r="B5196" s="17">
        <f t="array" ref="B5196">SUM(1-'Sparkling Model'!D$2:D$38^A5196)</f>
        <v>36.70454657</v>
      </c>
      <c r="C5196" s="8">
        <f t="array" ref="C5196">PRODUCT(1-'Sparkling Model'!D$2:D$38^A5196)</f>
        <v>0.7362854191</v>
      </c>
    </row>
    <row r="5197">
      <c r="A5197" s="6">
        <v>5195.0</v>
      </c>
      <c r="B5197" s="17">
        <f t="array" ref="B5197">SUM(1-'Sparkling Model'!D$2:D$38^A5197)</f>
        <v>36.70470944</v>
      </c>
      <c r="C5197" s="8">
        <f t="array" ref="C5197">PRODUCT(1-'Sparkling Model'!D$2:D$38^A5197)</f>
        <v>0.7364134239</v>
      </c>
    </row>
    <row r="5198">
      <c r="A5198" s="6">
        <v>5196.0</v>
      </c>
      <c r="B5198" s="17">
        <f t="array" ref="B5198">SUM(1-'Sparkling Model'!D$2:D$38^A5198)</f>
        <v>36.70487221</v>
      </c>
      <c r="C5198" s="8">
        <f t="array" ref="C5198">PRODUCT(1-'Sparkling Model'!D$2:D$38^A5198)</f>
        <v>0.7365413697</v>
      </c>
    </row>
    <row r="5199">
      <c r="A5199" s="6">
        <v>5197.0</v>
      </c>
      <c r="B5199" s="17">
        <f t="array" ref="B5199">SUM(1-'Sparkling Model'!D$2:D$38^A5199)</f>
        <v>36.70503488</v>
      </c>
      <c r="C5199" s="8">
        <f t="array" ref="C5199">PRODUCT(1-'Sparkling Model'!D$2:D$38^A5199)</f>
        <v>0.7366692565</v>
      </c>
    </row>
    <row r="5200">
      <c r="A5200" s="6">
        <v>5198.0</v>
      </c>
      <c r="B5200" s="17">
        <f t="array" ref="B5200">SUM(1-'Sparkling Model'!D$2:D$38^A5200)</f>
        <v>36.70519745</v>
      </c>
      <c r="C5200" s="8">
        <f t="array" ref="C5200">PRODUCT(1-'Sparkling Model'!D$2:D$38^A5200)</f>
        <v>0.7367970842</v>
      </c>
    </row>
    <row r="5201">
      <c r="A5201" s="6">
        <v>5199.0</v>
      </c>
      <c r="B5201" s="17">
        <f t="array" ref="B5201">SUM(1-'Sparkling Model'!D$2:D$38^A5201)</f>
        <v>36.70535992</v>
      </c>
      <c r="C5201" s="8">
        <f t="array" ref="C5201">PRODUCT(1-'Sparkling Model'!D$2:D$38^A5201)</f>
        <v>0.736924853</v>
      </c>
    </row>
    <row r="5202">
      <c r="A5202" s="6">
        <v>5200.0</v>
      </c>
      <c r="B5202" s="17">
        <f t="array" ref="B5202">SUM(1-'Sparkling Model'!D$2:D$38^A5202)</f>
        <v>36.7055223</v>
      </c>
      <c r="C5202" s="8">
        <f t="array" ref="C5202">PRODUCT(1-'Sparkling Model'!D$2:D$38^A5202)</f>
        <v>0.7370525628</v>
      </c>
    </row>
    <row r="5203">
      <c r="A5203" s="6">
        <v>5201.0</v>
      </c>
      <c r="B5203" s="17">
        <f t="array" ref="B5203">SUM(1-'Sparkling Model'!D$2:D$38^A5203)</f>
        <v>36.70568457</v>
      </c>
      <c r="C5203" s="8">
        <f t="array" ref="C5203">PRODUCT(1-'Sparkling Model'!D$2:D$38^A5203)</f>
        <v>0.7371802136</v>
      </c>
    </row>
    <row r="5204">
      <c r="A5204" s="6">
        <v>5202.0</v>
      </c>
      <c r="B5204" s="17">
        <f t="array" ref="B5204">SUM(1-'Sparkling Model'!D$2:D$38^A5204)</f>
        <v>36.70584675</v>
      </c>
      <c r="C5204" s="8">
        <f t="array" ref="C5204">PRODUCT(1-'Sparkling Model'!D$2:D$38^A5204)</f>
        <v>0.7373078055</v>
      </c>
    </row>
    <row r="5205">
      <c r="A5205" s="6">
        <v>5203.0</v>
      </c>
      <c r="B5205" s="17">
        <f t="array" ref="B5205">SUM(1-'Sparkling Model'!D$2:D$38^A5205)</f>
        <v>36.70600883</v>
      </c>
      <c r="C5205" s="8">
        <f t="array" ref="C5205">PRODUCT(1-'Sparkling Model'!D$2:D$38^A5205)</f>
        <v>0.7374353385</v>
      </c>
    </row>
    <row r="5206">
      <c r="A5206" s="6">
        <v>5204.0</v>
      </c>
      <c r="B5206" s="17">
        <f t="array" ref="B5206">SUM(1-'Sparkling Model'!D$2:D$38^A5206)</f>
        <v>36.70617081</v>
      </c>
      <c r="C5206" s="8">
        <f t="array" ref="C5206">PRODUCT(1-'Sparkling Model'!D$2:D$38^A5206)</f>
        <v>0.7375628127</v>
      </c>
    </row>
    <row r="5207">
      <c r="A5207" s="6">
        <v>5205.0</v>
      </c>
      <c r="B5207" s="17">
        <f t="array" ref="B5207">SUM(1-'Sparkling Model'!D$2:D$38^A5207)</f>
        <v>36.7063327</v>
      </c>
      <c r="C5207" s="8">
        <f t="array" ref="C5207">PRODUCT(1-'Sparkling Model'!D$2:D$38^A5207)</f>
        <v>0.7376902279</v>
      </c>
    </row>
    <row r="5208">
      <c r="A5208" s="6">
        <v>5206.0</v>
      </c>
      <c r="B5208" s="17">
        <f t="array" ref="B5208">SUM(1-'Sparkling Model'!D$2:D$38^A5208)</f>
        <v>36.70649448</v>
      </c>
      <c r="C5208" s="8">
        <f t="array" ref="C5208">PRODUCT(1-'Sparkling Model'!D$2:D$38^A5208)</f>
        <v>0.7378175844</v>
      </c>
    </row>
    <row r="5209">
      <c r="A5209" s="6">
        <v>5207.0</v>
      </c>
      <c r="B5209" s="17">
        <f t="array" ref="B5209">SUM(1-'Sparkling Model'!D$2:D$38^A5209)</f>
        <v>36.70665617</v>
      </c>
      <c r="C5209" s="8">
        <f t="array" ref="C5209">PRODUCT(1-'Sparkling Model'!D$2:D$38^A5209)</f>
        <v>0.737944882</v>
      </c>
    </row>
    <row r="5210">
      <c r="A5210" s="6">
        <v>5208.0</v>
      </c>
      <c r="B5210" s="17">
        <f t="array" ref="B5210">SUM(1-'Sparkling Model'!D$2:D$38^A5210)</f>
        <v>36.70681776</v>
      </c>
      <c r="C5210" s="8">
        <f t="array" ref="C5210">PRODUCT(1-'Sparkling Model'!D$2:D$38^A5210)</f>
        <v>0.7380721208</v>
      </c>
    </row>
    <row r="5211">
      <c r="A5211" s="6">
        <v>5209.0</v>
      </c>
      <c r="B5211" s="17">
        <f t="array" ref="B5211">SUM(1-'Sparkling Model'!D$2:D$38^A5211)</f>
        <v>36.70697925</v>
      </c>
      <c r="C5211" s="8">
        <f t="array" ref="C5211">PRODUCT(1-'Sparkling Model'!D$2:D$38^A5211)</f>
        <v>0.7381993009</v>
      </c>
    </row>
    <row r="5212">
      <c r="A5212" s="6">
        <v>5210.0</v>
      </c>
      <c r="B5212" s="17">
        <f t="array" ref="B5212">SUM(1-'Sparkling Model'!D$2:D$38^A5212)</f>
        <v>36.70714064</v>
      </c>
      <c r="C5212" s="8">
        <f t="array" ref="C5212">PRODUCT(1-'Sparkling Model'!D$2:D$38^A5212)</f>
        <v>0.7383264222</v>
      </c>
    </row>
    <row r="5213">
      <c r="A5213" s="6">
        <v>5211.0</v>
      </c>
      <c r="B5213" s="17">
        <f t="array" ref="B5213">SUM(1-'Sparkling Model'!D$2:D$38^A5213)</f>
        <v>36.70730193</v>
      </c>
      <c r="C5213" s="8">
        <f t="array" ref="C5213">PRODUCT(1-'Sparkling Model'!D$2:D$38^A5213)</f>
        <v>0.7384534848</v>
      </c>
    </row>
    <row r="5214">
      <c r="A5214" s="6">
        <v>5212.0</v>
      </c>
      <c r="B5214" s="17">
        <f t="array" ref="B5214">SUM(1-'Sparkling Model'!D$2:D$38^A5214)</f>
        <v>36.70746313</v>
      </c>
      <c r="C5214" s="8">
        <f t="array" ref="C5214">PRODUCT(1-'Sparkling Model'!D$2:D$38^A5214)</f>
        <v>0.7385804887</v>
      </c>
    </row>
    <row r="5215">
      <c r="A5215" s="6">
        <v>5213.0</v>
      </c>
      <c r="B5215" s="17">
        <f t="array" ref="B5215">SUM(1-'Sparkling Model'!D$2:D$38^A5215)</f>
        <v>36.70762423</v>
      </c>
      <c r="C5215" s="8">
        <f t="array" ref="C5215">PRODUCT(1-'Sparkling Model'!D$2:D$38^A5215)</f>
        <v>0.738707434</v>
      </c>
    </row>
    <row r="5216">
      <c r="A5216" s="6">
        <v>5214.0</v>
      </c>
      <c r="B5216" s="17">
        <f t="array" ref="B5216">SUM(1-'Sparkling Model'!D$2:D$38^A5216)</f>
        <v>36.70778523</v>
      </c>
      <c r="C5216" s="8">
        <f t="array" ref="C5216">PRODUCT(1-'Sparkling Model'!D$2:D$38^A5216)</f>
        <v>0.7388343205</v>
      </c>
    </row>
    <row r="5217">
      <c r="A5217" s="6">
        <v>5215.0</v>
      </c>
      <c r="B5217" s="17">
        <f t="array" ref="B5217">SUM(1-'Sparkling Model'!D$2:D$38^A5217)</f>
        <v>36.70794613</v>
      </c>
      <c r="C5217" s="8">
        <f t="array" ref="C5217">PRODUCT(1-'Sparkling Model'!D$2:D$38^A5217)</f>
        <v>0.7389611485</v>
      </c>
    </row>
    <row r="5218">
      <c r="A5218" s="6">
        <v>5216.0</v>
      </c>
      <c r="B5218" s="17">
        <f t="array" ref="B5218">SUM(1-'Sparkling Model'!D$2:D$38^A5218)</f>
        <v>36.70810694</v>
      </c>
      <c r="C5218" s="8">
        <f t="array" ref="C5218">PRODUCT(1-'Sparkling Model'!D$2:D$38^A5218)</f>
        <v>0.7390879178</v>
      </c>
    </row>
    <row r="5219">
      <c r="A5219" s="6">
        <v>5217.0</v>
      </c>
      <c r="B5219" s="17">
        <f t="array" ref="B5219">SUM(1-'Sparkling Model'!D$2:D$38^A5219)</f>
        <v>36.70826765</v>
      </c>
      <c r="C5219" s="8">
        <f t="array" ref="C5219">PRODUCT(1-'Sparkling Model'!D$2:D$38^A5219)</f>
        <v>0.7392146286</v>
      </c>
    </row>
    <row r="5220">
      <c r="A5220" s="6">
        <v>5218.0</v>
      </c>
      <c r="B5220" s="17">
        <f t="array" ref="B5220">SUM(1-'Sparkling Model'!D$2:D$38^A5220)</f>
        <v>36.70842826</v>
      </c>
      <c r="C5220" s="8">
        <f t="array" ref="C5220">PRODUCT(1-'Sparkling Model'!D$2:D$38^A5220)</f>
        <v>0.7393412808</v>
      </c>
    </row>
    <row r="5221">
      <c r="A5221" s="6">
        <v>5219.0</v>
      </c>
      <c r="B5221" s="17">
        <f t="array" ref="B5221">SUM(1-'Sparkling Model'!D$2:D$38^A5221)</f>
        <v>36.70858878</v>
      </c>
      <c r="C5221" s="8">
        <f t="array" ref="C5221">PRODUCT(1-'Sparkling Model'!D$2:D$38^A5221)</f>
        <v>0.7394678744</v>
      </c>
    </row>
    <row r="5222">
      <c r="A5222" s="6">
        <v>5220.0</v>
      </c>
      <c r="B5222" s="17">
        <f t="array" ref="B5222">SUM(1-'Sparkling Model'!D$2:D$38^A5222)</f>
        <v>36.70874919</v>
      </c>
      <c r="C5222" s="8">
        <f t="array" ref="C5222">PRODUCT(1-'Sparkling Model'!D$2:D$38^A5222)</f>
        <v>0.7395944095</v>
      </c>
    </row>
    <row r="5223">
      <c r="A5223" s="6">
        <v>5221.0</v>
      </c>
      <c r="B5223" s="17">
        <f t="array" ref="B5223">SUM(1-'Sparkling Model'!D$2:D$38^A5223)</f>
        <v>36.70890951</v>
      </c>
      <c r="C5223" s="8">
        <f t="array" ref="C5223">PRODUCT(1-'Sparkling Model'!D$2:D$38^A5223)</f>
        <v>0.7397208862</v>
      </c>
    </row>
    <row r="5224">
      <c r="A5224" s="6">
        <v>5222.0</v>
      </c>
      <c r="B5224" s="17">
        <f t="array" ref="B5224">SUM(1-'Sparkling Model'!D$2:D$38^A5224)</f>
        <v>36.70906974</v>
      </c>
      <c r="C5224" s="8">
        <f t="array" ref="C5224">PRODUCT(1-'Sparkling Model'!D$2:D$38^A5224)</f>
        <v>0.7398473043</v>
      </c>
    </row>
    <row r="5225">
      <c r="A5225" s="6">
        <v>5223.0</v>
      </c>
      <c r="B5225" s="17">
        <f t="array" ref="B5225">SUM(1-'Sparkling Model'!D$2:D$38^A5225)</f>
        <v>36.70922986</v>
      </c>
      <c r="C5225" s="8">
        <f t="array" ref="C5225">PRODUCT(1-'Sparkling Model'!D$2:D$38^A5225)</f>
        <v>0.7399736641</v>
      </c>
    </row>
    <row r="5226">
      <c r="A5226" s="6">
        <v>5224.0</v>
      </c>
      <c r="B5226" s="17">
        <f t="array" ref="B5226">SUM(1-'Sparkling Model'!D$2:D$38^A5226)</f>
        <v>36.70938989</v>
      </c>
      <c r="C5226" s="8">
        <f t="array" ref="C5226">PRODUCT(1-'Sparkling Model'!D$2:D$38^A5226)</f>
        <v>0.7400999654</v>
      </c>
    </row>
    <row r="5227">
      <c r="A5227" s="6">
        <v>5225.0</v>
      </c>
      <c r="B5227" s="17">
        <f t="array" ref="B5227">SUM(1-'Sparkling Model'!D$2:D$38^A5227)</f>
        <v>36.70954982</v>
      </c>
      <c r="C5227" s="8">
        <f t="array" ref="C5227">PRODUCT(1-'Sparkling Model'!D$2:D$38^A5227)</f>
        <v>0.7402262082</v>
      </c>
    </row>
    <row r="5228">
      <c r="A5228" s="6">
        <v>5226.0</v>
      </c>
      <c r="B5228" s="17">
        <f t="array" ref="B5228">SUM(1-'Sparkling Model'!D$2:D$38^A5228)</f>
        <v>36.70970966</v>
      </c>
      <c r="C5228" s="8">
        <f t="array" ref="C5228">PRODUCT(1-'Sparkling Model'!D$2:D$38^A5228)</f>
        <v>0.7403523927</v>
      </c>
    </row>
    <row r="5229">
      <c r="A5229" s="6">
        <v>5227.0</v>
      </c>
      <c r="B5229" s="17">
        <f t="array" ref="B5229">SUM(1-'Sparkling Model'!D$2:D$38^A5229)</f>
        <v>36.7098694</v>
      </c>
      <c r="C5229" s="8">
        <f t="array" ref="C5229">PRODUCT(1-'Sparkling Model'!D$2:D$38^A5229)</f>
        <v>0.7404785189</v>
      </c>
    </row>
    <row r="5230">
      <c r="A5230" s="6">
        <v>5228.0</v>
      </c>
      <c r="B5230" s="17">
        <f t="array" ref="B5230">SUM(1-'Sparkling Model'!D$2:D$38^A5230)</f>
        <v>36.71002904</v>
      </c>
      <c r="C5230" s="8">
        <f t="array" ref="C5230">PRODUCT(1-'Sparkling Model'!D$2:D$38^A5230)</f>
        <v>0.7406045867</v>
      </c>
    </row>
    <row r="5231">
      <c r="A5231" s="6">
        <v>5229.0</v>
      </c>
      <c r="B5231" s="17">
        <f t="array" ref="B5231">SUM(1-'Sparkling Model'!D$2:D$38^A5231)</f>
        <v>36.71018858</v>
      </c>
      <c r="C5231" s="8">
        <f t="array" ref="C5231">PRODUCT(1-'Sparkling Model'!D$2:D$38^A5231)</f>
        <v>0.7407305962</v>
      </c>
    </row>
    <row r="5232">
      <c r="A5232" s="6">
        <v>5230.0</v>
      </c>
      <c r="B5232" s="17">
        <f t="array" ref="B5232">SUM(1-'Sparkling Model'!D$2:D$38^A5232)</f>
        <v>36.71034803</v>
      </c>
      <c r="C5232" s="8">
        <f t="array" ref="C5232">PRODUCT(1-'Sparkling Model'!D$2:D$38^A5232)</f>
        <v>0.7408565474</v>
      </c>
    </row>
    <row r="5233">
      <c r="A5233" s="6">
        <v>5231.0</v>
      </c>
      <c r="B5233" s="17">
        <f t="array" ref="B5233">SUM(1-'Sparkling Model'!D$2:D$38^A5233)</f>
        <v>36.71050739</v>
      </c>
      <c r="C5233" s="8">
        <f t="array" ref="C5233">PRODUCT(1-'Sparkling Model'!D$2:D$38^A5233)</f>
        <v>0.7409824403</v>
      </c>
    </row>
    <row r="5234">
      <c r="A5234" s="6">
        <v>5232.0</v>
      </c>
      <c r="B5234" s="17">
        <f t="array" ref="B5234">SUM(1-'Sparkling Model'!D$2:D$38^A5234)</f>
        <v>36.71066664</v>
      </c>
      <c r="C5234" s="8">
        <f t="array" ref="C5234">PRODUCT(1-'Sparkling Model'!D$2:D$38^A5234)</f>
        <v>0.741108275</v>
      </c>
    </row>
    <row r="5235">
      <c r="A5235" s="6">
        <v>5233.0</v>
      </c>
      <c r="B5235" s="17">
        <f t="array" ref="B5235">SUM(1-'Sparkling Model'!D$2:D$38^A5235)</f>
        <v>36.7108258</v>
      </c>
      <c r="C5235" s="8">
        <f t="array" ref="C5235">PRODUCT(1-'Sparkling Model'!D$2:D$38^A5235)</f>
        <v>0.7412340515</v>
      </c>
    </row>
    <row r="5236">
      <c r="A5236" s="6">
        <v>5234.0</v>
      </c>
      <c r="B5236" s="17">
        <f t="array" ref="B5236">SUM(1-'Sparkling Model'!D$2:D$38^A5236)</f>
        <v>36.71098487</v>
      </c>
      <c r="C5236" s="8">
        <f t="array" ref="C5236">PRODUCT(1-'Sparkling Model'!D$2:D$38^A5236)</f>
        <v>0.7413597698</v>
      </c>
    </row>
    <row r="5237">
      <c r="A5237" s="6">
        <v>5235.0</v>
      </c>
      <c r="B5237" s="17">
        <f t="array" ref="B5237">SUM(1-'Sparkling Model'!D$2:D$38^A5237)</f>
        <v>36.71114383</v>
      </c>
      <c r="C5237" s="8">
        <f t="array" ref="C5237">PRODUCT(1-'Sparkling Model'!D$2:D$38^A5237)</f>
        <v>0.7414854298</v>
      </c>
    </row>
    <row r="5238">
      <c r="A5238" s="6">
        <v>5236.0</v>
      </c>
      <c r="B5238" s="17">
        <f t="array" ref="B5238">SUM(1-'Sparkling Model'!D$2:D$38^A5238)</f>
        <v>36.7113027</v>
      </c>
      <c r="C5238" s="8">
        <f t="array" ref="C5238">PRODUCT(1-'Sparkling Model'!D$2:D$38^A5238)</f>
        <v>0.7416110318</v>
      </c>
    </row>
    <row r="5239">
      <c r="A5239" s="6">
        <v>5237.0</v>
      </c>
      <c r="B5239" s="17">
        <f t="array" ref="B5239">SUM(1-'Sparkling Model'!D$2:D$38^A5239)</f>
        <v>36.71146148</v>
      </c>
      <c r="C5239" s="8">
        <f t="array" ref="C5239">PRODUCT(1-'Sparkling Model'!D$2:D$38^A5239)</f>
        <v>0.7417365756</v>
      </c>
    </row>
    <row r="5240">
      <c r="A5240" s="6">
        <v>5238.0</v>
      </c>
      <c r="B5240" s="17">
        <f t="array" ref="B5240">SUM(1-'Sparkling Model'!D$2:D$38^A5240)</f>
        <v>36.71162016</v>
      </c>
      <c r="C5240" s="8">
        <f t="array" ref="C5240">PRODUCT(1-'Sparkling Model'!D$2:D$38^A5240)</f>
        <v>0.7418620613</v>
      </c>
    </row>
    <row r="5241">
      <c r="A5241" s="6">
        <v>5239.0</v>
      </c>
      <c r="B5241" s="17">
        <f t="array" ref="B5241">SUM(1-'Sparkling Model'!D$2:D$38^A5241)</f>
        <v>36.71177874</v>
      </c>
      <c r="C5241" s="8">
        <f t="array" ref="C5241">PRODUCT(1-'Sparkling Model'!D$2:D$38^A5241)</f>
        <v>0.7419874889</v>
      </c>
    </row>
    <row r="5242">
      <c r="A5242" s="6">
        <v>5240.0</v>
      </c>
      <c r="B5242" s="17">
        <f t="array" ref="B5242">SUM(1-'Sparkling Model'!D$2:D$38^A5242)</f>
        <v>36.71193723</v>
      </c>
      <c r="C5242" s="8">
        <f t="array" ref="C5242">PRODUCT(1-'Sparkling Model'!D$2:D$38^A5242)</f>
        <v>0.7421128584</v>
      </c>
    </row>
    <row r="5243">
      <c r="A5243" s="6">
        <v>5241.0</v>
      </c>
      <c r="B5243" s="17">
        <f t="array" ref="B5243">SUM(1-'Sparkling Model'!D$2:D$38^A5243)</f>
        <v>36.71209562</v>
      </c>
      <c r="C5243" s="8">
        <f t="array" ref="C5243">PRODUCT(1-'Sparkling Model'!D$2:D$38^A5243)</f>
        <v>0.7422381699</v>
      </c>
    </row>
    <row r="5244">
      <c r="A5244" s="6">
        <v>5242.0</v>
      </c>
      <c r="B5244" s="17">
        <f t="array" ref="B5244">SUM(1-'Sparkling Model'!D$2:D$38^A5244)</f>
        <v>36.71225392</v>
      </c>
      <c r="C5244" s="8">
        <f t="array" ref="C5244">PRODUCT(1-'Sparkling Model'!D$2:D$38^A5244)</f>
        <v>0.7423634234</v>
      </c>
    </row>
    <row r="5245">
      <c r="A5245" s="6">
        <v>5243.0</v>
      </c>
      <c r="B5245" s="17">
        <f t="array" ref="B5245">SUM(1-'Sparkling Model'!D$2:D$38^A5245)</f>
        <v>36.71241212</v>
      </c>
      <c r="C5245" s="8">
        <f t="array" ref="C5245">PRODUCT(1-'Sparkling Model'!D$2:D$38^A5245)</f>
        <v>0.7424886189</v>
      </c>
    </row>
    <row r="5246">
      <c r="A5246" s="6">
        <v>5244.0</v>
      </c>
      <c r="B5246" s="17">
        <f t="array" ref="B5246">SUM(1-'Sparkling Model'!D$2:D$38^A5246)</f>
        <v>36.71257022</v>
      </c>
      <c r="C5246" s="8">
        <f t="array" ref="C5246">PRODUCT(1-'Sparkling Model'!D$2:D$38^A5246)</f>
        <v>0.7426137564</v>
      </c>
    </row>
    <row r="5247">
      <c r="A5247" s="6">
        <v>5245.0</v>
      </c>
      <c r="B5247" s="17">
        <f t="array" ref="B5247">SUM(1-'Sparkling Model'!D$2:D$38^A5247)</f>
        <v>36.71272823</v>
      </c>
      <c r="C5247" s="8">
        <f t="array" ref="C5247">PRODUCT(1-'Sparkling Model'!D$2:D$38^A5247)</f>
        <v>0.7427388359</v>
      </c>
    </row>
    <row r="5248">
      <c r="A5248" s="6">
        <v>5246.0</v>
      </c>
      <c r="B5248" s="17">
        <f t="array" ref="B5248">SUM(1-'Sparkling Model'!D$2:D$38^A5248)</f>
        <v>36.71288614</v>
      </c>
      <c r="C5248" s="8">
        <f t="array" ref="C5248">PRODUCT(1-'Sparkling Model'!D$2:D$38^A5248)</f>
        <v>0.7428638575</v>
      </c>
    </row>
    <row r="5249">
      <c r="A5249" s="6">
        <v>5247.0</v>
      </c>
      <c r="B5249" s="17">
        <f t="array" ref="B5249">SUM(1-'Sparkling Model'!D$2:D$38^A5249)</f>
        <v>36.71304396</v>
      </c>
      <c r="C5249" s="8">
        <f t="array" ref="C5249">PRODUCT(1-'Sparkling Model'!D$2:D$38^A5249)</f>
        <v>0.7429888213</v>
      </c>
    </row>
    <row r="5250">
      <c r="A5250" s="6">
        <v>5248.0</v>
      </c>
      <c r="B5250" s="17">
        <f t="array" ref="B5250">SUM(1-'Sparkling Model'!D$2:D$38^A5250)</f>
        <v>36.71320168</v>
      </c>
      <c r="C5250" s="8">
        <f t="array" ref="C5250">PRODUCT(1-'Sparkling Model'!D$2:D$38^A5250)</f>
        <v>0.7431137271</v>
      </c>
    </row>
    <row r="5251">
      <c r="A5251" s="6">
        <v>5249.0</v>
      </c>
      <c r="B5251" s="17">
        <f t="array" ref="B5251">SUM(1-'Sparkling Model'!D$2:D$38^A5251)</f>
        <v>36.71335931</v>
      </c>
      <c r="C5251" s="8">
        <f t="array" ref="C5251">PRODUCT(1-'Sparkling Model'!D$2:D$38^A5251)</f>
        <v>0.7432385751</v>
      </c>
    </row>
    <row r="5252">
      <c r="A5252" s="6">
        <v>5250.0</v>
      </c>
      <c r="B5252" s="17">
        <f t="array" ref="B5252">SUM(1-'Sparkling Model'!D$2:D$38^A5252)</f>
        <v>36.71351684</v>
      </c>
      <c r="C5252" s="8">
        <f t="array" ref="C5252">PRODUCT(1-'Sparkling Model'!D$2:D$38^A5252)</f>
        <v>0.7433633652</v>
      </c>
    </row>
    <row r="5253">
      <c r="A5253" s="6">
        <v>5251.0</v>
      </c>
      <c r="B5253" s="17">
        <f t="array" ref="B5253">SUM(1-'Sparkling Model'!D$2:D$38^A5253)</f>
        <v>36.71367428</v>
      </c>
      <c r="C5253" s="8">
        <f t="array" ref="C5253">PRODUCT(1-'Sparkling Model'!D$2:D$38^A5253)</f>
        <v>0.7434880975</v>
      </c>
    </row>
    <row r="5254">
      <c r="A5254" s="6">
        <v>5252.0</v>
      </c>
      <c r="B5254" s="17">
        <f t="array" ref="B5254">SUM(1-'Sparkling Model'!D$2:D$38^A5254)</f>
        <v>36.71383162</v>
      </c>
      <c r="C5254" s="8">
        <f t="array" ref="C5254">PRODUCT(1-'Sparkling Model'!D$2:D$38^A5254)</f>
        <v>0.743612772</v>
      </c>
    </row>
    <row r="5255">
      <c r="A5255" s="6">
        <v>5253.0</v>
      </c>
      <c r="B5255" s="17">
        <f t="array" ref="B5255">SUM(1-'Sparkling Model'!D$2:D$38^A5255)</f>
        <v>36.71398887</v>
      </c>
      <c r="C5255" s="8">
        <f t="array" ref="C5255">PRODUCT(1-'Sparkling Model'!D$2:D$38^A5255)</f>
        <v>0.7437373888</v>
      </c>
    </row>
    <row r="5256">
      <c r="A5256" s="6">
        <v>5254.0</v>
      </c>
      <c r="B5256" s="17">
        <f t="array" ref="B5256">SUM(1-'Sparkling Model'!D$2:D$38^A5256)</f>
        <v>36.71414602</v>
      </c>
      <c r="C5256" s="8">
        <f t="array" ref="C5256">PRODUCT(1-'Sparkling Model'!D$2:D$38^A5256)</f>
        <v>0.7438619478</v>
      </c>
    </row>
    <row r="5257">
      <c r="A5257" s="6">
        <v>5255.0</v>
      </c>
      <c r="B5257" s="17">
        <f t="array" ref="B5257">SUM(1-'Sparkling Model'!D$2:D$38^A5257)</f>
        <v>36.71430308</v>
      </c>
      <c r="C5257" s="8">
        <f t="array" ref="C5257">PRODUCT(1-'Sparkling Model'!D$2:D$38^A5257)</f>
        <v>0.7439864491</v>
      </c>
    </row>
    <row r="5258">
      <c r="A5258" s="6">
        <v>5256.0</v>
      </c>
      <c r="B5258" s="17">
        <f t="array" ref="B5258">SUM(1-'Sparkling Model'!D$2:D$38^A5258)</f>
        <v>36.71446005</v>
      </c>
      <c r="C5258" s="8">
        <f t="array" ref="C5258">PRODUCT(1-'Sparkling Model'!D$2:D$38^A5258)</f>
        <v>0.7441108926</v>
      </c>
    </row>
    <row r="5259">
      <c r="A5259" s="6">
        <v>5257.0</v>
      </c>
      <c r="B5259" s="17">
        <f t="array" ref="B5259">SUM(1-'Sparkling Model'!D$2:D$38^A5259)</f>
        <v>36.71461691</v>
      </c>
      <c r="C5259" s="8">
        <f t="array" ref="C5259">PRODUCT(1-'Sparkling Model'!D$2:D$38^A5259)</f>
        <v>0.7442352785</v>
      </c>
    </row>
    <row r="5260">
      <c r="A5260" s="6">
        <v>5258.0</v>
      </c>
      <c r="B5260" s="17">
        <f t="array" ref="B5260">SUM(1-'Sparkling Model'!D$2:D$38^A5260)</f>
        <v>36.71477369</v>
      </c>
      <c r="C5260" s="8">
        <f t="array" ref="C5260">PRODUCT(1-'Sparkling Model'!D$2:D$38^A5260)</f>
        <v>0.7443596068</v>
      </c>
    </row>
    <row r="5261">
      <c r="A5261" s="6">
        <v>5259.0</v>
      </c>
      <c r="B5261" s="17">
        <f t="array" ref="B5261">SUM(1-'Sparkling Model'!D$2:D$38^A5261)</f>
        <v>36.71493037</v>
      </c>
      <c r="C5261" s="8">
        <f t="array" ref="C5261">PRODUCT(1-'Sparkling Model'!D$2:D$38^A5261)</f>
        <v>0.7444838774</v>
      </c>
    </row>
    <row r="5262">
      <c r="A5262" s="6">
        <v>5260.0</v>
      </c>
      <c r="B5262" s="17">
        <f t="array" ref="B5262">SUM(1-'Sparkling Model'!D$2:D$38^A5262)</f>
        <v>36.71508695</v>
      </c>
      <c r="C5262" s="8">
        <f t="array" ref="C5262">PRODUCT(1-'Sparkling Model'!D$2:D$38^A5262)</f>
        <v>0.7446080903</v>
      </c>
    </row>
    <row r="5263">
      <c r="A5263" s="6">
        <v>5261.0</v>
      </c>
      <c r="B5263" s="17">
        <f t="array" ref="B5263">SUM(1-'Sparkling Model'!D$2:D$38^A5263)</f>
        <v>36.71524344</v>
      </c>
      <c r="C5263" s="8">
        <f t="array" ref="C5263">PRODUCT(1-'Sparkling Model'!D$2:D$38^A5263)</f>
        <v>0.7447322457</v>
      </c>
    </row>
    <row r="5264">
      <c r="A5264" s="6">
        <v>5262.0</v>
      </c>
      <c r="B5264" s="17">
        <f t="array" ref="B5264">SUM(1-'Sparkling Model'!D$2:D$38^A5264)</f>
        <v>36.71539984</v>
      </c>
      <c r="C5264" s="8">
        <f t="array" ref="C5264">PRODUCT(1-'Sparkling Model'!D$2:D$38^A5264)</f>
        <v>0.7448563436</v>
      </c>
    </row>
    <row r="5265">
      <c r="A5265" s="6">
        <v>5263.0</v>
      </c>
      <c r="B5265" s="17">
        <f t="array" ref="B5265">SUM(1-'Sparkling Model'!D$2:D$38^A5265)</f>
        <v>36.71555614</v>
      </c>
      <c r="C5265" s="8">
        <f t="array" ref="C5265">PRODUCT(1-'Sparkling Model'!D$2:D$38^A5265)</f>
        <v>0.7449803838</v>
      </c>
    </row>
    <row r="5266">
      <c r="A5266" s="6">
        <v>5264.0</v>
      </c>
      <c r="B5266" s="17">
        <f t="array" ref="B5266">SUM(1-'Sparkling Model'!D$2:D$38^A5266)</f>
        <v>36.71571235</v>
      </c>
      <c r="C5266" s="8">
        <f t="array" ref="C5266">PRODUCT(1-'Sparkling Model'!D$2:D$38^A5266)</f>
        <v>0.7451043666</v>
      </c>
    </row>
    <row r="5267">
      <c r="A5267" s="6">
        <v>5265.0</v>
      </c>
      <c r="B5267" s="17">
        <f t="array" ref="B5267">SUM(1-'Sparkling Model'!D$2:D$38^A5267)</f>
        <v>36.71586846</v>
      </c>
      <c r="C5267" s="8">
        <f t="array" ref="C5267">PRODUCT(1-'Sparkling Model'!D$2:D$38^A5267)</f>
        <v>0.7452282919</v>
      </c>
    </row>
    <row r="5268">
      <c r="A5268" s="6">
        <v>5266.0</v>
      </c>
      <c r="B5268" s="17">
        <f t="array" ref="B5268">SUM(1-'Sparkling Model'!D$2:D$38^A5268)</f>
        <v>36.71602448</v>
      </c>
      <c r="C5268" s="8">
        <f t="array" ref="C5268">PRODUCT(1-'Sparkling Model'!D$2:D$38^A5268)</f>
        <v>0.7453521596</v>
      </c>
    </row>
    <row r="5269">
      <c r="A5269" s="6">
        <v>5267.0</v>
      </c>
      <c r="B5269" s="17">
        <f t="array" ref="B5269">SUM(1-'Sparkling Model'!D$2:D$38^A5269)</f>
        <v>36.7161804</v>
      </c>
      <c r="C5269" s="8">
        <f t="array" ref="C5269">PRODUCT(1-'Sparkling Model'!D$2:D$38^A5269)</f>
        <v>0.74547597</v>
      </c>
    </row>
    <row r="5270">
      <c r="A5270" s="6">
        <v>5268.0</v>
      </c>
      <c r="B5270" s="17">
        <f t="array" ref="B5270">SUM(1-'Sparkling Model'!D$2:D$38^A5270)</f>
        <v>36.71633623</v>
      </c>
      <c r="C5270" s="8">
        <f t="array" ref="C5270">PRODUCT(1-'Sparkling Model'!D$2:D$38^A5270)</f>
        <v>0.7455997229</v>
      </c>
    </row>
    <row r="5271">
      <c r="A5271" s="6">
        <v>5269.0</v>
      </c>
      <c r="B5271" s="17">
        <f t="array" ref="B5271">SUM(1-'Sparkling Model'!D$2:D$38^A5271)</f>
        <v>36.71649197</v>
      </c>
      <c r="C5271" s="8">
        <f t="array" ref="C5271">PRODUCT(1-'Sparkling Model'!D$2:D$38^A5271)</f>
        <v>0.7457234183</v>
      </c>
    </row>
    <row r="5272">
      <c r="A5272" s="6">
        <v>5270.0</v>
      </c>
      <c r="B5272" s="17">
        <f t="array" ref="B5272">SUM(1-'Sparkling Model'!D$2:D$38^A5272)</f>
        <v>36.71664761</v>
      </c>
      <c r="C5272" s="8">
        <f t="array" ref="C5272">PRODUCT(1-'Sparkling Model'!D$2:D$38^A5272)</f>
        <v>0.7458470564</v>
      </c>
    </row>
    <row r="5273">
      <c r="A5273" s="6">
        <v>5271.0</v>
      </c>
      <c r="B5273" s="17">
        <f t="array" ref="B5273">SUM(1-'Sparkling Model'!D$2:D$38^A5273)</f>
        <v>36.71680316</v>
      </c>
      <c r="C5273" s="8">
        <f t="array" ref="C5273">PRODUCT(1-'Sparkling Model'!D$2:D$38^A5273)</f>
        <v>0.7459706372</v>
      </c>
    </row>
    <row r="5274">
      <c r="A5274" s="6">
        <v>5272.0</v>
      </c>
      <c r="B5274" s="17">
        <f t="array" ref="B5274">SUM(1-'Sparkling Model'!D$2:D$38^A5274)</f>
        <v>36.71695862</v>
      </c>
      <c r="C5274" s="8">
        <f t="array" ref="C5274">PRODUCT(1-'Sparkling Model'!D$2:D$38^A5274)</f>
        <v>0.7460941605</v>
      </c>
    </row>
    <row r="5275">
      <c r="A5275" s="6">
        <v>5273.0</v>
      </c>
      <c r="B5275" s="17">
        <f t="array" ref="B5275">SUM(1-'Sparkling Model'!D$2:D$38^A5275)</f>
        <v>36.71711398</v>
      </c>
      <c r="C5275" s="8">
        <f t="array" ref="C5275">PRODUCT(1-'Sparkling Model'!D$2:D$38^A5275)</f>
        <v>0.7462176266</v>
      </c>
    </row>
    <row r="5276">
      <c r="A5276" s="6">
        <v>5274.0</v>
      </c>
      <c r="B5276" s="17">
        <f t="array" ref="B5276">SUM(1-'Sparkling Model'!D$2:D$38^A5276)</f>
        <v>36.71726925</v>
      </c>
      <c r="C5276" s="8">
        <f t="array" ref="C5276">PRODUCT(1-'Sparkling Model'!D$2:D$38^A5276)</f>
        <v>0.7463410354</v>
      </c>
    </row>
    <row r="5277">
      <c r="A5277" s="6">
        <v>5275.0</v>
      </c>
      <c r="B5277" s="17">
        <f t="array" ref="B5277">SUM(1-'Sparkling Model'!D$2:D$38^A5277)</f>
        <v>36.71742442</v>
      </c>
      <c r="C5277" s="8">
        <f t="array" ref="C5277">PRODUCT(1-'Sparkling Model'!D$2:D$38^A5277)</f>
        <v>0.7464643869</v>
      </c>
    </row>
    <row r="5278">
      <c r="A5278" s="6">
        <v>5276.0</v>
      </c>
      <c r="B5278" s="17">
        <f t="array" ref="B5278">SUM(1-'Sparkling Model'!D$2:D$38^A5278)</f>
        <v>36.71757951</v>
      </c>
      <c r="C5278" s="8">
        <f t="array" ref="C5278">PRODUCT(1-'Sparkling Model'!D$2:D$38^A5278)</f>
        <v>0.7465876811</v>
      </c>
    </row>
    <row r="5279">
      <c r="A5279" s="6">
        <v>5277.0</v>
      </c>
      <c r="B5279" s="17">
        <f t="array" ref="B5279">SUM(1-'Sparkling Model'!D$2:D$38^A5279)</f>
        <v>36.71773449</v>
      </c>
      <c r="C5279" s="8">
        <f t="array" ref="C5279">PRODUCT(1-'Sparkling Model'!D$2:D$38^A5279)</f>
        <v>0.7467109181</v>
      </c>
    </row>
    <row r="5280">
      <c r="A5280" s="6">
        <v>5278.0</v>
      </c>
      <c r="B5280" s="17">
        <f t="array" ref="B5280">SUM(1-'Sparkling Model'!D$2:D$38^A5280)</f>
        <v>36.71788939</v>
      </c>
      <c r="C5280" s="8">
        <f t="array" ref="C5280">PRODUCT(1-'Sparkling Model'!D$2:D$38^A5280)</f>
        <v>0.7468340979</v>
      </c>
    </row>
    <row r="5281">
      <c r="A5281" s="6">
        <v>5279.0</v>
      </c>
      <c r="B5281" s="17">
        <f t="array" ref="B5281">SUM(1-'Sparkling Model'!D$2:D$38^A5281)</f>
        <v>36.71804419</v>
      </c>
      <c r="C5281" s="8">
        <f t="array" ref="C5281">PRODUCT(1-'Sparkling Model'!D$2:D$38^A5281)</f>
        <v>0.7469572206</v>
      </c>
    </row>
    <row r="5282">
      <c r="A5282" s="6">
        <v>5280.0</v>
      </c>
      <c r="B5282" s="17">
        <f t="array" ref="B5282">SUM(1-'Sparkling Model'!D$2:D$38^A5282)</f>
        <v>36.7181989</v>
      </c>
      <c r="C5282" s="8">
        <f t="array" ref="C5282">PRODUCT(1-'Sparkling Model'!D$2:D$38^A5282)</f>
        <v>0.747080286</v>
      </c>
    </row>
    <row r="5283">
      <c r="A5283" s="6">
        <v>5281.0</v>
      </c>
      <c r="B5283" s="17">
        <f t="array" ref="B5283">SUM(1-'Sparkling Model'!D$2:D$38^A5283)</f>
        <v>36.71835351</v>
      </c>
      <c r="C5283" s="8">
        <f t="array" ref="C5283">PRODUCT(1-'Sparkling Model'!D$2:D$38^A5283)</f>
        <v>0.7472032943</v>
      </c>
    </row>
    <row r="5284">
      <c r="A5284" s="6">
        <v>5282.0</v>
      </c>
      <c r="B5284" s="17">
        <f t="array" ref="B5284">SUM(1-'Sparkling Model'!D$2:D$38^A5284)</f>
        <v>36.71850804</v>
      </c>
      <c r="C5284" s="8">
        <f t="array" ref="C5284">PRODUCT(1-'Sparkling Model'!D$2:D$38^A5284)</f>
        <v>0.7473262455</v>
      </c>
    </row>
    <row r="5285">
      <c r="A5285" s="6">
        <v>5283.0</v>
      </c>
      <c r="B5285" s="17">
        <f t="array" ref="B5285">SUM(1-'Sparkling Model'!D$2:D$38^A5285)</f>
        <v>36.71866247</v>
      </c>
      <c r="C5285" s="8">
        <f t="array" ref="C5285">PRODUCT(1-'Sparkling Model'!D$2:D$38^A5285)</f>
        <v>0.7474491396</v>
      </c>
    </row>
    <row r="5286">
      <c r="A5286" s="6">
        <v>5284.0</v>
      </c>
      <c r="B5286" s="17">
        <f t="array" ref="B5286">SUM(1-'Sparkling Model'!D$2:D$38^A5286)</f>
        <v>36.7188168</v>
      </c>
      <c r="C5286" s="8">
        <f t="array" ref="C5286">PRODUCT(1-'Sparkling Model'!D$2:D$38^A5286)</f>
        <v>0.7475719767</v>
      </c>
    </row>
    <row r="5287">
      <c r="A5287" s="6">
        <v>5285.0</v>
      </c>
      <c r="B5287" s="17">
        <f t="array" ref="B5287">SUM(1-'Sparkling Model'!D$2:D$38^A5287)</f>
        <v>36.71897105</v>
      </c>
      <c r="C5287" s="8">
        <f t="array" ref="C5287">PRODUCT(1-'Sparkling Model'!D$2:D$38^A5287)</f>
        <v>0.7476947567</v>
      </c>
    </row>
    <row r="5288">
      <c r="A5288" s="6">
        <v>5286.0</v>
      </c>
      <c r="B5288" s="17">
        <f t="array" ref="B5288">SUM(1-'Sparkling Model'!D$2:D$38^A5288)</f>
        <v>36.7191252</v>
      </c>
      <c r="C5288" s="8">
        <f t="array" ref="C5288">PRODUCT(1-'Sparkling Model'!D$2:D$38^A5288)</f>
        <v>0.7478174796</v>
      </c>
    </row>
    <row r="5289">
      <c r="A5289" s="6">
        <v>5287.0</v>
      </c>
      <c r="B5289" s="17">
        <f t="array" ref="B5289">SUM(1-'Sparkling Model'!D$2:D$38^A5289)</f>
        <v>36.71927926</v>
      </c>
      <c r="C5289" s="8">
        <f t="array" ref="C5289">PRODUCT(1-'Sparkling Model'!D$2:D$38^A5289)</f>
        <v>0.7479401456</v>
      </c>
    </row>
    <row r="5290">
      <c r="A5290" s="6">
        <v>5288.0</v>
      </c>
      <c r="B5290" s="17">
        <f t="array" ref="B5290">SUM(1-'Sparkling Model'!D$2:D$38^A5290)</f>
        <v>36.71943322</v>
      </c>
      <c r="C5290" s="8">
        <f t="array" ref="C5290">PRODUCT(1-'Sparkling Model'!D$2:D$38^A5290)</f>
        <v>0.7480627546</v>
      </c>
    </row>
    <row r="5291">
      <c r="A5291" s="6">
        <v>5289.0</v>
      </c>
      <c r="B5291" s="17">
        <f t="array" ref="B5291">SUM(1-'Sparkling Model'!D$2:D$38^A5291)</f>
        <v>36.71958709</v>
      </c>
      <c r="C5291" s="8">
        <f t="array" ref="C5291">PRODUCT(1-'Sparkling Model'!D$2:D$38^A5291)</f>
        <v>0.7481853066</v>
      </c>
    </row>
    <row r="5292">
      <c r="A5292" s="6">
        <v>5290.0</v>
      </c>
      <c r="B5292" s="17">
        <f t="array" ref="B5292">SUM(1-'Sparkling Model'!D$2:D$38^A5292)</f>
        <v>36.71974087</v>
      </c>
      <c r="C5292" s="8">
        <f t="array" ref="C5292">PRODUCT(1-'Sparkling Model'!D$2:D$38^A5292)</f>
        <v>0.7483078016</v>
      </c>
    </row>
    <row r="5293">
      <c r="A5293" s="6">
        <v>5291.0</v>
      </c>
      <c r="B5293" s="17">
        <f t="array" ref="B5293">SUM(1-'Sparkling Model'!D$2:D$38^A5293)</f>
        <v>36.71989456</v>
      </c>
      <c r="C5293" s="8">
        <f t="array" ref="C5293">PRODUCT(1-'Sparkling Model'!D$2:D$38^A5293)</f>
        <v>0.7484302398</v>
      </c>
    </row>
    <row r="5294">
      <c r="A5294" s="6">
        <v>5292.0</v>
      </c>
      <c r="B5294" s="17">
        <f t="array" ref="B5294">SUM(1-'Sparkling Model'!D$2:D$38^A5294)</f>
        <v>36.72004816</v>
      </c>
      <c r="C5294" s="8">
        <f t="array" ref="C5294">PRODUCT(1-'Sparkling Model'!D$2:D$38^A5294)</f>
        <v>0.7485526211</v>
      </c>
    </row>
    <row r="5295">
      <c r="A5295" s="6">
        <v>5293.0</v>
      </c>
      <c r="B5295" s="17">
        <f t="array" ref="B5295">SUM(1-'Sparkling Model'!D$2:D$38^A5295)</f>
        <v>36.72020166</v>
      </c>
      <c r="C5295" s="8">
        <f t="array" ref="C5295">PRODUCT(1-'Sparkling Model'!D$2:D$38^A5295)</f>
        <v>0.7486749455</v>
      </c>
    </row>
    <row r="5296">
      <c r="A5296" s="6">
        <v>5294.0</v>
      </c>
      <c r="B5296" s="17">
        <f t="array" ref="B5296">SUM(1-'Sparkling Model'!D$2:D$38^A5296)</f>
        <v>36.72035507</v>
      </c>
      <c r="C5296" s="8">
        <f t="array" ref="C5296">PRODUCT(1-'Sparkling Model'!D$2:D$38^A5296)</f>
        <v>0.748797213</v>
      </c>
    </row>
    <row r="5297">
      <c r="A5297" s="6">
        <v>5295.0</v>
      </c>
      <c r="B5297" s="17">
        <f t="array" ref="B5297">SUM(1-'Sparkling Model'!D$2:D$38^A5297)</f>
        <v>36.72050839</v>
      </c>
      <c r="C5297" s="8">
        <f t="array" ref="C5297">PRODUCT(1-'Sparkling Model'!D$2:D$38^A5297)</f>
        <v>0.7489194237</v>
      </c>
    </row>
    <row r="5298">
      <c r="A5298" s="6">
        <v>5296.0</v>
      </c>
      <c r="B5298" s="17">
        <f t="array" ref="B5298">SUM(1-'Sparkling Model'!D$2:D$38^A5298)</f>
        <v>36.72066162</v>
      </c>
      <c r="C5298" s="8">
        <f t="array" ref="C5298">PRODUCT(1-'Sparkling Model'!D$2:D$38^A5298)</f>
        <v>0.7490415777</v>
      </c>
    </row>
    <row r="5299">
      <c r="A5299" s="6">
        <v>5297.0</v>
      </c>
      <c r="B5299" s="17">
        <f t="array" ref="B5299">SUM(1-'Sparkling Model'!D$2:D$38^A5299)</f>
        <v>36.72081475</v>
      </c>
      <c r="C5299" s="8">
        <f t="array" ref="C5299">PRODUCT(1-'Sparkling Model'!D$2:D$38^A5299)</f>
        <v>0.7491636748</v>
      </c>
    </row>
    <row r="5300">
      <c r="A5300" s="6">
        <v>5298.0</v>
      </c>
      <c r="B5300" s="17">
        <f t="array" ref="B5300">SUM(1-'Sparkling Model'!D$2:D$38^A5300)</f>
        <v>36.72096779</v>
      </c>
      <c r="C5300" s="8">
        <f t="array" ref="C5300">PRODUCT(1-'Sparkling Model'!D$2:D$38^A5300)</f>
        <v>0.7492857152</v>
      </c>
    </row>
    <row r="5301">
      <c r="A5301" s="6">
        <v>5299.0</v>
      </c>
      <c r="B5301" s="17">
        <f t="array" ref="B5301">SUM(1-'Sparkling Model'!D$2:D$38^A5301)</f>
        <v>36.72112074</v>
      </c>
      <c r="C5301" s="8">
        <f t="array" ref="C5301">PRODUCT(1-'Sparkling Model'!D$2:D$38^A5301)</f>
        <v>0.7494076989</v>
      </c>
    </row>
    <row r="5302">
      <c r="A5302" s="6">
        <v>5300.0</v>
      </c>
      <c r="B5302" s="17">
        <f t="array" ref="B5302">SUM(1-'Sparkling Model'!D$2:D$38^A5302)</f>
        <v>36.7212736</v>
      </c>
      <c r="C5302" s="8">
        <f t="array" ref="C5302">PRODUCT(1-'Sparkling Model'!D$2:D$38^A5302)</f>
        <v>0.7495296258</v>
      </c>
    </row>
    <row r="5303">
      <c r="A5303" s="6">
        <v>5301.0</v>
      </c>
      <c r="B5303" s="17">
        <f t="array" ref="B5303">SUM(1-'Sparkling Model'!D$2:D$38^A5303)</f>
        <v>36.72142637</v>
      </c>
      <c r="C5303" s="8">
        <f t="array" ref="C5303">PRODUCT(1-'Sparkling Model'!D$2:D$38^A5303)</f>
        <v>0.7496514961</v>
      </c>
    </row>
    <row r="5304">
      <c r="A5304" s="6">
        <v>5302.0</v>
      </c>
      <c r="B5304" s="17">
        <f t="array" ref="B5304">SUM(1-'Sparkling Model'!D$2:D$38^A5304)</f>
        <v>36.72157905</v>
      </c>
      <c r="C5304" s="8">
        <f t="array" ref="C5304">PRODUCT(1-'Sparkling Model'!D$2:D$38^A5304)</f>
        <v>0.7497733096</v>
      </c>
    </row>
    <row r="5305">
      <c r="A5305" s="6">
        <v>5303.0</v>
      </c>
      <c r="B5305" s="17">
        <f t="array" ref="B5305">SUM(1-'Sparkling Model'!D$2:D$38^A5305)</f>
        <v>36.72173163</v>
      </c>
      <c r="C5305" s="8">
        <f t="array" ref="C5305">PRODUCT(1-'Sparkling Model'!D$2:D$38^A5305)</f>
        <v>0.7498950666</v>
      </c>
    </row>
    <row r="5306">
      <c r="A5306" s="6">
        <v>5304.0</v>
      </c>
      <c r="B5306" s="17">
        <f t="array" ref="B5306">SUM(1-'Sparkling Model'!D$2:D$38^A5306)</f>
        <v>36.72188412</v>
      </c>
      <c r="C5306" s="8">
        <f t="array" ref="C5306">PRODUCT(1-'Sparkling Model'!D$2:D$38^A5306)</f>
        <v>0.7500167669</v>
      </c>
    </row>
    <row r="5307">
      <c r="A5307" s="6">
        <v>5305.0</v>
      </c>
      <c r="B5307" s="17">
        <f t="array" ref="B5307">SUM(1-'Sparkling Model'!D$2:D$38^A5307)</f>
        <v>36.72203652</v>
      </c>
      <c r="C5307" s="8">
        <f t="array" ref="C5307">PRODUCT(1-'Sparkling Model'!D$2:D$38^A5307)</f>
        <v>0.7501384106</v>
      </c>
    </row>
    <row r="5308">
      <c r="A5308" s="6">
        <v>5306.0</v>
      </c>
      <c r="B5308" s="17">
        <f t="array" ref="B5308">SUM(1-'Sparkling Model'!D$2:D$38^A5308)</f>
        <v>36.72218883</v>
      </c>
      <c r="C5308" s="8">
        <f t="array" ref="C5308">PRODUCT(1-'Sparkling Model'!D$2:D$38^A5308)</f>
        <v>0.7502599978</v>
      </c>
    </row>
    <row r="5309">
      <c r="A5309" s="6">
        <v>5307.0</v>
      </c>
      <c r="B5309" s="17">
        <f t="array" ref="B5309">SUM(1-'Sparkling Model'!D$2:D$38^A5309)</f>
        <v>36.72234105</v>
      </c>
      <c r="C5309" s="8">
        <f t="array" ref="C5309">PRODUCT(1-'Sparkling Model'!D$2:D$38^A5309)</f>
        <v>0.7503815284</v>
      </c>
    </row>
    <row r="5310">
      <c r="A5310" s="6">
        <v>5308.0</v>
      </c>
      <c r="B5310" s="17">
        <f t="array" ref="B5310">SUM(1-'Sparkling Model'!D$2:D$38^A5310)</f>
        <v>36.72249317</v>
      </c>
      <c r="C5310" s="8">
        <f t="array" ref="C5310">PRODUCT(1-'Sparkling Model'!D$2:D$38^A5310)</f>
        <v>0.7505030024</v>
      </c>
    </row>
    <row r="5311">
      <c r="A5311" s="6">
        <v>5309.0</v>
      </c>
      <c r="B5311" s="17">
        <f t="array" ref="B5311">SUM(1-'Sparkling Model'!D$2:D$38^A5311)</f>
        <v>36.72264521</v>
      </c>
      <c r="C5311" s="8">
        <f t="array" ref="C5311">PRODUCT(1-'Sparkling Model'!D$2:D$38^A5311)</f>
        <v>0.7506244199</v>
      </c>
    </row>
    <row r="5312">
      <c r="A5312" s="6">
        <v>5310.0</v>
      </c>
      <c r="B5312" s="17">
        <f t="array" ref="B5312">SUM(1-'Sparkling Model'!D$2:D$38^A5312)</f>
        <v>36.72279715</v>
      </c>
      <c r="C5312" s="8">
        <f t="array" ref="C5312">PRODUCT(1-'Sparkling Model'!D$2:D$38^A5312)</f>
        <v>0.750745781</v>
      </c>
    </row>
    <row r="5313">
      <c r="A5313" s="6">
        <v>5311.0</v>
      </c>
      <c r="B5313" s="17">
        <f t="array" ref="B5313">SUM(1-'Sparkling Model'!D$2:D$38^A5313)</f>
        <v>36.722949</v>
      </c>
      <c r="C5313" s="8">
        <f t="array" ref="C5313">PRODUCT(1-'Sparkling Model'!D$2:D$38^A5313)</f>
        <v>0.7508670856</v>
      </c>
    </row>
    <row r="5314">
      <c r="A5314" s="6">
        <v>5312.0</v>
      </c>
      <c r="B5314" s="17">
        <f t="array" ref="B5314">SUM(1-'Sparkling Model'!D$2:D$38^A5314)</f>
        <v>36.72310076</v>
      </c>
      <c r="C5314" s="8">
        <f t="array" ref="C5314">PRODUCT(1-'Sparkling Model'!D$2:D$38^A5314)</f>
        <v>0.7509883337</v>
      </c>
    </row>
    <row r="5315">
      <c r="A5315" s="6">
        <v>5313.0</v>
      </c>
      <c r="B5315" s="17">
        <f t="array" ref="B5315">SUM(1-'Sparkling Model'!D$2:D$38^A5315)</f>
        <v>36.72325243</v>
      </c>
      <c r="C5315" s="8">
        <f t="array" ref="C5315">PRODUCT(1-'Sparkling Model'!D$2:D$38^A5315)</f>
        <v>0.7511095255</v>
      </c>
    </row>
    <row r="5316">
      <c r="A5316" s="6">
        <v>5314.0</v>
      </c>
      <c r="B5316" s="17">
        <f t="array" ref="B5316">SUM(1-'Sparkling Model'!D$2:D$38^A5316)</f>
        <v>36.72340401</v>
      </c>
      <c r="C5316" s="8">
        <f t="array" ref="C5316">PRODUCT(1-'Sparkling Model'!D$2:D$38^A5316)</f>
        <v>0.7512306608</v>
      </c>
    </row>
    <row r="5317">
      <c r="A5317" s="6">
        <v>5315.0</v>
      </c>
      <c r="B5317" s="17">
        <f t="array" ref="B5317">SUM(1-'Sparkling Model'!D$2:D$38^A5317)</f>
        <v>36.7235555</v>
      </c>
      <c r="C5317" s="8">
        <f t="array" ref="C5317">PRODUCT(1-'Sparkling Model'!D$2:D$38^A5317)</f>
        <v>0.7513517398</v>
      </c>
    </row>
    <row r="5318">
      <c r="A5318" s="6">
        <v>5316.0</v>
      </c>
      <c r="B5318" s="17">
        <f t="array" ref="B5318">SUM(1-'Sparkling Model'!D$2:D$38^A5318)</f>
        <v>36.7237069</v>
      </c>
      <c r="C5318" s="8">
        <f t="array" ref="C5318">PRODUCT(1-'Sparkling Model'!D$2:D$38^A5318)</f>
        <v>0.7514727624</v>
      </c>
    </row>
    <row r="5319">
      <c r="A5319" s="6">
        <v>5317.0</v>
      </c>
      <c r="B5319" s="17">
        <f t="array" ref="B5319">SUM(1-'Sparkling Model'!D$2:D$38^A5319)</f>
        <v>36.72385821</v>
      </c>
      <c r="C5319" s="8">
        <f t="array" ref="C5319">PRODUCT(1-'Sparkling Model'!D$2:D$38^A5319)</f>
        <v>0.7515937286</v>
      </c>
    </row>
    <row r="5320">
      <c r="A5320" s="6">
        <v>5318.0</v>
      </c>
      <c r="B5320" s="17">
        <f t="array" ref="B5320">SUM(1-'Sparkling Model'!D$2:D$38^A5320)</f>
        <v>36.72400942</v>
      </c>
      <c r="C5320" s="8">
        <f t="array" ref="C5320">PRODUCT(1-'Sparkling Model'!D$2:D$38^A5320)</f>
        <v>0.7517146386</v>
      </c>
    </row>
    <row r="5321">
      <c r="A5321" s="6">
        <v>5319.0</v>
      </c>
      <c r="B5321" s="17">
        <f t="array" ref="B5321">SUM(1-'Sparkling Model'!D$2:D$38^A5321)</f>
        <v>36.72416055</v>
      </c>
      <c r="C5321" s="8">
        <f t="array" ref="C5321">PRODUCT(1-'Sparkling Model'!D$2:D$38^A5321)</f>
        <v>0.7518354923</v>
      </c>
    </row>
    <row r="5322">
      <c r="A5322" s="6">
        <v>5320.0</v>
      </c>
      <c r="B5322" s="17">
        <f t="array" ref="B5322">SUM(1-'Sparkling Model'!D$2:D$38^A5322)</f>
        <v>36.72431158</v>
      </c>
      <c r="C5322" s="8">
        <f t="array" ref="C5322">PRODUCT(1-'Sparkling Model'!D$2:D$38^A5322)</f>
        <v>0.7519562897</v>
      </c>
    </row>
    <row r="5323">
      <c r="A5323" s="6">
        <v>5321.0</v>
      </c>
      <c r="B5323" s="17">
        <f t="array" ref="B5323">SUM(1-'Sparkling Model'!D$2:D$38^A5323)</f>
        <v>36.72446253</v>
      </c>
      <c r="C5323" s="8">
        <f t="array" ref="C5323">PRODUCT(1-'Sparkling Model'!D$2:D$38^A5323)</f>
        <v>0.7520770309</v>
      </c>
    </row>
    <row r="5324">
      <c r="A5324" s="6">
        <v>5322.0</v>
      </c>
      <c r="B5324" s="17">
        <f t="array" ref="B5324">SUM(1-'Sparkling Model'!D$2:D$38^A5324)</f>
        <v>36.72461338</v>
      </c>
      <c r="C5324" s="8">
        <f t="array" ref="C5324">PRODUCT(1-'Sparkling Model'!D$2:D$38^A5324)</f>
        <v>0.7521977158</v>
      </c>
    </row>
    <row r="5325">
      <c r="A5325" s="6">
        <v>5323.0</v>
      </c>
      <c r="B5325" s="17">
        <f t="array" ref="B5325">SUM(1-'Sparkling Model'!D$2:D$38^A5325)</f>
        <v>36.72476414</v>
      </c>
      <c r="C5325" s="8">
        <f t="array" ref="C5325">PRODUCT(1-'Sparkling Model'!D$2:D$38^A5325)</f>
        <v>0.7523183446</v>
      </c>
    </row>
    <row r="5326">
      <c r="A5326" s="6">
        <v>5324.0</v>
      </c>
      <c r="B5326" s="17">
        <f t="array" ref="B5326">SUM(1-'Sparkling Model'!D$2:D$38^A5326)</f>
        <v>36.72491482</v>
      </c>
      <c r="C5326" s="8">
        <f t="array" ref="C5326">PRODUCT(1-'Sparkling Model'!D$2:D$38^A5326)</f>
        <v>0.7524389172</v>
      </c>
    </row>
    <row r="5327">
      <c r="A5327" s="6">
        <v>5325.0</v>
      </c>
      <c r="B5327" s="17">
        <f t="array" ref="B5327">SUM(1-'Sparkling Model'!D$2:D$38^A5327)</f>
        <v>36.7250654</v>
      </c>
      <c r="C5327" s="8">
        <f t="array" ref="C5327">PRODUCT(1-'Sparkling Model'!D$2:D$38^A5327)</f>
        <v>0.7525594336</v>
      </c>
    </row>
    <row r="5328">
      <c r="A5328" s="6">
        <v>5326.0</v>
      </c>
      <c r="B5328" s="17">
        <f t="array" ref="B5328">SUM(1-'Sparkling Model'!D$2:D$38^A5328)</f>
        <v>36.72521589</v>
      </c>
      <c r="C5328" s="8">
        <f t="array" ref="C5328">PRODUCT(1-'Sparkling Model'!D$2:D$38^A5328)</f>
        <v>0.7526798939</v>
      </c>
    </row>
    <row r="5329">
      <c r="A5329" s="6">
        <v>5327.0</v>
      </c>
      <c r="B5329" s="17">
        <f t="array" ref="B5329">SUM(1-'Sparkling Model'!D$2:D$38^A5329)</f>
        <v>36.72536629</v>
      </c>
      <c r="C5329" s="8">
        <f t="array" ref="C5329">PRODUCT(1-'Sparkling Model'!D$2:D$38^A5329)</f>
        <v>0.7528002981</v>
      </c>
    </row>
    <row r="5330">
      <c r="A5330" s="6">
        <v>5328.0</v>
      </c>
      <c r="B5330" s="17">
        <f t="array" ref="B5330">SUM(1-'Sparkling Model'!D$2:D$38^A5330)</f>
        <v>36.7255166</v>
      </c>
      <c r="C5330" s="8">
        <f t="array" ref="C5330">PRODUCT(1-'Sparkling Model'!D$2:D$38^A5330)</f>
        <v>0.7529206462</v>
      </c>
    </row>
    <row r="5331">
      <c r="A5331" s="6">
        <v>5329.0</v>
      </c>
      <c r="B5331" s="17">
        <f t="array" ref="B5331">SUM(1-'Sparkling Model'!D$2:D$38^A5331)</f>
        <v>36.72566683</v>
      </c>
      <c r="C5331" s="8">
        <f t="array" ref="C5331">PRODUCT(1-'Sparkling Model'!D$2:D$38^A5331)</f>
        <v>0.7530409383</v>
      </c>
    </row>
    <row r="5332">
      <c r="A5332" s="6">
        <v>5330.0</v>
      </c>
      <c r="B5332" s="17">
        <f t="array" ref="B5332">SUM(1-'Sparkling Model'!D$2:D$38^A5332)</f>
        <v>36.72581696</v>
      </c>
      <c r="C5332" s="8">
        <f t="array" ref="C5332">PRODUCT(1-'Sparkling Model'!D$2:D$38^A5332)</f>
        <v>0.7531611743</v>
      </c>
    </row>
    <row r="5333">
      <c r="A5333" s="6">
        <v>5331.0</v>
      </c>
      <c r="B5333" s="17">
        <f t="array" ref="B5333">SUM(1-'Sparkling Model'!D$2:D$38^A5333)</f>
        <v>36.725967</v>
      </c>
      <c r="C5333" s="8">
        <f t="array" ref="C5333">PRODUCT(1-'Sparkling Model'!D$2:D$38^A5333)</f>
        <v>0.7532813543</v>
      </c>
    </row>
    <row r="5334">
      <c r="A5334" s="6">
        <v>5332.0</v>
      </c>
      <c r="B5334" s="17">
        <f t="array" ref="B5334">SUM(1-'Sparkling Model'!D$2:D$38^A5334)</f>
        <v>36.72611695</v>
      </c>
      <c r="C5334" s="8">
        <f t="array" ref="C5334">PRODUCT(1-'Sparkling Model'!D$2:D$38^A5334)</f>
        <v>0.7534014783</v>
      </c>
    </row>
    <row r="5335">
      <c r="A5335" s="6">
        <v>5333.0</v>
      </c>
      <c r="B5335" s="17">
        <f t="array" ref="B5335">SUM(1-'Sparkling Model'!D$2:D$38^A5335)</f>
        <v>36.72626682</v>
      </c>
      <c r="C5335" s="8">
        <f t="array" ref="C5335">PRODUCT(1-'Sparkling Model'!D$2:D$38^A5335)</f>
        <v>0.7535215463</v>
      </c>
    </row>
    <row r="5336">
      <c r="A5336" s="6">
        <v>5334.0</v>
      </c>
      <c r="B5336" s="17">
        <f t="array" ref="B5336">SUM(1-'Sparkling Model'!D$2:D$38^A5336)</f>
        <v>36.72641659</v>
      </c>
      <c r="C5336" s="8">
        <f t="array" ref="C5336">PRODUCT(1-'Sparkling Model'!D$2:D$38^A5336)</f>
        <v>0.7536415584</v>
      </c>
    </row>
    <row r="5337">
      <c r="A5337" s="6">
        <v>5335.0</v>
      </c>
      <c r="B5337" s="17">
        <f t="array" ref="B5337">SUM(1-'Sparkling Model'!D$2:D$38^A5337)</f>
        <v>36.72656627</v>
      </c>
      <c r="C5337" s="8">
        <f t="array" ref="C5337">PRODUCT(1-'Sparkling Model'!D$2:D$38^A5337)</f>
        <v>0.7537615146</v>
      </c>
    </row>
    <row r="5338">
      <c r="A5338" s="6">
        <v>5336.0</v>
      </c>
      <c r="B5338" s="17">
        <f t="array" ref="B5338">SUM(1-'Sparkling Model'!D$2:D$38^A5338)</f>
        <v>36.72671587</v>
      </c>
      <c r="C5338" s="8">
        <f t="array" ref="C5338">PRODUCT(1-'Sparkling Model'!D$2:D$38^A5338)</f>
        <v>0.7538814148</v>
      </c>
    </row>
    <row r="5339">
      <c r="A5339" s="6">
        <v>5337.0</v>
      </c>
      <c r="B5339" s="17">
        <f t="array" ref="B5339">SUM(1-'Sparkling Model'!D$2:D$38^A5339)</f>
        <v>36.72686537</v>
      </c>
      <c r="C5339" s="8">
        <f t="array" ref="C5339">PRODUCT(1-'Sparkling Model'!D$2:D$38^A5339)</f>
        <v>0.7540012592</v>
      </c>
    </row>
    <row r="5340">
      <c r="A5340" s="6">
        <v>5338.0</v>
      </c>
      <c r="B5340" s="17">
        <f t="array" ref="B5340">SUM(1-'Sparkling Model'!D$2:D$38^A5340)</f>
        <v>36.72701479</v>
      </c>
      <c r="C5340" s="8">
        <f t="array" ref="C5340">PRODUCT(1-'Sparkling Model'!D$2:D$38^A5340)</f>
        <v>0.7541210477</v>
      </c>
    </row>
    <row r="5341">
      <c r="A5341" s="6">
        <v>5339.0</v>
      </c>
      <c r="B5341" s="17">
        <f t="array" ref="B5341">SUM(1-'Sparkling Model'!D$2:D$38^A5341)</f>
        <v>36.72716411</v>
      </c>
      <c r="C5341" s="8">
        <f t="array" ref="C5341">PRODUCT(1-'Sparkling Model'!D$2:D$38^A5341)</f>
        <v>0.7542407804</v>
      </c>
    </row>
    <row r="5342">
      <c r="A5342" s="6">
        <v>5340.0</v>
      </c>
      <c r="B5342" s="17">
        <f t="array" ref="B5342">SUM(1-'Sparkling Model'!D$2:D$38^A5342)</f>
        <v>36.72731335</v>
      </c>
      <c r="C5342" s="8">
        <f t="array" ref="C5342">PRODUCT(1-'Sparkling Model'!D$2:D$38^A5342)</f>
        <v>0.7543604572</v>
      </c>
    </row>
    <row r="5343">
      <c r="A5343" s="6">
        <v>5341.0</v>
      </c>
      <c r="B5343" s="17">
        <f t="array" ref="B5343">SUM(1-'Sparkling Model'!D$2:D$38^A5343)</f>
        <v>36.72746249</v>
      </c>
      <c r="C5343" s="8">
        <f t="array" ref="C5343">PRODUCT(1-'Sparkling Model'!D$2:D$38^A5343)</f>
        <v>0.7544800783</v>
      </c>
    </row>
    <row r="5344">
      <c r="A5344" s="6">
        <v>5342.0</v>
      </c>
      <c r="B5344" s="17">
        <f t="array" ref="B5344">SUM(1-'Sparkling Model'!D$2:D$38^A5344)</f>
        <v>36.72761155</v>
      </c>
      <c r="C5344" s="8">
        <f t="array" ref="C5344">PRODUCT(1-'Sparkling Model'!D$2:D$38^A5344)</f>
        <v>0.7545996436</v>
      </c>
    </row>
    <row r="5345">
      <c r="A5345" s="6">
        <v>5343.0</v>
      </c>
      <c r="B5345" s="17">
        <f t="array" ref="B5345">SUM(1-'Sparkling Model'!D$2:D$38^A5345)</f>
        <v>36.72776052</v>
      </c>
      <c r="C5345" s="8">
        <f t="array" ref="C5345">PRODUCT(1-'Sparkling Model'!D$2:D$38^A5345)</f>
        <v>0.7547191532</v>
      </c>
    </row>
    <row r="5346">
      <c r="A5346" s="6">
        <v>5344.0</v>
      </c>
      <c r="B5346" s="17">
        <f t="array" ref="B5346">SUM(1-'Sparkling Model'!D$2:D$38^A5346)</f>
        <v>36.7279094</v>
      </c>
      <c r="C5346" s="8">
        <f t="array" ref="C5346">PRODUCT(1-'Sparkling Model'!D$2:D$38^A5346)</f>
        <v>0.754838607</v>
      </c>
    </row>
    <row r="5347">
      <c r="A5347" s="6">
        <v>5345.0</v>
      </c>
      <c r="B5347" s="17">
        <f t="array" ref="B5347">SUM(1-'Sparkling Model'!D$2:D$38^A5347)</f>
        <v>36.72805819</v>
      </c>
      <c r="C5347" s="8">
        <f t="array" ref="C5347">PRODUCT(1-'Sparkling Model'!D$2:D$38^A5347)</f>
        <v>0.7549580051</v>
      </c>
    </row>
    <row r="5348">
      <c r="A5348" s="6">
        <v>5346.0</v>
      </c>
      <c r="B5348" s="17">
        <f t="array" ref="B5348">SUM(1-'Sparkling Model'!D$2:D$38^A5348)</f>
        <v>36.72820689</v>
      </c>
      <c r="C5348" s="8">
        <f t="array" ref="C5348">PRODUCT(1-'Sparkling Model'!D$2:D$38^A5348)</f>
        <v>0.7550773475</v>
      </c>
    </row>
    <row r="5349">
      <c r="A5349" s="6">
        <v>5347.0</v>
      </c>
      <c r="B5349" s="17">
        <f t="array" ref="B5349">SUM(1-'Sparkling Model'!D$2:D$38^A5349)</f>
        <v>36.7283555</v>
      </c>
      <c r="C5349" s="8">
        <f t="array" ref="C5349">PRODUCT(1-'Sparkling Model'!D$2:D$38^A5349)</f>
        <v>0.7551966343</v>
      </c>
    </row>
    <row r="5350">
      <c r="A5350" s="6">
        <v>5348.0</v>
      </c>
      <c r="B5350" s="17">
        <f t="array" ref="B5350">SUM(1-'Sparkling Model'!D$2:D$38^A5350)</f>
        <v>36.72850402</v>
      </c>
      <c r="C5350" s="8">
        <f t="array" ref="C5350">PRODUCT(1-'Sparkling Model'!D$2:D$38^A5350)</f>
        <v>0.7553158654</v>
      </c>
    </row>
    <row r="5351">
      <c r="A5351" s="6">
        <v>5349.0</v>
      </c>
      <c r="B5351" s="17">
        <f t="array" ref="B5351">SUM(1-'Sparkling Model'!D$2:D$38^A5351)</f>
        <v>36.72865246</v>
      </c>
      <c r="C5351" s="8">
        <f t="array" ref="C5351">PRODUCT(1-'Sparkling Model'!D$2:D$38^A5351)</f>
        <v>0.755435041</v>
      </c>
    </row>
    <row r="5352">
      <c r="A5352" s="6">
        <v>5350.0</v>
      </c>
      <c r="B5352" s="17">
        <f t="array" ref="B5352">SUM(1-'Sparkling Model'!D$2:D$38^A5352)</f>
        <v>36.72880081</v>
      </c>
      <c r="C5352" s="8">
        <f t="array" ref="C5352">PRODUCT(1-'Sparkling Model'!D$2:D$38^A5352)</f>
        <v>0.7555541609</v>
      </c>
    </row>
    <row r="5353">
      <c r="A5353" s="6">
        <v>5351.0</v>
      </c>
      <c r="B5353" s="17">
        <f t="array" ref="B5353">SUM(1-'Sparkling Model'!D$2:D$38^A5353)</f>
        <v>36.72894906</v>
      </c>
      <c r="C5353" s="8">
        <f t="array" ref="C5353">PRODUCT(1-'Sparkling Model'!D$2:D$38^A5353)</f>
        <v>0.7556732253</v>
      </c>
    </row>
    <row r="5354">
      <c r="A5354" s="6">
        <v>5352.0</v>
      </c>
      <c r="B5354" s="17">
        <f t="array" ref="B5354">SUM(1-'Sparkling Model'!D$2:D$38^A5354)</f>
        <v>36.72909723</v>
      </c>
      <c r="C5354" s="8">
        <f t="array" ref="C5354">PRODUCT(1-'Sparkling Model'!D$2:D$38^A5354)</f>
        <v>0.7557922341</v>
      </c>
    </row>
    <row r="5355">
      <c r="A5355" s="6">
        <v>5353.0</v>
      </c>
      <c r="B5355" s="17">
        <f t="array" ref="B5355">SUM(1-'Sparkling Model'!D$2:D$38^A5355)</f>
        <v>36.72924531</v>
      </c>
      <c r="C5355" s="8">
        <f t="array" ref="C5355">PRODUCT(1-'Sparkling Model'!D$2:D$38^A5355)</f>
        <v>0.7559111874</v>
      </c>
    </row>
    <row r="5356">
      <c r="A5356" s="6">
        <v>5354.0</v>
      </c>
      <c r="B5356" s="17">
        <f t="array" ref="B5356">SUM(1-'Sparkling Model'!D$2:D$38^A5356)</f>
        <v>36.7293933</v>
      </c>
      <c r="C5356" s="8">
        <f t="array" ref="C5356">PRODUCT(1-'Sparkling Model'!D$2:D$38^A5356)</f>
        <v>0.7560300852</v>
      </c>
    </row>
    <row r="5357">
      <c r="A5357" s="6">
        <v>5355.0</v>
      </c>
      <c r="B5357" s="17">
        <f t="array" ref="B5357">SUM(1-'Sparkling Model'!D$2:D$38^A5357)</f>
        <v>36.72954121</v>
      </c>
      <c r="C5357" s="8">
        <f t="array" ref="C5357">PRODUCT(1-'Sparkling Model'!D$2:D$38^A5357)</f>
        <v>0.7561489275</v>
      </c>
    </row>
    <row r="5358">
      <c r="A5358" s="6">
        <v>5356.0</v>
      </c>
      <c r="B5358" s="17">
        <f t="array" ref="B5358">SUM(1-'Sparkling Model'!D$2:D$38^A5358)</f>
        <v>36.72968902</v>
      </c>
      <c r="C5358" s="8">
        <f t="array" ref="C5358">PRODUCT(1-'Sparkling Model'!D$2:D$38^A5358)</f>
        <v>0.7562677143</v>
      </c>
    </row>
    <row r="5359">
      <c r="A5359" s="6">
        <v>5357.0</v>
      </c>
      <c r="B5359" s="17">
        <f t="array" ref="B5359">SUM(1-'Sparkling Model'!D$2:D$38^A5359)</f>
        <v>36.72983675</v>
      </c>
      <c r="C5359" s="8">
        <f t="array" ref="C5359">PRODUCT(1-'Sparkling Model'!D$2:D$38^A5359)</f>
        <v>0.7563864457</v>
      </c>
    </row>
    <row r="5360">
      <c r="A5360" s="6">
        <v>5358.0</v>
      </c>
      <c r="B5360" s="17">
        <f t="array" ref="B5360">SUM(1-'Sparkling Model'!D$2:D$38^A5360)</f>
        <v>36.72998439</v>
      </c>
      <c r="C5360" s="8">
        <f t="array" ref="C5360">PRODUCT(1-'Sparkling Model'!D$2:D$38^A5360)</f>
        <v>0.7565051217</v>
      </c>
    </row>
    <row r="5361">
      <c r="A5361" s="6">
        <v>5359.0</v>
      </c>
      <c r="B5361" s="17">
        <f t="array" ref="B5361">SUM(1-'Sparkling Model'!D$2:D$38^A5361)</f>
        <v>36.73013194</v>
      </c>
      <c r="C5361" s="8">
        <f t="array" ref="C5361">PRODUCT(1-'Sparkling Model'!D$2:D$38^A5361)</f>
        <v>0.7566237424</v>
      </c>
    </row>
    <row r="5362">
      <c r="A5362" s="6">
        <v>5360.0</v>
      </c>
      <c r="B5362" s="17">
        <f t="array" ref="B5362">SUM(1-'Sparkling Model'!D$2:D$38^A5362)</f>
        <v>36.7302794</v>
      </c>
      <c r="C5362" s="8">
        <f t="array" ref="C5362">PRODUCT(1-'Sparkling Model'!D$2:D$38^A5362)</f>
        <v>0.7567423076</v>
      </c>
    </row>
    <row r="5363">
      <c r="A5363" s="6">
        <v>5361.0</v>
      </c>
      <c r="B5363" s="17">
        <f t="array" ref="B5363">SUM(1-'Sparkling Model'!D$2:D$38^A5363)</f>
        <v>36.73042677</v>
      </c>
      <c r="C5363" s="8">
        <f t="array" ref="C5363">PRODUCT(1-'Sparkling Model'!D$2:D$38^A5363)</f>
        <v>0.7568608175</v>
      </c>
    </row>
    <row r="5364">
      <c r="A5364" s="6">
        <v>5362.0</v>
      </c>
      <c r="B5364" s="17">
        <f t="array" ref="B5364">SUM(1-'Sparkling Model'!D$2:D$38^A5364)</f>
        <v>36.73057406</v>
      </c>
      <c r="C5364" s="8">
        <f t="array" ref="C5364">PRODUCT(1-'Sparkling Model'!D$2:D$38^A5364)</f>
        <v>0.7569792721</v>
      </c>
    </row>
    <row r="5365">
      <c r="A5365" s="6">
        <v>5363.0</v>
      </c>
      <c r="B5365" s="17">
        <f t="array" ref="B5365">SUM(1-'Sparkling Model'!D$2:D$38^A5365)</f>
        <v>36.73072126</v>
      </c>
      <c r="C5365" s="8">
        <f t="array" ref="C5365">PRODUCT(1-'Sparkling Model'!D$2:D$38^A5365)</f>
        <v>0.7570976713</v>
      </c>
    </row>
    <row r="5366">
      <c r="A5366" s="6">
        <v>5364.0</v>
      </c>
      <c r="B5366" s="17">
        <f t="array" ref="B5366">SUM(1-'Sparkling Model'!D$2:D$38^A5366)</f>
        <v>36.73086837</v>
      </c>
      <c r="C5366" s="8">
        <f t="array" ref="C5366">PRODUCT(1-'Sparkling Model'!D$2:D$38^A5366)</f>
        <v>0.7572160153</v>
      </c>
    </row>
    <row r="5367">
      <c r="A5367" s="6">
        <v>5365.0</v>
      </c>
      <c r="B5367" s="17">
        <f t="array" ref="B5367">SUM(1-'Sparkling Model'!D$2:D$38^A5367)</f>
        <v>36.73101539</v>
      </c>
      <c r="C5367" s="8">
        <f t="array" ref="C5367">PRODUCT(1-'Sparkling Model'!D$2:D$38^A5367)</f>
        <v>0.7573343041</v>
      </c>
    </row>
    <row r="5368">
      <c r="A5368" s="6">
        <v>5366.0</v>
      </c>
      <c r="B5368" s="17">
        <f t="array" ref="B5368">SUM(1-'Sparkling Model'!D$2:D$38^A5368)</f>
        <v>36.73116232</v>
      </c>
      <c r="C5368" s="8">
        <f t="array" ref="C5368">PRODUCT(1-'Sparkling Model'!D$2:D$38^A5368)</f>
        <v>0.7574525376</v>
      </c>
    </row>
    <row r="5369">
      <c r="A5369" s="6">
        <v>5367.0</v>
      </c>
      <c r="B5369" s="17">
        <f t="array" ref="B5369">SUM(1-'Sparkling Model'!D$2:D$38^A5369)</f>
        <v>36.73130917</v>
      </c>
      <c r="C5369" s="8">
        <f t="array" ref="C5369">PRODUCT(1-'Sparkling Model'!D$2:D$38^A5369)</f>
        <v>0.7575707158</v>
      </c>
    </row>
    <row r="5370">
      <c r="A5370" s="6">
        <v>5368.0</v>
      </c>
      <c r="B5370" s="17">
        <f t="array" ref="B5370">SUM(1-'Sparkling Model'!D$2:D$38^A5370)</f>
        <v>36.73145593</v>
      </c>
      <c r="C5370" s="8">
        <f t="array" ref="C5370">PRODUCT(1-'Sparkling Model'!D$2:D$38^A5370)</f>
        <v>0.7576888389</v>
      </c>
    </row>
    <row r="5371">
      <c r="A5371" s="6">
        <v>5369.0</v>
      </c>
      <c r="B5371" s="17">
        <f t="array" ref="B5371">SUM(1-'Sparkling Model'!D$2:D$38^A5371)</f>
        <v>36.7316026</v>
      </c>
      <c r="C5371" s="8">
        <f t="array" ref="C5371">PRODUCT(1-'Sparkling Model'!D$2:D$38^A5371)</f>
        <v>0.7578069069</v>
      </c>
    </row>
    <row r="5372">
      <c r="A5372" s="6">
        <v>5370.0</v>
      </c>
      <c r="B5372" s="17">
        <f t="array" ref="B5372">SUM(1-'Sparkling Model'!D$2:D$38^A5372)</f>
        <v>36.73174919</v>
      </c>
      <c r="C5372" s="8">
        <f t="array" ref="C5372">PRODUCT(1-'Sparkling Model'!D$2:D$38^A5372)</f>
        <v>0.7579249197</v>
      </c>
    </row>
    <row r="5373">
      <c r="A5373" s="6">
        <v>5371.0</v>
      </c>
      <c r="B5373" s="17">
        <f t="array" ref="B5373">SUM(1-'Sparkling Model'!D$2:D$38^A5373)</f>
        <v>36.73189568</v>
      </c>
      <c r="C5373" s="8">
        <f t="array" ref="C5373">PRODUCT(1-'Sparkling Model'!D$2:D$38^A5373)</f>
        <v>0.7580428773</v>
      </c>
    </row>
    <row r="5374">
      <c r="A5374" s="6">
        <v>5372.0</v>
      </c>
      <c r="B5374" s="17">
        <f t="array" ref="B5374">SUM(1-'Sparkling Model'!D$2:D$38^A5374)</f>
        <v>36.73204209</v>
      </c>
      <c r="C5374" s="8">
        <f t="array" ref="C5374">PRODUCT(1-'Sparkling Model'!D$2:D$38^A5374)</f>
        <v>0.7581607799</v>
      </c>
    </row>
    <row r="5375">
      <c r="A5375" s="6">
        <v>5373.0</v>
      </c>
      <c r="B5375" s="17">
        <f t="array" ref="B5375">SUM(1-'Sparkling Model'!D$2:D$38^A5375)</f>
        <v>36.73218842</v>
      </c>
      <c r="C5375" s="8">
        <f t="array" ref="C5375">PRODUCT(1-'Sparkling Model'!D$2:D$38^A5375)</f>
        <v>0.7582786274</v>
      </c>
    </row>
    <row r="5376">
      <c r="A5376" s="6">
        <v>5374.0</v>
      </c>
      <c r="B5376" s="17">
        <f t="array" ref="B5376">SUM(1-'Sparkling Model'!D$2:D$38^A5376)</f>
        <v>36.73233465</v>
      </c>
      <c r="C5376" s="8">
        <f t="array" ref="C5376">PRODUCT(1-'Sparkling Model'!D$2:D$38^A5376)</f>
        <v>0.7583964198</v>
      </c>
    </row>
    <row r="5377">
      <c r="A5377" s="6">
        <v>5375.0</v>
      </c>
      <c r="B5377" s="17">
        <f t="array" ref="B5377">SUM(1-'Sparkling Model'!D$2:D$38^A5377)</f>
        <v>36.7324808</v>
      </c>
      <c r="C5377" s="8">
        <f t="array" ref="C5377">PRODUCT(1-'Sparkling Model'!D$2:D$38^A5377)</f>
        <v>0.7585141572</v>
      </c>
    </row>
    <row r="5378">
      <c r="A5378" s="6">
        <v>5376.0</v>
      </c>
      <c r="B5378" s="17">
        <f t="array" ref="B5378">SUM(1-'Sparkling Model'!D$2:D$38^A5378)</f>
        <v>36.73262686</v>
      </c>
      <c r="C5378" s="8">
        <f t="array" ref="C5378">PRODUCT(1-'Sparkling Model'!D$2:D$38^A5378)</f>
        <v>0.7586318395</v>
      </c>
    </row>
    <row r="5379">
      <c r="A5379" s="6">
        <v>5377.0</v>
      </c>
      <c r="B5379" s="17">
        <f t="array" ref="B5379">SUM(1-'Sparkling Model'!D$2:D$38^A5379)</f>
        <v>36.73277283</v>
      </c>
      <c r="C5379" s="8">
        <f t="array" ref="C5379">PRODUCT(1-'Sparkling Model'!D$2:D$38^A5379)</f>
        <v>0.7587494669</v>
      </c>
    </row>
    <row r="5380">
      <c r="A5380" s="6">
        <v>5378.0</v>
      </c>
      <c r="B5380" s="17">
        <f t="array" ref="B5380">SUM(1-'Sparkling Model'!D$2:D$38^A5380)</f>
        <v>36.73291872</v>
      </c>
      <c r="C5380" s="8">
        <f t="array" ref="C5380">PRODUCT(1-'Sparkling Model'!D$2:D$38^A5380)</f>
        <v>0.7588670393</v>
      </c>
    </row>
    <row r="5381">
      <c r="A5381" s="6">
        <v>5379.0</v>
      </c>
      <c r="B5381" s="17">
        <f t="array" ref="B5381">SUM(1-'Sparkling Model'!D$2:D$38^A5381)</f>
        <v>36.73306452</v>
      </c>
      <c r="C5381" s="8">
        <f t="array" ref="C5381">PRODUCT(1-'Sparkling Model'!D$2:D$38^A5381)</f>
        <v>0.7589845568</v>
      </c>
    </row>
    <row r="5382">
      <c r="A5382" s="6">
        <v>5380.0</v>
      </c>
      <c r="B5382" s="17">
        <f t="array" ref="B5382">SUM(1-'Sparkling Model'!D$2:D$38^A5382)</f>
        <v>36.73321023</v>
      </c>
      <c r="C5382" s="8">
        <f t="array" ref="C5382">PRODUCT(1-'Sparkling Model'!D$2:D$38^A5382)</f>
        <v>0.7591020194</v>
      </c>
    </row>
    <row r="5383">
      <c r="A5383" s="6">
        <v>5381.0</v>
      </c>
      <c r="B5383" s="17">
        <f t="array" ref="B5383">SUM(1-'Sparkling Model'!D$2:D$38^A5383)</f>
        <v>36.73335586</v>
      </c>
      <c r="C5383" s="8">
        <f t="array" ref="C5383">PRODUCT(1-'Sparkling Model'!D$2:D$38^A5383)</f>
        <v>0.759219427</v>
      </c>
    </row>
    <row r="5384">
      <c r="A5384" s="6">
        <v>5382.0</v>
      </c>
      <c r="B5384" s="17">
        <f t="array" ref="B5384">SUM(1-'Sparkling Model'!D$2:D$38^A5384)</f>
        <v>36.7335014</v>
      </c>
      <c r="C5384" s="8">
        <f t="array" ref="C5384">PRODUCT(1-'Sparkling Model'!D$2:D$38^A5384)</f>
        <v>0.7593367798</v>
      </c>
    </row>
    <row r="5385">
      <c r="A5385" s="6">
        <v>5383.0</v>
      </c>
      <c r="B5385" s="17">
        <f t="array" ref="B5385">SUM(1-'Sparkling Model'!D$2:D$38^A5385)</f>
        <v>36.73364685</v>
      </c>
      <c r="C5385" s="8">
        <f t="array" ref="C5385">PRODUCT(1-'Sparkling Model'!D$2:D$38^A5385)</f>
        <v>0.7594540777</v>
      </c>
    </row>
    <row r="5386">
      <c r="A5386" s="6">
        <v>5384.0</v>
      </c>
      <c r="B5386" s="17">
        <f t="array" ref="B5386">SUM(1-'Sparkling Model'!D$2:D$38^A5386)</f>
        <v>36.73379222</v>
      </c>
      <c r="C5386" s="8">
        <f t="array" ref="C5386">PRODUCT(1-'Sparkling Model'!D$2:D$38^A5386)</f>
        <v>0.7595713208</v>
      </c>
    </row>
    <row r="5387">
      <c r="A5387" s="6">
        <v>5385.0</v>
      </c>
      <c r="B5387" s="17">
        <f t="array" ref="B5387">SUM(1-'Sparkling Model'!D$2:D$38^A5387)</f>
        <v>36.7339375</v>
      </c>
      <c r="C5387" s="8">
        <f t="array" ref="C5387">PRODUCT(1-'Sparkling Model'!D$2:D$38^A5387)</f>
        <v>0.759688509</v>
      </c>
    </row>
    <row r="5388">
      <c r="A5388" s="6">
        <v>5386.0</v>
      </c>
      <c r="B5388" s="17">
        <f t="array" ref="B5388">SUM(1-'Sparkling Model'!D$2:D$38^A5388)</f>
        <v>36.73408269</v>
      </c>
      <c r="C5388" s="8">
        <f t="array" ref="C5388">PRODUCT(1-'Sparkling Model'!D$2:D$38^A5388)</f>
        <v>0.7598056425</v>
      </c>
    </row>
    <row r="5389">
      <c r="A5389" s="6">
        <v>5387.0</v>
      </c>
      <c r="B5389" s="17">
        <f t="array" ref="B5389">SUM(1-'Sparkling Model'!D$2:D$38^A5389)</f>
        <v>36.73422779</v>
      </c>
      <c r="C5389" s="8">
        <f t="array" ref="C5389">PRODUCT(1-'Sparkling Model'!D$2:D$38^A5389)</f>
        <v>0.7599227212</v>
      </c>
    </row>
    <row r="5390">
      <c r="A5390" s="6">
        <v>5388.0</v>
      </c>
      <c r="B5390" s="17">
        <f t="array" ref="B5390">SUM(1-'Sparkling Model'!D$2:D$38^A5390)</f>
        <v>36.73437281</v>
      </c>
      <c r="C5390" s="8">
        <f t="array" ref="C5390">PRODUCT(1-'Sparkling Model'!D$2:D$38^A5390)</f>
        <v>0.7600397452</v>
      </c>
    </row>
    <row r="5391">
      <c r="A5391" s="6">
        <v>5389.0</v>
      </c>
      <c r="B5391" s="17">
        <f t="array" ref="B5391">SUM(1-'Sparkling Model'!D$2:D$38^A5391)</f>
        <v>36.73451775</v>
      </c>
      <c r="C5391" s="8">
        <f t="array" ref="C5391">PRODUCT(1-'Sparkling Model'!D$2:D$38^A5391)</f>
        <v>0.7601567144</v>
      </c>
    </row>
    <row r="5392">
      <c r="A5392" s="6">
        <v>5390.0</v>
      </c>
      <c r="B5392" s="17">
        <f t="array" ref="B5392">SUM(1-'Sparkling Model'!D$2:D$38^A5392)</f>
        <v>36.7346626</v>
      </c>
      <c r="C5392" s="8">
        <f t="array" ref="C5392">PRODUCT(1-'Sparkling Model'!D$2:D$38^A5392)</f>
        <v>0.760273629</v>
      </c>
    </row>
    <row r="5393">
      <c r="A5393" s="6">
        <v>5391.0</v>
      </c>
      <c r="B5393" s="17">
        <f t="array" ref="B5393">SUM(1-'Sparkling Model'!D$2:D$38^A5393)</f>
        <v>36.73480736</v>
      </c>
      <c r="C5393" s="8">
        <f t="array" ref="C5393">PRODUCT(1-'Sparkling Model'!D$2:D$38^A5393)</f>
        <v>0.7603904888</v>
      </c>
    </row>
    <row r="5394">
      <c r="A5394" s="6">
        <v>5392.0</v>
      </c>
      <c r="B5394" s="17">
        <f t="array" ref="B5394">SUM(1-'Sparkling Model'!D$2:D$38^A5394)</f>
        <v>36.73495203</v>
      </c>
      <c r="C5394" s="8">
        <f t="array" ref="C5394">PRODUCT(1-'Sparkling Model'!D$2:D$38^A5394)</f>
        <v>0.760507294</v>
      </c>
    </row>
    <row r="5395">
      <c r="A5395" s="6">
        <v>5393.0</v>
      </c>
      <c r="B5395" s="17">
        <f t="array" ref="B5395">SUM(1-'Sparkling Model'!D$2:D$38^A5395)</f>
        <v>36.73509662</v>
      </c>
      <c r="C5395" s="8">
        <f t="array" ref="C5395">PRODUCT(1-'Sparkling Model'!D$2:D$38^A5395)</f>
        <v>0.7606240446</v>
      </c>
    </row>
    <row r="5396">
      <c r="A5396" s="6">
        <v>5394.0</v>
      </c>
      <c r="B5396" s="17">
        <f t="array" ref="B5396">SUM(1-'Sparkling Model'!D$2:D$38^A5396)</f>
        <v>36.73524112</v>
      </c>
      <c r="C5396" s="8">
        <f t="array" ref="C5396">PRODUCT(1-'Sparkling Model'!D$2:D$38^A5396)</f>
        <v>0.7607407406</v>
      </c>
    </row>
    <row r="5397">
      <c r="A5397" s="6">
        <v>5395.0</v>
      </c>
      <c r="B5397" s="17">
        <f t="array" ref="B5397">SUM(1-'Sparkling Model'!D$2:D$38^A5397)</f>
        <v>36.73538554</v>
      </c>
      <c r="C5397" s="8">
        <f t="array" ref="C5397">PRODUCT(1-'Sparkling Model'!D$2:D$38^A5397)</f>
        <v>0.7608573819</v>
      </c>
    </row>
    <row r="5398">
      <c r="A5398" s="6">
        <v>5396.0</v>
      </c>
      <c r="B5398" s="17">
        <f t="array" ref="B5398">SUM(1-'Sparkling Model'!D$2:D$38^A5398)</f>
        <v>36.73552987</v>
      </c>
      <c r="C5398" s="8">
        <f t="array" ref="C5398">PRODUCT(1-'Sparkling Model'!D$2:D$38^A5398)</f>
        <v>0.7609739687</v>
      </c>
    </row>
    <row r="5399">
      <c r="A5399" s="6">
        <v>5397.0</v>
      </c>
      <c r="B5399" s="17">
        <f t="array" ref="B5399">SUM(1-'Sparkling Model'!D$2:D$38^A5399)</f>
        <v>36.73567411</v>
      </c>
      <c r="C5399" s="8">
        <f t="array" ref="C5399">PRODUCT(1-'Sparkling Model'!D$2:D$38^A5399)</f>
        <v>0.761090501</v>
      </c>
    </row>
    <row r="5400">
      <c r="A5400" s="6">
        <v>5398.0</v>
      </c>
      <c r="B5400" s="17">
        <f t="array" ref="B5400">SUM(1-'Sparkling Model'!D$2:D$38^A5400)</f>
        <v>36.73581827</v>
      </c>
      <c r="C5400" s="8">
        <f t="array" ref="C5400">PRODUCT(1-'Sparkling Model'!D$2:D$38^A5400)</f>
        <v>0.7612069787</v>
      </c>
    </row>
    <row r="5401">
      <c r="A5401" s="6">
        <v>5399.0</v>
      </c>
      <c r="B5401" s="17">
        <f t="array" ref="B5401">SUM(1-'Sparkling Model'!D$2:D$38^A5401)</f>
        <v>36.73596235</v>
      </c>
      <c r="C5401" s="8">
        <f t="array" ref="C5401">PRODUCT(1-'Sparkling Model'!D$2:D$38^A5401)</f>
        <v>0.7613234019</v>
      </c>
    </row>
    <row r="5402">
      <c r="A5402" s="6">
        <v>5400.0</v>
      </c>
      <c r="B5402" s="17">
        <f t="array" ref="B5402">SUM(1-'Sparkling Model'!D$2:D$38^A5402)</f>
        <v>36.73610633</v>
      </c>
      <c r="C5402" s="8">
        <f t="array" ref="C5402">PRODUCT(1-'Sparkling Model'!D$2:D$38^A5402)</f>
        <v>0.7614397707</v>
      </c>
    </row>
    <row r="5403">
      <c r="A5403" s="6">
        <v>5401.0</v>
      </c>
      <c r="B5403" s="17">
        <f t="array" ref="B5403">SUM(1-'Sparkling Model'!D$2:D$38^A5403)</f>
        <v>36.73625024</v>
      </c>
      <c r="C5403" s="8">
        <f t="array" ref="C5403">PRODUCT(1-'Sparkling Model'!D$2:D$38^A5403)</f>
        <v>0.761556085</v>
      </c>
    </row>
    <row r="5404">
      <c r="A5404" s="6">
        <v>5402.0</v>
      </c>
      <c r="B5404" s="17">
        <f t="array" ref="B5404">SUM(1-'Sparkling Model'!D$2:D$38^A5404)</f>
        <v>36.73639405</v>
      </c>
      <c r="C5404" s="8">
        <f t="array" ref="C5404">PRODUCT(1-'Sparkling Model'!D$2:D$38^A5404)</f>
        <v>0.7616723448</v>
      </c>
    </row>
    <row r="5405">
      <c r="A5405" s="6">
        <v>5403.0</v>
      </c>
      <c r="B5405" s="17">
        <f t="array" ref="B5405">SUM(1-'Sparkling Model'!D$2:D$38^A5405)</f>
        <v>36.73653778</v>
      </c>
      <c r="C5405" s="8">
        <f t="array" ref="C5405">PRODUCT(1-'Sparkling Model'!D$2:D$38^A5405)</f>
        <v>0.7617885503</v>
      </c>
    </row>
    <row r="5406">
      <c r="A5406" s="6">
        <v>5404.0</v>
      </c>
      <c r="B5406" s="17">
        <f t="array" ref="B5406">SUM(1-'Sparkling Model'!D$2:D$38^A5406)</f>
        <v>36.73668143</v>
      </c>
      <c r="C5406" s="8">
        <f t="array" ref="C5406">PRODUCT(1-'Sparkling Model'!D$2:D$38^A5406)</f>
        <v>0.7619047013</v>
      </c>
    </row>
    <row r="5407">
      <c r="A5407" s="6">
        <v>5405.0</v>
      </c>
      <c r="B5407" s="17">
        <f t="array" ref="B5407">SUM(1-'Sparkling Model'!D$2:D$38^A5407)</f>
        <v>36.73682499</v>
      </c>
      <c r="C5407" s="8">
        <f t="array" ref="C5407">PRODUCT(1-'Sparkling Model'!D$2:D$38^A5407)</f>
        <v>0.762020798</v>
      </c>
    </row>
    <row r="5408">
      <c r="A5408" s="6">
        <v>5406.0</v>
      </c>
      <c r="B5408" s="17">
        <f t="array" ref="B5408">SUM(1-'Sparkling Model'!D$2:D$38^A5408)</f>
        <v>36.73696846</v>
      </c>
      <c r="C5408" s="8">
        <f t="array" ref="C5408">PRODUCT(1-'Sparkling Model'!D$2:D$38^A5408)</f>
        <v>0.7621368403</v>
      </c>
    </row>
    <row r="5409">
      <c r="A5409" s="6">
        <v>5407.0</v>
      </c>
      <c r="B5409" s="17">
        <f t="array" ref="B5409">SUM(1-'Sparkling Model'!D$2:D$38^A5409)</f>
        <v>36.73711185</v>
      </c>
      <c r="C5409" s="8">
        <f t="array" ref="C5409">PRODUCT(1-'Sparkling Model'!D$2:D$38^A5409)</f>
        <v>0.7622528284</v>
      </c>
    </row>
    <row r="5410">
      <c r="A5410" s="6">
        <v>5408.0</v>
      </c>
      <c r="B5410" s="17">
        <f t="array" ref="B5410">SUM(1-'Sparkling Model'!D$2:D$38^A5410)</f>
        <v>36.73725516</v>
      </c>
      <c r="C5410" s="8">
        <f t="array" ref="C5410">PRODUCT(1-'Sparkling Model'!D$2:D$38^A5410)</f>
        <v>0.7623687621</v>
      </c>
    </row>
    <row r="5411">
      <c r="A5411" s="6">
        <v>5409.0</v>
      </c>
      <c r="B5411" s="17">
        <f t="array" ref="B5411">SUM(1-'Sparkling Model'!D$2:D$38^A5411)</f>
        <v>36.73739838</v>
      </c>
      <c r="C5411" s="8">
        <f t="array" ref="C5411">PRODUCT(1-'Sparkling Model'!D$2:D$38^A5411)</f>
        <v>0.7624846415</v>
      </c>
    </row>
    <row r="5412">
      <c r="A5412" s="6">
        <v>5410.0</v>
      </c>
      <c r="B5412" s="17">
        <f t="array" ref="B5412">SUM(1-'Sparkling Model'!D$2:D$38^A5412)</f>
        <v>36.73754151</v>
      </c>
      <c r="C5412" s="8">
        <f t="array" ref="C5412">PRODUCT(1-'Sparkling Model'!D$2:D$38^A5412)</f>
        <v>0.7626004667</v>
      </c>
    </row>
    <row r="5413">
      <c r="A5413" s="6">
        <v>5411.0</v>
      </c>
      <c r="B5413" s="17">
        <f t="array" ref="B5413">SUM(1-'Sparkling Model'!D$2:D$38^A5413)</f>
        <v>36.73768456</v>
      </c>
      <c r="C5413" s="8">
        <f t="array" ref="C5413">PRODUCT(1-'Sparkling Model'!D$2:D$38^A5413)</f>
        <v>0.7627162376</v>
      </c>
    </row>
    <row r="5414">
      <c r="A5414" s="6">
        <v>5412.0</v>
      </c>
      <c r="B5414" s="17">
        <f t="array" ref="B5414">SUM(1-'Sparkling Model'!D$2:D$38^A5414)</f>
        <v>36.73782752</v>
      </c>
      <c r="C5414" s="8">
        <f t="array" ref="C5414">PRODUCT(1-'Sparkling Model'!D$2:D$38^A5414)</f>
        <v>0.7628319543</v>
      </c>
    </row>
    <row r="5415">
      <c r="A5415" s="6">
        <v>5413.0</v>
      </c>
      <c r="B5415" s="17">
        <f t="array" ref="B5415">SUM(1-'Sparkling Model'!D$2:D$38^A5415)</f>
        <v>36.7379704</v>
      </c>
      <c r="C5415" s="8">
        <f t="array" ref="C5415">PRODUCT(1-'Sparkling Model'!D$2:D$38^A5415)</f>
        <v>0.7629476169</v>
      </c>
    </row>
    <row r="5416">
      <c r="A5416" s="6">
        <v>5414.0</v>
      </c>
      <c r="B5416" s="17">
        <f t="array" ref="B5416">SUM(1-'Sparkling Model'!D$2:D$38^A5416)</f>
        <v>36.73811319</v>
      </c>
      <c r="C5416" s="8">
        <f t="array" ref="C5416">PRODUCT(1-'Sparkling Model'!D$2:D$38^A5416)</f>
        <v>0.7630632252</v>
      </c>
    </row>
    <row r="5417">
      <c r="A5417" s="6">
        <v>5415.0</v>
      </c>
      <c r="B5417" s="17">
        <f t="array" ref="B5417">SUM(1-'Sparkling Model'!D$2:D$38^A5417)</f>
        <v>36.7382559</v>
      </c>
      <c r="C5417" s="8">
        <f t="array" ref="C5417">PRODUCT(1-'Sparkling Model'!D$2:D$38^A5417)</f>
        <v>0.7631787794</v>
      </c>
    </row>
    <row r="5418">
      <c r="A5418" s="6">
        <v>5416.0</v>
      </c>
      <c r="B5418" s="17">
        <f t="array" ref="B5418">SUM(1-'Sparkling Model'!D$2:D$38^A5418)</f>
        <v>36.73839853</v>
      </c>
      <c r="C5418" s="8">
        <f t="array" ref="C5418">PRODUCT(1-'Sparkling Model'!D$2:D$38^A5418)</f>
        <v>0.7632942795</v>
      </c>
    </row>
    <row r="5419">
      <c r="A5419" s="6">
        <v>5417.0</v>
      </c>
      <c r="B5419" s="17">
        <f t="array" ref="B5419">SUM(1-'Sparkling Model'!D$2:D$38^A5419)</f>
        <v>36.73854107</v>
      </c>
      <c r="C5419" s="8">
        <f t="array" ref="C5419">PRODUCT(1-'Sparkling Model'!D$2:D$38^A5419)</f>
        <v>0.7634097255</v>
      </c>
    </row>
    <row r="5420">
      <c r="A5420" s="6">
        <v>5418.0</v>
      </c>
      <c r="B5420" s="17">
        <f t="array" ref="B5420">SUM(1-'Sparkling Model'!D$2:D$38^A5420)</f>
        <v>36.73868352</v>
      </c>
      <c r="C5420" s="8">
        <f t="array" ref="C5420">PRODUCT(1-'Sparkling Model'!D$2:D$38^A5420)</f>
        <v>0.7635251174</v>
      </c>
    </row>
    <row r="5421">
      <c r="A5421" s="6">
        <v>5419.0</v>
      </c>
      <c r="B5421" s="17">
        <f t="array" ref="B5421">SUM(1-'Sparkling Model'!D$2:D$38^A5421)</f>
        <v>36.73882589</v>
      </c>
      <c r="C5421" s="8">
        <f t="array" ref="C5421">PRODUCT(1-'Sparkling Model'!D$2:D$38^A5421)</f>
        <v>0.7636404553</v>
      </c>
    </row>
    <row r="5422">
      <c r="A5422" s="6">
        <v>5420.0</v>
      </c>
      <c r="B5422" s="17">
        <f t="array" ref="B5422">SUM(1-'Sparkling Model'!D$2:D$38^A5422)</f>
        <v>36.73896818</v>
      </c>
      <c r="C5422" s="8">
        <f t="array" ref="C5422">PRODUCT(1-'Sparkling Model'!D$2:D$38^A5422)</f>
        <v>0.7637557391</v>
      </c>
    </row>
    <row r="5423">
      <c r="A5423" s="6">
        <v>5421.0</v>
      </c>
      <c r="B5423" s="17">
        <f t="array" ref="B5423">SUM(1-'Sparkling Model'!D$2:D$38^A5423)</f>
        <v>36.73911038</v>
      </c>
      <c r="C5423" s="8">
        <f t="array" ref="C5423">PRODUCT(1-'Sparkling Model'!D$2:D$38^A5423)</f>
        <v>0.7638709689</v>
      </c>
    </row>
    <row r="5424">
      <c r="A5424" s="6">
        <v>5422.0</v>
      </c>
      <c r="B5424" s="17">
        <f t="array" ref="B5424">SUM(1-'Sparkling Model'!D$2:D$38^A5424)</f>
        <v>36.7392525</v>
      </c>
      <c r="C5424" s="8">
        <f t="array" ref="C5424">PRODUCT(1-'Sparkling Model'!D$2:D$38^A5424)</f>
        <v>0.7639861447</v>
      </c>
    </row>
    <row r="5425">
      <c r="A5425" s="6">
        <v>5423.0</v>
      </c>
      <c r="B5425" s="17">
        <f t="array" ref="B5425">SUM(1-'Sparkling Model'!D$2:D$38^A5425)</f>
        <v>36.73939453</v>
      </c>
      <c r="C5425" s="8">
        <f t="array" ref="C5425">PRODUCT(1-'Sparkling Model'!D$2:D$38^A5425)</f>
        <v>0.7641012665</v>
      </c>
    </row>
    <row r="5426">
      <c r="A5426" s="6">
        <v>5424.0</v>
      </c>
      <c r="B5426" s="17">
        <f t="array" ref="B5426">SUM(1-'Sparkling Model'!D$2:D$38^A5426)</f>
        <v>36.73953648</v>
      </c>
      <c r="C5426" s="8">
        <f t="array" ref="C5426">PRODUCT(1-'Sparkling Model'!D$2:D$38^A5426)</f>
        <v>0.7642163344</v>
      </c>
    </row>
    <row r="5427">
      <c r="A5427" s="6">
        <v>5425.0</v>
      </c>
      <c r="B5427" s="17">
        <f t="array" ref="B5427">SUM(1-'Sparkling Model'!D$2:D$38^A5427)</f>
        <v>36.73967834</v>
      </c>
      <c r="C5427" s="8">
        <f t="array" ref="C5427">PRODUCT(1-'Sparkling Model'!D$2:D$38^A5427)</f>
        <v>0.7643313484</v>
      </c>
    </row>
    <row r="5428">
      <c r="A5428" s="6">
        <v>5426.0</v>
      </c>
      <c r="B5428" s="17">
        <f t="array" ref="B5428">SUM(1-'Sparkling Model'!D$2:D$38^A5428)</f>
        <v>36.73982012</v>
      </c>
      <c r="C5428" s="8">
        <f t="array" ref="C5428">PRODUCT(1-'Sparkling Model'!D$2:D$38^A5428)</f>
        <v>0.7644463084</v>
      </c>
    </row>
    <row r="5429">
      <c r="A5429" s="6">
        <v>5427.0</v>
      </c>
      <c r="B5429" s="17">
        <f t="array" ref="B5429">SUM(1-'Sparkling Model'!D$2:D$38^A5429)</f>
        <v>36.73996182</v>
      </c>
      <c r="C5429" s="8">
        <f t="array" ref="C5429">PRODUCT(1-'Sparkling Model'!D$2:D$38^A5429)</f>
        <v>0.7645612146</v>
      </c>
    </row>
    <row r="5430">
      <c r="A5430" s="6">
        <v>5428.0</v>
      </c>
      <c r="B5430" s="17">
        <f t="array" ref="B5430">SUM(1-'Sparkling Model'!D$2:D$38^A5430)</f>
        <v>36.74010343</v>
      </c>
      <c r="C5430" s="8">
        <f t="array" ref="C5430">PRODUCT(1-'Sparkling Model'!D$2:D$38^A5430)</f>
        <v>0.7646760669</v>
      </c>
    </row>
    <row r="5431">
      <c r="A5431" s="6">
        <v>5429.0</v>
      </c>
      <c r="B5431" s="17">
        <f t="array" ref="B5431">SUM(1-'Sparkling Model'!D$2:D$38^A5431)</f>
        <v>36.74024496</v>
      </c>
      <c r="C5431" s="8">
        <f t="array" ref="C5431">PRODUCT(1-'Sparkling Model'!D$2:D$38^A5431)</f>
        <v>0.7647908654</v>
      </c>
    </row>
    <row r="5432">
      <c r="A5432" s="6">
        <v>5430.0</v>
      </c>
      <c r="B5432" s="17">
        <f t="array" ref="B5432">SUM(1-'Sparkling Model'!D$2:D$38^A5432)</f>
        <v>36.7403864</v>
      </c>
      <c r="C5432" s="8">
        <f t="array" ref="C5432">PRODUCT(1-'Sparkling Model'!D$2:D$38^A5432)</f>
        <v>0.76490561</v>
      </c>
    </row>
    <row r="5433">
      <c r="A5433" s="6">
        <v>5431.0</v>
      </c>
      <c r="B5433" s="17">
        <f t="array" ref="B5433">SUM(1-'Sparkling Model'!D$2:D$38^A5433)</f>
        <v>36.74052776</v>
      </c>
      <c r="C5433" s="8">
        <f t="array" ref="C5433">PRODUCT(1-'Sparkling Model'!D$2:D$38^A5433)</f>
        <v>0.7650203009</v>
      </c>
    </row>
    <row r="5434">
      <c r="A5434" s="6">
        <v>5432.0</v>
      </c>
      <c r="B5434" s="17">
        <f t="array" ref="B5434">SUM(1-'Sparkling Model'!D$2:D$38^A5434)</f>
        <v>36.74066904</v>
      </c>
      <c r="C5434" s="8">
        <f t="array" ref="C5434">PRODUCT(1-'Sparkling Model'!D$2:D$38^A5434)</f>
        <v>0.765134938</v>
      </c>
    </row>
    <row r="5435">
      <c r="A5435" s="6">
        <v>5433.0</v>
      </c>
      <c r="B5435" s="17">
        <f t="array" ref="B5435">SUM(1-'Sparkling Model'!D$2:D$38^A5435)</f>
        <v>36.74081023</v>
      </c>
      <c r="C5435" s="8">
        <f t="array" ref="C5435">PRODUCT(1-'Sparkling Model'!D$2:D$38^A5435)</f>
        <v>0.7652495213</v>
      </c>
    </row>
    <row r="5436">
      <c r="A5436" s="6">
        <v>5434.0</v>
      </c>
      <c r="B5436" s="17">
        <f t="array" ref="B5436">SUM(1-'Sparkling Model'!D$2:D$38^A5436)</f>
        <v>36.74095134</v>
      </c>
      <c r="C5436" s="8">
        <f t="array" ref="C5436">PRODUCT(1-'Sparkling Model'!D$2:D$38^A5436)</f>
        <v>0.7653640509</v>
      </c>
    </row>
    <row r="5437">
      <c r="A5437" s="6">
        <v>5435.0</v>
      </c>
      <c r="B5437" s="17">
        <f t="array" ref="B5437">SUM(1-'Sparkling Model'!D$2:D$38^A5437)</f>
        <v>36.74109236</v>
      </c>
      <c r="C5437" s="8">
        <f t="array" ref="C5437">PRODUCT(1-'Sparkling Model'!D$2:D$38^A5437)</f>
        <v>0.7654785268</v>
      </c>
    </row>
    <row r="5438">
      <c r="A5438" s="6">
        <v>5436.0</v>
      </c>
      <c r="B5438" s="17">
        <f t="array" ref="B5438">SUM(1-'Sparkling Model'!D$2:D$38^A5438)</f>
        <v>36.74123331</v>
      </c>
      <c r="C5438" s="8">
        <f t="array" ref="C5438">PRODUCT(1-'Sparkling Model'!D$2:D$38^A5438)</f>
        <v>0.7655929491</v>
      </c>
    </row>
    <row r="5439">
      <c r="A5439" s="6">
        <v>5437.0</v>
      </c>
      <c r="B5439" s="17">
        <f t="array" ref="B5439">SUM(1-'Sparkling Model'!D$2:D$38^A5439)</f>
        <v>36.74137416</v>
      </c>
      <c r="C5439" s="8">
        <f t="array" ref="C5439">PRODUCT(1-'Sparkling Model'!D$2:D$38^A5439)</f>
        <v>0.7657073176</v>
      </c>
    </row>
    <row r="5440">
      <c r="A5440" s="6">
        <v>5438.0</v>
      </c>
      <c r="B5440" s="17">
        <f t="array" ref="B5440">SUM(1-'Sparkling Model'!D$2:D$38^A5440)</f>
        <v>36.74151494</v>
      </c>
      <c r="C5440" s="8">
        <f t="array" ref="C5440">PRODUCT(1-'Sparkling Model'!D$2:D$38^A5440)</f>
        <v>0.7658216326</v>
      </c>
    </row>
    <row r="5441">
      <c r="A5441" s="6">
        <v>5439.0</v>
      </c>
      <c r="B5441" s="17">
        <f t="array" ref="B5441">SUM(1-'Sparkling Model'!D$2:D$38^A5441)</f>
        <v>36.74165563</v>
      </c>
      <c r="C5441" s="8">
        <f t="array" ref="C5441">PRODUCT(1-'Sparkling Model'!D$2:D$38^A5441)</f>
        <v>0.7659358939</v>
      </c>
    </row>
    <row r="5442">
      <c r="A5442" s="6">
        <v>5440.0</v>
      </c>
      <c r="B5442" s="17">
        <f t="array" ref="B5442">SUM(1-'Sparkling Model'!D$2:D$38^A5442)</f>
        <v>36.74179624</v>
      </c>
      <c r="C5442" s="8">
        <f t="array" ref="C5442">PRODUCT(1-'Sparkling Model'!D$2:D$38^A5442)</f>
        <v>0.7660501016</v>
      </c>
    </row>
    <row r="5443">
      <c r="A5443" s="6">
        <v>5441.0</v>
      </c>
      <c r="B5443" s="17">
        <f t="array" ref="B5443">SUM(1-'Sparkling Model'!D$2:D$38^A5443)</f>
        <v>36.74193676</v>
      </c>
      <c r="C5443" s="8">
        <f t="array" ref="C5443">PRODUCT(1-'Sparkling Model'!D$2:D$38^A5443)</f>
        <v>0.7661642557</v>
      </c>
    </row>
    <row r="5444">
      <c r="A5444" s="6">
        <v>5442.0</v>
      </c>
      <c r="B5444" s="17">
        <f t="array" ref="B5444">SUM(1-'Sparkling Model'!D$2:D$38^A5444)</f>
        <v>36.7420772</v>
      </c>
      <c r="C5444" s="8">
        <f t="array" ref="C5444">PRODUCT(1-'Sparkling Model'!D$2:D$38^A5444)</f>
        <v>0.7662783563</v>
      </c>
    </row>
    <row r="5445">
      <c r="A5445" s="6">
        <v>5443.0</v>
      </c>
      <c r="B5445" s="17">
        <f t="array" ref="B5445">SUM(1-'Sparkling Model'!D$2:D$38^A5445)</f>
        <v>36.74221756</v>
      </c>
      <c r="C5445" s="8">
        <f t="array" ref="C5445">PRODUCT(1-'Sparkling Model'!D$2:D$38^A5445)</f>
        <v>0.7663924033</v>
      </c>
    </row>
    <row r="5446">
      <c r="A5446" s="6">
        <v>5444.0</v>
      </c>
      <c r="B5446" s="17">
        <f t="array" ref="B5446">SUM(1-'Sparkling Model'!D$2:D$38^A5446)</f>
        <v>36.74235783</v>
      </c>
      <c r="C5446" s="8">
        <f t="array" ref="C5446">PRODUCT(1-'Sparkling Model'!D$2:D$38^A5446)</f>
        <v>0.7665063969</v>
      </c>
    </row>
    <row r="5447">
      <c r="A5447" s="6">
        <v>5445.0</v>
      </c>
      <c r="B5447" s="17">
        <f t="array" ref="B5447">SUM(1-'Sparkling Model'!D$2:D$38^A5447)</f>
        <v>36.74249803</v>
      </c>
      <c r="C5447" s="8">
        <f t="array" ref="C5447">PRODUCT(1-'Sparkling Model'!D$2:D$38^A5447)</f>
        <v>0.7666203369</v>
      </c>
    </row>
    <row r="5448">
      <c r="A5448" s="6">
        <v>5446.0</v>
      </c>
      <c r="B5448" s="17">
        <f t="array" ref="B5448">SUM(1-'Sparkling Model'!D$2:D$38^A5448)</f>
        <v>36.74263813</v>
      </c>
      <c r="C5448" s="8">
        <f t="array" ref="C5448">PRODUCT(1-'Sparkling Model'!D$2:D$38^A5448)</f>
        <v>0.7667342235</v>
      </c>
    </row>
    <row r="5449">
      <c r="A5449" s="6">
        <v>5447.0</v>
      </c>
      <c r="B5449" s="17">
        <f t="array" ref="B5449">SUM(1-'Sparkling Model'!D$2:D$38^A5449)</f>
        <v>36.74277816</v>
      </c>
      <c r="C5449" s="8">
        <f t="array" ref="C5449">PRODUCT(1-'Sparkling Model'!D$2:D$38^A5449)</f>
        <v>0.7668480567</v>
      </c>
    </row>
    <row r="5450">
      <c r="A5450" s="6">
        <v>5448.0</v>
      </c>
      <c r="B5450" s="17">
        <f t="array" ref="B5450">SUM(1-'Sparkling Model'!D$2:D$38^A5450)</f>
        <v>36.7429181</v>
      </c>
      <c r="C5450" s="8">
        <f t="array" ref="C5450">PRODUCT(1-'Sparkling Model'!D$2:D$38^A5450)</f>
        <v>0.7669618364</v>
      </c>
    </row>
    <row r="5451">
      <c r="A5451" s="6">
        <v>5449.0</v>
      </c>
      <c r="B5451" s="17">
        <f t="array" ref="B5451">SUM(1-'Sparkling Model'!D$2:D$38^A5451)</f>
        <v>36.74305796</v>
      </c>
      <c r="C5451" s="8">
        <f t="array" ref="C5451">PRODUCT(1-'Sparkling Model'!D$2:D$38^A5451)</f>
        <v>0.7670755628</v>
      </c>
    </row>
    <row r="5452">
      <c r="A5452" s="6">
        <v>5450.0</v>
      </c>
      <c r="B5452" s="17">
        <f t="array" ref="B5452">SUM(1-'Sparkling Model'!D$2:D$38^A5452)</f>
        <v>36.74319774</v>
      </c>
      <c r="C5452" s="8">
        <f t="array" ref="C5452">PRODUCT(1-'Sparkling Model'!D$2:D$38^A5452)</f>
        <v>0.7671892357</v>
      </c>
    </row>
    <row r="5453">
      <c r="A5453" s="6">
        <v>5451.0</v>
      </c>
      <c r="B5453" s="17">
        <f t="array" ref="B5453">SUM(1-'Sparkling Model'!D$2:D$38^A5453)</f>
        <v>36.74333743</v>
      </c>
      <c r="C5453" s="8">
        <f t="array" ref="C5453">PRODUCT(1-'Sparkling Model'!D$2:D$38^A5453)</f>
        <v>0.7673028553</v>
      </c>
    </row>
    <row r="5454">
      <c r="A5454" s="6">
        <v>5452.0</v>
      </c>
      <c r="B5454" s="17">
        <f t="array" ref="B5454">SUM(1-'Sparkling Model'!D$2:D$38^A5454)</f>
        <v>36.74347705</v>
      </c>
      <c r="C5454" s="8">
        <f t="array" ref="C5454">PRODUCT(1-'Sparkling Model'!D$2:D$38^A5454)</f>
        <v>0.7674164216</v>
      </c>
    </row>
    <row r="5455">
      <c r="A5455" s="6">
        <v>5453.0</v>
      </c>
      <c r="B5455" s="17">
        <f t="array" ref="B5455">SUM(1-'Sparkling Model'!D$2:D$38^A5455)</f>
        <v>36.74361657</v>
      </c>
      <c r="C5455" s="8">
        <f t="array" ref="C5455">PRODUCT(1-'Sparkling Model'!D$2:D$38^A5455)</f>
        <v>0.7675299346</v>
      </c>
    </row>
    <row r="5456">
      <c r="A5456" s="6">
        <v>5454.0</v>
      </c>
      <c r="B5456" s="17">
        <f t="array" ref="B5456">SUM(1-'Sparkling Model'!D$2:D$38^A5456)</f>
        <v>36.74375602</v>
      </c>
      <c r="C5456" s="8">
        <f t="array" ref="C5456">PRODUCT(1-'Sparkling Model'!D$2:D$38^A5456)</f>
        <v>0.7676433942</v>
      </c>
    </row>
    <row r="5457">
      <c r="A5457" s="6">
        <v>5455.0</v>
      </c>
      <c r="B5457" s="17">
        <f t="array" ref="B5457">SUM(1-'Sparkling Model'!D$2:D$38^A5457)</f>
        <v>36.74389538</v>
      </c>
      <c r="C5457" s="8">
        <f t="array" ref="C5457">PRODUCT(1-'Sparkling Model'!D$2:D$38^A5457)</f>
        <v>0.7677568006</v>
      </c>
    </row>
    <row r="5458">
      <c r="A5458" s="6">
        <v>5456.0</v>
      </c>
      <c r="B5458" s="17">
        <f t="array" ref="B5458">SUM(1-'Sparkling Model'!D$2:D$38^A5458)</f>
        <v>36.74403467</v>
      </c>
      <c r="C5458" s="8">
        <f t="array" ref="C5458">PRODUCT(1-'Sparkling Model'!D$2:D$38^A5458)</f>
        <v>0.7678701538</v>
      </c>
    </row>
    <row r="5459">
      <c r="A5459" s="6">
        <v>5457.0</v>
      </c>
      <c r="B5459" s="17">
        <f t="array" ref="B5459">SUM(1-'Sparkling Model'!D$2:D$38^A5459)</f>
        <v>36.74417387</v>
      </c>
      <c r="C5459" s="8">
        <f t="array" ref="C5459">PRODUCT(1-'Sparkling Model'!D$2:D$38^A5459)</f>
        <v>0.7679834537</v>
      </c>
    </row>
    <row r="5460">
      <c r="A5460" s="6">
        <v>5458.0</v>
      </c>
      <c r="B5460" s="17">
        <f t="array" ref="B5460">SUM(1-'Sparkling Model'!D$2:D$38^A5460)</f>
        <v>36.74431298</v>
      </c>
      <c r="C5460" s="8">
        <f t="array" ref="C5460">PRODUCT(1-'Sparkling Model'!D$2:D$38^A5460)</f>
        <v>0.7680967005</v>
      </c>
    </row>
    <row r="5461">
      <c r="A5461" s="6">
        <v>5459.0</v>
      </c>
      <c r="B5461" s="17">
        <f t="array" ref="B5461">SUM(1-'Sparkling Model'!D$2:D$38^A5461)</f>
        <v>36.74445202</v>
      </c>
      <c r="C5461" s="8">
        <f t="array" ref="C5461">PRODUCT(1-'Sparkling Model'!D$2:D$38^A5461)</f>
        <v>0.768209894</v>
      </c>
    </row>
    <row r="5462">
      <c r="A5462" s="6">
        <v>5460.0</v>
      </c>
      <c r="B5462" s="17">
        <f t="array" ref="B5462">SUM(1-'Sparkling Model'!D$2:D$38^A5462)</f>
        <v>36.74459097</v>
      </c>
      <c r="C5462" s="8">
        <f t="array" ref="C5462">PRODUCT(1-'Sparkling Model'!D$2:D$38^A5462)</f>
        <v>0.7683230345</v>
      </c>
    </row>
    <row r="5463">
      <c r="A5463" s="6">
        <v>5461.0</v>
      </c>
      <c r="B5463" s="17">
        <f t="array" ref="B5463">SUM(1-'Sparkling Model'!D$2:D$38^A5463)</f>
        <v>36.74472984</v>
      </c>
      <c r="C5463" s="8">
        <f t="array" ref="C5463">PRODUCT(1-'Sparkling Model'!D$2:D$38^A5463)</f>
        <v>0.7684361217</v>
      </c>
    </row>
    <row r="5464">
      <c r="A5464" s="6">
        <v>5462.0</v>
      </c>
      <c r="B5464" s="17">
        <f t="array" ref="B5464">SUM(1-'Sparkling Model'!D$2:D$38^A5464)</f>
        <v>36.74486863</v>
      </c>
      <c r="C5464" s="8">
        <f t="array" ref="C5464">PRODUCT(1-'Sparkling Model'!D$2:D$38^A5464)</f>
        <v>0.7685491559</v>
      </c>
    </row>
    <row r="5465">
      <c r="A5465" s="6">
        <v>5463.0</v>
      </c>
      <c r="B5465" s="17">
        <f t="array" ref="B5465">SUM(1-'Sparkling Model'!D$2:D$38^A5465)</f>
        <v>36.74500733</v>
      </c>
      <c r="C5465" s="8">
        <f t="array" ref="C5465">PRODUCT(1-'Sparkling Model'!D$2:D$38^A5465)</f>
        <v>0.768662137</v>
      </c>
    </row>
    <row r="5466">
      <c r="A5466" s="6">
        <v>5464.0</v>
      </c>
      <c r="B5466" s="17">
        <f t="array" ref="B5466">SUM(1-'Sparkling Model'!D$2:D$38^A5466)</f>
        <v>36.74514596</v>
      </c>
      <c r="C5466" s="8">
        <f t="array" ref="C5466">PRODUCT(1-'Sparkling Model'!D$2:D$38^A5466)</f>
        <v>0.768775065</v>
      </c>
    </row>
    <row r="5467">
      <c r="A5467" s="6">
        <v>5465.0</v>
      </c>
      <c r="B5467" s="17">
        <f t="array" ref="B5467">SUM(1-'Sparkling Model'!D$2:D$38^A5467)</f>
        <v>36.7452845</v>
      </c>
      <c r="C5467" s="8">
        <f t="array" ref="C5467">PRODUCT(1-'Sparkling Model'!D$2:D$38^A5467)</f>
        <v>0.7688879399</v>
      </c>
    </row>
    <row r="5468">
      <c r="A5468" s="6">
        <v>5466.0</v>
      </c>
      <c r="B5468" s="17">
        <f t="array" ref="B5468">SUM(1-'Sparkling Model'!D$2:D$38^A5468)</f>
        <v>36.74542296</v>
      </c>
      <c r="C5468" s="8">
        <f t="array" ref="C5468">PRODUCT(1-'Sparkling Model'!D$2:D$38^A5468)</f>
        <v>0.7690007618</v>
      </c>
    </row>
    <row r="5469">
      <c r="A5469" s="6">
        <v>5467.0</v>
      </c>
      <c r="B5469" s="17">
        <f t="array" ref="B5469">SUM(1-'Sparkling Model'!D$2:D$38^A5469)</f>
        <v>36.74556134</v>
      </c>
      <c r="C5469" s="8">
        <f t="array" ref="C5469">PRODUCT(1-'Sparkling Model'!D$2:D$38^A5469)</f>
        <v>0.7691135308</v>
      </c>
    </row>
    <row r="5470">
      <c r="A5470" s="6">
        <v>5468.0</v>
      </c>
      <c r="B5470" s="17">
        <f t="array" ref="B5470">SUM(1-'Sparkling Model'!D$2:D$38^A5470)</f>
        <v>36.74569963</v>
      </c>
      <c r="C5470" s="8">
        <f t="array" ref="C5470">PRODUCT(1-'Sparkling Model'!D$2:D$38^A5470)</f>
        <v>0.7692262467</v>
      </c>
    </row>
    <row r="5471">
      <c r="A5471" s="6">
        <v>5469.0</v>
      </c>
      <c r="B5471" s="17">
        <f t="array" ref="B5471">SUM(1-'Sparkling Model'!D$2:D$38^A5471)</f>
        <v>36.74583785</v>
      </c>
      <c r="C5471" s="8">
        <f t="array" ref="C5471">PRODUCT(1-'Sparkling Model'!D$2:D$38^A5471)</f>
        <v>0.7693389097</v>
      </c>
    </row>
    <row r="5472">
      <c r="A5472" s="6">
        <v>5470.0</v>
      </c>
      <c r="B5472" s="17">
        <f t="array" ref="B5472">SUM(1-'Sparkling Model'!D$2:D$38^A5472)</f>
        <v>36.74597598</v>
      </c>
      <c r="C5472" s="8">
        <f t="array" ref="C5472">PRODUCT(1-'Sparkling Model'!D$2:D$38^A5472)</f>
        <v>0.7694515197</v>
      </c>
    </row>
    <row r="5473">
      <c r="A5473" s="6">
        <v>5471.0</v>
      </c>
      <c r="B5473" s="17">
        <f t="array" ref="B5473">SUM(1-'Sparkling Model'!D$2:D$38^A5473)</f>
        <v>36.74611403</v>
      </c>
      <c r="C5473" s="8">
        <f t="array" ref="C5473">PRODUCT(1-'Sparkling Model'!D$2:D$38^A5473)</f>
        <v>0.7695640769</v>
      </c>
    </row>
    <row r="5474">
      <c r="A5474" s="6">
        <v>5472.0</v>
      </c>
      <c r="B5474" s="17">
        <f t="array" ref="B5474">SUM(1-'Sparkling Model'!D$2:D$38^A5474)</f>
        <v>36.746252</v>
      </c>
      <c r="C5474" s="8">
        <f t="array" ref="C5474">PRODUCT(1-'Sparkling Model'!D$2:D$38^A5474)</f>
        <v>0.7696765811</v>
      </c>
    </row>
    <row r="5475">
      <c r="A5475" s="6">
        <v>5473.0</v>
      </c>
      <c r="B5475" s="17">
        <f t="array" ref="B5475">SUM(1-'Sparkling Model'!D$2:D$38^A5475)</f>
        <v>36.74638989</v>
      </c>
      <c r="C5475" s="8">
        <f t="array" ref="C5475">PRODUCT(1-'Sparkling Model'!D$2:D$38^A5475)</f>
        <v>0.7697890325</v>
      </c>
    </row>
    <row r="5476">
      <c r="A5476" s="6">
        <v>5474.0</v>
      </c>
      <c r="B5476" s="17">
        <f t="array" ref="B5476">SUM(1-'Sparkling Model'!D$2:D$38^A5476)</f>
        <v>36.74652769</v>
      </c>
      <c r="C5476" s="8">
        <f t="array" ref="C5476">PRODUCT(1-'Sparkling Model'!D$2:D$38^A5476)</f>
        <v>0.769901431</v>
      </c>
    </row>
    <row r="5477">
      <c r="A5477" s="6">
        <v>5475.0</v>
      </c>
      <c r="B5477" s="17">
        <f t="array" ref="B5477">SUM(1-'Sparkling Model'!D$2:D$38^A5477)</f>
        <v>36.74666542</v>
      </c>
      <c r="C5477" s="8">
        <f t="array" ref="C5477">PRODUCT(1-'Sparkling Model'!D$2:D$38^A5477)</f>
        <v>0.7700137767</v>
      </c>
    </row>
    <row r="5478">
      <c r="A5478" s="6">
        <v>5476.0</v>
      </c>
      <c r="B5478" s="17">
        <f t="array" ref="B5478">SUM(1-'Sparkling Model'!D$2:D$38^A5478)</f>
        <v>36.74680306</v>
      </c>
      <c r="C5478" s="8">
        <f t="array" ref="C5478">PRODUCT(1-'Sparkling Model'!D$2:D$38^A5478)</f>
        <v>0.7701260696</v>
      </c>
    </row>
    <row r="5479">
      <c r="A5479" s="6">
        <v>5477.0</v>
      </c>
      <c r="B5479" s="17">
        <f t="array" ref="B5479">SUM(1-'Sparkling Model'!D$2:D$38^A5479)</f>
        <v>36.74694063</v>
      </c>
      <c r="C5479" s="8">
        <f t="array" ref="C5479">PRODUCT(1-'Sparkling Model'!D$2:D$38^A5479)</f>
        <v>0.7702383097</v>
      </c>
    </row>
    <row r="5480">
      <c r="A5480" s="6">
        <v>5478.0</v>
      </c>
      <c r="B5480" s="17">
        <f t="array" ref="B5480">SUM(1-'Sparkling Model'!D$2:D$38^A5480)</f>
        <v>36.74707811</v>
      </c>
      <c r="C5480" s="8">
        <f t="array" ref="C5480">PRODUCT(1-'Sparkling Model'!D$2:D$38^A5480)</f>
        <v>0.770350497</v>
      </c>
    </row>
    <row r="5481">
      <c r="A5481" s="6">
        <v>5479.0</v>
      </c>
      <c r="B5481" s="17">
        <f t="array" ref="B5481">SUM(1-'Sparkling Model'!D$2:D$38^A5481)</f>
        <v>36.74721551</v>
      </c>
      <c r="C5481" s="8">
        <f t="array" ref="C5481">PRODUCT(1-'Sparkling Model'!D$2:D$38^A5481)</f>
        <v>0.7704626316</v>
      </c>
    </row>
    <row r="5482">
      <c r="A5482" s="6">
        <v>5480.0</v>
      </c>
      <c r="B5482" s="17">
        <f t="array" ref="B5482">SUM(1-'Sparkling Model'!D$2:D$38^A5482)</f>
        <v>36.74735283</v>
      </c>
      <c r="C5482" s="8">
        <f t="array" ref="C5482">PRODUCT(1-'Sparkling Model'!D$2:D$38^A5482)</f>
        <v>0.7705747135</v>
      </c>
    </row>
    <row r="5483">
      <c r="A5483" s="6">
        <v>5481.0</v>
      </c>
      <c r="B5483" s="17">
        <f t="array" ref="B5483">SUM(1-'Sparkling Model'!D$2:D$38^A5483)</f>
        <v>36.74749007</v>
      </c>
      <c r="C5483" s="8">
        <f t="array" ref="C5483">PRODUCT(1-'Sparkling Model'!D$2:D$38^A5483)</f>
        <v>0.7706867426</v>
      </c>
    </row>
    <row r="5484">
      <c r="A5484" s="6">
        <v>5482.0</v>
      </c>
      <c r="B5484" s="17">
        <f t="array" ref="B5484">SUM(1-'Sparkling Model'!D$2:D$38^A5484)</f>
        <v>36.74762722</v>
      </c>
      <c r="C5484" s="8">
        <f t="array" ref="C5484">PRODUCT(1-'Sparkling Model'!D$2:D$38^A5484)</f>
        <v>0.7707987191</v>
      </c>
    </row>
    <row r="5485">
      <c r="A5485" s="6">
        <v>5483.0</v>
      </c>
      <c r="B5485" s="17">
        <f t="array" ref="B5485">SUM(1-'Sparkling Model'!D$2:D$38^A5485)</f>
        <v>36.7477643</v>
      </c>
      <c r="C5485" s="8">
        <f t="array" ref="C5485">PRODUCT(1-'Sparkling Model'!D$2:D$38^A5485)</f>
        <v>0.770910643</v>
      </c>
    </row>
    <row r="5486">
      <c r="A5486" s="6">
        <v>5484.0</v>
      </c>
      <c r="B5486" s="17">
        <f t="array" ref="B5486">SUM(1-'Sparkling Model'!D$2:D$38^A5486)</f>
        <v>36.74790129</v>
      </c>
      <c r="C5486" s="8">
        <f t="array" ref="C5486">PRODUCT(1-'Sparkling Model'!D$2:D$38^A5486)</f>
        <v>0.7710225142</v>
      </c>
    </row>
    <row r="5487">
      <c r="A5487" s="6">
        <v>5485.0</v>
      </c>
      <c r="B5487" s="17">
        <f t="array" ref="B5487">SUM(1-'Sparkling Model'!D$2:D$38^A5487)</f>
        <v>36.74803821</v>
      </c>
      <c r="C5487" s="8">
        <f t="array" ref="C5487">PRODUCT(1-'Sparkling Model'!D$2:D$38^A5487)</f>
        <v>0.7711343328</v>
      </c>
    </row>
    <row r="5488">
      <c r="A5488" s="6">
        <v>5486.0</v>
      </c>
      <c r="B5488" s="17">
        <f t="array" ref="B5488">SUM(1-'Sparkling Model'!D$2:D$38^A5488)</f>
        <v>36.74817504</v>
      </c>
      <c r="C5488" s="8">
        <f t="array" ref="C5488">PRODUCT(1-'Sparkling Model'!D$2:D$38^A5488)</f>
        <v>0.7712460988</v>
      </c>
    </row>
    <row r="5489">
      <c r="A5489" s="6">
        <v>5487.0</v>
      </c>
      <c r="B5489" s="17">
        <f t="array" ref="B5489">SUM(1-'Sparkling Model'!D$2:D$38^A5489)</f>
        <v>36.74831179</v>
      </c>
      <c r="C5489" s="8">
        <f t="array" ref="C5489">PRODUCT(1-'Sparkling Model'!D$2:D$38^A5489)</f>
        <v>0.7713578123</v>
      </c>
    </row>
    <row r="5490">
      <c r="A5490" s="6">
        <v>5488.0</v>
      </c>
      <c r="B5490" s="17">
        <f t="array" ref="B5490">SUM(1-'Sparkling Model'!D$2:D$38^A5490)</f>
        <v>36.74844847</v>
      </c>
      <c r="C5490" s="8">
        <f t="array" ref="C5490">PRODUCT(1-'Sparkling Model'!D$2:D$38^A5490)</f>
        <v>0.7714694732</v>
      </c>
    </row>
    <row r="5491">
      <c r="A5491" s="6">
        <v>5489.0</v>
      </c>
      <c r="B5491" s="17">
        <f t="array" ref="B5491">SUM(1-'Sparkling Model'!D$2:D$38^A5491)</f>
        <v>36.74858506</v>
      </c>
      <c r="C5491" s="8">
        <f t="array" ref="C5491">PRODUCT(1-'Sparkling Model'!D$2:D$38^A5491)</f>
        <v>0.7715810816</v>
      </c>
    </row>
    <row r="5492">
      <c r="A5492" s="6">
        <v>5490.0</v>
      </c>
      <c r="B5492" s="17">
        <f t="array" ref="B5492">SUM(1-'Sparkling Model'!D$2:D$38^A5492)</f>
        <v>36.74872157</v>
      </c>
      <c r="C5492" s="8">
        <f t="array" ref="C5492">PRODUCT(1-'Sparkling Model'!D$2:D$38^A5492)</f>
        <v>0.7716926375</v>
      </c>
    </row>
    <row r="5493">
      <c r="A5493" s="6">
        <v>5491.0</v>
      </c>
      <c r="B5493" s="17">
        <f t="array" ref="B5493">SUM(1-'Sparkling Model'!D$2:D$38^A5493)</f>
        <v>36.748858</v>
      </c>
      <c r="C5493" s="8">
        <f t="array" ref="C5493">PRODUCT(1-'Sparkling Model'!D$2:D$38^A5493)</f>
        <v>0.7718041409</v>
      </c>
    </row>
    <row r="5494">
      <c r="A5494" s="6">
        <v>5492.0</v>
      </c>
      <c r="B5494" s="17">
        <f t="array" ref="B5494">SUM(1-'Sparkling Model'!D$2:D$38^A5494)</f>
        <v>36.74899435</v>
      </c>
      <c r="C5494" s="8">
        <f t="array" ref="C5494">PRODUCT(1-'Sparkling Model'!D$2:D$38^A5494)</f>
        <v>0.7719155918</v>
      </c>
    </row>
    <row r="5495">
      <c r="A5495" s="6">
        <v>5493.0</v>
      </c>
      <c r="B5495" s="17">
        <f t="array" ref="B5495">SUM(1-'Sparkling Model'!D$2:D$38^A5495)</f>
        <v>36.74913062</v>
      </c>
      <c r="C5495" s="8">
        <f t="array" ref="C5495">PRODUCT(1-'Sparkling Model'!D$2:D$38^A5495)</f>
        <v>0.7720269904</v>
      </c>
    </row>
    <row r="5496">
      <c r="A5496" s="6">
        <v>5494.0</v>
      </c>
      <c r="B5496" s="17">
        <f t="array" ref="B5496">SUM(1-'Sparkling Model'!D$2:D$38^A5496)</f>
        <v>36.74926681</v>
      </c>
      <c r="C5496" s="8">
        <f t="array" ref="C5496">PRODUCT(1-'Sparkling Model'!D$2:D$38^A5496)</f>
        <v>0.7721383365</v>
      </c>
    </row>
    <row r="5497">
      <c r="A5497" s="6">
        <v>5495.0</v>
      </c>
      <c r="B5497" s="17">
        <f t="array" ref="B5497">SUM(1-'Sparkling Model'!D$2:D$38^A5497)</f>
        <v>36.74940292</v>
      </c>
      <c r="C5497" s="8">
        <f t="array" ref="C5497">PRODUCT(1-'Sparkling Model'!D$2:D$38^A5497)</f>
        <v>0.7722496302</v>
      </c>
    </row>
    <row r="5498">
      <c r="A5498" s="6">
        <v>5496.0</v>
      </c>
      <c r="B5498" s="17">
        <f t="array" ref="B5498">SUM(1-'Sparkling Model'!D$2:D$38^A5498)</f>
        <v>36.74953895</v>
      </c>
      <c r="C5498" s="8">
        <f t="array" ref="C5498">PRODUCT(1-'Sparkling Model'!D$2:D$38^A5498)</f>
        <v>0.7723608715</v>
      </c>
    </row>
    <row r="5499">
      <c r="A5499" s="6">
        <v>5497.0</v>
      </c>
      <c r="B5499" s="17">
        <f t="array" ref="B5499">SUM(1-'Sparkling Model'!D$2:D$38^A5499)</f>
        <v>36.7496749</v>
      </c>
      <c r="C5499" s="8">
        <f t="array" ref="C5499">PRODUCT(1-'Sparkling Model'!D$2:D$38^A5499)</f>
        <v>0.7724720605</v>
      </c>
    </row>
    <row r="5500">
      <c r="A5500" s="6">
        <v>5498.0</v>
      </c>
      <c r="B5500" s="17">
        <f t="array" ref="B5500">SUM(1-'Sparkling Model'!D$2:D$38^A5500)</f>
        <v>36.74981076</v>
      </c>
      <c r="C5500" s="8">
        <f t="array" ref="C5500">PRODUCT(1-'Sparkling Model'!D$2:D$38^A5500)</f>
        <v>0.7725831972</v>
      </c>
    </row>
    <row r="5501">
      <c r="A5501" s="6">
        <v>5499.0</v>
      </c>
      <c r="B5501" s="17">
        <f t="array" ref="B5501">SUM(1-'Sparkling Model'!D$2:D$38^A5501)</f>
        <v>36.74994655</v>
      </c>
      <c r="C5501" s="8">
        <f t="array" ref="C5501">PRODUCT(1-'Sparkling Model'!D$2:D$38^A5501)</f>
        <v>0.7726942815</v>
      </c>
    </row>
    <row r="5502">
      <c r="A5502" s="6">
        <v>5500.0</v>
      </c>
      <c r="B5502" s="17">
        <f t="array" ref="B5502">SUM(1-'Sparkling Model'!D$2:D$38^A5502)</f>
        <v>36.75008226</v>
      </c>
      <c r="C5502" s="8">
        <f t="array" ref="C5502">PRODUCT(1-'Sparkling Model'!D$2:D$38^A5502)</f>
        <v>0.7728053136</v>
      </c>
    </row>
    <row r="5503">
      <c r="A5503" s="6">
        <v>5501.0</v>
      </c>
      <c r="B5503" s="17">
        <f t="array" ref="B5503">SUM(1-'Sparkling Model'!D$2:D$38^A5503)</f>
        <v>36.75021789</v>
      </c>
      <c r="C5503" s="8">
        <f t="array" ref="C5503">PRODUCT(1-'Sparkling Model'!D$2:D$38^A5503)</f>
        <v>0.7729162934</v>
      </c>
    </row>
    <row r="5504">
      <c r="A5504" s="6">
        <v>5502.0</v>
      </c>
      <c r="B5504" s="17">
        <f t="array" ref="B5504">SUM(1-'Sparkling Model'!D$2:D$38^A5504)</f>
        <v>36.75035344</v>
      </c>
      <c r="C5504" s="8">
        <f t="array" ref="C5504">PRODUCT(1-'Sparkling Model'!D$2:D$38^A5504)</f>
        <v>0.773027221</v>
      </c>
    </row>
    <row r="5505">
      <c r="A5505" s="6">
        <v>5503.0</v>
      </c>
      <c r="B5505" s="17">
        <f t="array" ref="B5505">SUM(1-'Sparkling Model'!D$2:D$38^A5505)</f>
        <v>36.75048891</v>
      </c>
      <c r="C5505" s="8">
        <f t="array" ref="C5505">PRODUCT(1-'Sparkling Model'!D$2:D$38^A5505)</f>
        <v>0.7731380964</v>
      </c>
    </row>
    <row r="5506">
      <c r="A5506" s="6">
        <v>5504.0</v>
      </c>
      <c r="B5506" s="17">
        <f t="array" ref="B5506">SUM(1-'Sparkling Model'!D$2:D$38^A5506)</f>
        <v>36.75062429</v>
      </c>
      <c r="C5506" s="8">
        <f t="array" ref="C5506">PRODUCT(1-'Sparkling Model'!D$2:D$38^A5506)</f>
        <v>0.7732489195</v>
      </c>
    </row>
    <row r="5507">
      <c r="A5507" s="6">
        <v>5505.0</v>
      </c>
      <c r="B5507" s="17">
        <f t="array" ref="B5507">SUM(1-'Sparkling Model'!D$2:D$38^A5507)</f>
        <v>36.7507596</v>
      </c>
      <c r="C5507" s="8">
        <f t="array" ref="C5507">PRODUCT(1-'Sparkling Model'!D$2:D$38^A5507)</f>
        <v>0.7733596905</v>
      </c>
    </row>
    <row r="5508">
      <c r="A5508" s="6">
        <v>5506.0</v>
      </c>
      <c r="B5508" s="17">
        <f t="array" ref="B5508">SUM(1-'Sparkling Model'!D$2:D$38^A5508)</f>
        <v>36.75089483</v>
      </c>
      <c r="C5508" s="8">
        <f t="array" ref="C5508">PRODUCT(1-'Sparkling Model'!D$2:D$38^A5508)</f>
        <v>0.7734704094</v>
      </c>
    </row>
    <row r="5509">
      <c r="A5509" s="6">
        <v>5507.0</v>
      </c>
      <c r="B5509" s="17">
        <f t="array" ref="B5509">SUM(1-'Sparkling Model'!D$2:D$38^A5509)</f>
        <v>36.75102998</v>
      </c>
      <c r="C5509" s="8">
        <f t="array" ref="C5509">PRODUCT(1-'Sparkling Model'!D$2:D$38^A5509)</f>
        <v>0.7735810761</v>
      </c>
    </row>
    <row r="5510">
      <c r="A5510" s="6">
        <v>5508.0</v>
      </c>
      <c r="B5510" s="17">
        <f t="array" ref="B5510">SUM(1-'Sparkling Model'!D$2:D$38^A5510)</f>
        <v>36.75116505</v>
      </c>
      <c r="C5510" s="8">
        <f t="array" ref="C5510">PRODUCT(1-'Sparkling Model'!D$2:D$38^A5510)</f>
        <v>0.7736916907</v>
      </c>
    </row>
    <row r="5511">
      <c r="A5511" s="6">
        <v>5509.0</v>
      </c>
      <c r="B5511" s="17">
        <f t="array" ref="B5511">SUM(1-'Sparkling Model'!D$2:D$38^A5511)</f>
        <v>36.75130004</v>
      </c>
      <c r="C5511" s="8">
        <f t="array" ref="C5511">PRODUCT(1-'Sparkling Model'!D$2:D$38^A5511)</f>
        <v>0.7738022532</v>
      </c>
    </row>
    <row r="5512">
      <c r="A5512" s="6">
        <v>5510.0</v>
      </c>
      <c r="B5512" s="17">
        <f t="array" ref="B5512">SUM(1-'Sparkling Model'!D$2:D$38^A5512)</f>
        <v>36.75143495</v>
      </c>
      <c r="C5512" s="8">
        <f t="array" ref="C5512">PRODUCT(1-'Sparkling Model'!D$2:D$38^A5512)</f>
        <v>0.7739127636</v>
      </c>
    </row>
    <row r="5513">
      <c r="A5513" s="6">
        <v>5511.0</v>
      </c>
      <c r="B5513" s="17">
        <f t="array" ref="B5513">SUM(1-'Sparkling Model'!D$2:D$38^A5513)</f>
        <v>36.75156979</v>
      </c>
      <c r="C5513" s="8">
        <f t="array" ref="C5513">PRODUCT(1-'Sparkling Model'!D$2:D$38^A5513)</f>
        <v>0.774023222</v>
      </c>
    </row>
    <row r="5514">
      <c r="A5514" s="6">
        <v>5512.0</v>
      </c>
      <c r="B5514" s="17">
        <f t="array" ref="B5514">SUM(1-'Sparkling Model'!D$2:D$38^A5514)</f>
        <v>36.75170454</v>
      </c>
      <c r="C5514" s="8">
        <f t="array" ref="C5514">PRODUCT(1-'Sparkling Model'!D$2:D$38^A5514)</f>
        <v>0.7741336284</v>
      </c>
    </row>
    <row r="5515">
      <c r="A5515" s="6">
        <v>5513.0</v>
      </c>
      <c r="B5515" s="17">
        <f t="array" ref="B5515">SUM(1-'Sparkling Model'!D$2:D$38^A5515)</f>
        <v>36.75183921</v>
      </c>
      <c r="C5515" s="8">
        <f t="array" ref="C5515">PRODUCT(1-'Sparkling Model'!D$2:D$38^A5515)</f>
        <v>0.7742439828</v>
      </c>
    </row>
    <row r="5516">
      <c r="A5516" s="6">
        <v>5514.0</v>
      </c>
      <c r="B5516" s="17">
        <f t="array" ref="B5516">SUM(1-'Sparkling Model'!D$2:D$38^A5516)</f>
        <v>36.7519738</v>
      </c>
      <c r="C5516" s="8">
        <f t="array" ref="C5516">PRODUCT(1-'Sparkling Model'!D$2:D$38^A5516)</f>
        <v>0.7743542852</v>
      </c>
    </row>
    <row r="5517">
      <c r="A5517" s="6">
        <v>5515.0</v>
      </c>
      <c r="B5517" s="17">
        <f t="array" ref="B5517">SUM(1-'Sparkling Model'!D$2:D$38^A5517)</f>
        <v>36.75210832</v>
      </c>
      <c r="C5517" s="8">
        <f t="array" ref="C5517">PRODUCT(1-'Sparkling Model'!D$2:D$38^A5517)</f>
        <v>0.7744645356</v>
      </c>
    </row>
    <row r="5518">
      <c r="A5518" s="6">
        <v>5516.0</v>
      </c>
      <c r="B5518" s="17">
        <f t="array" ref="B5518">SUM(1-'Sparkling Model'!D$2:D$38^A5518)</f>
        <v>36.75224275</v>
      </c>
      <c r="C5518" s="8">
        <f t="array" ref="C5518">PRODUCT(1-'Sparkling Model'!D$2:D$38^A5518)</f>
        <v>0.7745747341</v>
      </c>
    </row>
    <row r="5519">
      <c r="A5519" s="6">
        <v>5517.0</v>
      </c>
      <c r="B5519" s="17">
        <f t="array" ref="B5519">SUM(1-'Sparkling Model'!D$2:D$38^A5519)</f>
        <v>36.75237711</v>
      </c>
      <c r="C5519" s="8">
        <f t="array" ref="C5519">PRODUCT(1-'Sparkling Model'!D$2:D$38^A5519)</f>
        <v>0.7746848807</v>
      </c>
    </row>
    <row r="5520">
      <c r="A5520" s="6">
        <v>5518.0</v>
      </c>
      <c r="B5520" s="17">
        <f t="array" ref="B5520">SUM(1-'Sparkling Model'!D$2:D$38^A5520)</f>
        <v>36.75251139</v>
      </c>
      <c r="C5520" s="8">
        <f t="array" ref="C5520">PRODUCT(1-'Sparkling Model'!D$2:D$38^A5520)</f>
        <v>0.7747949754</v>
      </c>
    </row>
    <row r="5521">
      <c r="A5521" s="6">
        <v>5519.0</v>
      </c>
      <c r="B5521" s="17">
        <f t="array" ref="B5521">SUM(1-'Sparkling Model'!D$2:D$38^A5521)</f>
        <v>36.75264559</v>
      </c>
      <c r="C5521" s="8">
        <f t="array" ref="C5521">PRODUCT(1-'Sparkling Model'!D$2:D$38^A5521)</f>
        <v>0.7749050182</v>
      </c>
    </row>
    <row r="5522">
      <c r="A5522" s="6">
        <v>5520.0</v>
      </c>
      <c r="B5522" s="17">
        <f t="array" ref="B5522">SUM(1-'Sparkling Model'!D$2:D$38^A5522)</f>
        <v>36.7527797</v>
      </c>
      <c r="C5522" s="8">
        <f t="array" ref="C5522">PRODUCT(1-'Sparkling Model'!D$2:D$38^A5522)</f>
        <v>0.7750150092</v>
      </c>
    </row>
    <row r="5523">
      <c r="A5523" s="6">
        <v>5521.0</v>
      </c>
      <c r="B5523" s="17">
        <f t="array" ref="B5523">SUM(1-'Sparkling Model'!D$2:D$38^A5523)</f>
        <v>36.75291374</v>
      </c>
      <c r="C5523" s="8">
        <f t="array" ref="C5523">PRODUCT(1-'Sparkling Model'!D$2:D$38^A5523)</f>
        <v>0.7751249484</v>
      </c>
    </row>
    <row r="5524">
      <c r="A5524" s="6">
        <v>5522.0</v>
      </c>
      <c r="B5524" s="17">
        <f t="array" ref="B5524">SUM(1-'Sparkling Model'!D$2:D$38^A5524)</f>
        <v>36.75304771</v>
      </c>
      <c r="C5524" s="8">
        <f t="array" ref="C5524">PRODUCT(1-'Sparkling Model'!D$2:D$38^A5524)</f>
        <v>0.7752348357</v>
      </c>
    </row>
    <row r="5525">
      <c r="A5525" s="6">
        <v>5523.0</v>
      </c>
      <c r="B5525" s="17">
        <f t="array" ref="B5525">SUM(1-'Sparkling Model'!D$2:D$38^A5525)</f>
        <v>36.75318159</v>
      </c>
      <c r="C5525" s="8">
        <f t="array" ref="C5525">PRODUCT(1-'Sparkling Model'!D$2:D$38^A5525)</f>
        <v>0.7753446713</v>
      </c>
    </row>
    <row r="5526">
      <c r="A5526" s="6">
        <v>5524.0</v>
      </c>
      <c r="B5526" s="17">
        <f t="array" ref="B5526">SUM(1-'Sparkling Model'!D$2:D$38^A5526)</f>
        <v>36.75331539</v>
      </c>
      <c r="C5526" s="8">
        <f t="array" ref="C5526">PRODUCT(1-'Sparkling Model'!D$2:D$38^A5526)</f>
        <v>0.7754544551</v>
      </c>
    </row>
    <row r="5527">
      <c r="A5527" s="6">
        <v>5525.0</v>
      </c>
      <c r="B5527" s="17">
        <f t="array" ref="B5527">SUM(1-'Sparkling Model'!D$2:D$38^A5527)</f>
        <v>36.75344912</v>
      </c>
      <c r="C5527" s="8">
        <f t="array" ref="C5527">PRODUCT(1-'Sparkling Model'!D$2:D$38^A5527)</f>
        <v>0.7755641872</v>
      </c>
    </row>
    <row r="5528">
      <c r="A5528" s="6">
        <v>5526.0</v>
      </c>
      <c r="B5528" s="17">
        <f t="array" ref="B5528">SUM(1-'Sparkling Model'!D$2:D$38^A5528)</f>
        <v>36.75358276</v>
      </c>
      <c r="C5528" s="8">
        <f t="array" ref="C5528">PRODUCT(1-'Sparkling Model'!D$2:D$38^A5528)</f>
        <v>0.7756738675</v>
      </c>
    </row>
    <row r="5529">
      <c r="A5529" s="6">
        <v>5527.0</v>
      </c>
      <c r="B5529" s="17">
        <f t="array" ref="B5529">SUM(1-'Sparkling Model'!D$2:D$38^A5529)</f>
        <v>36.75371633</v>
      </c>
      <c r="C5529" s="8">
        <f t="array" ref="C5529">PRODUCT(1-'Sparkling Model'!D$2:D$38^A5529)</f>
        <v>0.7757834961</v>
      </c>
    </row>
    <row r="5530">
      <c r="A5530" s="6">
        <v>5528.0</v>
      </c>
      <c r="B5530" s="17">
        <f t="array" ref="B5530">SUM(1-'Sparkling Model'!D$2:D$38^A5530)</f>
        <v>36.75384982</v>
      </c>
      <c r="C5530" s="8">
        <f t="array" ref="C5530">PRODUCT(1-'Sparkling Model'!D$2:D$38^A5530)</f>
        <v>0.7758930731</v>
      </c>
    </row>
    <row r="5531">
      <c r="A5531" s="6">
        <v>5529.0</v>
      </c>
      <c r="B5531" s="17">
        <f t="array" ref="B5531">SUM(1-'Sparkling Model'!D$2:D$38^A5531)</f>
        <v>36.75398323</v>
      </c>
      <c r="C5531" s="8">
        <f t="array" ref="C5531">PRODUCT(1-'Sparkling Model'!D$2:D$38^A5531)</f>
        <v>0.7760025984</v>
      </c>
    </row>
    <row r="5532">
      <c r="A5532" s="6">
        <v>5530.0</v>
      </c>
      <c r="B5532" s="17">
        <f t="array" ref="B5532">SUM(1-'Sparkling Model'!D$2:D$38^A5532)</f>
        <v>36.75411657</v>
      </c>
      <c r="C5532" s="8">
        <f t="array" ref="C5532">PRODUCT(1-'Sparkling Model'!D$2:D$38^A5532)</f>
        <v>0.7761120721</v>
      </c>
    </row>
    <row r="5533">
      <c r="A5533" s="6">
        <v>5531.0</v>
      </c>
      <c r="B5533" s="17">
        <f t="array" ref="B5533">SUM(1-'Sparkling Model'!D$2:D$38^A5533)</f>
        <v>36.75424982</v>
      </c>
      <c r="C5533" s="8">
        <f t="array" ref="C5533">PRODUCT(1-'Sparkling Model'!D$2:D$38^A5533)</f>
        <v>0.7762214942</v>
      </c>
    </row>
    <row r="5534">
      <c r="A5534" s="6">
        <v>5532.0</v>
      </c>
      <c r="B5534" s="17">
        <f t="array" ref="B5534">SUM(1-'Sparkling Model'!D$2:D$38^A5534)</f>
        <v>36.754383</v>
      </c>
      <c r="C5534" s="8">
        <f t="array" ref="C5534">PRODUCT(1-'Sparkling Model'!D$2:D$38^A5534)</f>
        <v>0.7763308647</v>
      </c>
    </row>
    <row r="5535">
      <c r="A5535" s="6">
        <v>5533.0</v>
      </c>
      <c r="B5535" s="17">
        <f t="array" ref="B5535">SUM(1-'Sparkling Model'!D$2:D$38^A5535)</f>
        <v>36.75451609</v>
      </c>
      <c r="C5535" s="8">
        <f t="array" ref="C5535">PRODUCT(1-'Sparkling Model'!D$2:D$38^A5535)</f>
        <v>0.7764401836</v>
      </c>
    </row>
    <row r="5536">
      <c r="A5536" s="6">
        <v>5534.0</v>
      </c>
      <c r="B5536" s="17">
        <f t="array" ref="B5536">SUM(1-'Sparkling Model'!D$2:D$38^A5536)</f>
        <v>36.75464911</v>
      </c>
      <c r="C5536" s="8">
        <f t="array" ref="C5536">PRODUCT(1-'Sparkling Model'!D$2:D$38^A5536)</f>
        <v>0.776549451</v>
      </c>
    </row>
    <row r="5537">
      <c r="A5537" s="6">
        <v>5535.0</v>
      </c>
      <c r="B5537" s="17">
        <f t="array" ref="B5537">SUM(1-'Sparkling Model'!D$2:D$38^A5537)</f>
        <v>36.75478206</v>
      </c>
      <c r="C5537" s="8">
        <f t="array" ref="C5537">PRODUCT(1-'Sparkling Model'!D$2:D$38^A5537)</f>
        <v>0.7766586668</v>
      </c>
    </row>
    <row r="5538">
      <c r="A5538" s="6">
        <v>5536.0</v>
      </c>
      <c r="B5538" s="17">
        <f t="array" ref="B5538">SUM(1-'Sparkling Model'!D$2:D$38^A5538)</f>
        <v>36.75491492</v>
      </c>
      <c r="C5538" s="8">
        <f t="array" ref="C5538">PRODUCT(1-'Sparkling Model'!D$2:D$38^A5538)</f>
        <v>0.7767678311</v>
      </c>
    </row>
    <row r="5539">
      <c r="A5539" s="6">
        <v>5537.0</v>
      </c>
      <c r="B5539" s="17">
        <f t="array" ref="B5539">SUM(1-'Sparkling Model'!D$2:D$38^A5539)</f>
        <v>36.7550477</v>
      </c>
      <c r="C5539" s="8">
        <f t="array" ref="C5539">PRODUCT(1-'Sparkling Model'!D$2:D$38^A5539)</f>
        <v>0.776876944</v>
      </c>
    </row>
    <row r="5540">
      <c r="A5540" s="6">
        <v>5538.0</v>
      </c>
      <c r="B5540" s="17">
        <f t="array" ref="B5540">SUM(1-'Sparkling Model'!D$2:D$38^A5540)</f>
        <v>36.75518041</v>
      </c>
      <c r="C5540" s="8">
        <f t="array" ref="C5540">PRODUCT(1-'Sparkling Model'!D$2:D$38^A5540)</f>
        <v>0.7769860054</v>
      </c>
    </row>
    <row r="5541">
      <c r="A5541" s="6">
        <v>5539.0</v>
      </c>
      <c r="B5541" s="17">
        <f t="array" ref="B5541">SUM(1-'Sparkling Model'!D$2:D$38^A5541)</f>
        <v>36.75531304</v>
      </c>
      <c r="C5541" s="8">
        <f t="array" ref="C5541">PRODUCT(1-'Sparkling Model'!D$2:D$38^A5541)</f>
        <v>0.7770950154</v>
      </c>
    </row>
    <row r="5542">
      <c r="A5542" s="6">
        <v>5540.0</v>
      </c>
      <c r="B5542" s="17">
        <f t="array" ref="B5542">SUM(1-'Sparkling Model'!D$2:D$38^A5542)</f>
        <v>36.75544559</v>
      </c>
      <c r="C5542" s="8">
        <f t="array" ref="C5542">PRODUCT(1-'Sparkling Model'!D$2:D$38^A5542)</f>
        <v>0.7772039739</v>
      </c>
    </row>
    <row r="5543">
      <c r="A5543" s="6">
        <v>5541.0</v>
      </c>
      <c r="B5543" s="17">
        <f t="array" ref="B5543">SUM(1-'Sparkling Model'!D$2:D$38^A5543)</f>
        <v>36.75557807</v>
      </c>
      <c r="C5543" s="8">
        <f t="array" ref="C5543">PRODUCT(1-'Sparkling Model'!D$2:D$38^A5543)</f>
        <v>0.7773128811</v>
      </c>
    </row>
    <row r="5544">
      <c r="A5544" s="6">
        <v>5542.0</v>
      </c>
      <c r="B5544" s="17">
        <f t="array" ref="B5544">SUM(1-'Sparkling Model'!D$2:D$38^A5544)</f>
        <v>36.75571046</v>
      </c>
      <c r="C5544" s="8">
        <f t="array" ref="C5544">PRODUCT(1-'Sparkling Model'!D$2:D$38^A5544)</f>
        <v>0.7774217368</v>
      </c>
    </row>
    <row r="5545">
      <c r="A5545" s="6">
        <v>5543.0</v>
      </c>
      <c r="B5545" s="17">
        <f t="array" ref="B5545">SUM(1-'Sparkling Model'!D$2:D$38^A5545)</f>
        <v>36.75584278</v>
      </c>
      <c r="C5545" s="8">
        <f t="array" ref="C5545">PRODUCT(1-'Sparkling Model'!D$2:D$38^A5545)</f>
        <v>0.7775305413</v>
      </c>
    </row>
    <row r="5546">
      <c r="A5546" s="6">
        <v>5544.0</v>
      </c>
      <c r="B5546" s="17">
        <f t="array" ref="B5546">SUM(1-'Sparkling Model'!D$2:D$38^A5546)</f>
        <v>36.75597502</v>
      </c>
      <c r="C5546" s="8">
        <f t="array" ref="C5546">PRODUCT(1-'Sparkling Model'!D$2:D$38^A5546)</f>
        <v>0.7776392944</v>
      </c>
    </row>
    <row r="5547">
      <c r="A5547" s="6">
        <v>5545.0</v>
      </c>
      <c r="B5547" s="17">
        <f t="array" ref="B5547">SUM(1-'Sparkling Model'!D$2:D$38^A5547)</f>
        <v>36.75610718</v>
      </c>
      <c r="C5547" s="8">
        <f t="array" ref="C5547">PRODUCT(1-'Sparkling Model'!D$2:D$38^A5547)</f>
        <v>0.7777479961</v>
      </c>
    </row>
    <row r="5548">
      <c r="A5548" s="6">
        <v>5546.0</v>
      </c>
      <c r="B5548" s="17">
        <f t="array" ref="B5548">SUM(1-'Sparkling Model'!D$2:D$38^A5548)</f>
        <v>36.75623927</v>
      </c>
      <c r="C5548" s="8">
        <f t="array" ref="C5548">PRODUCT(1-'Sparkling Model'!D$2:D$38^A5548)</f>
        <v>0.7778566466</v>
      </c>
    </row>
    <row r="5549">
      <c r="A5549" s="6">
        <v>5547.0</v>
      </c>
      <c r="B5549" s="17">
        <f t="array" ref="B5549">SUM(1-'Sparkling Model'!D$2:D$38^A5549)</f>
        <v>36.75637128</v>
      </c>
      <c r="C5549" s="8">
        <f t="array" ref="C5549">PRODUCT(1-'Sparkling Model'!D$2:D$38^A5549)</f>
        <v>0.7779652459</v>
      </c>
    </row>
    <row r="5550">
      <c r="A5550" s="6">
        <v>5548.0</v>
      </c>
      <c r="B5550" s="17">
        <f t="array" ref="B5550">SUM(1-'Sparkling Model'!D$2:D$38^A5550)</f>
        <v>36.75650321</v>
      </c>
      <c r="C5550" s="8">
        <f t="array" ref="C5550">PRODUCT(1-'Sparkling Model'!D$2:D$38^A5550)</f>
        <v>0.7780737939</v>
      </c>
    </row>
    <row r="5551">
      <c r="A5551" s="6">
        <v>5549.0</v>
      </c>
      <c r="B5551" s="17">
        <f t="array" ref="B5551">SUM(1-'Sparkling Model'!D$2:D$38^A5551)</f>
        <v>36.75663506</v>
      </c>
      <c r="C5551" s="8">
        <f t="array" ref="C5551">PRODUCT(1-'Sparkling Model'!D$2:D$38^A5551)</f>
        <v>0.7781822906</v>
      </c>
    </row>
    <row r="5552">
      <c r="A5552" s="6">
        <v>5550.0</v>
      </c>
      <c r="B5552" s="17">
        <f t="array" ref="B5552">SUM(1-'Sparkling Model'!D$2:D$38^A5552)</f>
        <v>36.75676683</v>
      </c>
      <c r="C5552" s="8">
        <f t="array" ref="C5552">PRODUCT(1-'Sparkling Model'!D$2:D$38^A5552)</f>
        <v>0.7782907362</v>
      </c>
    </row>
    <row r="5553">
      <c r="A5553" s="6">
        <v>5551.0</v>
      </c>
      <c r="B5553" s="17">
        <f t="array" ref="B5553">SUM(1-'Sparkling Model'!D$2:D$38^A5553)</f>
        <v>36.75689853</v>
      </c>
      <c r="C5553" s="8">
        <f t="array" ref="C5553">PRODUCT(1-'Sparkling Model'!D$2:D$38^A5553)</f>
        <v>0.7783991306</v>
      </c>
    </row>
    <row r="5554">
      <c r="A5554" s="6">
        <v>5552.0</v>
      </c>
      <c r="B5554" s="17">
        <f t="array" ref="B5554">SUM(1-'Sparkling Model'!D$2:D$38^A5554)</f>
        <v>36.75703015</v>
      </c>
      <c r="C5554" s="8">
        <f t="array" ref="C5554">PRODUCT(1-'Sparkling Model'!D$2:D$38^A5554)</f>
        <v>0.7785074738</v>
      </c>
    </row>
    <row r="5555">
      <c r="A5555" s="6">
        <v>5553.0</v>
      </c>
      <c r="B5555" s="17">
        <f t="array" ref="B5555">SUM(1-'Sparkling Model'!D$2:D$38^A5555)</f>
        <v>36.7571617</v>
      </c>
      <c r="C5555" s="8">
        <f t="array" ref="C5555">PRODUCT(1-'Sparkling Model'!D$2:D$38^A5555)</f>
        <v>0.7786157659</v>
      </c>
    </row>
    <row r="5556">
      <c r="A5556" s="6">
        <v>5554.0</v>
      </c>
      <c r="B5556" s="17">
        <f t="array" ref="B5556">SUM(1-'Sparkling Model'!D$2:D$38^A5556)</f>
        <v>36.75729316</v>
      </c>
      <c r="C5556" s="8">
        <f t="array" ref="C5556">PRODUCT(1-'Sparkling Model'!D$2:D$38^A5556)</f>
        <v>0.7787240069</v>
      </c>
    </row>
    <row r="5557">
      <c r="A5557" s="6">
        <v>5555.0</v>
      </c>
      <c r="B5557" s="17">
        <f t="array" ref="B5557">SUM(1-'Sparkling Model'!D$2:D$38^A5557)</f>
        <v>36.75742455</v>
      </c>
      <c r="C5557" s="8">
        <f t="array" ref="C5557">PRODUCT(1-'Sparkling Model'!D$2:D$38^A5557)</f>
        <v>0.7788321968</v>
      </c>
    </row>
    <row r="5558">
      <c r="A5558" s="6">
        <v>5556.0</v>
      </c>
      <c r="B5558" s="17">
        <f t="array" ref="B5558">SUM(1-'Sparkling Model'!D$2:D$38^A5558)</f>
        <v>36.75755587</v>
      </c>
      <c r="C5558" s="8">
        <f t="array" ref="C5558">PRODUCT(1-'Sparkling Model'!D$2:D$38^A5558)</f>
        <v>0.7789403356</v>
      </c>
    </row>
    <row r="5559">
      <c r="A5559" s="6">
        <v>5557.0</v>
      </c>
      <c r="B5559" s="17">
        <f t="array" ref="B5559">SUM(1-'Sparkling Model'!D$2:D$38^A5559)</f>
        <v>36.7576871</v>
      </c>
      <c r="C5559" s="8">
        <f t="array" ref="C5559">PRODUCT(1-'Sparkling Model'!D$2:D$38^A5559)</f>
        <v>0.7790484233</v>
      </c>
    </row>
    <row r="5560">
      <c r="A5560" s="6">
        <v>5558.0</v>
      </c>
      <c r="B5560" s="17">
        <f t="array" ref="B5560">SUM(1-'Sparkling Model'!D$2:D$38^A5560)</f>
        <v>36.75781826</v>
      </c>
      <c r="C5560" s="8">
        <f t="array" ref="C5560">PRODUCT(1-'Sparkling Model'!D$2:D$38^A5560)</f>
        <v>0.7791564601</v>
      </c>
    </row>
    <row r="5561">
      <c r="A5561" s="6">
        <v>5559.0</v>
      </c>
      <c r="B5561" s="17">
        <f t="array" ref="B5561">SUM(1-'Sparkling Model'!D$2:D$38^A5561)</f>
        <v>36.75794934</v>
      </c>
      <c r="C5561" s="8">
        <f t="array" ref="C5561">PRODUCT(1-'Sparkling Model'!D$2:D$38^A5561)</f>
        <v>0.7792644458</v>
      </c>
    </row>
    <row r="5562">
      <c r="A5562" s="6">
        <v>5560.0</v>
      </c>
      <c r="B5562" s="17">
        <f t="array" ref="B5562">SUM(1-'Sparkling Model'!D$2:D$38^A5562)</f>
        <v>36.75808035</v>
      </c>
      <c r="C5562" s="8">
        <f t="array" ref="C5562">PRODUCT(1-'Sparkling Model'!D$2:D$38^A5562)</f>
        <v>0.7793723805</v>
      </c>
    </row>
    <row r="5563">
      <c r="A5563" s="6">
        <v>5561.0</v>
      </c>
      <c r="B5563" s="17">
        <f t="array" ref="B5563">SUM(1-'Sparkling Model'!D$2:D$38^A5563)</f>
        <v>36.75821127</v>
      </c>
      <c r="C5563" s="8">
        <f t="array" ref="C5563">PRODUCT(1-'Sparkling Model'!D$2:D$38^A5563)</f>
        <v>0.7794802643</v>
      </c>
    </row>
    <row r="5564">
      <c r="A5564" s="6">
        <v>5562.0</v>
      </c>
      <c r="B5564" s="17">
        <f t="array" ref="B5564">SUM(1-'Sparkling Model'!D$2:D$38^A5564)</f>
        <v>36.75834213</v>
      </c>
      <c r="C5564" s="8">
        <f t="array" ref="C5564">PRODUCT(1-'Sparkling Model'!D$2:D$38^A5564)</f>
        <v>0.7795880971</v>
      </c>
    </row>
    <row r="5565">
      <c r="A5565" s="6">
        <v>5563.0</v>
      </c>
      <c r="B5565" s="17">
        <f t="array" ref="B5565">SUM(1-'Sparkling Model'!D$2:D$38^A5565)</f>
        <v>36.7584729</v>
      </c>
      <c r="C5565" s="8">
        <f t="array" ref="C5565">PRODUCT(1-'Sparkling Model'!D$2:D$38^A5565)</f>
        <v>0.779695879</v>
      </c>
    </row>
    <row r="5566">
      <c r="A5566" s="6">
        <v>5564.0</v>
      </c>
      <c r="B5566" s="17">
        <f t="array" ref="B5566">SUM(1-'Sparkling Model'!D$2:D$38^A5566)</f>
        <v>36.7586036</v>
      </c>
      <c r="C5566" s="8">
        <f t="array" ref="C5566">PRODUCT(1-'Sparkling Model'!D$2:D$38^A5566)</f>
        <v>0.77980361</v>
      </c>
    </row>
    <row r="5567">
      <c r="A5567" s="6">
        <v>5565.0</v>
      </c>
      <c r="B5567" s="17">
        <f t="array" ref="B5567">SUM(1-'Sparkling Model'!D$2:D$38^A5567)</f>
        <v>36.75873422</v>
      </c>
      <c r="C5567" s="8">
        <f t="array" ref="C5567">PRODUCT(1-'Sparkling Model'!D$2:D$38^A5567)</f>
        <v>0.7799112901</v>
      </c>
    </row>
    <row r="5568">
      <c r="A5568" s="6">
        <v>5566.0</v>
      </c>
      <c r="B5568" s="17">
        <f t="array" ref="B5568">SUM(1-'Sparkling Model'!D$2:D$38^A5568)</f>
        <v>36.75886476</v>
      </c>
      <c r="C5568" s="8">
        <f t="array" ref="C5568">PRODUCT(1-'Sparkling Model'!D$2:D$38^A5568)</f>
        <v>0.7800189194</v>
      </c>
    </row>
    <row r="5569">
      <c r="A5569" s="6">
        <v>5567.0</v>
      </c>
      <c r="B5569" s="17">
        <f t="array" ref="B5569">SUM(1-'Sparkling Model'!D$2:D$38^A5569)</f>
        <v>36.75899523</v>
      </c>
      <c r="C5569" s="8">
        <f t="array" ref="C5569">PRODUCT(1-'Sparkling Model'!D$2:D$38^A5569)</f>
        <v>0.7801264978</v>
      </c>
    </row>
    <row r="5570">
      <c r="A5570" s="6">
        <v>5568.0</v>
      </c>
      <c r="B5570" s="17">
        <f t="array" ref="B5570">SUM(1-'Sparkling Model'!D$2:D$38^A5570)</f>
        <v>36.75912562</v>
      </c>
      <c r="C5570" s="8">
        <f t="array" ref="C5570">PRODUCT(1-'Sparkling Model'!D$2:D$38^A5570)</f>
        <v>0.7802340255</v>
      </c>
    </row>
    <row r="5571">
      <c r="A5571" s="6">
        <v>5569.0</v>
      </c>
      <c r="B5571" s="17">
        <f t="array" ref="B5571">SUM(1-'Sparkling Model'!D$2:D$38^A5571)</f>
        <v>36.75925594</v>
      </c>
      <c r="C5571" s="8">
        <f t="array" ref="C5571">PRODUCT(1-'Sparkling Model'!D$2:D$38^A5571)</f>
        <v>0.7803415023</v>
      </c>
    </row>
    <row r="5572">
      <c r="A5572" s="6">
        <v>5570.0</v>
      </c>
      <c r="B5572" s="17">
        <f t="array" ref="B5572">SUM(1-'Sparkling Model'!D$2:D$38^A5572)</f>
        <v>36.75938618</v>
      </c>
      <c r="C5572" s="8">
        <f t="array" ref="C5572">PRODUCT(1-'Sparkling Model'!D$2:D$38^A5572)</f>
        <v>0.7804489283</v>
      </c>
    </row>
    <row r="5573">
      <c r="A5573" s="6">
        <v>5571.0</v>
      </c>
      <c r="B5573" s="17">
        <f t="array" ref="B5573">SUM(1-'Sparkling Model'!D$2:D$38^A5573)</f>
        <v>36.75951634</v>
      </c>
      <c r="C5573" s="8">
        <f t="array" ref="C5573">PRODUCT(1-'Sparkling Model'!D$2:D$38^A5573)</f>
        <v>0.7805563036</v>
      </c>
    </row>
    <row r="5574">
      <c r="A5574" s="6">
        <v>5572.0</v>
      </c>
      <c r="B5574" s="17">
        <f t="array" ref="B5574">SUM(1-'Sparkling Model'!D$2:D$38^A5574)</f>
        <v>36.75964643</v>
      </c>
      <c r="C5574" s="8">
        <f t="array" ref="C5574">PRODUCT(1-'Sparkling Model'!D$2:D$38^A5574)</f>
        <v>0.7806636282</v>
      </c>
    </row>
    <row r="5575">
      <c r="A5575" s="6">
        <v>5573.0</v>
      </c>
      <c r="B5575" s="17">
        <f t="array" ref="B5575">SUM(1-'Sparkling Model'!D$2:D$38^A5575)</f>
        <v>36.75977644</v>
      </c>
      <c r="C5575" s="8">
        <f t="array" ref="C5575">PRODUCT(1-'Sparkling Model'!D$2:D$38^A5575)</f>
        <v>0.7807709021</v>
      </c>
    </row>
    <row r="5576">
      <c r="A5576" s="6">
        <v>5574.0</v>
      </c>
      <c r="B5576" s="17">
        <f t="array" ref="B5576">SUM(1-'Sparkling Model'!D$2:D$38^A5576)</f>
        <v>36.75990637</v>
      </c>
      <c r="C5576" s="8">
        <f t="array" ref="C5576">PRODUCT(1-'Sparkling Model'!D$2:D$38^A5576)</f>
        <v>0.7808781253</v>
      </c>
    </row>
    <row r="5577">
      <c r="A5577" s="6">
        <v>5575.0</v>
      </c>
      <c r="B5577" s="17">
        <f t="array" ref="B5577">SUM(1-'Sparkling Model'!D$2:D$38^A5577)</f>
        <v>36.76003623</v>
      </c>
      <c r="C5577" s="8">
        <f t="array" ref="C5577">PRODUCT(1-'Sparkling Model'!D$2:D$38^A5577)</f>
        <v>0.7809852978</v>
      </c>
    </row>
    <row r="5578">
      <c r="A5578" s="6">
        <v>5576.0</v>
      </c>
      <c r="B5578" s="17">
        <f t="array" ref="B5578">SUM(1-'Sparkling Model'!D$2:D$38^A5578)</f>
        <v>36.76016602</v>
      </c>
      <c r="C5578" s="8">
        <f t="array" ref="C5578">PRODUCT(1-'Sparkling Model'!D$2:D$38^A5578)</f>
        <v>0.7810924196</v>
      </c>
    </row>
    <row r="5579">
      <c r="A5579" s="6">
        <v>5577.0</v>
      </c>
      <c r="B5579" s="17">
        <f t="array" ref="B5579">SUM(1-'Sparkling Model'!D$2:D$38^A5579)</f>
        <v>36.76029572</v>
      </c>
      <c r="C5579" s="8">
        <f t="array" ref="C5579">PRODUCT(1-'Sparkling Model'!D$2:D$38^A5579)</f>
        <v>0.7811994909</v>
      </c>
    </row>
    <row r="5580">
      <c r="A5580" s="6">
        <v>5578.0</v>
      </c>
      <c r="B5580" s="17">
        <f t="array" ref="B5580">SUM(1-'Sparkling Model'!D$2:D$38^A5580)</f>
        <v>36.76042535</v>
      </c>
      <c r="C5580" s="8">
        <f t="array" ref="C5580">PRODUCT(1-'Sparkling Model'!D$2:D$38^A5580)</f>
        <v>0.7813065115</v>
      </c>
    </row>
    <row r="5581">
      <c r="A5581" s="6">
        <v>5579.0</v>
      </c>
      <c r="B5581" s="17">
        <f t="array" ref="B5581">SUM(1-'Sparkling Model'!D$2:D$38^A5581)</f>
        <v>36.76055491</v>
      </c>
      <c r="C5581" s="8">
        <f t="array" ref="C5581">PRODUCT(1-'Sparkling Model'!D$2:D$38^A5581)</f>
        <v>0.7814134816</v>
      </c>
    </row>
    <row r="5582">
      <c r="A5582" s="6">
        <v>5580.0</v>
      </c>
      <c r="B5582" s="17">
        <f t="array" ref="B5582">SUM(1-'Sparkling Model'!D$2:D$38^A5582)</f>
        <v>36.76068439</v>
      </c>
      <c r="C5582" s="8">
        <f t="array" ref="C5582">PRODUCT(1-'Sparkling Model'!D$2:D$38^A5582)</f>
        <v>0.7815204011</v>
      </c>
    </row>
    <row r="5583">
      <c r="A5583" s="6">
        <v>5581.0</v>
      </c>
      <c r="B5583" s="17">
        <f t="array" ref="B5583">SUM(1-'Sparkling Model'!D$2:D$38^A5583)</f>
        <v>36.76081379</v>
      </c>
      <c r="C5583" s="8">
        <f t="array" ref="C5583">PRODUCT(1-'Sparkling Model'!D$2:D$38^A5583)</f>
        <v>0.7816272701</v>
      </c>
    </row>
    <row r="5584">
      <c r="A5584" s="6">
        <v>5582.0</v>
      </c>
      <c r="B5584" s="17">
        <f t="array" ref="B5584">SUM(1-'Sparkling Model'!D$2:D$38^A5584)</f>
        <v>36.76094312</v>
      </c>
      <c r="C5584" s="8">
        <f t="array" ref="C5584">PRODUCT(1-'Sparkling Model'!D$2:D$38^A5584)</f>
        <v>0.7817340885</v>
      </c>
    </row>
    <row r="5585">
      <c r="A5585" s="6">
        <v>5583.0</v>
      </c>
      <c r="B5585" s="17">
        <f t="array" ref="B5585">SUM(1-'Sparkling Model'!D$2:D$38^A5585)</f>
        <v>36.76107237</v>
      </c>
      <c r="C5585" s="8">
        <f t="array" ref="C5585">PRODUCT(1-'Sparkling Model'!D$2:D$38^A5585)</f>
        <v>0.7818408565</v>
      </c>
    </row>
    <row r="5586">
      <c r="A5586" s="6">
        <v>5584.0</v>
      </c>
      <c r="B5586" s="17">
        <f t="array" ref="B5586">SUM(1-'Sparkling Model'!D$2:D$38^A5586)</f>
        <v>36.76120154</v>
      </c>
      <c r="C5586" s="8">
        <f t="array" ref="C5586">PRODUCT(1-'Sparkling Model'!D$2:D$38^A5586)</f>
        <v>0.781947574</v>
      </c>
    </row>
    <row r="5587">
      <c r="A5587" s="6">
        <v>5585.0</v>
      </c>
      <c r="B5587" s="17">
        <f t="array" ref="B5587">SUM(1-'Sparkling Model'!D$2:D$38^A5587)</f>
        <v>36.76133064</v>
      </c>
      <c r="C5587" s="8">
        <f t="array" ref="C5587">PRODUCT(1-'Sparkling Model'!D$2:D$38^A5587)</f>
        <v>0.782054241</v>
      </c>
    </row>
    <row r="5588">
      <c r="A5588" s="6">
        <v>5586.0</v>
      </c>
      <c r="B5588" s="17">
        <f t="array" ref="B5588">SUM(1-'Sparkling Model'!D$2:D$38^A5588)</f>
        <v>36.76145967</v>
      </c>
      <c r="C5588" s="8">
        <f t="array" ref="C5588">PRODUCT(1-'Sparkling Model'!D$2:D$38^A5588)</f>
        <v>0.7821608576</v>
      </c>
    </row>
    <row r="5589">
      <c r="A5589" s="6">
        <v>5587.0</v>
      </c>
      <c r="B5589" s="17">
        <f t="array" ref="B5589">SUM(1-'Sparkling Model'!D$2:D$38^A5589)</f>
        <v>36.76158862</v>
      </c>
      <c r="C5589" s="8">
        <f t="array" ref="C5589">PRODUCT(1-'Sparkling Model'!D$2:D$38^A5589)</f>
        <v>0.7822674238</v>
      </c>
    </row>
    <row r="5590">
      <c r="A5590" s="6">
        <v>5588.0</v>
      </c>
      <c r="B5590" s="17">
        <f t="array" ref="B5590">SUM(1-'Sparkling Model'!D$2:D$38^A5590)</f>
        <v>36.76171749</v>
      </c>
      <c r="C5590" s="8">
        <f t="array" ref="C5590">PRODUCT(1-'Sparkling Model'!D$2:D$38^A5590)</f>
        <v>0.7823739397</v>
      </c>
    </row>
    <row r="5591">
      <c r="A5591" s="6">
        <v>5589.0</v>
      </c>
      <c r="B5591" s="17">
        <f t="array" ref="B5591">SUM(1-'Sparkling Model'!D$2:D$38^A5591)</f>
        <v>36.76184629</v>
      </c>
      <c r="C5591" s="8">
        <f t="array" ref="C5591">PRODUCT(1-'Sparkling Model'!D$2:D$38^A5591)</f>
        <v>0.7824804051</v>
      </c>
    </row>
    <row r="5592">
      <c r="A5592" s="6">
        <v>5590.0</v>
      </c>
      <c r="B5592" s="17">
        <f t="array" ref="B5592">SUM(1-'Sparkling Model'!D$2:D$38^A5592)</f>
        <v>36.76197502</v>
      </c>
      <c r="C5592" s="8">
        <f t="array" ref="C5592">PRODUCT(1-'Sparkling Model'!D$2:D$38^A5592)</f>
        <v>0.7825868202</v>
      </c>
    </row>
    <row r="5593">
      <c r="A5593" s="6">
        <v>5591.0</v>
      </c>
      <c r="B5593" s="17">
        <f t="array" ref="B5593">SUM(1-'Sparkling Model'!D$2:D$38^A5593)</f>
        <v>36.76210366</v>
      </c>
      <c r="C5593" s="8">
        <f t="array" ref="C5593">PRODUCT(1-'Sparkling Model'!D$2:D$38^A5593)</f>
        <v>0.782693185</v>
      </c>
    </row>
    <row r="5594">
      <c r="A5594" s="6">
        <v>5592.0</v>
      </c>
      <c r="B5594" s="17">
        <f t="array" ref="B5594">SUM(1-'Sparkling Model'!D$2:D$38^A5594)</f>
        <v>36.76223224</v>
      </c>
      <c r="C5594" s="8">
        <f t="array" ref="C5594">PRODUCT(1-'Sparkling Model'!D$2:D$38^A5594)</f>
        <v>0.7827994995</v>
      </c>
    </row>
    <row r="5595">
      <c r="A5595" s="6">
        <v>5593.0</v>
      </c>
      <c r="B5595" s="17">
        <f t="array" ref="B5595">SUM(1-'Sparkling Model'!D$2:D$38^A5595)</f>
        <v>36.76236073</v>
      </c>
      <c r="C5595" s="8">
        <f t="array" ref="C5595">PRODUCT(1-'Sparkling Model'!D$2:D$38^A5595)</f>
        <v>0.7829057637</v>
      </c>
    </row>
    <row r="5596">
      <c r="A5596" s="6">
        <v>5594.0</v>
      </c>
      <c r="B5596" s="17">
        <f t="array" ref="B5596">SUM(1-'Sparkling Model'!D$2:D$38^A5596)</f>
        <v>36.76248916</v>
      </c>
      <c r="C5596" s="8">
        <f t="array" ref="C5596">PRODUCT(1-'Sparkling Model'!D$2:D$38^A5596)</f>
        <v>0.7830119776</v>
      </c>
    </row>
    <row r="5597">
      <c r="A5597" s="6">
        <v>5595.0</v>
      </c>
      <c r="B5597" s="17">
        <f t="array" ref="B5597">SUM(1-'Sparkling Model'!D$2:D$38^A5597)</f>
        <v>36.7626175</v>
      </c>
      <c r="C5597" s="8">
        <f t="array" ref="C5597">PRODUCT(1-'Sparkling Model'!D$2:D$38^A5597)</f>
        <v>0.7831181413</v>
      </c>
    </row>
    <row r="5598">
      <c r="A5598" s="6">
        <v>5596.0</v>
      </c>
      <c r="B5598" s="17">
        <f t="array" ref="B5598">SUM(1-'Sparkling Model'!D$2:D$38^A5598)</f>
        <v>36.76274578</v>
      </c>
      <c r="C5598" s="8">
        <f t="array" ref="C5598">PRODUCT(1-'Sparkling Model'!D$2:D$38^A5598)</f>
        <v>0.7832242548</v>
      </c>
    </row>
    <row r="5599">
      <c r="A5599" s="6">
        <v>5597.0</v>
      </c>
      <c r="B5599" s="17">
        <f t="array" ref="B5599">SUM(1-'Sparkling Model'!D$2:D$38^A5599)</f>
        <v>36.76287398</v>
      </c>
      <c r="C5599" s="8">
        <f t="array" ref="C5599">PRODUCT(1-'Sparkling Model'!D$2:D$38^A5599)</f>
        <v>0.7833303181</v>
      </c>
    </row>
    <row r="5600">
      <c r="A5600" s="6">
        <v>5598.0</v>
      </c>
      <c r="B5600" s="17">
        <f t="array" ref="B5600">SUM(1-'Sparkling Model'!D$2:D$38^A5600)</f>
        <v>36.7630021</v>
      </c>
      <c r="C5600" s="8">
        <f t="array" ref="C5600">PRODUCT(1-'Sparkling Model'!D$2:D$38^A5600)</f>
        <v>0.7834363312</v>
      </c>
    </row>
    <row r="5601">
      <c r="A5601" s="6">
        <v>5599.0</v>
      </c>
      <c r="B5601" s="17">
        <f t="array" ref="B5601">SUM(1-'Sparkling Model'!D$2:D$38^A5601)</f>
        <v>36.76313015</v>
      </c>
      <c r="C5601" s="8">
        <f t="array" ref="C5601">PRODUCT(1-'Sparkling Model'!D$2:D$38^A5601)</f>
        <v>0.7835422942</v>
      </c>
    </row>
    <row r="5602">
      <c r="A5602" s="6">
        <v>5600.0</v>
      </c>
      <c r="B5602" s="17">
        <f t="array" ref="B5602">SUM(1-'Sparkling Model'!D$2:D$38^A5602)</f>
        <v>36.76325812</v>
      </c>
      <c r="C5602" s="8">
        <f t="array" ref="C5602">PRODUCT(1-'Sparkling Model'!D$2:D$38^A5602)</f>
        <v>0.783648207</v>
      </c>
    </row>
    <row r="5603">
      <c r="A5603" s="6">
        <v>5601.0</v>
      </c>
      <c r="B5603" s="17">
        <f t="array" ref="B5603">SUM(1-'Sparkling Model'!D$2:D$38^A5603)</f>
        <v>36.76338602</v>
      </c>
      <c r="C5603" s="8">
        <f t="array" ref="C5603">PRODUCT(1-'Sparkling Model'!D$2:D$38^A5603)</f>
        <v>0.7837540697</v>
      </c>
    </row>
    <row r="5604">
      <c r="A5604" s="6">
        <v>5602.0</v>
      </c>
      <c r="B5604" s="17">
        <f t="array" ref="B5604">SUM(1-'Sparkling Model'!D$2:D$38^A5604)</f>
        <v>36.76351384</v>
      </c>
      <c r="C5604" s="8">
        <f t="array" ref="C5604">PRODUCT(1-'Sparkling Model'!D$2:D$38^A5604)</f>
        <v>0.7838598823</v>
      </c>
    </row>
    <row r="5605">
      <c r="A5605" s="6">
        <v>5603.0</v>
      </c>
      <c r="B5605" s="17">
        <f t="array" ref="B5605">SUM(1-'Sparkling Model'!D$2:D$38^A5605)</f>
        <v>36.76364159</v>
      </c>
      <c r="C5605" s="8">
        <f t="array" ref="C5605">PRODUCT(1-'Sparkling Model'!D$2:D$38^A5605)</f>
        <v>0.7839656449</v>
      </c>
    </row>
    <row r="5606">
      <c r="A5606" s="6">
        <v>5604.0</v>
      </c>
      <c r="B5606" s="17">
        <f t="array" ref="B5606">SUM(1-'Sparkling Model'!D$2:D$38^A5606)</f>
        <v>36.76376927</v>
      </c>
      <c r="C5606" s="8">
        <f t="array" ref="C5606">PRODUCT(1-'Sparkling Model'!D$2:D$38^A5606)</f>
        <v>0.7840713574</v>
      </c>
    </row>
    <row r="5607">
      <c r="A5607" s="6">
        <v>5605.0</v>
      </c>
      <c r="B5607" s="17">
        <f t="array" ref="B5607">SUM(1-'Sparkling Model'!D$2:D$38^A5607)</f>
        <v>36.76389686</v>
      </c>
      <c r="C5607" s="8">
        <f t="array" ref="C5607">PRODUCT(1-'Sparkling Model'!D$2:D$38^A5607)</f>
        <v>0.7841770199</v>
      </c>
    </row>
    <row r="5608">
      <c r="A5608" s="6">
        <v>5606.0</v>
      </c>
      <c r="B5608" s="17">
        <f t="array" ref="B5608">SUM(1-'Sparkling Model'!D$2:D$38^A5608)</f>
        <v>36.76402439</v>
      </c>
      <c r="C5608" s="8">
        <f t="array" ref="C5608">PRODUCT(1-'Sparkling Model'!D$2:D$38^A5608)</f>
        <v>0.7842826324</v>
      </c>
    </row>
    <row r="5609">
      <c r="A5609" s="6">
        <v>5607.0</v>
      </c>
      <c r="B5609" s="17">
        <f t="array" ref="B5609">SUM(1-'Sparkling Model'!D$2:D$38^A5609)</f>
        <v>36.76415184</v>
      </c>
      <c r="C5609" s="8">
        <f t="array" ref="C5609">PRODUCT(1-'Sparkling Model'!D$2:D$38^A5609)</f>
        <v>0.7843881949</v>
      </c>
    </row>
    <row r="5610">
      <c r="A5610" s="6">
        <v>5608.0</v>
      </c>
      <c r="B5610" s="17">
        <f t="array" ref="B5610">SUM(1-'Sparkling Model'!D$2:D$38^A5610)</f>
        <v>36.76427922</v>
      </c>
      <c r="C5610" s="8">
        <f t="array" ref="C5610">PRODUCT(1-'Sparkling Model'!D$2:D$38^A5610)</f>
        <v>0.7844937074</v>
      </c>
    </row>
    <row r="5611">
      <c r="A5611" s="6">
        <v>5609.0</v>
      </c>
      <c r="B5611" s="17">
        <f t="array" ref="B5611">SUM(1-'Sparkling Model'!D$2:D$38^A5611)</f>
        <v>36.76440652</v>
      </c>
      <c r="C5611" s="8">
        <f t="array" ref="C5611">PRODUCT(1-'Sparkling Model'!D$2:D$38^A5611)</f>
        <v>0.78459917</v>
      </c>
    </row>
    <row r="5612">
      <c r="A5612" s="6">
        <v>5610.0</v>
      </c>
      <c r="B5612" s="17">
        <f t="array" ref="B5612">SUM(1-'Sparkling Model'!D$2:D$38^A5612)</f>
        <v>36.76453375</v>
      </c>
      <c r="C5612" s="8">
        <f t="array" ref="C5612">PRODUCT(1-'Sparkling Model'!D$2:D$38^A5612)</f>
        <v>0.7847045827</v>
      </c>
    </row>
    <row r="5613">
      <c r="A5613" s="6">
        <v>5611.0</v>
      </c>
      <c r="B5613" s="17">
        <f t="array" ref="B5613">SUM(1-'Sparkling Model'!D$2:D$38^A5613)</f>
        <v>36.7646609</v>
      </c>
      <c r="C5613" s="8">
        <f t="array" ref="C5613">PRODUCT(1-'Sparkling Model'!D$2:D$38^A5613)</f>
        <v>0.7848099455</v>
      </c>
    </row>
    <row r="5614">
      <c r="A5614" s="6">
        <v>5612.0</v>
      </c>
      <c r="B5614" s="17">
        <f t="array" ref="B5614">SUM(1-'Sparkling Model'!D$2:D$38^A5614)</f>
        <v>36.76478798</v>
      </c>
      <c r="C5614" s="8">
        <f t="array" ref="C5614">PRODUCT(1-'Sparkling Model'!D$2:D$38^A5614)</f>
        <v>0.7849152584</v>
      </c>
    </row>
    <row r="5615">
      <c r="A5615" s="6">
        <v>5613.0</v>
      </c>
      <c r="B5615" s="17">
        <f t="array" ref="B5615">SUM(1-'Sparkling Model'!D$2:D$38^A5615)</f>
        <v>36.76491499</v>
      </c>
      <c r="C5615" s="8">
        <f t="array" ref="C5615">PRODUCT(1-'Sparkling Model'!D$2:D$38^A5615)</f>
        <v>0.7850205214</v>
      </c>
    </row>
    <row r="5616">
      <c r="A5616" s="6">
        <v>5614.0</v>
      </c>
      <c r="B5616" s="17">
        <f t="array" ref="B5616">SUM(1-'Sparkling Model'!D$2:D$38^A5616)</f>
        <v>36.76504192</v>
      </c>
      <c r="C5616" s="8">
        <f t="array" ref="C5616">PRODUCT(1-'Sparkling Model'!D$2:D$38^A5616)</f>
        <v>0.7851257347</v>
      </c>
    </row>
    <row r="5617">
      <c r="A5617" s="6">
        <v>5615.0</v>
      </c>
      <c r="B5617" s="17">
        <f t="array" ref="B5617">SUM(1-'Sparkling Model'!D$2:D$38^A5617)</f>
        <v>36.76516877</v>
      </c>
      <c r="C5617" s="8">
        <f t="array" ref="C5617">PRODUCT(1-'Sparkling Model'!D$2:D$38^A5617)</f>
        <v>0.7852308981</v>
      </c>
    </row>
    <row r="5618">
      <c r="A5618" s="6">
        <v>5616.0</v>
      </c>
      <c r="B5618" s="17">
        <f t="array" ref="B5618">SUM(1-'Sparkling Model'!D$2:D$38^A5618)</f>
        <v>36.76529556</v>
      </c>
      <c r="C5618" s="8">
        <f t="array" ref="C5618">PRODUCT(1-'Sparkling Model'!D$2:D$38^A5618)</f>
        <v>0.7853360117</v>
      </c>
    </row>
    <row r="5619">
      <c r="A5619" s="6">
        <v>5617.0</v>
      </c>
      <c r="B5619" s="17">
        <f t="array" ref="B5619">SUM(1-'Sparkling Model'!D$2:D$38^A5619)</f>
        <v>36.76542227</v>
      </c>
      <c r="C5619" s="8">
        <f t="array" ref="C5619">PRODUCT(1-'Sparkling Model'!D$2:D$38^A5619)</f>
        <v>0.7854410755</v>
      </c>
    </row>
    <row r="5620">
      <c r="A5620" s="6">
        <v>5618.0</v>
      </c>
      <c r="B5620" s="17">
        <f t="array" ref="B5620">SUM(1-'Sparkling Model'!D$2:D$38^A5620)</f>
        <v>36.7655489</v>
      </c>
      <c r="C5620" s="8">
        <f t="array" ref="C5620">PRODUCT(1-'Sparkling Model'!D$2:D$38^A5620)</f>
        <v>0.7855460896</v>
      </c>
    </row>
    <row r="5621">
      <c r="A5621" s="6">
        <v>5619.0</v>
      </c>
      <c r="B5621" s="17">
        <f t="array" ref="B5621">SUM(1-'Sparkling Model'!D$2:D$38^A5621)</f>
        <v>36.76567546</v>
      </c>
      <c r="C5621" s="8">
        <f t="array" ref="C5621">PRODUCT(1-'Sparkling Model'!D$2:D$38^A5621)</f>
        <v>0.7856510539</v>
      </c>
    </row>
    <row r="5622">
      <c r="A5622" s="6">
        <v>5620.0</v>
      </c>
      <c r="B5622" s="17">
        <f t="array" ref="B5622">SUM(1-'Sparkling Model'!D$2:D$38^A5622)</f>
        <v>36.76580195</v>
      </c>
      <c r="C5622" s="8">
        <f t="array" ref="C5622">PRODUCT(1-'Sparkling Model'!D$2:D$38^A5622)</f>
        <v>0.7857559686</v>
      </c>
    </row>
    <row r="5623">
      <c r="A5623" s="6">
        <v>5621.0</v>
      </c>
      <c r="B5623" s="17">
        <f t="array" ref="B5623">SUM(1-'Sparkling Model'!D$2:D$38^A5623)</f>
        <v>36.76592837</v>
      </c>
      <c r="C5623" s="8">
        <f t="array" ref="C5623">PRODUCT(1-'Sparkling Model'!D$2:D$38^A5623)</f>
        <v>0.7858608336</v>
      </c>
    </row>
    <row r="5624">
      <c r="A5624" s="6">
        <v>5622.0</v>
      </c>
      <c r="B5624" s="17">
        <f t="array" ref="B5624">SUM(1-'Sparkling Model'!D$2:D$38^A5624)</f>
        <v>36.76605471</v>
      </c>
      <c r="C5624" s="8">
        <f t="array" ref="C5624">PRODUCT(1-'Sparkling Model'!D$2:D$38^A5624)</f>
        <v>0.7859656489</v>
      </c>
    </row>
    <row r="5625">
      <c r="A5625" s="6">
        <v>5623.0</v>
      </c>
      <c r="B5625" s="17">
        <f t="array" ref="B5625">SUM(1-'Sparkling Model'!D$2:D$38^A5625)</f>
        <v>36.76618097</v>
      </c>
      <c r="C5625" s="8">
        <f t="array" ref="C5625">PRODUCT(1-'Sparkling Model'!D$2:D$38^A5625)</f>
        <v>0.7860704145</v>
      </c>
    </row>
    <row r="5626">
      <c r="A5626" s="6">
        <v>5624.0</v>
      </c>
      <c r="B5626" s="17">
        <f t="array" ref="B5626">SUM(1-'Sparkling Model'!D$2:D$38^A5626)</f>
        <v>36.76630717</v>
      </c>
      <c r="C5626" s="8">
        <f t="array" ref="C5626">PRODUCT(1-'Sparkling Model'!D$2:D$38^A5626)</f>
        <v>0.7861751306</v>
      </c>
    </row>
    <row r="5627">
      <c r="A5627" s="6">
        <v>5625.0</v>
      </c>
      <c r="B5627" s="17">
        <f t="array" ref="B5627">SUM(1-'Sparkling Model'!D$2:D$38^A5627)</f>
        <v>36.76643328</v>
      </c>
      <c r="C5627" s="8">
        <f t="array" ref="C5627">PRODUCT(1-'Sparkling Model'!D$2:D$38^A5627)</f>
        <v>0.786279797</v>
      </c>
    </row>
    <row r="5628">
      <c r="A5628" s="6">
        <v>5626.0</v>
      </c>
      <c r="B5628" s="17">
        <f t="array" ref="B5628">SUM(1-'Sparkling Model'!D$2:D$38^A5628)</f>
        <v>36.76655933</v>
      </c>
      <c r="C5628" s="8">
        <f t="array" ref="C5628">PRODUCT(1-'Sparkling Model'!D$2:D$38^A5628)</f>
        <v>0.7863844138</v>
      </c>
    </row>
    <row r="5629">
      <c r="A5629" s="6">
        <v>5627.0</v>
      </c>
      <c r="B5629" s="17">
        <f t="array" ref="B5629">SUM(1-'Sparkling Model'!D$2:D$38^A5629)</f>
        <v>36.7666853</v>
      </c>
      <c r="C5629" s="8">
        <f t="array" ref="C5629">PRODUCT(1-'Sparkling Model'!D$2:D$38^A5629)</f>
        <v>0.7864889811</v>
      </c>
    </row>
    <row r="5630">
      <c r="A5630" s="6">
        <v>5628.0</v>
      </c>
      <c r="B5630" s="17">
        <f t="array" ref="B5630">SUM(1-'Sparkling Model'!D$2:D$38^A5630)</f>
        <v>36.7668112</v>
      </c>
      <c r="C5630" s="8">
        <f t="array" ref="C5630">PRODUCT(1-'Sparkling Model'!D$2:D$38^A5630)</f>
        <v>0.7865934989</v>
      </c>
    </row>
    <row r="5631">
      <c r="A5631" s="6">
        <v>5629.0</v>
      </c>
      <c r="B5631" s="17">
        <f t="array" ref="B5631">SUM(1-'Sparkling Model'!D$2:D$38^A5631)</f>
        <v>36.76693703</v>
      </c>
      <c r="C5631" s="8">
        <f t="array" ref="C5631">PRODUCT(1-'Sparkling Model'!D$2:D$38^A5631)</f>
        <v>0.7866979671</v>
      </c>
    </row>
    <row r="5632">
      <c r="A5632" s="6">
        <v>5630.0</v>
      </c>
      <c r="B5632" s="17">
        <f t="array" ref="B5632">SUM(1-'Sparkling Model'!D$2:D$38^A5632)</f>
        <v>36.76706278</v>
      </c>
      <c r="C5632" s="8">
        <f t="array" ref="C5632">PRODUCT(1-'Sparkling Model'!D$2:D$38^A5632)</f>
        <v>0.7868023859</v>
      </c>
    </row>
    <row r="5633">
      <c r="A5633" s="6">
        <v>5631.0</v>
      </c>
      <c r="B5633" s="17">
        <f t="array" ref="B5633">SUM(1-'Sparkling Model'!D$2:D$38^A5633)</f>
        <v>36.76718846</v>
      </c>
      <c r="C5633" s="8">
        <f t="array" ref="C5633">PRODUCT(1-'Sparkling Model'!D$2:D$38^A5633)</f>
        <v>0.7869067551</v>
      </c>
    </row>
    <row r="5634">
      <c r="A5634" s="6">
        <v>5632.0</v>
      </c>
      <c r="B5634" s="17">
        <f t="array" ref="B5634">SUM(1-'Sparkling Model'!D$2:D$38^A5634)</f>
        <v>36.76731406</v>
      </c>
      <c r="C5634" s="8">
        <f t="array" ref="C5634">PRODUCT(1-'Sparkling Model'!D$2:D$38^A5634)</f>
        <v>0.7870110749</v>
      </c>
    </row>
    <row r="5635">
      <c r="A5635" s="6">
        <v>5633.0</v>
      </c>
      <c r="B5635" s="17">
        <f t="array" ref="B5635">SUM(1-'Sparkling Model'!D$2:D$38^A5635)</f>
        <v>36.7674396</v>
      </c>
      <c r="C5635" s="8">
        <f t="array" ref="C5635">PRODUCT(1-'Sparkling Model'!D$2:D$38^A5635)</f>
        <v>0.7871153453</v>
      </c>
    </row>
    <row r="5636">
      <c r="A5636" s="6">
        <v>5634.0</v>
      </c>
      <c r="B5636" s="17">
        <f t="array" ref="B5636">SUM(1-'Sparkling Model'!D$2:D$38^A5636)</f>
        <v>36.76756506</v>
      </c>
      <c r="C5636" s="8">
        <f t="array" ref="C5636">PRODUCT(1-'Sparkling Model'!D$2:D$38^A5636)</f>
        <v>0.7872195663</v>
      </c>
    </row>
    <row r="5637">
      <c r="A5637" s="6">
        <v>5635.0</v>
      </c>
      <c r="B5637" s="17">
        <f t="array" ref="B5637">SUM(1-'Sparkling Model'!D$2:D$38^A5637)</f>
        <v>36.76769044</v>
      </c>
      <c r="C5637" s="8">
        <f t="array" ref="C5637">PRODUCT(1-'Sparkling Model'!D$2:D$38^A5637)</f>
        <v>0.7873237379</v>
      </c>
    </row>
    <row r="5638">
      <c r="A5638" s="6">
        <v>5636.0</v>
      </c>
      <c r="B5638" s="17">
        <f t="array" ref="B5638">SUM(1-'Sparkling Model'!D$2:D$38^A5638)</f>
        <v>36.76781576</v>
      </c>
      <c r="C5638" s="8">
        <f t="array" ref="C5638">PRODUCT(1-'Sparkling Model'!D$2:D$38^A5638)</f>
        <v>0.7874278601</v>
      </c>
    </row>
    <row r="5639">
      <c r="A5639" s="6">
        <v>5637.0</v>
      </c>
      <c r="B5639" s="17">
        <f t="array" ref="B5639">SUM(1-'Sparkling Model'!D$2:D$38^A5639)</f>
        <v>36.767941</v>
      </c>
      <c r="C5639" s="8">
        <f t="array" ref="C5639">PRODUCT(1-'Sparkling Model'!D$2:D$38^A5639)</f>
        <v>0.7875319329</v>
      </c>
    </row>
    <row r="5640">
      <c r="A5640" s="6">
        <v>5638.0</v>
      </c>
      <c r="B5640" s="17">
        <f t="array" ref="B5640">SUM(1-'Sparkling Model'!D$2:D$38^A5640)</f>
        <v>36.76806616</v>
      </c>
      <c r="C5640" s="8">
        <f t="array" ref="C5640">PRODUCT(1-'Sparkling Model'!D$2:D$38^A5640)</f>
        <v>0.7876359564</v>
      </c>
    </row>
    <row r="5641">
      <c r="A5641" s="6">
        <v>5639.0</v>
      </c>
      <c r="B5641" s="17">
        <f t="array" ref="B5641">SUM(1-'Sparkling Model'!D$2:D$38^A5641)</f>
        <v>36.76819126</v>
      </c>
      <c r="C5641" s="8">
        <f t="array" ref="C5641">PRODUCT(1-'Sparkling Model'!D$2:D$38^A5641)</f>
        <v>0.7877399307</v>
      </c>
    </row>
    <row r="5642">
      <c r="A5642" s="6">
        <v>5640.0</v>
      </c>
      <c r="B5642" s="17">
        <f t="array" ref="B5642">SUM(1-'Sparkling Model'!D$2:D$38^A5642)</f>
        <v>36.76831628</v>
      </c>
      <c r="C5642" s="8">
        <f t="array" ref="C5642">PRODUCT(1-'Sparkling Model'!D$2:D$38^A5642)</f>
        <v>0.7878438556</v>
      </c>
    </row>
    <row r="5643">
      <c r="A5643" s="6">
        <v>5641.0</v>
      </c>
      <c r="B5643" s="17">
        <f t="array" ref="B5643">SUM(1-'Sparkling Model'!D$2:D$38^A5643)</f>
        <v>36.76844123</v>
      </c>
      <c r="C5643" s="8">
        <f t="array" ref="C5643">PRODUCT(1-'Sparkling Model'!D$2:D$38^A5643)</f>
        <v>0.7879477313</v>
      </c>
    </row>
    <row r="5644">
      <c r="A5644" s="6">
        <v>5642.0</v>
      </c>
      <c r="B5644" s="17">
        <f t="array" ref="B5644">SUM(1-'Sparkling Model'!D$2:D$38^A5644)</f>
        <v>36.76856611</v>
      </c>
      <c r="C5644" s="8">
        <f t="array" ref="C5644">PRODUCT(1-'Sparkling Model'!D$2:D$38^A5644)</f>
        <v>0.7880515577</v>
      </c>
    </row>
    <row r="5645">
      <c r="A5645" s="6">
        <v>5643.0</v>
      </c>
      <c r="B5645" s="17">
        <f t="array" ref="B5645">SUM(1-'Sparkling Model'!D$2:D$38^A5645)</f>
        <v>36.76869091</v>
      </c>
      <c r="C5645" s="8">
        <f t="array" ref="C5645">PRODUCT(1-'Sparkling Model'!D$2:D$38^A5645)</f>
        <v>0.7881553349</v>
      </c>
    </row>
    <row r="5646">
      <c r="A5646" s="6">
        <v>5644.0</v>
      </c>
      <c r="B5646" s="17">
        <f t="array" ref="B5646">SUM(1-'Sparkling Model'!D$2:D$38^A5646)</f>
        <v>36.76881564</v>
      </c>
      <c r="C5646" s="8">
        <f t="array" ref="C5646">PRODUCT(1-'Sparkling Model'!D$2:D$38^A5646)</f>
        <v>0.7882590629</v>
      </c>
    </row>
    <row r="5647">
      <c r="A5647" s="6">
        <v>5645.0</v>
      </c>
      <c r="B5647" s="17">
        <f t="array" ref="B5647">SUM(1-'Sparkling Model'!D$2:D$38^A5647)</f>
        <v>36.7689403</v>
      </c>
      <c r="C5647" s="8">
        <f t="array" ref="C5647">PRODUCT(1-'Sparkling Model'!D$2:D$38^A5647)</f>
        <v>0.7883627417</v>
      </c>
    </row>
    <row r="5648">
      <c r="A5648" s="6">
        <v>5646.0</v>
      </c>
      <c r="B5648" s="17">
        <f t="array" ref="B5648">SUM(1-'Sparkling Model'!D$2:D$38^A5648)</f>
        <v>36.76906488</v>
      </c>
      <c r="C5648" s="8">
        <f t="array" ref="C5648">PRODUCT(1-'Sparkling Model'!D$2:D$38^A5648)</f>
        <v>0.7884663714</v>
      </c>
    </row>
    <row r="5649">
      <c r="A5649" s="6">
        <v>5647.0</v>
      </c>
      <c r="B5649" s="17">
        <f t="array" ref="B5649">SUM(1-'Sparkling Model'!D$2:D$38^A5649)</f>
        <v>36.7691894</v>
      </c>
      <c r="C5649" s="8">
        <f t="array" ref="C5649">PRODUCT(1-'Sparkling Model'!D$2:D$38^A5649)</f>
        <v>0.7885699519</v>
      </c>
    </row>
    <row r="5650">
      <c r="A5650" s="6">
        <v>5648.0</v>
      </c>
      <c r="B5650" s="17">
        <f t="array" ref="B5650">SUM(1-'Sparkling Model'!D$2:D$38^A5650)</f>
        <v>36.76931384</v>
      </c>
      <c r="C5650" s="8">
        <f t="array" ref="C5650">PRODUCT(1-'Sparkling Model'!D$2:D$38^A5650)</f>
        <v>0.7886734834</v>
      </c>
    </row>
    <row r="5651">
      <c r="A5651" s="6">
        <v>5649.0</v>
      </c>
      <c r="B5651" s="17">
        <f t="array" ref="B5651">SUM(1-'Sparkling Model'!D$2:D$38^A5651)</f>
        <v>36.76943821</v>
      </c>
      <c r="C5651" s="8">
        <f t="array" ref="C5651">PRODUCT(1-'Sparkling Model'!D$2:D$38^A5651)</f>
        <v>0.7887769657</v>
      </c>
    </row>
    <row r="5652">
      <c r="A5652" s="6">
        <v>5650.0</v>
      </c>
      <c r="B5652" s="17">
        <f t="array" ref="B5652">SUM(1-'Sparkling Model'!D$2:D$38^A5652)</f>
        <v>36.7695625</v>
      </c>
      <c r="C5652" s="8">
        <f t="array" ref="C5652">PRODUCT(1-'Sparkling Model'!D$2:D$38^A5652)</f>
        <v>0.7888803989</v>
      </c>
    </row>
    <row r="5653">
      <c r="A5653" s="6">
        <v>5651.0</v>
      </c>
      <c r="B5653" s="17">
        <f t="array" ref="B5653">SUM(1-'Sparkling Model'!D$2:D$38^A5653)</f>
        <v>36.76968673</v>
      </c>
      <c r="C5653" s="8">
        <f t="array" ref="C5653">PRODUCT(1-'Sparkling Model'!D$2:D$38^A5653)</f>
        <v>0.7889837831</v>
      </c>
    </row>
    <row r="5654">
      <c r="A5654" s="6">
        <v>5652.0</v>
      </c>
      <c r="B5654" s="17">
        <f t="array" ref="B5654">SUM(1-'Sparkling Model'!D$2:D$38^A5654)</f>
        <v>36.76981088</v>
      </c>
      <c r="C5654" s="8">
        <f t="array" ref="C5654">PRODUCT(1-'Sparkling Model'!D$2:D$38^A5654)</f>
        <v>0.7890871182</v>
      </c>
    </row>
    <row r="5655">
      <c r="A5655" s="6">
        <v>5653.0</v>
      </c>
      <c r="B5655" s="17">
        <f t="array" ref="B5655">SUM(1-'Sparkling Model'!D$2:D$38^A5655)</f>
        <v>36.76993496</v>
      </c>
      <c r="C5655" s="8">
        <f t="array" ref="C5655">PRODUCT(1-'Sparkling Model'!D$2:D$38^A5655)</f>
        <v>0.7891904044</v>
      </c>
    </row>
    <row r="5656">
      <c r="A5656" s="6">
        <v>5654.0</v>
      </c>
      <c r="B5656" s="17">
        <f t="array" ref="B5656">SUM(1-'Sparkling Model'!D$2:D$38^A5656)</f>
        <v>36.77005896</v>
      </c>
      <c r="C5656" s="8">
        <f t="array" ref="C5656">PRODUCT(1-'Sparkling Model'!D$2:D$38^A5656)</f>
        <v>0.7892936415</v>
      </c>
    </row>
    <row r="5657">
      <c r="A5657" s="6">
        <v>5655.0</v>
      </c>
      <c r="B5657" s="17">
        <f t="array" ref="B5657">SUM(1-'Sparkling Model'!D$2:D$38^A5657)</f>
        <v>36.7701829</v>
      </c>
      <c r="C5657" s="8">
        <f t="array" ref="C5657">PRODUCT(1-'Sparkling Model'!D$2:D$38^A5657)</f>
        <v>0.7893968297</v>
      </c>
    </row>
    <row r="5658">
      <c r="A5658" s="6">
        <v>5656.0</v>
      </c>
      <c r="B5658" s="17">
        <f t="array" ref="B5658">SUM(1-'Sparkling Model'!D$2:D$38^A5658)</f>
        <v>36.77030676</v>
      </c>
      <c r="C5658" s="8">
        <f t="array" ref="C5658">PRODUCT(1-'Sparkling Model'!D$2:D$38^A5658)</f>
        <v>0.7894999689</v>
      </c>
    </row>
    <row r="5659">
      <c r="A5659" s="6">
        <v>5657.0</v>
      </c>
      <c r="B5659" s="17">
        <f t="array" ref="B5659">SUM(1-'Sparkling Model'!D$2:D$38^A5659)</f>
        <v>36.77043055</v>
      </c>
      <c r="C5659" s="8">
        <f t="array" ref="C5659">PRODUCT(1-'Sparkling Model'!D$2:D$38^A5659)</f>
        <v>0.7896030592</v>
      </c>
    </row>
    <row r="5660">
      <c r="A5660" s="6">
        <v>5658.0</v>
      </c>
      <c r="B5660" s="17">
        <f t="array" ref="B5660">SUM(1-'Sparkling Model'!D$2:D$38^A5660)</f>
        <v>36.77055427</v>
      </c>
      <c r="C5660" s="8">
        <f t="array" ref="C5660">PRODUCT(1-'Sparkling Model'!D$2:D$38^A5660)</f>
        <v>0.7897061006</v>
      </c>
    </row>
    <row r="5661">
      <c r="A5661" s="6">
        <v>5659.0</v>
      </c>
      <c r="B5661" s="17">
        <f t="array" ref="B5661">SUM(1-'Sparkling Model'!D$2:D$38^A5661)</f>
        <v>36.77067792</v>
      </c>
      <c r="C5661" s="8">
        <f t="array" ref="C5661">PRODUCT(1-'Sparkling Model'!D$2:D$38^A5661)</f>
        <v>0.7898090931</v>
      </c>
    </row>
    <row r="5662">
      <c r="A5662" s="6">
        <v>5660.0</v>
      </c>
      <c r="B5662" s="17">
        <f t="array" ref="B5662">SUM(1-'Sparkling Model'!D$2:D$38^A5662)</f>
        <v>36.77080149</v>
      </c>
      <c r="C5662" s="8">
        <f t="array" ref="C5662">PRODUCT(1-'Sparkling Model'!D$2:D$38^A5662)</f>
        <v>0.7899120368</v>
      </c>
    </row>
    <row r="5663">
      <c r="A5663" s="6">
        <v>5661.0</v>
      </c>
      <c r="B5663" s="17">
        <f t="array" ref="B5663">SUM(1-'Sparkling Model'!D$2:D$38^A5663)</f>
        <v>36.770925</v>
      </c>
      <c r="C5663" s="8">
        <f t="array" ref="C5663">PRODUCT(1-'Sparkling Model'!D$2:D$38^A5663)</f>
        <v>0.7900149316</v>
      </c>
    </row>
    <row r="5664">
      <c r="A5664" s="6">
        <v>5662.0</v>
      </c>
      <c r="B5664" s="17">
        <f t="array" ref="B5664">SUM(1-'Sparkling Model'!D$2:D$38^A5664)</f>
        <v>36.77104843</v>
      </c>
      <c r="C5664" s="8">
        <f t="array" ref="C5664">PRODUCT(1-'Sparkling Model'!D$2:D$38^A5664)</f>
        <v>0.7901177776</v>
      </c>
    </row>
    <row r="5665">
      <c r="A5665" s="6">
        <v>5663.0</v>
      </c>
      <c r="B5665" s="17">
        <f t="array" ref="B5665">SUM(1-'Sparkling Model'!D$2:D$38^A5665)</f>
        <v>36.77117179</v>
      </c>
      <c r="C5665" s="8">
        <f t="array" ref="C5665">PRODUCT(1-'Sparkling Model'!D$2:D$38^A5665)</f>
        <v>0.7902205747</v>
      </c>
    </row>
    <row r="5666">
      <c r="A5666" s="6">
        <v>5664.0</v>
      </c>
      <c r="B5666" s="17">
        <f t="array" ref="B5666">SUM(1-'Sparkling Model'!D$2:D$38^A5666)</f>
        <v>36.77129508</v>
      </c>
      <c r="C5666" s="8">
        <f t="array" ref="C5666">PRODUCT(1-'Sparkling Model'!D$2:D$38^A5666)</f>
        <v>0.7903233231</v>
      </c>
    </row>
    <row r="5667">
      <c r="A5667" s="6">
        <v>5665.0</v>
      </c>
      <c r="B5667" s="17">
        <f t="array" ref="B5667">SUM(1-'Sparkling Model'!D$2:D$38^A5667)</f>
        <v>36.77141829</v>
      </c>
      <c r="C5667" s="8">
        <f t="array" ref="C5667">PRODUCT(1-'Sparkling Model'!D$2:D$38^A5667)</f>
        <v>0.7904260227</v>
      </c>
    </row>
    <row r="5668">
      <c r="A5668" s="6">
        <v>5666.0</v>
      </c>
      <c r="B5668" s="17">
        <f t="array" ref="B5668">SUM(1-'Sparkling Model'!D$2:D$38^A5668)</f>
        <v>36.77154144</v>
      </c>
      <c r="C5668" s="8">
        <f t="array" ref="C5668">PRODUCT(1-'Sparkling Model'!D$2:D$38^A5668)</f>
        <v>0.7905286736</v>
      </c>
    </row>
    <row r="5669">
      <c r="A5669" s="6">
        <v>5667.0</v>
      </c>
      <c r="B5669" s="17">
        <f t="array" ref="B5669">SUM(1-'Sparkling Model'!D$2:D$38^A5669)</f>
        <v>36.77166451</v>
      </c>
      <c r="C5669" s="8">
        <f t="array" ref="C5669">PRODUCT(1-'Sparkling Model'!D$2:D$38^A5669)</f>
        <v>0.7906312758</v>
      </c>
    </row>
    <row r="5670">
      <c r="A5670" s="6">
        <v>5668.0</v>
      </c>
      <c r="B5670" s="17">
        <f t="array" ref="B5670">SUM(1-'Sparkling Model'!D$2:D$38^A5670)</f>
        <v>36.77178752</v>
      </c>
      <c r="C5670" s="8">
        <f t="array" ref="C5670">PRODUCT(1-'Sparkling Model'!D$2:D$38^A5670)</f>
        <v>0.7907338293</v>
      </c>
    </row>
    <row r="5671">
      <c r="A5671" s="6">
        <v>5669.0</v>
      </c>
      <c r="B5671" s="17">
        <f t="array" ref="B5671">SUM(1-'Sparkling Model'!D$2:D$38^A5671)</f>
        <v>36.77191045</v>
      </c>
      <c r="C5671" s="8">
        <f t="array" ref="C5671">PRODUCT(1-'Sparkling Model'!D$2:D$38^A5671)</f>
        <v>0.7908363341</v>
      </c>
    </row>
    <row r="5672">
      <c r="A5672" s="6">
        <v>5670.0</v>
      </c>
      <c r="B5672" s="17">
        <f t="array" ref="B5672">SUM(1-'Sparkling Model'!D$2:D$38^A5672)</f>
        <v>36.77203331</v>
      </c>
      <c r="C5672" s="8">
        <f t="array" ref="C5672">PRODUCT(1-'Sparkling Model'!D$2:D$38^A5672)</f>
        <v>0.7909387902</v>
      </c>
    </row>
    <row r="5673">
      <c r="A5673" s="6">
        <v>5671.0</v>
      </c>
      <c r="B5673" s="17">
        <f t="array" ref="B5673">SUM(1-'Sparkling Model'!D$2:D$38^A5673)</f>
        <v>36.77215609</v>
      </c>
      <c r="C5673" s="8">
        <f t="array" ref="C5673">PRODUCT(1-'Sparkling Model'!D$2:D$38^A5673)</f>
        <v>0.7910411977</v>
      </c>
    </row>
    <row r="5674">
      <c r="A5674" s="6">
        <v>5672.0</v>
      </c>
      <c r="B5674" s="17">
        <f t="array" ref="B5674">SUM(1-'Sparkling Model'!D$2:D$38^A5674)</f>
        <v>36.77227881</v>
      </c>
      <c r="C5674" s="8">
        <f t="array" ref="C5674">PRODUCT(1-'Sparkling Model'!D$2:D$38^A5674)</f>
        <v>0.7911435566</v>
      </c>
    </row>
    <row r="5675">
      <c r="A5675" s="6">
        <v>5673.0</v>
      </c>
      <c r="B5675" s="17">
        <f t="array" ref="B5675">SUM(1-'Sparkling Model'!D$2:D$38^A5675)</f>
        <v>36.77240145</v>
      </c>
      <c r="C5675" s="8">
        <f t="array" ref="C5675">PRODUCT(1-'Sparkling Model'!D$2:D$38^A5675)</f>
        <v>0.7912458669</v>
      </c>
    </row>
    <row r="5676">
      <c r="A5676" s="6">
        <v>5674.0</v>
      </c>
      <c r="B5676" s="17">
        <f t="array" ref="B5676">SUM(1-'Sparkling Model'!D$2:D$38^A5676)</f>
        <v>36.77252403</v>
      </c>
      <c r="C5676" s="8">
        <f t="array" ref="C5676">PRODUCT(1-'Sparkling Model'!D$2:D$38^A5676)</f>
        <v>0.7913481286</v>
      </c>
    </row>
    <row r="5677">
      <c r="A5677" s="6">
        <v>5675.0</v>
      </c>
      <c r="B5677" s="17">
        <f t="array" ref="B5677">SUM(1-'Sparkling Model'!D$2:D$38^A5677)</f>
        <v>36.77264653</v>
      </c>
      <c r="C5677" s="8">
        <f t="array" ref="C5677">PRODUCT(1-'Sparkling Model'!D$2:D$38^A5677)</f>
        <v>0.7914503418</v>
      </c>
    </row>
    <row r="5678">
      <c r="A5678" s="6">
        <v>5676.0</v>
      </c>
      <c r="B5678" s="17">
        <f t="array" ref="B5678">SUM(1-'Sparkling Model'!D$2:D$38^A5678)</f>
        <v>36.77276896</v>
      </c>
      <c r="C5678" s="8">
        <f t="array" ref="C5678">PRODUCT(1-'Sparkling Model'!D$2:D$38^A5678)</f>
        <v>0.7915525064</v>
      </c>
    </row>
    <row r="5679">
      <c r="A5679" s="6">
        <v>5677.0</v>
      </c>
      <c r="B5679" s="17">
        <f t="array" ref="B5679">SUM(1-'Sparkling Model'!D$2:D$38^A5679)</f>
        <v>36.77289132</v>
      </c>
      <c r="C5679" s="8">
        <f t="array" ref="C5679">PRODUCT(1-'Sparkling Model'!D$2:D$38^A5679)</f>
        <v>0.7916546225</v>
      </c>
    </row>
    <row r="5680">
      <c r="A5680" s="6">
        <v>5678.0</v>
      </c>
      <c r="B5680" s="17">
        <f t="array" ref="B5680">SUM(1-'Sparkling Model'!D$2:D$38^A5680)</f>
        <v>36.77301361</v>
      </c>
      <c r="C5680" s="8">
        <f t="array" ref="C5680">PRODUCT(1-'Sparkling Model'!D$2:D$38^A5680)</f>
        <v>0.7917566902</v>
      </c>
    </row>
    <row r="5681">
      <c r="A5681" s="6">
        <v>5679.0</v>
      </c>
      <c r="B5681" s="17">
        <f t="array" ref="B5681">SUM(1-'Sparkling Model'!D$2:D$38^A5681)</f>
        <v>36.77313583</v>
      </c>
      <c r="C5681" s="8">
        <f t="array" ref="C5681">PRODUCT(1-'Sparkling Model'!D$2:D$38^A5681)</f>
        <v>0.7918587093</v>
      </c>
    </row>
    <row r="5682">
      <c r="A5682" s="6">
        <v>5680.0</v>
      </c>
      <c r="B5682" s="17">
        <f t="array" ref="B5682">SUM(1-'Sparkling Model'!D$2:D$38^A5682)</f>
        <v>36.77325798</v>
      </c>
      <c r="C5682" s="8">
        <f t="array" ref="C5682">PRODUCT(1-'Sparkling Model'!D$2:D$38^A5682)</f>
        <v>0.7919606801</v>
      </c>
    </row>
    <row r="5683">
      <c r="A5683" s="6">
        <v>5681.0</v>
      </c>
      <c r="B5683" s="17">
        <f t="array" ref="B5683">SUM(1-'Sparkling Model'!D$2:D$38^A5683)</f>
        <v>36.77338006</v>
      </c>
      <c r="C5683" s="8">
        <f t="array" ref="C5683">PRODUCT(1-'Sparkling Model'!D$2:D$38^A5683)</f>
        <v>0.7920626024</v>
      </c>
    </row>
    <row r="5684">
      <c r="A5684" s="6">
        <v>5682.0</v>
      </c>
      <c r="B5684" s="17">
        <f t="array" ref="B5684">SUM(1-'Sparkling Model'!D$2:D$38^A5684)</f>
        <v>36.77350206</v>
      </c>
      <c r="C5684" s="8">
        <f t="array" ref="C5684">PRODUCT(1-'Sparkling Model'!D$2:D$38^A5684)</f>
        <v>0.7921644762</v>
      </c>
    </row>
    <row r="5685">
      <c r="A5685" s="6">
        <v>5683.0</v>
      </c>
      <c r="B5685" s="17">
        <f t="array" ref="B5685">SUM(1-'Sparkling Model'!D$2:D$38^A5685)</f>
        <v>36.773624</v>
      </c>
      <c r="C5685" s="8">
        <f t="array" ref="C5685">PRODUCT(1-'Sparkling Model'!D$2:D$38^A5685)</f>
        <v>0.7922663017</v>
      </c>
    </row>
    <row r="5686">
      <c r="A5686" s="6">
        <v>5684.0</v>
      </c>
      <c r="B5686" s="17">
        <f t="array" ref="B5686">SUM(1-'Sparkling Model'!D$2:D$38^A5686)</f>
        <v>36.77374586</v>
      </c>
      <c r="C5686" s="8">
        <f t="array" ref="C5686">PRODUCT(1-'Sparkling Model'!D$2:D$38^A5686)</f>
        <v>0.7923680789</v>
      </c>
    </row>
    <row r="5687">
      <c r="A5687" s="6">
        <v>5685.0</v>
      </c>
      <c r="B5687" s="17">
        <f t="array" ref="B5687">SUM(1-'Sparkling Model'!D$2:D$38^A5687)</f>
        <v>36.77386766</v>
      </c>
      <c r="C5687" s="8">
        <f t="array" ref="C5687">PRODUCT(1-'Sparkling Model'!D$2:D$38^A5687)</f>
        <v>0.7924698077</v>
      </c>
    </row>
    <row r="5688">
      <c r="A5688" s="6">
        <v>5686.0</v>
      </c>
      <c r="B5688" s="17">
        <f t="array" ref="B5688">SUM(1-'Sparkling Model'!D$2:D$38^A5688)</f>
        <v>36.77398938</v>
      </c>
      <c r="C5688" s="8">
        <f t="array" ref="C5688">PRODUCT(1-'Sparkling Model'!D$2:D$38^A5688)</f>
        <v>0.7925714882</v>
      </c>
    </row>
    <row r="5689">
      <c r="A5689" s="6">
        <v>5687.0</v>
      </c>
      <c r="B5689" s="17">
        <f t="array" ref="B5689">SUM(1-'Sparkling Model'!D$2:D$38^A5689)</f>
        <v>36.77411103</v>
      </c>
      <c r="C5689" s="8">
        <f t="array" ref="C5689">PRODUCT(1-'Sparkling Model'!D$2:D$38^A5689)</f>
        <v>0.7926731203</v>
      </c>
    </row>
    <row r="5690">
      <c r="A5690" s="6">
        <v>5688.0</v>
      </c>
      <c r="B5690" s="17">
        <f t="array" ref="B5690">SUM(1-'Sparkling Model'!D$2:D$38^A5690)</f>
        <v>36.77423262</v>
      </c>
      <c r="C5690" s="8">
        <f t="array" ref="C5690">PRODUCT(1-'Sparkling Model'!D$2:D$38^A5690)</f>
        <v>0.7927747042</v>
      </c>
    </row>
    <row r="5691">
      <c r="A5691" s="6">
        <v>5689.0</v>
      </c>
      <c r="B5691" s="17">
        <f t="array" ref="B5691">SUM(1-'Sparkling Model'!D$2:D$38^A5691)</f>
        <v>36.77435413</v>
      </c>
      <c r="C5691" s="8">
        <f t="array" ref="C5691">PRODUCT(1-'Sparkling Model'!D$2:D$38^A5691)</f>
        <v>0.7928762398</v>
      </c>
    </row>
    <row r="5692">
      <c r="A5692" s="6">
        <v>5690.0</v>
      </c>
      <c r="B5692" s="17">
        <f t="array" ref="B5692">SUM(1-'Sparkling Model'!D$2:D$38^A5692)</f>
        <v>36.77447557</v>
      </c>
      <c r="C5692" s="8">
        <f t="array" ref="C5692">PRODUCT(1-'Sparkling Model'!D$2:D$38^A5692)</f>
        <v>0.7929777272</v>
      </c>
    </row>
    <row r="5693">
      <c r="A5693" s="6">
        <v>5691.0</v>
      </c>
      <c r="B5693" s="17">
        <f t="array" ref="B5693">SUM(1-'Sparkling Model'!D$2:D$38^A5693)</f>
        <v>36.77459694</v>
      </c>
      <c r="C5693" s="8">
        <f t="array" ref="C5693">PRODUCT(1-'Sparkling Model'!D$2:D$38^A5693)</f>
        <v>0.7930791664</v>
      </c>
    </row>
    <row r="5694">
      <c r="A5694" s="6">
        <v>5692.0</v>
      </c>
      <c r="B5694" s="17">
        <f t="array" ref="B5694">SUM(1-'Sparkling Model'!D$2:D$38^A5694)</f>
        <v>36.77471824</v>
      </c>
      <c r="C5694" s="8">
        <f t="array" ref="C5694">PRODUCT(1-'Sparkling Model'!D$2:D$38^A5694)</f>
        <v>0.7931805574</v>
      </c>
    </row>
    <row r="5695">
      <c r="A5695" s="6">
        <v>5693.0</v>
      </c>
      <c r="B5695" s="17">
        <f t="array" ref="B5695">SUM(1-'Sparkling Model'!D$2:D$38^A5695)</f>
        <v>36.77483947</v>
      </c>
      <c r="C5695" s="8">
        <f t="array" ref="C5695">PRODUCT(1-'Sparkling Model'!D$2:D$38^A5695)</f>
        <v>0.7932819002</v>
      </c>
    </row>
    <row r="5696">
      <c r="A5696" s="6">
        <v>5694.0</v>
      </c>
      <c r="B5696" s="17">
        <f t="array" ref="B5696">SUM(1-'Sparkling Model'!D$2:D$38^A5696)</f>
        <v>36.77496063</v>
      </c>
      <c r="C5696" s="8">
        <f t="array" ref="C5696">PRODUCT(1-'Sparkling Model'!D$2:D$38^A5696)</f>
        <v>0.7933831948</v>
      </c>
    </row>
    <row r="5697">
      <c r="A5697" s="6">
        <v>5695.0</v>
      </c>
      <c r="B5697" s="17">
        <f t="array" ref="B5697">SUM(1-'Sparkling Model'!D$2:D$38^A5697)</f>
        <v>36.77508172</v>
      </c>
      <c r="C5697" s="8">
        <f t="array" ref="C5697">PRODUCT(1-'Sparkling Model'!D$2:D$38^A5697)</f>
        <v>0.7934844413</v>
      </c>
    </row>
    <row r="5698">
      <c r="A5698" s="6">
        <v>5696.0</v>
      </c>
      <c r="B5698" s="17">
        <f t="array" ref="B5698">SUM(1-'Sparkling Model'!D$2:D$38^A5698)</f>
        <v>36.77520274</v>
      </c>
      <c r="C5698" s="8">
        <f t="array" ref="C5698">PRODUCT(1-'Sparkling Model'!D$2:D$38^A5698)</f>
        <v>0.7935856397</v>
      </c>
    </row>
    <row r="5699">
      <c r="A5699" s="6">
        <v>5697.0</v>
      </c>
      <c r="B5699" s="17">
        <f t="array" ref="B5699">SUM(1-'Sparkling Model'!D$2:D$38^A5699)</f>
        <v>36.77532369</v>
      </c>
      <c r="C5699" s="8">
        <f t="array" ref="C5699">PRODUCT(1-'Sparkling Model'!D$2:D$38^A5699)</f>
        <v>0.79368679</v>
      </c>
    </row>
    <row r="5700">
      <c r="A5700" s="6">
        <v>5698.0</v>
      </c>
      <c r="B5700" s="17">
        <f t="array" ref="B5700">SUM(1-'Sparkling Model'!D$2:D$38^A5700)</f>
        <v>36.77544457</v>
      </c>
      <c r="C5700" s="8">
        <f t="array" ref="C5700">PRODUCT(1-'Sparkling Model'!D$2:D$38^A5700)</f>
        <v>0.7937878922</v>
      </c>
    </row>
    <row r="5701">
      <c r="A5701" s="6">
        <v>5699.0</v>
      </c>
      <c r="B5701" s="17">
        <f t="array" ref="B5701">SUM(1-'Sparkling Model'!D$2:D$38^A5701)</f>
        <v>36.77556538</v>
      </c>
      <c r="C5701" s="8">
        <f t="array" ref="C5701">PRODUCT(1-'Sparkling Model'!D$2:D$38^A5701)</f>
        <v>0.7938889463</v>
      </c>
    </row>
    <row r="5702">
      <c r="A5702" s="6">
        <v>5700.0</v>
      </c>
      <c r="B5702" s="17">
        <f t="array" ref="B5702">SUM(1-'Sparkling Model'!D$2:D$38^A5702)</f>
        <v>36.77568612</v>
      </c>
      <c r="C5702" s="8">
        <f t="array" ref="C5702">PRODUCT(1-'Sparkling Model'!D$2:D$38^A5702)</f>
        <v>0.7939899525</v>
      </c>
    </row>
    <row r="5703">
      <c r="A5703" s="6">
        <v>5701.0</v>
      </c>
      <c r="B5703" s="17">
        <f t="array" ref="B5703">SUM(1-'Sparkling Model'!D$2:D$38^A5703)</f>
        <v>36.77580679</v>
      </c>
      <c r="C5703" s="8">
        <f t="array" ref="C5703">PRODUCT(1-'Sparkling Model'!D$2:D$38^A5703)</f>
        <v>0.7940909106</v>
      </c>
    </row>
    <row r="5704">
      <c r="A5704" s="6">
        <v>5702.0</v>
      </c>
      <c r="B5704" s="17">
        <f t="array" ref="B5704">SUM(1-'Sparkling Model'!D$2:D$38^A5704)</f>
        <v>36.77592738</v>
      </c>
      <c r="C5704" s="8">
        <f t="array" ref="C5704">PRODUCT(1-'Sparkling Model'!D$2:D$38^A5704)</f>
        <v>0.7941918207</v>
      </c>
    </row>
    <row r="5705">
      <c r="A5705" s="6">
        <v>5703.0</v>
      </c>
      <c r="B5705" s="17">
        <f t="array" ref="B5705">SUM(1-'Sparkling Model'!D$2:D$38^A5705)</f>
        <v>36.77604791</v>
      </c>
      <c r="C5705" s="8">
        <f t="array" ref="C5705">PRODUCT(1-'Sparkling Model'!D$2:D$38^A5705)</f>
        <v>0.7942926829</v>
      </c>
    </row>
    <row r="5706">
      <c r="A5706" s="6">
        <v>5704.0</v>
      </c>
      <c r="B5706" s="17">
        <f t="array" ref="B5706">SUM(1-'Sparkling Model'!D$2:D$38^A5706)</f>
        <v>36.77616837</v>
      </c>
      <c r="C5706" s="8">
        <f t="array" ref="C5706">PRODUCT(1-'Sparkling Model'!D$2:D$38^A5706)</f>
        <v>0.7943934971</v>
      </c>
    </row>
    <row r="5707">
      <c r="A5707" s="6">
        <v>5705.0</v>
      </c>
      <c r="B5707" s="17">
        <f t="array" ref="B5707">SUM(1-'Sparkling Model'!D$2:D$38^A5707)</f>
        <v>36.77628876</v>
      </c>
      <c r="C5707" s="8">
        <f t="array" ref="C5707">PRODUCT(1-'Sparkling Model'!D$2:D$38^A5707)</f>
        <v>0.7944942634</v>
      </c>
    </row>
    <row r="5708">
      <c r="A5708" s="6">
        <v>5706.0</v>
      </c>
      <c r="B5708" s="17">
        <f t="array" ref="B5708">SUM(1-'Sparkling Model'!D$2:D$38^A5708)</f>
        <v>36.77640908</v>
      </c>
      <c r="C5708" s="8">
        <f t="array" ref="C5708">PRODUCT(1-'Sparkling Model'!D$2:D$38^A5708)</f>
        <v>0.7945949817</v>
      </c>
    </row>
    <row r="5709">
      <c r="A5709" s="6">
        <v>5707.0</v>
      </c>
      <c r="B5709" s="17">
        <f t="array" ref="B5709">SUM(1-'Sparkling Model'!D$2:D$38^A5709)</f>
        <v>36.77652934</v>
      </c>
      <c r="C5709" s="8">
        <f t="array" ref="C5709">PRODUCT(1-'Sparkling Model'!D$2:D$38^A5709)</f>
        <v>0.7946956522</v>
      </c>
    </row>
    <row r="5710">
      <c r="A5710" s="6">
        <v>5708.0</v>
      </c>
      <c r="B5710" s="17">
        <f t="array" ref="B5710">SUM(1-'Sparkling Model'!D$2:D$38^A5710)</f>
        <v>36.77664952</v>
      </c>
      <c r="C5710" s="8">
        <f t="array" ref="C5710">PRODUCT(1-'Sparkling Model'!D$2:D$38^A5710)</f>
        <v>0.7947962748</v>
      </c>
    </row>
    <row r="5711">
      <c r="A5711" s="6">
        <v>5709.0</v>
      </c>
      <c r="B5711" s="17">
        <f t="array" ref="B5711">SUM(1-'Sparkling Model'!D$2:D$38^A5711)</f>
        <v>36.77676963</v>
      </c>
      <c r="C5711" s="8">
        <f t="array" ref="C5711">PRODUCT(1-'Sparkling Model'!D$2:D$38^A5711)</f>
        <v>0.7948968496</v>
      </c>
    </row>
    <row r="5712">
      <c r="A5712" s="6">
        <v>5710.0</v>
      </c>
      <c r="B5712" s="17">
        <f t="array" ref="B5712">SUM(1-'Sparkling Model'!D$2:D$38^A5712)</f>
        <v>36.77688967</v>
      </c>
      <c r="C5712" s="8">
        <f t="array" ref="C5712">PRODUCT(1-'Sparkling Model'!D$2:D$38^A5712)</f>
        <v>0.7949973766</v>
      </c>
    </row>
    <row r="5713">
      <c r="A5713" s="6">
        <v>5711.0</v>
      </c>
      <c r="B5713" s="17">
        <f t="array" ref="B5713">SUM(1-'Sparkling Model'!D$2:D$38^A5713)</f>
        <v>36.77700964</v>
      </c>
      <c r="C5713" s="8">
        <f t="array" ref="C5713">PRODUCT(1-'Sparkling Model'!D$2:D$38^A5713)</f>
        <v>0.7950978557</v>
      </c>
    </row>
    <row r="5714">
      <c r="A5714" s="6">
        <v>5712.0</v>
      </c>
      <c r="B5714" s="17">
        <f t="array" ref="B5714">SUM(1-'Sparkling Model'!D$2:D$38^A5714)</f>
        <v>36.77712954</v>
      </c>
      <c r="C5714" s="8">
        <f t="array" ref="C5714">PRODUCT(1-'Sparkling Model'!D$2:D$38^A5714)</f>
        <v>0.7951982871</v>
      </c>
    </row>
    <row r="5715">
      <c r="A5715" s="6">
        <v>5713.0</v>
      </c>
      <c r="B5715" s="17">
        <f t="array" ref="B5715">SUM(1-'Sparkling Model'!D$2:D$38^A5715)</f>
        <v>36.77724938</v>
      </c>
      <c r="C5715" s="8">
        <f t="array" ref="C5715">PRODUCT(1-'Sparkling Model'!D$2:D$38^A5715)</f>
        <v>0.7952986707</v>
      </c>
    </row>
    <row r="5716">
      <c r="A5716" s="6">
        <v>5714.0</v>
      </c>
      <c r="B5716" s="17">
        <f t="array" ref="B5716">SUM(1-'Sparkling Model'!D$2:D$38^A5716)</f>
        <v>36.77736914</v>
      </c>
      <c r="C5716" s="8">
        <f t="array" ref="C5716">PRODUCT(1-'Sparkling Model'!D$2:D$38^A5716)</f>
        <v>0.7953990065</v>
      </c>
    </row>
    <row r="5717">
      <c r="A5717" s="6">
        <v>5715.0</v>
      </c>
      <c r="B5717" s="17">
        <f t="array" ref="B5717">SUM(1-'Sparkling Model'!D$2:D$38^A5717)</f>
        <v>36.77748884</v>
      </c>
      <c r="C5717" s="8">
        <f t="array" ref="C5717">PRODUCT(1-'Sparkling Model'!D$2:D$38^A5717)</f>
        <v>0.7954992946</v>
      </c>
    </row>
    <row r="5718">
      <c r="A5718" s="6">
        <v>5716.0</v>
      </c>
      <c r="B5718" s="17">
        <f t="array" ref="B5718">SUM(1-'Sparkling Model'!D$2:D$38^A5718)</f>
        <v>36.77760846</v>
      </c>
      <c r="C5718" s="8">
        <f t="array" ref="C5718">PRODUCT(1-'Sparkling Model'!D$2:D$38^A5718)</f>
        <v>0.7955995351</v>
      </c>
    </row>
    <row r="5719">
      <c r="A5719" s="6">
        <v>5717.0</v>
      </c>
      <c r="B5719" s="17">
        <f t="array" ref="B5719">SUM(1-'Sparkling Model'!D$2:D$38^A5719)</f>
        <v>36.77772802</v>
      </c>
      <c r="C5719" s="8">
        <f t="array" ref="C5719">PRODUCT(1-'Sparkling Model'!D$2:D$38^A5719)</f>
        <v>0.7956997278</v>
      </c>
    </row>
    <row r="5720">
      <c r="A5720" s="6">
        <v>5718.0</v>
      </c>
      <c r="B5720" s="17">
        <f t="array" ref="B5720">SUM(1-'Sparkling Model'!D$2:D$38^A5720)</f>
        <v>36.77784751</v>
      </c>
      <c r="C5720" s="8">
        <f t="array" ref="C5720">PRODUCT(1-'Sparkling Model'!D$2:D$38^A5720)</f>
        <v>0.7957998729</v>
      </c>
    </row>
    <row r="5721">
      <c r="A5721" s="6">
        <v>5719.0</v>
      </c>
      <c r="B5721" s="17">
        <f t="array" ref="B5721">SUM(1-'Sparkling Model'!D$2:D$38^A5721)</f>
        <v>36.77796692</v>
      </c>
      <c r="C5721" s="8">
        <f t="array" ref="C5721">PRODUCT(1-'Sparkling Model'!D$2:D$38^A5721)</f>
        <v>0.7958999703</v>
      </c>
    </row>
    <row r="5722">
      <c r="A5722" s="6">
        <v>5720.0</v>
      </c>
      <c r="B5722" s="17">
        <f t="array" ref="B5722">SUM(1-'Sparkling Model'!D$2:D$38^A5722)</f>
        <v>36.77808627</v>
      </c>
      <c r="C5722" s="8">
        <f t="array" ref="C5722">PRODUCT(1-'Sparkling Model'!D$2:D$38^A5722)</f>
        <v>0.7960000202</v>
      </c>
    </row>
    <row r="5723">
      <c r="A5723" s="6">
        <v>5721.0</v>
      </c>
      <c r="B5723" s="17">
        <f t="array" ref="B5723">SUM(1-'Sparkling Model'!D$2:D$38^A5723)</f>
        <v>36.77820555</v>
      </c>
      <c r="C5723" s="8">
        <f t="array" ref="C5723">PRODUCT(1-'Sparkling Model'!D$2:D$38^A5723)</f>
        <v>0.7961000224</v>
      </c>
    </row>
    <row r="5724">
      <c r="A5724" s="6">
        <v>5722.0</v>
      </c>
      <c r="B5724" s="17">
        <f t="array" ref="B5724">SUM(1-'Sparkling Model'!D$2:D$38^A5724)</f>
        <v>36.77832476</v>
      </c>
      <c r="C5724" s="8">
        <f t="array" ref="C5724">PRODUCT(1-'Sparkling Model'!D$2:D$38^A5724)</f>
        <v>0.796199977</v>
      </c>
    </row>
    <row r="5725">
      <c r="A5725" s="6">
        <v>5723.0</v>
      </c>
      <c r="B5725" s="17">
        <f t="array" ref="B5725">SUM(1-'Sparkling Model'!D$2:D$38^A5725)</f>
        <v>36.77844391</v>
      </c>
      <c r="C5725" s="8">
        <f t="array" ref="C5725">PRODUCT(1-'Sparkling Model'!D$2:D$38^A5725)</f>
        <v>0.7962998841</v>
      </c>
    </row>
    <row r="5726">
      <c r="A5726" s="6">
        <v>5724.0</v>
      </c>
      <c r="B5726" s="17">
        <f t="array" ref="B5726">SUM(1-'Sparkling Model'!D$2:D$38^A5726)</f>
        <v>36.77856298</v>
      </c>
      <c r="C5726" s="8">
        <f t="array" ref="C5726">PRODUCT(1-'Sparkling Model'!D$2:D$38^A5726)</f>
        <v>0.7963997437</v>
      </c>
    </row>
    <row r="5727">
      <c r="A5727" s="6">
        <v>5725.0</v>
      </c>
      <c r="B5727" s="17">
        <f t="array" ref="B5727">SUM(1-'Sparkling Model'!D$2:D$38^A5727)</f>
        <v>36.77868198</v>
      </c>
      <c r="C5727" s="8">
        <f t="array" ref="C5727">PRODUCT(1-'Sparkling Model'!D$2:D$38^A5727)</f>
        <v>0.7964995557</v>
      </c>
    </row>
    <row r="5728">
      <c r="A5728" s="6">
        <v>5726.0</v>
      </c>
      <c r="B5728" s="17">
        <f t="array" ref="B5728">SUM(1-'Sparkling Model'!D$2:D$38^A5728)</f>
        <v>36.77880092</v>
      </c>
      <c r="C5728" s="8">
        <f t="array" ref="C5728">PRODUCT(1-'Sparkling Model'!D$2:D$38^A5728)</f>
        <v>0.7965993203</v>
      </c>
    </row>
    <row r="5729">
      <c r="A5729" s="6">
        <v>5727.0</v>
      </c>
      <c r="B5729" s="17">
        <f t="array" ref="B5729">SUM(1-'Sparkling Model'!D$2:D$38^A5729)</f>
        <v>36.77891979</v>
      </c>
      <c r="C5729" s="8">
        <f t="array" ref="C5729">PRODUCT(1-'Sparkling Model'!D$2:D$38^A5729)</f>
        <v>0.7966990373</v>
      </c>
    </row>
    <row r="5730">
      <c r="A5730" s="6">
        <v>5728.0</v>
      </c>
      <c r="B5730" s="17">
        <f t="array" ref="B5730">SUM(1-'Sparkling Model'!D$2:D$38^A5730)</f>
        <v>36.77903859</v>
      </c>
      <c r="C5730" s="8">
        <f t="array" ref="C5730">PRODUCT(1-'Sparkling Model'!D$2:D$38^A5730)</f>
        <v>0.796798707</v>
      </c>
    </row>
    <row r="5731">
      <c r="A5731" s="6">
        <v>5729.0</v>
      </c>
      <c r="B5731" s="17">
        <f t="array" ref="B5731">SUM(1-'Sparkling Model'!D$2:D$38^A5731)</f>
        <v>36.77915731</v>
      </c>
      <c r="C5731" s="8">
        <f t="array" ref="C5731">PRODUCT(1-'Sparkling Model'!D$2:D$38^A5731)</f>
        <v>0.7968983291</v>
      </c>
    </row>
    <row r="5732">
      <c r="A5732" s="6">
        <v>5730.0</v>
      </c>
      <c r="B5732" s="17">
        <f t="array" ref="B5732">SUM(1-'Sparkling Model'!D$2:D$38^A5732)</f>
        <v>36.77927598</v>
      </c>
      <c r="C5732" s="8">
        <f t="array" ref="C5732">PRODUCT(1-'Sparkling Model'!D$2:D$38^A5732)</f>
        <v>0.7969979039</v>
      </c>
    </row>
    <row r="5733">
      <c r="A5733" s="6">
        <v>5731.0</v>
      </c>
      <c r="B5733" s="17">
        <f t="array" ref="B5733">SUM(1-'Sparkling Model'!D$2:D$38^A5733)</f>
        <v>36.77939457</v>
      </c>
      <c r="C5733" s="8">
        <f t="array" ref="C5733">PRODUCT(1-'Sparkling Model'!D$2:D$38^A5733)</f>
        <v>0.7970974313</v>
      </c>
    </row>
    <row r="5734">
      <c r="A5734" s="6">
        <v>5732.0</v>
      </c>
      <c r="B5734" s="17">
        <f t="array" ref="B5734">SUM(1-'Sparkling Model'!D$2:D$38^A5734)</f>
        <v>36.77951309</v>
      </c>
      <c r="C5734" s="8">
        <f t="array" ref="C5734">PRODUCT(1-'Sparkling Model'!D$2:D$38^A5734)</f>
        <v>0.7971969113</v>
      </c>
    </row>
    <row r="5735">
      <c r="A5735" s="6">
        <v>5733.0</v>
      </c>
      <c r="B5735" s="17">
        <f t="array" ref="B5735">SUM(1-'Sparkling Model'!D$2:D$38^A5735)</f>
        <v>36.77963155</v>
      </c>
      <c r="C5735" s="8">
        <f t="array" ref="C5735">PRODUCT(1-'Sparkling Model'!D$2:D$38^A5735)</f>
        <v>0.7972963439</v>
      </c>
    </row>
    <row r="5736">
      <c r="A5736" s="6">
        <v>5734.0</v>
      </c>
      <c r="B5736" s="17">
        <f t="array" ref="B5736">SUM(1-'Sparkling Model'!D$2:D$38^A5736)</f>
        <v>36.77974993</v>
      </c>
      <c r="C5736" s="8">
        <f t="array" ref="C5736">PRODUCT(1-'Sparkling Model'!D$2:D$38^A5736)</f>
        <v>0.7973957292</v>
      </c>
    </row>
    <row r="5737">
      <c r="A5737" s="6">
        <v>5735.0</v>
      </c>
      <c r="B5737" s="17">
        <f t="array" ref="B5737">SUM(1-'Sparkling Model'!D$2:D$38^A5737)</f>
        <v>36.77986825</v>
      </c>
      <c r="C5737" s="8">
        <f t="array" ref="C5737">PRODUCT(1-'Sparkling Model'!D$2:D$38^A5737)</f>
        <v>0.7974950673</v>
      </c>
    </row>
    <row r="5738">
      <c r="A5738" s="6">
        <v>5736.0</v>
      </c>
      <c r="B5738" s="17">
        <f t="array" ref="B5738">SUM(1-'Sparkling Model'!D$2:D$38^A5738)</f>
        <v>36.7799865</v>
      </c>
      <c r="C5738" s="8">
        <f t="array" ref="C5738">PRODUCT(1-'Sparkling Model'!D$2:D$38^A5738)</f>
        <v>0.797594358</v>
      </c>
    </row>
    <row r="5739">
      <c r="A5739" s="6">
        <v>5737.0</v>
      </c>
      <c r="B5739" s="17">
        <f t="array" ref="B5739">SUM(1-'Sparkling Model'!D$2:D$38^A5739)</f>
        <v>36.78010468</v>
      </c>
      <c r="C5739" s="8">
        <f t="array" ref="C5739">PRODUCT(1-'Sparkling Model'!D$2:D$38^A5739)</f>
        <v>0.7976936014</v>
      </c>
    </row>
    <row r="5740">
      <c r="A5740" s="6">
        <v>5738.0</v>
      </c>
      <c r="B5740" s="17">
        <f t="array" ref="B5740">SUM(1-'Sparkling Model'!D$2:D$38^A5740)</f>
        <v>36.7802228</v>
      </c>
      <c r="C5740" s="8">
        <f t="array" ref="C5740">PRODUCT(1-'Sparkling Model'!D$2:D$38^A5740)</f>
        <v>0.7977927976</v>
      </c>
    </row>
    <row r="5741">
      <c r="A5741" s="6">
        <v>5739.0</v>
      </c>
      <c r="B5741" s="17">
        <f t="array" ref="B5741">SUM(1-'Sparkling Model'!D$2:D$38^A5741)</f>
        <v>36.78034084</v>
      </c>
      <c r="C5741" s="8">
        <f t="array" ref="C5741">PRODUCT(1-'Sparkling Model'!D$2:D$38^A5741)</f>
        <v>0.7978919466</v>
      </c>
    </row>
    <row r="5742">
      <c r="A5742" s="6">
        <v>5740.0</v>
      </c>
      <c r="B5742" s="17">
        <f t="array" ref="B5742">SUM(1-'Sparkling Model'!D$2:D$38^A5742)</f>
        <v>36.78045882</v>
      </c>
      <c r="C5742" s="8">
        <f t="array" ref="C5742">PRODUCT(1-'Sparkling Model'!D$2:D$38^A5742)</f>
        <v>0.7979910484</v>
      </c>
    </row>
    <row r="5743">
      <c r="A5743" s="6">
        <v>5741.0</v>
      </c>
      <c r="B5743" s="17">
        <f t="array" ref="B5743">SUM(1-'Sparkling Model'!D$2:D$38^A5743)</f>
        <v>36.78057673</v>
      </c>
      <c r="C5743" s="8">
        <f t="array" ref="C5743">PRODUCT(1-'Sparkling Model'!D$2:D$38^A5743)</f>
        <v>0.7980901029</v>
      </c>
    </row>
    <row r="5744">
      <c r="A5744" s="6">
        <v>5742.0</v>
      </c>
      <c r="B5744" s="17">
        <f t="array" ref="B5744">SUM(1-'Sparkling Model'!D$2:D$38^A5744)</f>
        <v>36.78069457</v>
      </c>
      <c r="C5744" s="8">
        <f t="array" ref="C5744">PRODUCT(1-'Sparkling Model'!D$2:D$38^A5744)</f>
        <v>0.7981891103</v>
      </c>
    </row>
    <row r="5745">
      <c r="A5745" s="6">
        <v>5743.0</v>
      </c>
      <c r="B5745" s="17">
        <f t="array" ref="B5745">SUM(1-'Sparkling Model'!D$2:D$38^A5745)</f>
        <v>36.78081234</v>
      </c>
      <c r="C5745" s="8">
        <f t="array" ref="C5745">PRODUCT(1-'Sparkling Model'!D$2:D$38^A5745)</f>
        <v>0.7982880706</v>
      </c>
    </row>
    <row r="5746">
      <c r="A5746" s="6">
        <v>5744.0</v>
      </c>
      <c r="B5746" s="17">
        <f t="array" ref="B5746">SUM(1-'Sparkling Model'!D$2:D$38^A5746)</f>
        <v>36.78093005</v>
      </c>
      <c r="C5746" s="8">
        <f t="array" ref="C5746">PRODUCT(1-'Sparkling Model'!D$2:D$38^A5746)</f>
        <v>0.7983869837</v>
      </c>
    </row>
    <row r="5747">
      <c r="A5747" s="6">
        <v>5745.0</v>
      </c>
      <c r="B5747" s="17">
        <f t="array" ref="B5747">SUM(1-'Sparkling Model'!D$2:D$38^A5747)</f>
        <v>36.78104768</v>
      </c>
      <c r="C5747" s="8">
        <f t="array" ref="C5747">PRODUCT(1-'Sparkling Model'!D$2:D$38^A5747)</f>
        <v>0.7984858498</v>
      </c>
    </row>
    <row r="5748">
      <c r="A5748" s="6">
        <v>5746.0</v>
      </c>
      <c r="B5748" s="17">
        <f t="array" ref="B5748">SUM(1-'Sparkling Model'!D$2:D$38^A5748)</f>
        <v>36.78116525</v>
      </c>
      <c r="C5748" s="8">
        <f t="array" ref="C5748">PRODUCT(1-'Sparkling Model'!D$2:D$38^A5748)</f>
        <v>0.7985846687</v>
      </c>
    </row>
    <row r="5749">
      <c r="A5749" s="6">
        <v>5747.0</v>
      </c>
      <c r="B5749" s="17">
        <f t="array" ref="B5749">SUM(1-'Sparkling Model'!D$2:D$38^A5749)</f>
        <v>36.78128275</v>
      </c>
      <c r="C5749" s="8">
        <f t="array" ref="C5749">PRODUCT(1-'Sparkling Model'!D$2:D$38^A5749)</f>
        <v>0.7986834406</v>
      </c>
    </row>
    <row r="5750">
      <c r="A5750" s="6">
        <v>5748.0</v>
      </c>
      <c r="B5750" s="17">
        <f t="array" ref="B5750">SUM(1-'Sparkling Model'!D$2:D$38^A5750)</f>
        <v>36.78140019</v>
      </c>
      <c r="C5750" s="8">
        <f t="array" ref="C5750">PRODUCT(1-'Sparkling Model'!D$2:D$38^A5750)</f>
        <v>0.7987821654</v>
      </c>
    </row>
    <row r="5751">
      <c r="A5751" s="6">
        <v>5749.0</v>
      </c>
      <c r="B5751" s="17">
        <f t="array" ref="B5751">SUM(1-'Sparkling Model'!D$2:D$38^A5751)</f>
        <v>36.78151755</v>
      </c>
      <c r="C5751" s="8">
        <f t="array" ref="C5751">PRODUCT(1-'Sparkling Model'!D$2:D$38^A5751)</f>
        <v>0.7988808432</v>
      </c>
    </row>
    <row r="5752">
      <c r="A5752" s="6">
        <v>5750.0</v>
      </c>
      <c r="B5752" s="17">
        <f t="array" ref="B5752">SUM(1-'Sparkling Model'!D$2:D$38^A5752)</f>
        <v>36.78163485</v>
      </c>
      <c r="C5752" s="8">
        <f t="array" ref="C5752">PRODUCT(1-'Sparkling Model'!D$2:D$38^A5752)</f>
        <v>0.798979474</v>
      </c>
    </row>
    <row r="5753">
      <c r="A5753" s="6">
        <v>5751.0</v>
      </c>
      <c r="B5753" s="17">
        <f t="array" ref="B5753">SUM(1-'Sparkling Model'!D$2:D$38^A5753)</f>
        <v>36.78175208</v>
      </c>
      <c r="C5753" s="8">
        <f t="array" ref="C5753">PRODUCT(1-'Sparkling Model'!D$2:D$38^A5753)</f>
        <v>0.7990780578</v>
      </c>
    </row>
    <row r="5754">
      <c r="A5754" s="6">
        <v>5752.0</v>
      </c>
      <c r="B5754" s="17">
        <f t="array" ref="B5754">SUM(1-'Sparkling Model'!D$2:D$38^A5754)</f>
        <v>36.78186924</v>
      </c>
      <c r="C5754" s="8">
        <f t="array" ref="C5754">PRODUCT(1-'Sparkling Model'!D$2:D$38^A5754)</f>
        <v>0.7991765947</v>
      </c>
    </row>
    <row r="5755">
      <c r="A5755" s="6">
        <v>5753.0</v>
      </c>
      <c r="B5755" s="17">
        <f t="array" ref="B5755">SUM(1-'Sparkling Model'!D$2:D$38^A5755)</f>
        <v>36.78198634</v>
      </c>
      <c r="C5755" s="8">
        <f t="array" ref="C5755">PRODUCT(1-'Sparkling Model'!D$2:D$38^A5755)</f>
        <v>0.7992750846</v>
      </c>
    </row>
    <row r="5756">
      <c r="A5756" s="6">
        <v>5754.0</v>
      </c>
      <c r="B5756" s="17">
        <f t="array" ref="B5756">SUM(1-'Sparkling Model'!D$2:D$38^A5756)</f>
        <v>36.78210337</v>
      </c>
      <c r="C5756" s="8">
        <f t="array" ref="C5756">PRODUCT(1-'Sparkling Model'!D$2:D$38^A5756)</f>
        <v>0.7993735276</v>
      </c>
    </row>
    <row r="5757">
      <c r="A5757" s="6">
        <v>5755.0</v>
      </c>
      <c r="B5757" s="17">
        <f t="array" ref="B5757">SUM(1-'Sparkling Model'!D$2:D$38^A5757)</f>
        <v>36.78222033</v>
      </c>
      <c r="C5757" s="8">
        <f t="array" ref="C5757">PRODUCT(1-'Sparkling Model'!D$2:D$38^A5757)</f>
        <v>0.7994719237</v>
      </c>
    </row>
    <row r="5758">
      <c r="A5758" s="6">
        <v>5756.0</v>
      </c>
      <c r="B5758" s="17">
        <f t="array" ref="B5758">SUM(1-'Sparkling Model'!D$2:D$38^A5758)</f>
        <v>36.78233722</v>
      </c>
      <c r="C5758" s="8">
        <f t="array" ref="C5758">PRODUCT(1-'Sparkling Model'!D$2:D$38^A5758)</f>
        <v>0.7995702729</v>
      </c>
    </row>
    <row r="5759">
      <c r="A5759" s="6">
        <v>5757.0</v>
      </c>
      <c r="B5759" s="17">
        <f t="array" ref="B5759">SUM(1-'Sparkling Model'!D$2:D$38^A5759)</f>
        <v>36.78245404</v>
      </c>
      <c r="C5759" s="8">
        <f t="array" ref="C5759">PRODUCT(1-'Sparkling Model'!D$2:D$38^A5759)</f>
        <v>0.7996685753</v>
      </c>
    </row>
    <row r="5760">
      <c r="A5760" s="6">
        <v>5758.0</v>
      </c>
      <c r="B5760" s="17">
        <f t="array" ref="B5760">SUM(1-'Sparkling Model'!D$2:D$38^A5760)</f>
        <v>36.7825708</v>
      </c>
      <c r="C5760" s="8">
        <f t="array" ref="C5760">PRODUCT(1-'Sparkling Model'!D$2:D$38^A5760)</f>
        <v>0.7997668308</v>
      </c>
    </row>
    <row r="5761">
      <c r="A5761" s="6">
        <v>5759.0</v>
      </c>
      <c r="B5761" s="17">
        <f t="array" ref="B5761">SUM(1-'Sparkling Model'!D$2:D$38^A5761)</f>
        <v>36.78268749</v>
      </c>
      <c r="C5761" s="8">
        <f t="array" ref="C5761">PRODUCT(1-'Sparkling Model'!D$2:D$38^A5761)</f>
        <v>0.7998650395</v>
      </c>
    </row>
    <row r="5762">
      <c r="A5762" s="6">
        <v>5760.0</v>
      </c>
      <c r="B5762" s="17">
        <f t="array" ref="B5762">SUM(1-'Sparkling Model'!D$2:D$38^A5762)</f>
        <v>36.78280411</v>
      </c>
      <c r="C5762" s="8">
        <f t="array" ref="C5762">PRODUCT(1-'Sparkling Model'!D$2:D$38^A5762)</f>
        <v>0.7999632014</v>
      </c>
    </row>
    <row r="5763">
      <c r="A5763" s="6">
        <v>5761.0</v>
      </c>
      <c r="B5763" s="17">
        <f t="array" ref="B5763">SUM(1-'Sparkling Model'!D$2:D$38^A5763)</f>
        <v>36.78292067</v>
      </c>
      <c r="C5763" s="8">
        <f t="array" ref="C5763">PRODUCT(1-'Sparkling Model'!D$2:D$38^A5763)</f>
        <v>0.8000613165</v>
      </c>
    </row>
    <row r="5764">
      <c r="A5764" s="6">
        <v>5762.0</v>
      </c>
      <c r="B5764" s="17">
        <f t="array" ref="B5764">SUM(1-'Sparkling Model'!D$2:D$38^A5764)</f>
        <v>36.78303716</v>
      </c>
      <c r="C5764" s="8">
        <f t="array" ref="C5764">PRODUCT(1-'Sparkling Model'!D$2:D$38^A5764)</f>
        <v>0.8001593848</v>
      </c>
    </row>
    <row r="5765">
      <c r="A5765" s="6">
        <v>5763.0</v>
      </c>
      <c r="B5765" s="17">
        <f t="array" ref="B5765">SUM(1-'Sparkling Model'!D$2:D$38^A5765)</f>
        <v>36.78315358</v>
      </c>
      <c r="C5765" s="8">
        <f t="array" ref="C5765">PRODUCT(1-'Sparkling Model'!D$2:D$38^A5765)</f>
        <v>0.8002574064</v>
      </c>
    </row>
    <row r="5766">
      <c r="A5766" s="6">
        <v>5764.0</v>
      </c>
      <c r="B5766" s="17">
        <f t="array" ref="B5766">SUM(1-'Sparkling Model'!D$2:D$38^A5766)</f>
        <v>36.78326993</v>
      </c>
      <c r="C5766" s="8">
        <f t="array" ref="C5766">PRODUCT(1-'Sparkling Model'!D$2:D$38^A5766)</f>
        <v>0.8003553813</v>
      </c>
    </row>
    <row r="5767">
      <c r="A5767" s="6">
        <v>5765.0</v>
      </c>
      <c r="B5767" s="17">
        <f t="array" ref="B5767">SUM(1-'Sparkling Model'!D$2:D$38^A5767)</f>
        <v>36.78338622</v>
      </c>
      <c r="C5767" s="8">
        <f t="array" ref="C5767">PRODUCT(1-'Sparkling Model'!D$2:D$38^A5767)</f>
        <v>0.8004533095</v>
      </c>
    </row>
    <row r="5768">
      <c r="A5768" s="6">
        <v>5766.0</v>
      </c>
      <c r="B5768" s="17">
        <f t="array" ref="B5768">SUM(1-'Sparkling Model'!D$2:D$38^A5768)</f>
        <v>36.78350244</v>
      </c>
      <c r="C5768" s="8">
        <f t="array" ref="C5768">PRODUCT(1-'Sparkling Model'!D$2:D$38^A5768)</f>
        <v>0.800551191</v>
      </c>
    </row>
    <row r="5769">
      <c r="A5769" s="6">
        <v>5767.0</v>
      </c>
      <c r="B5769" s="17">
        <f t="array" ref="B5769">SUM(1-'Sparkling Model'!D$2:D$38^A5769)</f>
        <v>36.7836186</v>
      </c>
      <c r="C5769" s="8">
        <f t="array" ref="C5769">PRODUCT(1-'Sparkling Model'!D$2:D$38^A5769)</f>
        <v>0.8006490259</v>
      </c>
    </row>
    <row r="5770">
      <c r="A5770" s="6">
        <v>5768.0</v>
      </c>
      <c r="B5770" s="17">
        <f t="array" ref="B5770">SUM(1-'Sparkling Model'!D$2:D$38^A5770)</f>
        <v>36.78373468</v>
      </c>
      <c r="C5770" s="8">
        <f t="array" ref="C5770">PRODUCT(1-'Sparkling Model'!D$2:D$38^A5770)</f>
        <v>0.8007468141</v>
      </c>
    </row>
    <row r="5771">
      <c r="A5771" s="6">
        <v>5769.0</v>
      </c>
      <c r="B5771" s="17">
        <f t="array" ref="B5771">SUM(1-'Sparkling Model'!D$2:D$38^A5771)</f>
        <v>36.7838507</v>
      </c>
      <c r="C5771" s="8">
        <f t="array" ref="C5771">PRODUCT(1-'Sparkling Model'!D$2:D$38^A5771)</f>
        <v>0.8008445557</v>
      </c>
    </row>
    <row r="5772">
      <c r="A5772" s="6">
        <v>5770.0</v>
      </c>
      <c r="B5772" s="17">
        <f t="array" ref="B5772">SUM(1-'Sparkling Model'!D$2:D$38^A5772)</f>
        <v>36.78396665</v>
      </c>
      <c r="C5772" s="8">
        <f t="array" ref="C5772">PRODUCT(1-'Sparkling Model'!D$2:D$38^A5772)</f>
        <v>0.8009422507</v>
      </c>
    </row>
    <row r="5773">
      <c r="A5773" s="6">
        <v>5771.0</v>
      </c>
      <c r="B5773" s="17">
        <f t="array" ref="B5773">SUM(1-'Sparkling Model'!D$2:D$38^A5773)</f>
        <v>36.78408254</v>
      </c>
      <c r="C5773" s="8">
        <f t="array" ref="C5773">PRODUCT(1-'Sparkling Model'!D$2:D$38^A5773)</f>
        <v>0.8010398992</v>
      </c>
    </row>
    <row r="5774">
      <c r="A5774" s="6">
        <v>5772.0</v>
      </c>
      <c r="B5774" s="17">
        <f t="array" ref="B5774">SUM(1-'Sparkling Model'!D$2:D$38^A5774)</f>
        <v>36.78419836</v>
      </c>
      <c r="C5774" s="8">
        <f t="array" ref="C5774">PRODUCT(1-'Sparkling Model'!D$2:D$38^A5774)</f>
        <v>0.8011375011</v>
      </c>
    </row>
    <row r="5775">
      <c r="A5775" s="6">
        <v>5773.0</v>
      </c>
      <c r="B5775" s="17">
        <f t="array" ref="B5775">SUM(1-'Sparkling Model'!D$2:D$38^A5775)</f>
        <v>36.78431411</v>
      </c>
      <c r="C5775" s="8">
        <f t="array" ref="C5775">PRODUCT(1-'Sparkling Model'!D$2:D$38^A5775)</f>
        <v>0.8012350564</v>
      </c>
    </row>
    <row r="5776">
      <c r="A5776" s="6">
        <v>5774.0</v>
      </c>
      <c r="B5776" s="17">
        <f t="array" ref="B5776">SUM(1-'Sparkling Model'!D$2:D$38^A5776)</f>
        <v>36.7844298</v>
      </c>
      <c r="C5776" s="8">
        <f t="array" ref="C5776">PRODUCT(1-'Sparkling Model'!D$2:D$38^A5776)</f>
        <v>0.8013325652</v>
      </c>
    </row>
    <row r="5777">
      <c r="A5777" s="6">
        <v>5775.0</v>
      </c>
      <c r="B5777" s="17">
        <f t="array" ref="B5777">SUM(1-'Sparkling Model'!D$2:D$38^A5777)</f>
        <v>36.78454542</v>
      </c>
      <c r="C5777" s="8">
        <f t="array" ref="C5777">PRODUCT(1-'Sparkling Model'!D$2:D$38^A5777)</f>
        <v>0.8014300276</v>
      </c>
    </row>
    <row r="5778">
      <c r="A5778" s="6">
        <v>5776.0</v>
      </c>
      <c r="B5778" s="17">
        <f t="array" ref="B5778">SUM(1-'Sparkling Model'!D$2:D$38^A5778)</f>
        <v>36.78466097</v>
      </c>
      <c r="C5778" s="8">
        <f t="array" ref="C5778">PRODUCT(1-'Sparkling Model'!D$2:D$38^A5778)</f>
        <v>0.8015274434</v>
      </c>
    </row>
    <row r="5779">
      <c r="A5779" s="6">
        <v>5777.0</v>
      </c>
      <c r="B5779" s="17">
        <f t="array" ref="B5779">SUM(1-'Sparkling Model'!D$2:D$38^A5779)</f>
        <v>36.78477645</v>
      </c>
      <c r="C5779" s="8">
        <f t="array" ref="C5779">PRODUCT(1-'Sparkling Model'!D$2:D$38^A5779)</f>
        <v>0.8016248128</v>
      </c>
    </row>
    <row r="5780">
      <c r="A5780" s="6">
        <v>5778.0</v>
      </c>
      <c r="B5780" s="17">
        <f t="array" ref="B5780">SUM(1-'Sparkling Model'!D$2:D$38^A5780)</f>
        <v>36.78489187</v>
      </c>
      <c r="C5780" s="8">
        <f t="array" ref="C5780">PRODUCT(1-'Sparkling Model'!D$2:D$38^A5780)</f>
        <v>0.8017221358</v>
      </c>
    </row>
    <row r="5781">
      <c r="A5781" s="6">
        <v>5779.0</v>
      </c>
      <c r="B5781" s="17">
        <f t="array" ref="B5781">SUM(1-'Sparkling Model'!D$2:D$38^A5781)</f>
        <v>36.78500723</v>
      </c>
      <c r="C5781" s="8">
        <f t="array" ref="C5781">PRODUCT(1-'Sparkling Model'!D$2:D$38^A5781)</f>
        <v>0.8018194124</v>
      </c>
    </row>
    <row r="5782">
      <c r="A5782" s="6">
        <v>5780.0</v>
      </c>
      <c r="B5782" s="17">
        <f t="array" ref="B5782">SUM(1-'Sparkling Model'!D$2:D$38^A5782)</f>
        <v>36.78512251</v>
      </c>
      <c r="C5782" s="8">
        <f t="array" ref="C5782">PRODUCT(1-'Sparkling Model'!D$2:D$38^A5782)</f>
        <v>0.8019166425</v>
      </c>
    </row>
    <row r="5783">
      <c r="A5783" s="6">
        <v>5781.0</v>
      </c>
      <c r="B5783" s="17">
        <f t="array" ref="B5783">SUM(1-'Sparkling Model'!D$2:D$38^A5783)</f>
        <v>36.78523773</v>
      </c>
      <c r="C5783" s="8">
        <f t="array" ref="C5783">PRODUCT(1-'Sparkling Model'!D$2:D$38^A5783)</f>
        <v>0.8020138263</v>
      </c>
    </row>
    <row r="5784">
      <c r="A5784" s="6">
        <v>5782.0</v>
      </c>
      <c r="B5784" s="17">
        <f t="array" ref="B5784">SUM(1-'Sparkling Model'!D$2:D$38^A5784)</f>
        <v>36.78535289</v>
      </c>
      <c r="C5784" s="8">
        <f t="array" ref="C5784">PRODUCT(1-'Sparkling Model'!D$2:D$38^A5784)</f>
        <v>0.8021109638</v>
      </c>
    </row>
    <row r="5785">
      <c r="A5785" s="6">
        <v>5783.0</v>
      </c>
      <c r="B5785" s="17">
        <f t="array" ref="B5785">SUM(1-'Sparkling Model'!D$2:D$38^A5785)</f>
        <v>36.78546797</v>
      </c>
      <c r="C5785" s="8">
        <f t="array" ref="C5785">PRODUCT(1-'Sparkling Model'!D$2:D$38^A5785)</f>
        <v>0.8022080549</v>
      </c>
    </row>
    <row r="5786">
      <c r="A5786" s="6">
        <v>5784.0</v>
      </c>
      <c r="B5786" s="17">
        <f t="array" ref="B5786">SUM(1-'Sparkling Model'!D$2:D$38^A5786)</f>
        <v>36.785583</v>
      </c>
      <c r="C5786" s="8">
        <f t="array" ref="C5786">PRODUCT(1-'Sparkling Model'!D$2:D$38^A5786)</f>
        <v>0.8023050997</v>
      </c>
    </row>
    <row r="5787">
      <c r="A5787" s="6">
        <v>5785.0</v>
      </c>
      <c r="B5787" s="17">
        <f t="array" ref="B5787">SUM(1-'Sparkling Model'!D$2:D$38^A5787)</f>
        <v>36.78569795</v>
      </c>
      <c r="C5787" s="8">
        <f t="array" ref="C5787">PRODUCT(1-'Sparkling Model'!D$2:D$38^A5787)</f>
        <v>0.8024020982</v>
      </c>
    </row>
    <row r="5788">
      <c r="A5788" s="6">
        <v>5786.0</v>
      </c>
      <c r="B5788" s="17">
        <f t="array" ref="B5788">SUM(1-'Sparkling Model'!D$2:D$38^A5788)</f>
        <v>36.78581284</v>
      </c>
      <c r="C5788" s="8">
        <f t="array" ref="C5788">PRODUCT(1-'Sparkling Model'!D$2:D$38^A5788)</f>
        <v>0.8024990504</v>
      </c>
    </row>
    <row r="5789">
      <c r="A5789" s="6">
        <v>5787.0</v>
      </c>
      <c r="B5789" s="17">
        <f t="array" ref="B5789">SUM(1-'Sparkling Model'!D$2:D$38^A5789)</f>
        <v>36.78592766</v>
      </c>
      <c r="C5789" s="8">
        <f t="array" ref="C5789">PRODUCT(1-'Sparkling Model'!D$2:D$38^A5789)</f>
        <v>0.8025959564</v>
      </c>
    </row>
    <row r="5790">
      <c r="A5790" s="6">
        <v>5788.0</v>
      </c>
      <c r="B5790" s="17">
        <f t="array" ref="B5790">SUM(1-'Sparkling Model'!D$2:D$38^A5790)</f>
        <v>36.78604242</v>
      </c>
      <c r="C5790" s="8">
        <f t="array" ref="C5790">PRODUCT(1-'Sparkling Model'!D$2:D$38^A5790)</f>
        <v>0.8026928161</v>
      </c>
    </row>
    <row r="5791">
      <c r="A5791" s="6">
        <v>5789.0</v>
      </c>
      <c r="B5791" s="17">
        <f t="array" ref="B5791">SUM(1-'Sparkling Model'!D$2:D$38^A5791)</f>
        <v>36.78615711</v>
      </c>
      <c r="C5791" s="8">
        <f t="array" ref="C5791">PRODUCT(1-'Sparkling Model'!D$2:D$38^A5791)</f>
        <v>0.8027896296</v>
      </c>
    </row>
    <row r="5792">
      <c r="A5792" s="6">
        <v>5790.0</v>
      </c>
      <c r="B5792" s="17">
        <f t="array" ref="B5792">SUM(1-'Sparkling Model'!D$2:D$38^A5792)</f>
        <v>36.78627174</v>
      </c>
      <c r="C5792" s="8">
        <f t="array" ref="C5792">PRODUCT(1-'Sparkling Model'!D$2:D$38^A5792)</f>
        <v>0.802886397</v>
      </c>
    </row>
    <row r="5793">
      <c r="A5793" s="6">
        <v>5791.0</v>
      </c>
      <c r="B5793" s="17">
        <f t="array" ref="B5793">SUM(1-'Sparkling Model'!D$2:D$38^A5793)</f>
        <v>36.78638629</v>
      </c>
      <c r="C5793" s="8">
        <f t="array" ref="C5793">PRODUCT(1-'Sparkling Model'!D$2:D$38^A5793)</f>
        <v>0.8029831182</v>
      </c>
    </row>
    <row r="5794">
      <c r="A5794" s="6">
        <v>5792.0</v>
      </c>
      <c r="B5794" s="17">
        <f t="array" ref="B5794">SUM(1-'Sparkling Model'!D$2:D$38^A5794)</f>
        <v>36.78650079</v>
      </c>
      <c r="C5794" s="8">
        <f t="array" ref="C5794">PRODUCT(1-'Sparkling Model'!D$2:D$38^A5794)</f>
        <v>0.8030797932</v>
      </c>
    </row>
    <row r="5795">
      <c r="A5795" s="6">
        <v>5793.0</v>
      </c>
      <c r="B5795" s="17">
        <f t="array" ref="B5795">SUM(1-'Sparkling Model'!D$2:D$38^A5795)</f>
        <v>36.78661521</v>
      </c>
      <c r="C5795" s="8">
        <f t="array" ref="C5795">PRODUCT(1-'Sparkling Model'!D$2:D$38^A5795)</f>
        <v>0.8031764221</v>
      </c>
    </row>
    <row r="5796">
      <c r="A5796" s="6">
        <v>5794.0</v>
      </c>
      <c r="B5796" s="17">
        <f t="array" ref="B5796">SUM(1-'Sparkling Model'!D$2:D$38^A5796)</f>
        <v>36.78672958</v>
      </c>
      <c r="C5796" s="8">
        <f t="array" ref="C5796">PRODUCT(1-'Sparkling Model'!D$2:D$38^A5796)</f>
        <v>0.8032730048</v>
      </c>
    </row>
    <row r="5797">
      <c r="A5797" s="6">
        <v>5795.0</v>
      </c>
      <c r="B5797" s="17">
        <f t="array" ref="B5797">SUM(1-'Sparkling Model'!D$2:D$38^A5797)</f>
        <v>36.78684387</v>
      </c>
      <c r="C5797" s="8">
        <f t="array" ref="C5797">PRODUCT(1-'Sparkling Model'!D$2:D$38^A5797)</f>
        <v>0.8033695415</v>
      </c>
    </row>
    <row r="5798">
      <c r="A5798" s="6">
        <v>5796.0</v>
      </c>
      <c r="B5798" s="17">
        <f t="array" ref="B5798">SUM(1-'Sparkling Model'!D$2:D$38^A5798)</f>
        <v>36.7869581</v>
      </c>
      <c r="C5798" s="8">
        <f t="array" ref="C5798">PRODUCT(1-'Sparkling Model'!D$2:D$38^A5798)</f>
        <v>0.8034660321</v>
      </c>
    </row>
    <row r="5799">
      <c r="A5799" s="6">
        <v>5797.0</v>
      </c>
      <c r="B5799" s="17">
        <f t="array" ref="B5799">SUM(1-'Sparkling Model'!D$2:D$38^A5799)</f>
        <v>36.78707227</v>
      </c>
      <c r="C5799" s="8">
        <f t="array" ref="C5799">PRODUCT(1-'Sparkling Model'!D$2:D$38^A5799)</f>
        <v>0.8035624767</v>
      </c>
    </row>
    <row r="5800">
      <c r="A5800" s="6">
        <v>5798.0</v>
      </c>
      <c r="B5800" s="17">
        <f t="array" ref="B5800">SUM(1-'Sparkling Model'!D$2:D$38^A5800)</f>
        <v>36.78718636</v>
      </c>
      <c r="C5800" s="8">
        <f t="array" ref="C5800">PRODUCT(1-'Sparkling Model'!D$2:D$38^A5800)</f>
        <v>0.8036588752</v>
      </c>
    </row>
    <row r="5801">
      <c r="A5801" s="6">
        <v>5799.0</v>
      </c>
      <c r="B5801" s="17">
        <f t="array" ref="B5801">SUM(1-'Sparkling Model'!D$2:D$38^A5801)</f>
        <v>36.7873004</v>
      </c>
      <c r="C5801" s="8">
        <f t="array" ref="C5801">PRODUCT(1-'Sparkling Model'!D$2:D$38^A5801)</f>
        <v>0.8037552278</v>
      </c>
    </row>
    <row r="5802">
      <c r="A5802" s="6">
        <v>5800.0</v>
      </c>
      <c r="B5802" s="17">
        <f t="array" ref="B5802">SUM(1-'Sparkling Model'!D$2:D$38^A5802)</f>
        <v>36.78741437</v>
      </c>
      <c r="C5802" s="8">
        <f t="array" ref="C5802">PRODUCT(1-'Sparkling Model'!D$2:D$38^A5802)</f>
        <v>0.8038515343</v>
      </c>
    </row>
    <row r="5803">
      <c r="A5803" s="6">
        <v>5801.0</v>
      </c>
      <c r="B5803" s="17">
        <f t="array" ref="B5803">SUM(1-'Sparkling Model'!D$2:D$38^A5803)</f>
        <v>36.78752827</v>
      </c>
      <c r="C5803" s="8">
        <f t="array" ref="C5803">PRODUCT(1-'Sparkling Model'!D$2:D$38^A5803)</f>
        <v>0.8039477949</v>
      </c>
    </row>
    <row r="5804">
      <c r="A5804" s="6">
        <v>5802.0</v>
      </c>
      <c r="B5804" s="17">
        <f t="array" ref="B5804">SUM(1-'Sparkling Model'!D$2:D$38^A5804)</f>
        <v>36.7876421</v>
      </c>
      <c r="C5804" s="8">
        <f t="array" ref="C5804">PRODUCT(1-'Sparkling Model'!D$2:D$38^A5804)</f>
        <v>0.8040440095</v>
      </c>
    </row>
    <row r="5805">
      <c r="A5805" s="6">
        <v>5803.0</v>
      </c>
      <c r="B5805" s="17">
        <f t="array" ref="B5805">SUM(1-'Sparkling Model'!D$2:D$38^A5805)</f>
        <v>36.78775587</v>
      </c>
      <c r="C5805" s="8">
        <f t="array" ref="C5805">PRODUCT(1-'Sparkling Model'!D$2:D$38^A5805)</f>
        <v>0.8041401782</v>
      </c>
    </row>
    <row r="5806">
      <c r="A5806" s="6">
        <v>5804.0</v>
      </c>
      <c r="B5806" s="17">
        <f t="array" ref="B5806">SUM(1-'Sparkling Model'!D$2:D$38^A5806)</f>
        <v>36.78786958</v>
      </c>
      <c r="C5806" s="8">
        <f t="array" ref="C5806">PRODUCT(1-'Sparkling Model'!D$2:D$38^A5806)</f>
        <v>0.804236301</v>
      </c>
    </row>
    <row r="5807">
      <c r="A5807" s="6">
        <v>5805.0</v>
      </c>
      <c r="B5807" s="17">
        <f t="array" ref="B5807">SUM(1-'Sparkling Model'!D$2:D$38^A5807)</f>
        <v>36.78798322</v>
      </c>
      <c r="C5807" s="8">
        <f t="array" ref="C5807">PRODUCT(1-'Sparkling Model'!D$2:D$38^A5807)</f>
        <v>0.8043323779</v>
      </c>
    </row>
    <row r="5808">
      <c r="A5808" s="6">
        <v>5806.0</v>
      </c>
      <c r="B5808" s="17">
        <f t="array" ref="B5808">SUM(1-'Sparkling Model'!D$2:D$38^A5808)</f>
        <v>36.7880968</v>
      </c>
      <c r="C5808" s="8">
        <f t="array" ref="C5808">PRODUCT(1-'Sparkling Model'!D$2:D$38^A5808)</f>
        <v>0.8044284089</v>
      </c>
    </row>
    <row r="5809">
      <c r="A5809" s="6">
        <v>5807.0</v>
      </c>
      <c r="B5809" s="17">
        <f t="array" ref="B5809">SUM(1-'Sparkling Model'!D$2:D$38^A5809)</f>
        <v>36.78821031</v>
      </c>
      <c r="C5809" s="8">
        <f t="array" ref="C5809">PRODUCT(1-'Sparkling Model'!D$2:D$38^A5809)</f>
        <v>0.804524394</v>
      </c>
    </row>
    <row r="5810">
      <c r="A5810" s="6">
        <v>5808.0</v>
      </c>
      <c r="B5810" s="17">
        <f t="array" ref="B5810">SUM(1-'Sparkling Model'!D$2:D$38^A5810)</f>
        <v>36.78832375</v>
      </c>
      <c r="C5810" s="8">
        <f t="array" ref="C5810">PRODUCT(1-'Sparkling Model'!D$2:D$38^A5810)</f>
        <v>0.8046203334</v>
      </c>
    </row>
    <row r="5811">
      <c r="A5811" s="6">
        <v>5809.0</v>
      </c>
      <c r="B5811" s="17">
        <f t="array" ref="B5811">SUM(1-'Sparkling Model'!D$2:D$38^A5811)</f>
        <v>36.78843713</v>
      </c>
      <c r="C5811" s="8">
        <f t="array" ref="C5811">PRODUCT(1-'Sparkling Model'!D$2:D$38^A5811)</f>
        <v>0.8047162269</v>
      </c>
    </row>
    <row r="5812">
      <c r="A5812" s="6">
        <v>5810.0</v>
      </c>
      <c r="B5812" s="17">
        <f t="array" ref="B5812">SUM(1-'Sparkling Model'!D$2:D$38^A5812)</f>
        <v>36.78855044</v>
      </c>
      <c r="C5812" s="8">
        <f t="array" ref="C5812">PRODUCT(1-'Sparkling Model'!D$2:D$38^A5812)</f>
        <v>0.8048120747</v>
      </c>
    </row>
    <row r="5813">
      <c r="A5813" s="6">
        <v>5811.0</v>
      </c>
      <c r="B5813" s="17">
        <f t="array" ref="B5813">SUM(1-'Sparkling Model'!D$2:D$38^A5813)</f>
        <v>36.78866369</v>
      </c>
      <c r="C5813" s="8">
        <f t="array" ref="C5813">PRODUCT(1-'Sparkling Model'!D$2:D$38^A5813)</f>
        <v>0.8049078766</v>
      </c>
    </row>
    <row r="5814">
      <c r="A5814" s="6">
        <v>5812.0</v>
      </c>
      <c r="B5814" s="17">
        <f t="array" ref="B5814">SUM(1-'Sparkling Model'!D$2:D$38^A5814)</f>
        <v>36.78877688</v>
      </c>
      <c r="C5814" s="8">
        <f t="array" ref="C5814">PRODUCT(1-'Sparkling Model'!D$2:D$38^A5814)</f>
        <v>0.8050036329</v>
      </c>
    </row>
    <row r="5815">
      <c r="A5815" s="6">
        <v>5813.0</v>
      </c>
      <c r="B5815" s="17">
        <f t="array" ref="B5815">SUM(1-'Sparkling Model'!D$2:D$38^A5815)</f>
        <v>36.78889</v>
      </c>
      <c r="C5815" s="8">
        <f t="array" ref="C5815">PRODUCT(1-'Sparkling Model'!D$2:D$38^A5815)</f>
        <v>0.8050993434</v>
      </c>
    </row>
    <row r="5816">
      <c r="A5816" s="6">
        <v>5814.0</v>
      </c>
      <c r="B5816" s="17">
        <f t="array" ref="B5816">SUM(1-'Sparkling Model'!D$2:D$38^A5816)</f>
        <v>36.78900305</v>
      </c>
      <c r="C5816" s="8">
        <f t="array" ref="C5816">PRODUCT(1-'Sparkling Model'!D$2:D$38^A5816)</f>
        <v>0.8051950082</v>
      </c>
    </row>
    <row r="5817">
      <c r="A5817" s="6">
        <v>5815.0</v>
      </c>
      <c r="B5817" s="17">
        <f t="array" ref="B5817">SUM(1-'Sparkling Model'!D$2:D$38^A5817)</f>
        <v>36.78911604</v>
      </c>
      <c r="C5817" s="8">
        <f t="array" ref="C5817">PRODUCT(1-'Sparkling Model'!D$2:D$38^A5817)</f>
        <v>0.8052906273</v>
      </c>
    </row>
    <row r="5818">
      <c r="A5818" s="6">
        <v>5816.0</v>
      </c>
      <c r="B5818" s="17">
        <f t="array" ref="B5818">SUM(1-'Sparkling Model'!D$2:D$38^A5818)</f>
        <v>36.78922896</v>
      </c>
      <c r="C5818" s="8">
        <f t="array" ref="C5818">PRODUCT(1-'Sparkling Model'!D$2:D$38^A5818)</f>
        <v>0.8053862007</v>
      </c>
    </row>
    <row r="5819">
      <c r="A5819" s="6">
        <v>5817.0</v>
      </c>
      <c r="B5819" s="17">
        <f t="array" ref="B5819">SUM(1-'Sparkling Model'!D$2:D$38^A5819)</f>
        <v>36.78934182</v>
      </c>
      <c r="C5819" s="8">
        <f t="array" ref="C5819">PRODUCT(1-'Sparkling Model'!D$2:D$38^A5819)</f>
        <v>0.8054817285</v>
      </c>
    </row>
    <row r="5820">
      <c r="A5820" s="6">
        <v>5818.0</v>
      </c>
      <c r="B5820" s="17">
        <f t="array" ref="B5820">SUM(1-'Sparkling Model'!D$2:D$38^A5820)</f>
        <v>36.78945462</v>
      </c>
      <c r="C5820" s="8">
        <f t="array" ref="C5820">PRODUCT(1-'Sparkling Model'!D$2:D$38^A5820)</f>
        <v>0.8055772106</v>
      </c>
    </row>
    <row r="5821">
      <c r="A5821" s="6">
        <v>5819.0</v>
      </c>
      <c r="B5821" s="17">
        <f t="array" ref="B5821">SUM(1-'Sparkling Model'!D$2:D$38^A5821)</f>
        <v>36.78956735</v>
      </c>
      <c r="C5821" s="8">
        <f t="array" ref="C5821">PRODUCT(1-'Sparkling Model'!D$2:D$38^A5821)</f>
        <v>0.8056726472</v>
      </c>
    </row>
    <row r="5822">
      <c r="A5822" s="6">
        <v>5820.0</v>
      </c>
      <c r="B5822" s="17">
        <f t="array" ref="B5822">SUM(1-'Sparkling Model'!D$2:D$38^A5822)</f>
        <v>36.78968001</v>
      </c>
      <c r="C5822" s="8">
        <f t="array" ref="C5822">PRODUCT(1-'Sparkling Model'!D$2:D$38^A5822)</f>
        <v>0.8057680381</v>
      </c>
    </row>
    <row r="5823">
      <c r="A5823" s="6">
        <v>5821.0</v>
      </c>
      <c r="B5823" s="17">
        <f t="array" ref="B5823">SUM(1-'Sparkling Model'!D$2:D$38^A5823)</f>
        <v>36.78979262</v>
      </c>
      <c r="C5823" s="8">
        <f t="array" ref="C5823">PRODUCT(1-'Sparkling Model'!D$2:D$38^A5823)</f>
        <v>0.8058633835</v>
      </c>
    </row>
    <row r="5824">
      <c r="A5824" s="6">
        <v>5822.0</v>
      </c>
      <c r="B5824" s="17">
        <f t="array" ref="B5824">SUM(1-'Sparkling Model'!D$2:D$38^A5824)</f>
        <v>36.78990515</v>
      </c>
      <c r="C5824" s="8">
        <f t="array" ref="C5824">PRODUCT(1-'Sparkling Model'!D$2:D$38^A5824)</f>
        <v>0.8059586834</v>
      </c>
    </row>
    <row r="5825">
      <c r="A5825" s="6">
        <v>5823.0</v>
      </c>
      <c r="B5825" s="17">
        <f t="array" ref="B5825">SUM(1-'Sparkling Model'!D$2:D$38^A5825)</f>
        <v>36.79001762</v>
      </c>
      <c r="C5825" s="8">
        <f t="array" ref="C5825">PRODUCT(1-'Sparkling Model'!D$2:D$38^A5825)</f>
        <v>0.8060539377</v>
      </c>
    </row>
    <row r="5826">
      <c r="A5826" s="6">
        <v>5824.0</v>
      </c>
      <c r="B5826" s="17">
        <f t="array" ref="B5826">SUM(1-'Sparkling Model'!D$2:D$38^A5826)</f>
        <v>36.79013003</v>
      </c>
      <c r="C5826" s="8">
        <f t="array" ref="C5826">PRODUCT(1-'Sparkling Model'!D$2:D$38^A5826)</f>
        <v>0.8061491465</v>
      </c>
    </row>
    <row r="5827">
      <c r="A5827" s="6">
        <v>5825.0</v>
      </c>
      <c r="B5827" s="17">
        <f t="array" ref="B5827">SUM(1-'Sparkling Model'!D$2:D$38^A5827)</f>
        <v>36.79024237</v>
      </c>
      <c r="C5827" s="8">
        <f t="array" ref="C5827">PRODUCT(1-'Sparkling Model'!D$2:D$38^A5827)</f>
        <v>0.8062443098</v>
      </c>
    </row>
    <row r="5828">
      <c r="A5828" s="6">
        <v>5826.0</v>
      </c>
      <c r="B5828" s="17">
        <f t="array" ref="B5828">SUM(1-'Sparkling Model'!D$2:D$38^A5828)</f>
        <v>36.79035465</v>
      </c>
      <c r="C5828" s="8">
        <f t="array" ref="C5828">PRODUCT(1-'Sparkling Model'!D$2:D$38^A5828)</f>
        <v>0.8063394277</v>
      </c>
    </row>
    <row r="5829">
      <c r="A5829" s="6">
        <v>5827.0</v>
      </c>
      <c r="B5829" s="17">
        <f t="array" ref="B5829">SUM(1-'Sparkling Model'!D$2:D$38^A5829)</f>
        <v>36.79046686</v>
      </c>
      <c r="C5829" s="8">
        <f t="array" ref="C5829">PRODUCT(1-'Sparkling Model'!D$2:D$38^A5829)</f>
        <v>0.8064345001</v>
      </c>
    </row>
    <row r="5830">
      <c r="A5830" s="6">
        <v>5828.0</v>
      </c>
      <c r="B5830" s="17">
        <f t="array" ref="B5830">SUM(1-'Sparkling Model'!D$2:D$38^A5830)</f>
        <v>36.79057901</v>
      </c>
      <c r="C5830" s="8">
        <f t="array" ref="C5830">PRODUCT(1-'Sparkling Model'!D$2:D$38^A5830)</f>
        <v>0.806529527</v>
      </c>
    </row>
    <row r="5831">
      <c r="A5831" s="6">
        <v>5829.0</v>
      </c>
      <c r="B5831" s="17">
        <f t="array" ref="B5831">SUM(1-'Sparkling Model'!D$2:D$38^A5831)</f>
        <v>36.7906911</v>
      </c>
      <c r="C5831" s="8">
        <f t="array" ref="C5831">PRODUCT(1-'Sparkling Model'!D$2:D$38^A5831)</f>
        <v>0.8066245086</v>
      </c>
    </row>
    <row r="5832">
      <c r="A5832" s="6">
        <v>5830.0</v>
      </c>
      <c r="B5832" s="17">
        <f t="array" ref="B5832">SUM(1-'Sparkling Model'!D$2:D$38^A5832)</f>
        <v>36.79080312</v>
      </c>
      <c r="C5832" s="8">
        <f t="array" ref="C5832">PRODUCT(1-'Sparkling Model'!D$2:D$38^A5832)</f>
        <v>0.8067194448</v>
      </c>
    </row>
    <row r="5833">
      <c r="A5833" s="6">
        <v>5831.0</v>
      </c>
      <c r="B5833" s="17">
        <f t="array" ref="B5833">SUM(1-'Sparkling Model'!D$2:D$38^A5833)</f>
        <v>36.79091508</v>
      </c>
      <c r="C5833" s="8">
        <f t="array" ref="C5833">PRODUCT(1-'Sparkling Model'!D$2:D$38^A5833)</f>
        <v>0.8068143356</v>
      </c>
    </row>
    <row r="5834">
      <c r="A5834" s="6">
        <v>5832.0</v>
      </c>
      <c r="B5834" s="17">
        <f t="array" ref="B5834">SUM(1-'Sparkling Model'!D$2:D$38^A5834)</f>
        <v>36.79102697</v>
      </c>
      <c r="C5834" s="8">
        <f t="array" ref="C5834">PRODUCT(1-'Sparkling Model'!D$2:D$38^A5834)</f>
        <v>0.806909181</v>
      </c>
    </row>
    <row r="5835">
      <c r="A5835" s="6">
        <v>5833.0</v>
      </c>
      <c r="B5835" s="17">
        <f t="array" ref="B5835">SUM(1-'Sparkling Model'!D$2:D$38^A5835)</f>
        <v>36.7911388</v>
      </c>
      <c r="C5835" s="8">
        <f t="array" ref="C5835">PRODUCT(1-'Sparkling Model'!D$2:D$38^A5835)</f>
        <v>0.8070039812</v>
      </c>
    </row>
    <row r="5836">
      <c r="A5836" s="6">
        <v>5834.0</v>
      </c>
      <c r="B5836" s="17">
        <f t="array" ref="B5836">SUM(1-'Sparkling Model'!D$2:D$38^A5836)</f>
        <v>36.79125056</v>
      </c>
      <c r="C5836" s="8">
        <f t="array" ref="C5836">PRODUCT(1-'Sparkling Model'!D$2:D$38^A5836)</f>
        <v>0.807098736</v>
      </c>
    </row>
    <row r="5837">
      <c r="A5837" s="6">
        <v>5835.0</v>
      </c>
      <c r="B5837" s="17">
        <f t="array" ref="B5837">SUM(1-'Sparkling Model'!D$2:D$38^A5837)</f>
        <v>36.79136226</v>
      </c>
      <c r="C5837" s="8">
        <f t="array" ref="C5837">PRODUCT(1-'Sparkling Model'!D$2:D$38^A5837)</f>
        <v>0.8071934455</v>
      </c>
    </row>
    <row r="5838">
      <c r="A5838" s="6">
        <v>5836.0</v>
      </c>
      <c r="B5838" s="17">
        <f t="array" ref="B5838">SUM(1-'Sparkling Model'!D$2:D$38^A5838)</f>
        <v>36.7914739</v>
      </c>
      <c r="C5838" s="8">
        <f t="array" ref="C5838">PRODUCT(1-'Sparkling Model'!D$2:D$38^A5838)</f>
        <v>0.8072881098</v>
      </c>
    </row>
    <row r="5839">
      <c r="A5839" s="6">
        <v>5837.0</v>
      </c>
      <c r="B5839" s="17">
        <f t="array" ref="B5839">SUM(1-'Sparkling Model'!D$2:D$38^A5839)</f>
        <v>36.79158547</v>
      </c>
      <c r="C5839" s="8">
        <f t="array" ref="C5839">PRODUCT(1-'Sparkling Model'!D$2:D$38^A5839)</f>
        <v>0.8073827288</v>
      </c>
    </row>
    <row r="5840">
      <c r="A5840" s="6">
        <v>5838.0</v>
      </c>
      <c r="B5840" s="17">
        <f t="array" ref="B5840">SUM(1-'Sparkling Model'!D$2:D$38^A5840)</f>
        <v>36.79169698</v>
      </c>
      <c r="C5840" s="8">
        <f t="array" ref="C5840">PRODUCT(1-'Sparkling Model'!D$2:D$38^A5840)</f>
        <v>0.8074773026</v>
      </c>
    </row>
    <row r="5841">
      <c r="A5841" s="6">
        <v>5839.0</v>
      </c>
      <c r="B5841" s="17">
        <f t="array" ref="B5841">SUM(1-'Sparkling Model'!D$2:D$38^A5841)</f>
        <v>36.79180842</v>
      </c>
      <c r="C5841" s="8">
        <f t="array" ref="C5841">PRODUCT(1-'Sparkling Model'!D$2:D$38^A5841)</f>
        <v>0.8075718311</v>
      </c>
    </row>
    <row r="5842">
      <c r="A5842" s="6">
        <v>5840.0</v>
      </c>
      <c r="B5842" s="17">
        <f t="array" ref="B5842">SUM(1-'Sparkling Model'!D$2:D$38^A5842)</f>
        <v>36.7919198</v>
      </c>
      <c r="C5842" s="8">
        <f t="array" ref="C5842">PRODUCT(1-'Sparkling Model'!D$2:D$38^A5842)</f>
        <v>0.8076663145</v>
      </c>
    </row>
    <row r="5843">
      <c r="A5843" s="6">
        <v>5841.0</v>
      </c>
      <c r="B5843" s="17">
        <f t="array" ref="B5843">SUM(1-'Sparkling Model'!D$2:D$38^A5843)</f>
        <v>36.79203112</v>
      </c>
      <c r="C5843" s="8">
        <f t="array" ref="C5843">PRODUCT(1-'Sparkling Model'!D$2:D$38^A5843)</f>
        <v>0.8077607527</v>
      </c>
    </row>
    <row r="5844">
      <c r="A5844" s="6">
        <v>5842.0</v>
      </c>
      <c r="B5844" s="17">
        <f t="array" ref="B5844">SUM(1-'Sparkling Model'!D$2:D$38^A5844)</f>
        <v>36.79214237</v>
      </c>
      <c r="C5844" s="8">
        <f t="array" ref="C5844">PRODUCT(1-'Sparkling Model'!D$2:D$38^A5844)</f>
        <v>0.8078551458</v>
      </c>
    </row>
    <row r="5845">
      <c r="A5845" s="6">
        <v>5843.0</v>
      </c>
      <c r="B5845" s="17">
        <f t="array" ref="B5845">SUM(1-'Sparkling Model'!D$2:D$38^A5845)</f>
        <v>36.79225356</v>
      </c>
      <c r="C5845" s="8">
        <f t="array" ref="C5845">PRODUCT(1-'Sparkling Model'!D$2:D$38^A5845)</f>
        <v>0.8079494937</v>
      </c>
    </row>
    <row r="5846">
      <c r="A5846" s="6">
        <v>5844.0</v>
      </c>
      <c r="B5846" s="17">
        <f t="array" ref="B5846">SUM(1-'Sparkling Model'!D$2:D$38^A5846)</f>
        <v>36.79236468</v>
      </c>
      <c r="C5846" s="8">
        <f t="array" ref="C5846">PRODUCT(1-'Sparkling Model'!D$2:D$38^A5846)</f>
        <v>0.8080437966</v>
      </c>
    </row>
    <row r="5847">
      <c r="A5847" s="6">
        <v>5845.0</v>
      </c>
      <c r="B5847" s="17">
        <f t="array" ref="B5847">SUM(1-'Sparkling Model'!D$2:D$38^A5847)</f>
        <v>36.79247574</v>
      </c>
      <c r="C5847" s="8">
        <f t="array" ref="C5847">PRODUCT(1-'Sparkling Model'!D$2:D$38^A5847)</f>
        <v>0.8081380543</v>
      </c>
    </row>
    <row r="5848">
      <c r="A5848" s="6">
        <v>5846.0</v>
      </c>
      <c r="B5848" s="17">
        <f t="array" ref="B5848">SUM(1-'Sparkling Model'!D$2:D$38^A5848)</f>
        <v>36.79258674</v>
      </c>
      <c r="C5848" s="8">
        <f t="array" ref="C5848">PRODUCT(1-'Sparkling Model'!D$2:D$38^A5848)</f>
        <v>0.8082322669</v>
      </c>
    </row>
    <row r="5849">
      <c r="A5849" s="6">
        <v>5847.0</v>
      </c>
      <c r="B5849" s="17">
        <f t="array" ref="B5849">SUM(1-'Sparkling Model'!D$2:D$38^A5849)</f>
        <v>36.79269768</v>
      </c>
      <c r="C5849" s="8">
        <f t="array" ref="C5849">PRODUCT(1-'Sparkling Model'!D$2:D$38^A5849)</f>
        <v>0.8083264346</v>
      </c>
    </row>
    <row r="5850">
      <c r="A5850" s="6">
        <v>5848.0</v>
      </c>
      <c r="B5850" s="17">
        <f t="array" ref="B5850">SUM(1-'Sparkling Model'!D$2:D$38^A5850)</f>
        <v>36.79280855</v>
      </c>
      <c r="C5850" s="8">
        <f t="array" ref="C5850">PRODUCT(1-'Sparkling Model'!D$2:D$38^A5850)</f>
        <v>0.8084205571</v>
      </c>
    </row>
    <row r="5851">
      <c r="A5851" s="6">
        <v>5849.0</v>
      </c>
      <c r="B5851" s="17">
        <f t="array" ref="B5851">SUM(1-'Sparkling Model'!D$2:D$38^A5851)</f>
        <v>36.79291935</v>
      </c>
      <c r="C5851" s="8">
        <f t="array" ref="C5851">PRODUCT(1-'Sparkling Model'!D$2:D$38^A5851)</f>
        <v>0.8085146347</v>
      </c>
    </row>
    <row r="5852">
      <c r="A5852" s="6">
        <v>5850.0</v>
      </c>
      <c r="B5852" s="17">
        <f t="array" ref="B5852">SUM(1-'Sparkling Model'!D$2:D$38^A5852)</f>
        <v>36.7930301</v>
      </c>
      <c r="C5852" s="8">
        <f t="array" ref="C5852">PRODUCT(1-'Sparkling Model'!D$2:D$38^A5852)</f>
        <v>0.8086086673</v>
      </c>
    </row>
    <row r="5853">
      <c r="A5853" s="6">
        <v>5851.0</v>
      </c>
      <c r="B5853" s="17">
        <f t="array" ref="B5853">SUM(1-'Sparkling Model'!D$2:D$38^A5853)</f>
        <v>36.79314078</v>
      </c>
      <c r="C5853" s="8">
        <f t="array" ref="C5853">PRODUCT(1-'Sparkling Model'!D$2:D$38^A5853)</f>
        <v>0.8087026549</v>
      </c>
    </row>
    <row r="5854">
      <c r="A5854" s="6">
        <v>5852.0</v>
      </c>
      <c r="B5854" s="17">
        <f t="array" ref="B5854">SUM(1-'Sparkling Model'!D$2:D$38^A5854)</f>
        <v>36.7932514</v>
      </c>
      <c r="C5854" s="8">
        <f t="array" ref="C5854">PRODUCT(1-'Sparkling Model'!D$2:D$38^A5854)</f>
        <v>0.8087965976</v>
      </c>
    </row>
    <row r="5855">
      <c r="A5855" s="6">
        <v>5853.0</v>
      </c>
      <c r="B5855" s="17">
        <f t="array" ref="B5855">SUM(1-'Sparkling Model'!D$2:D$38^A5855)</f>
        <v>36.79336195</v>
      </c>
      <c r="C5855" s="8">
        <f t="array" ref="C5855">PRODUCT(1-'Sparkling Model'!D$2:D$38^A5855)</f>
        <v>0.8088904953</v>
      </c>
    </row>
    <row r="5856">
      <c r="A5856" s="6">
        <v>5854.0</v>
      </c>
      <c r="B5856" s="17">
        <f t="array" ref="B5856">SUM(1-'Sparkling Model'!D$2:D$38^A5856)</f>
        <v>36.79347244</v>
      </c>
      <c r="C5856" s="8">
        <f t="array" ref="C5856">PRODUCT(1-'Sparkling Model'!D$2:D$38^A5856)</f>
        <v>0.8089843481</v>
      </c>
    </row>
    <row r="5857">
      <c r="A5857" s="6">
        <v>5855.0</v>
      </c>
      <c r="B5857" s="17">
        <f t="array" ref="B5857">SUM(1-'Sparkling Model'!D$2:D$38^A5857)</f>
        <v>36.79358287</v>
      </c>
      <c r="C5857" s="8">
        <f t="array" ref="C5857">PRODUCT(1-'Sparkling Model'!D$2:D$38^A5857)</f>
        <v>0.809078156</v>
      </c>
    </row>
    <row r="5858">
      <c r="A5858" s="6">
        <v>5856.0</v>
      </c>
      <c r="B5858" s="17">
        <f t="array" ref="B5858">SUM(1-'Sparkling Model'!D$2:D$38^A5858)</f>
        <v>36.79369323</v>
      </c>
      <c r="C5858" s="8">
        <f t="array" ref="C5858">PRODUCT(1-'Sparkling Model'!D$2:D$38^A5858)</f>
        <v>0.8091719191</v>
      </c>
    </row>
    <row r="5859">
      <c r="A5859" s="6">
        <v>5857.0</v>
      </c>
      <c r="B5859" s="17">
        <f t="array" ref="B5859">SUM(1-'Sparkling Model'!D$2:D$38^A5859)</f>
        <v>36.79380353</v>
      </c>
      <c r="C5859" s="8">
        <f t="array" ref="C5859">PRODUCT(1-'Sparkling Model'!D$2:D$38^A5859)</f>
        <v>0.8092656373</v>
      </c>
    </row>
    <row r="5860">
      <c r="A5860" s="6">
        <v>5858.0</v>
      </c>
      <c r="B5860" s="17">
        <f t="array" ref="B5860">SUM(1-'Sparkling Model'!D$2:D$38^A5860)</f>
        <v>36.79391377</v>
      </c>
      <c r="C5860" s="8">
        <f t="array" ref="C5860">PRODUCT(1-'Sparkling Model'!D$2:D$38^A5860)</f>
        <v>0.8093593106</v>
      </c>
    </row>
    <row r="5861">
      <c r="A5861" s="6">
        <v>5859.0</v>
      </c>
      <c r="B5861" s="17">
        <f t="array" ref="B5861">SUM(1-'Sparkling Model'!D$2:D$38^A5861)</f>
        <v>36.79402394</v>
      </c>
      <c r="C5861" s="8">
        <f t="array" ref="C5861">PRODUCT(1-'Sparkling Model'!D$2:D$38^A5861)</f>
        <v>0.8094529392</v>
      </c>
    </row>
    <row r="5862">
      <c r="A5862" s="6">
        <v>5860.0</v>
      </c>
      <c r="B5862" s="17">
        <f t="array" ref="B5862">SUM(1-'Sparkling Model'!D$2:D$38^A5862)</f>
        <v>36.79413405</v>
      </c>
      <c r="C5862" s="8">
        <f t="array" ref="C5862">PRODUCT(1-'Sparkling Model'!D$2:D$38^A5862)</f>
        <v>0.809546523</v>
      </c>
    </row>
    <row r="5863">
      <c r="A5863" s="6">
        <v>5861.0</v>
      </c>
      <c r="B5863" s="17">
        <f t="array" ref="B5863">SUM(1-'Sparkling Model'!D$2:D$38^A5863)</f>
        <v>36.7942441</v>
      </c>
      <c r="C5863" s="8">
        <f t="array" ref="C5863">PRODUCT(1-'Sparkling Model'!D$2:D$38^A5863)</f>
        <v>0.8096400619</v>
      </c>
    </row>
    <row r="5864">
      <c r="A5864" s="6">
        <v>5862.0</v>
      </c>
      <c r="B5864" s="17">
        <f t="array" ref="B5864">SUM(1-'Sparkling Model'!D$2:D$38^A5864)</f>
        <v>36.79435409</v>
      </c>
      <c r="C5864" s="8">
        <f t="array" ref="C5864">PRODUCT(1-'Sparkling Model'!D$2:D$38^A5864)</f>
        <v>0.8097335562</v>
      </c>
    </row>
    <row r="5865">
      <c r="A5865" s="6">
        <v>5863.0</v>
      </c>
      <c r="B5865" s="17">
        <f t="array" ref="B5865">SUM(1-'Sparkling Model'!D$2:D$38^A5865)</f>
        <v>36.79446401</v>
      </c>
      <c r="C5865" s="8">
        <f t="array" ref="C5865">PRODUCT(1-'Sparkling Model'!D$2:D$38^A5865)</f>
        <v>0.8098270057</v>
      </c>
    </row>
    <row r="5866">
      <c r="A5866" s="6">
        <v>5864.0</v>
      </c>
      <c r="B5866" s="17">
        <f t="array" ref="B5866">SUM(1-'Sparkling Model'!D$2:D$38^A5866)</f>
        <v>36.79457387</v>
      </c>
      <c r="C5866" s="8">
        <f t="array" ref="C5866">PRODUCT(1-'Sparkling Model'!D$2:D$38^A5866)</f>
        <v>0.8099204105</v>
      </c>
    </row>
    <row r="5867">
      <c r="A5867" s="6">
        <v>5865.0</v>
      </c>
      <c r="B5867" s="17">
        <f t="array" ref="B5867">SUM(1-'Sparkling Model'!D$2:D$38^A5867)</f>
        <v>36.79468367</v>
      </c>
      <c r="C5867" s="8">
        <f t="array" ref="C5867">PRODUCT(1-'Sparkling Model'!D$2:D$38^A5867)</f>
        <v>0.8100137705</v>
      </c>
    </row>
    <row r="5868">
      <c r="A5868" s="6">
        <v>5866.0</v>
      </c>
      <c r="B5868" s="17">
        <f t="array" ref="B5868">SUM(1-'Sparkling Model'!D$2:D$38^A5868)</f>
        <v>36.7947934</v>
      </c>
      <c r="C5868" s="8">
        <f t="array" ref="C5868">PRODUCT(1-'Sparkling Model'!D$2:D$38^A5868)</f>
        <v>0.810107086</v>
      </c>
    </row>
    <row r="5869">
      <c r="A5869" s="6">
        <v>5867.0</v>
      </c>
      <c r="B5869" s="17">
        <f t="array" ref="B5869">SUM(1-'Sparkling Model'!D$2:D$38^A5869)</f>
        <v>36.79490307</v>
      </c>
      <c r="C5869" s="8">
        <f t="array" ref="C5869">PRODUCT(1-'Sparkling Model'!D$2:D$38^A5869)</f>
        <v>0.8102003567</v>
      </c>
    </row>
    <row r="5870">
      <c r="A5870" s="6">
        <v>5868.0</v>
      </c>
      <c r="B5870" s="17">
        <f t="array" ref="B5870">SUM(1-'Sparkling Model'!D$2:D$38^A5870)</f>
        <v>36.79501268</v>
      </c>
      <c r="C5870" s="8">
        <f t="array" ref="C5870">PRODUCT(1-'Sparkling Model'!D$2:D$38^A5870)</f>
        <v>0.8102935828</v>
      </c>
    </row>
    <row r="5871">
      <c r="A5871" s="6">
        <v>5869.0</v>
      </c>
      <c r="B5871" s="17">
        <f t="array" ref="B5871">SUM(1-'Sparkling Model'!D$2:D$38^A5871)</f>
        <v>36.79512223</v>
      </c>
      <c r="C5871" s="8">
        <f t="array" ref="C5871">PRODUCT(1-'Sparkling Model'!D$2:D$38^A5871)</f>
        <v>0.8103867644</v>
      </c>
    </row>
    <row r="5872">
      <c r="A5872" s="6">
        <v>5870.0</v>
      </c>
      <c r="B5872" s="17">
        <f t="array" ref="B5872">SUM(1-'Sparkling Model'!D$2:D$38^A5872)</f>
        <v>36.79523171</v>
      </c>
      <c r="C5872" s="8">
        <f t="array" ref="C5872">PRODUCT(1-'Sparkling Model'!D$2:D$38^A5872)</f>
        <v>0.8104799013</v>
      </c>
    </row>
    <row r="5873">
      <c r="A5873" s="6">
        <v>5871.0</v>
      </c>
      <c r="B5873" s="17">
        <f t="array" ref="B5873">SUM(1-'Sparkling Model'!D$2:D$38^A5873)</f>
        <v>36.79534113</v>
      </c>
      <c r="C5873" s="8">
        <f t="array" ref="C5873">PRODUCT(1-'Sparkling Model'!D$2:D$38^A5873)</f>
        <v>0.8105729936</v>
      </c>
    </row>
    <row r="5874">
      <c r="A5874" s="6">
        <v>5872.0</v>
      </c>
      <c r="B5874" s="17">
        <f t="array" ref="B5874">SUM(1-'Sparkling Model'!D$2:D$38^A5874)</f>
        <v>36.79545049</v>
      </c>
      <c r="C5874" s="8">
        <f t="array" ref="C5874">PRODUCT(1-'Sparkling Model'!D$2:D$38^A5874)</f>
        <v>0.8106660414</v>
      </c>
    </row>
    <row r="5875">
      <c r="A5875" s="6">
        <v>5873.0</v>
      </c>
      <c r="B5875" s="17">
        <f t="array" ref="B5875">SUM(1-'Sparkling Model'!D$2:D$38^A5875)</f>
        <v>36.79555978</v>
      </c>
      <c r="C5875" s="8">
        <f t="array" ref="C5875">PRODUCT(1-'Sparkling Model'!D$2:D$38^A5875)</f>
        <v>0.8107590446</v>
      </c>
    </row>
    <row r="5876">
      <c r="A5876" s="6">
        <v>5874.0</v>
      </c>
      <c r="B5876" s="17">
        <f t="array" ref="B5876">SUM(1-'Sparkling Model'!D$2:D$38^A5876)</f>
        <v>36.79566902</v>
      </c>
      <c r="C5876" s="8">
        <f t="array" ref="C5876">PRODUCT(1-'Sparkling Model'!D$2:D$38^A5876)</f>
        <v>0.8108520034</v>
      </c>
    </row>
    <row r="5877">
      <c r="A5877" s="6">
        <v>5875.0</v>
      </c>
      <c r="B5877" s="17">
        <f t="array" ref="B5877">SUM(1-'Sparkling Model'!D$2:D$38^A5877)</f>
        <v>36.79577819</v>
      </c>
      <c r="C5877" s="8">
        <f t="array" ref="C5877">PRODUCT(1-'Sparkling Model'!D$2:D$38^A5877)</f>
        <v>0.8109449176</v>
      </c>
    </row>
    <row r="5878">
      <c r="A5878" s="6">
        <v>5876.0</v>
      </c>
      <c r="B5878" s="17">
        <f t="array" ref="B5878">SUM(1-'Sparkling Model'!D$2:D$38^A5878)</f>
        <v>36.7958873</v>
      </c>
      <c r="C5878" s="8">
        <f t="array" ref="C5878">PRODUCT(1-'Sparkling Model'!D$2:D$38^A5878)</f>
        <v>0.8110377873</v>
      </c>
    </row>
    <row r="5879">
      <c r="A5879" s="6">
        <v>5877.0</v>
      </c>
      <c r="B5879" s="17">
        <f t="array" ref="B5879">SUM(1-'Sparkling Model'!D$2:D$38^A5879)</f>
        <v>36.79599634</v>
      </c>
      <c r="C5879" s="8">
        <f t="array" ref="C5879">PRODUCT(1-'Sparkling Model'!D$2:D$38^A5879)</f>
        <v>0.8111306126</v>
      </c>
    </row>
    <row r="5880">
      <c r="A5880" s="6">
        <v>5878.0</v>
      </c>
      <c r="B5880" s="17">
        <f t="array" ref="B5880">SUM(1-'Sparkling Model'!D$2:D$38^A5880)</f>
        <v>36.79610533</v>
      </c>
      <c r="C5880" s="8">
        <f t="array" ref="C5880">PRODUCT(1-'Sparkling Model'!D$2:D$38^A5880)</f>
        <v>0.8112233935</v>
      </c>
    </row>
    <row r="5881">
      <c r="A5881" s="6">
        <v>5879.0</v>
      </c>
      <c r="B5881" s="17">
        <f t="array" ref="B5881">SUM(1-'Sparkling Model'!D$2:D$38^A5881)</f>
        <v>36.79621425</v>
      </c>
      <c r="C5881" s="8">
        <f t="array" ref="C5881">PRODUCT(1-'Sparkling Model'!D$2:D$38^A5881)</f>
        <v>0.8113161299</v>
      </c>
    </row>
    <row r="5882">
      <c r="A5882" s="6">
        <v>5880.0</v>
      </c>
      <c r="B5882" s="17">
        <f t="array" ref="B5882">SUM(1-'Sparkling Model'!D$2:D$38^A5882)</f>
        <v>36.79632311</v>
      </c>
      <c r="C5882" s="8">
        <f t="array" ref="C5882">PRODUCT(1-'Sparkling Model'!D$2:D$38^A5882)</f>
        <v>0.811408822</v>
      </c>
    </row>
    <row r="5883">
      <c r="A5883" s="6">
        <v>5881.0</v>
      </c>
      <c r="B5883" s="17">
        <f t="array" ref="B5883">SUM(1-'Sparkling Model'!D$2:D$38^A5883)</f>
        <v>36.7964319</v>
      </c>
      <c r="C5883" s="8">
        <f t="array" ref="C5883">PRODUCT(1-'Sparkling Model'!D$2:D$38^A5883)</f>
        <v>0.8115014696</v>
      </c>
    </row>
    <row r="5884">
      <c r="A5884" s="6">
        <v>5882.0</v>
      </c>
      <c r="B5884" s="17">
        <f t="array" ref="B5884">SUM(1-'Sparkling Model'!D$2:D$38^A5884)</f>
        <v>36.79654064</v>
      </c>
      <c r="C5884" s="8">
        <f t="array" ref="C5884">PRODUCT(1-'Sparkling Model'!D$2:D$38^A5884)</f>
        <v>0.8115940729</v>
      </c>
    </row>
    <row r="5885">
      <c r="A5885" s="6">
        <v>5883.0</v>
      </c>
      <c r="B5885" s="17">
        <f t="array" ref="B5885">SUM(1-'Sparkling Model'!D$2:D$38^A5885)</f>
        <v>36.79664931</v>
      </c>
      <c r="C5885" s="8">
        <f t="array" ref="C5885">PRODUCT(1-'Sparkling Model'!D$2:D$38^A5885)</f>
        <v>0.8116866319</v>
      </c>
    </row>
    <row r="5886">
      <c r="A5886" s="6">
        <v>5884.0</v>
      </c>
      <c r="B5886" s="17">
        <f t="array" ref="B5886">SUM(1-'Sparkling Model'!D$2:D$38^A5886)</f>
        <v>36.79675792</v>
      </c>
      <c r="C5886" s="8">
        <f t="array" ref="C5886">PRODUCT(1-'Sparkling Model'!D$2:D$38^A5886)</f>
        <v>0.8117791465</v>
      </c>
    </row>
    <row r="5887">
      <c r="A5887" s="6">
        <v>5885.0</v>
      </c>
      <c r="B5887" s="17">
        <f t="array" ref="B5887">SUM(1-'Sparkling Model'!D$2:D$38^A5887)</f>
        <v>36.79686647</v>
      </c>
      <c r="C5887" s="8">
        <f t="array" ref="C5887">PRODUCT(1-'Sparkling Model'!D$2:D$38^A5887)</f>
        <v>0.8118716169</v>
      </c>
    </row>
    <row r="5888">
      <c r="A5888" s="6">
        <v>5886.0</v>
      </c>
      <c r="B5888" s="17">
        <f t="array" ref="B5888">SUM(1-'Sparkling Model'!D$2:D$38^A5888)</f>
        <v>36.79697496</v>
      </c>
      <c r="C5888" s="8">
        <f t="array" ref="C5888">PRODUCT(1-'Sparkling Model'!D$2:D$38^A5888)</f>
        <v>0.8119640429</v>
      </c>
    </row>
    <row r="5889">
      <c r="A5889" s="6">
        <v>5887.0</v>
      </c>
      <c r="B5889" s="17">
        <f t="array" ref="B5889">SUM(1-'Sparkling Model'!D$2:D$38^A5889)</f>
        <v>36.79708338</v>
      </c>
      <c r="C5889" s="8">
        <f t="array" ref="C5889">PRODUCT(1-'Sparkling Model'!D$2:D$38^A5889)</f>
        <v>0.8120564247</v>
      </c>
    </row>
    <row r="5890">
      <c r="A5890" s="6">
        <v>5888.0</v>
      </c>
      <c r="B5890" s="17">
        <f t="array" ref="B5890">SUM(1-'Sparkling Model'!D$2:D$38^A5890)</f>
        <v>36.79719174</v>
      </c>
      <c r="C5890" s="8">
        <f t="array" ref="C5890">PRODUCT(1-'Sparkling Model'!D$2:D$38^A5890)</f>
        <v>0.8121487623</v>
      </c>
    </row>
    <row r="5891">
      <c r="A5891" s="6">
        <v>5889.0</v>
      </c>
      <c r="B5891" s="17">
        <f t="array" ref="B5891">SUM(1-'Sparkling Model'!D$2:D$38^A5891)</f>
        <v>36.79730004</v>
      </c>
      <c r="C5891" s="8">
        <f t="array" ref="C5891">PRODUCT(1-'Sparkling Model'!D$2:D$38^A5891)</f>
        <v>0.8122410556</v>
      </c>
    </row>
    <row r="5892">
      <c r="A5892" s="6">
        <v>5890.0</v>
      </c>
      <c r="B5892" s="17">
        <f t="array" ref="B5892">SUM(1-'Sparkling Model'!D$2:D$38^A5892)</f>
        <v>36.79740828</v>
      </c>
      <c r="C5892" s="8">
        <f t="array" ref="C5892">PRODUCT(1-'Sparkling Model'!D$2:D$38^A5892)</f>
        <v>0.8123333047</v>
      </c>
    </row>
    <row r="5893">
      <c r="A5893" s="6">
        <v>5891.0</v>
      </c>
      <c r="B5893" s="17">
        <f t="array" ref="B5893">SUM(1-'Sparkling Model'!D$2:D$38^A5893)</f>
        <v>36.79751646</v>
      </c>
      <c r="C5893" s="8">
        <f t="array" ref="C5893">PRODUCT(1-'Sparkling Model'!D$2:D$38^A5893)</f>
        <v>0.8124255097</v>
      </c>
    </row>
    <row r="5894">
      <c r="A5894" s="6">
        <v>5892.0</v>
      </c>
      <c r="B5894" s="17">
        <f t="array" ref="B5894">SUM(1-'Sparkling Model'!D$2:D$38^A5894)</f>
        <v>36.79762457</v>
      </c>
      <c r="C5894" s="8">
        <f t="array" ref="C5894">PRODUCT(1-'Sparkling Model'!D$2:D$38^A5894)</f>
        <v>0.8125176704</v>
      </c>
    </row>
    <row r="5895">
      <c r="A5895" s="6">
        <v>5893.0</v>
      </c>
      <c r="B5895" s="17">
        <f t="array" ref="B5895">SUM(1-'Sparkling Model'!D$2:D$38^A5895)</f>
        <v>36.79773263</v>
      </c>
      <c r="C5895" s="8">
        <f t="array" ref="C5895">PRODUCT(1-'Sparkling Model'!D$2:D$38^A5895)</f>
        <v>0.8126097871</v>
      </c>
    </row>
    <row r="5896">
      <c r="A5896" s="6">
        <v>5894.0</v>
      </c>
      <c r="B5896" s="17">
        <f t="array" ref="B5896">SUM(1-'Sparkling Model'!D$2:D$38^A5896)</f>
        <v>36.79784062</v>
      </c>
      <c r="C5896" s="8">
        <f t="array" ref="C5896">PRODUCT(1-'Sparkling Model'!D$2:D$38^A5896)</f>
        <v>0.8127018596</v>
      </c>
    </row>
    <row r="5897">
      <c r="A5897" s="6">
        <v>5895.0</v>
      </c>
      <c r="B5897" s="17">
        <f t="array" ref="B5897">SUM(1-'Sparkling Model'!D$2:D$38^A5897)</f>
        <v>36.79794855</v>
      </c>
      <c r="C5897" s="8">
        <f t="array" ref="C5897">PRODUCT(1-'Sparkling Model'!D$2:D$38^A5897)</f>
        <v>0.812793888</v>
      </c>
    </row>
    <row r="5898">
      <c r="A5898" s="6">
        <v>5896.0</v>
      </c>
      <c r="B5898" s="17">
        <f t="array" ref="B5898">SUM(1-'Sparkling Model'!D$2:D$38^A5898)</f>
        <v>36.79805642</v>
      </c>
      <c r="C5898" s="8">
        <f t="array" ref="C5898">PRODUCT(1-'Sparkling Model'!D$2:D$38^A5898)</f>
        <v>0.8128858723</v>
      </c>
    </row>
    <row r="5899">
      <c r="A5899" s="6">
        <v>5897.0</v>
      </c>
      <c r="B5899" s="17">
        <f t="array" ref="B5899">SUM(1-'Sparkling Model'!D$2:D$38^A5899)</f>
        <v>36.79816423</v>
      </c>
      <c r="C5899" s="8">
        <f t="array" ref="C5899">PRODUCT(1-'Sparkling Model'!D$2:D$38^A5899)</f>
        <v>0.8129778125</v>
      </c>
    </row>
    <row r="5900">
      <c r="A5900" s="6">
        <v>5898.0</v>
      </c>
      <c r="B5900" s="17">
        <f t="array" ref="B5900">SUM(1-'Sparkling Model'!D$2:D$38^A5900)</f>
        <v>36.79827197</v>
      </c>
      <c r="C5900" s="8">
        <f t="array" ref="C5900">PRODUCT(1-'Sparkling Model'!D$2:D$38^A5900)</f>
        <v>0.8130697088</v>
      </c>
    </row>
    <row r="5901">
      <c r="A5901" s="6">
        <v>5899.0</v>
      </c>
      <c r="B5901" s="17">
        <f t="array" ref="B5901">SUM(1-'Sparkling Model'!D$2:D$38^A5901)</f>
        <v>36.79837966</v>
      </c>
      <c r="C5901" s="8">
        <f t="array" ref="C5901">PRODUCT(1-'Sparkling Model'!D$2:D$38^A5901)</f>
        <v>0.8131615609</v>
      </c>
    </row>
    <row r="5902">
      <c r="A5902" s="6">
        <v>5900.0</v>
      </c>
      <c r="B5902" s="17">
        <f t="array" ref="B5902">SUM(1-'Sparkling Model'!D$2:D$38^A5902)</f>
        <v>36.79848728</v>
      </c>
      <c r="C5902" s="8">
        <f t="array" ref="C5902">PRODUCT(1-'Sparkling Model'!D$2:D$38^A5902)</f>
        <v>0.8132533691</v>
      </c>
    </row>
    <row r="5903">
      <c r="A5903" s="6">
        <v>5901.0</v>
      </c>
      <c r="B5903" s="17">
        <f t="array" ref="B5903">SUM(1-'Sparkling Model'!D$2:D$38^A5903)</f>
        <v>36.79859484</v>
      </c>
      <c r="C5903" s="8">
        <f t="array" ref="C5903">PRODUCT(1-'Sparkling Model'!D$2:D$38^A5903)</f>
        <v>0.8133451333</v>
      </c>
    </row>
    <row r="5904">
      <c r="A5904" s="6">
        <v>5902.0</v>
      </c>
      <c r="B5904" s="17">
        <f t="array" ref="B5904">SUM(1-'Sparkling Model'!D$2:D$38^A5904)</f>
        <v>36.79870234</v>
      </c>
      <c r="C5904" s="8">
        <f t="array" ref="C5904">PRODUCT(1-'Sparkling Model'!D$2:D$38^A5904)</f>
        <v>0.8134368535</v>
      </c>
    </row>
    <row r="5905">
      <c r="A5905" s="6">
        <v>5903.0</v>
      </c>
      <c r="B5905" s="17">
        <f t="array" ref="B5905">SUM(1-'Sparkling Model'!D$2:D$38^A5905)</f>
        <v>36.79880978</v>
      </c>
      <c r="C5905" s="8">
        <f t="array" ref="C5905">PRODUCT(1-'Sparkling Model'!D$2:D$38^A5905)</f>
        <v>0.8135285298</v>
      </c>
    </row>
    <row r="5906">
      <c r="A5906" s="6">
        <v>5904.0</v>
      </c>
      <c r="B5906" s="17">
        <f t="array" ref="B5906">SUM(1-'Sparkling Model'!D$2:D$38^A5906)</f>
        <v>36.79891716</v>
      </c>
      <c r="C5906" s="8">
        <f t="array" ref="C5906">PRODUCT(1-'Sparkling Model'!D$2:D$38^A5906)</f>
        <v>0.8136201621</v>
      </c>
    </row>
    <row r="5907">
      <c r="A5907" s="6">
        <v>5905.0</v>
      </c>
      <c r="B5907" s="17">
        <f t="array" ref="B5907">SUM(1-'Sparkling Model'!D$2:D$38^A5907)</f>
        <v>36.79902447</v>
      </c>
      <c r="C5907" s="8">
        <f t="array" ref="C5907">PRODUCT(1-'Sparkling Model'!D$2:D$38^A5907)</f>
        <v>0.8137117505</v>
      </c>
    </row>
    <row r="5908">
      <c r="A5908" s="6">
        <v>5906.0</v>
      </c>
      <c r="B5908" s="17">
        <f t="array" ref="B5908">SUM(1-'Sparkling Model'!D$2:D$38^A5908)</f>
        <v>36.79913173</v>
      </c>
      <c r="C5908" s="8">
        <f t="array" ref="C5908">PRODUCT(1-'Sparkling Model'!D$2:D$38^A5908)</f>
        <v>0.8138032951</v>
      </c>
    </row>
    <row r="5909">
      <c r="A5909" s="6">
        <v>5907.0</v>
      </c>
      <c r="B5909" s="17">
        <f t="array" ref="B5909">SUM(1-'Sparkling Model'!D$2:D$38^A5909)</f>
        <v>36.79923892</v>
      </c>
      <c r="C5909" s="8">
        <f t="array" ref="C5909">PRODUCT(1-'Sparkling Model'!D$2:D$38^A5909)</f>
        <v>0.8138947957</v>
      </c>
    </row>
    <row r="5910">
      <c r="A5910" s="6">
        <v>5908.0</v>
      </c>
      <c r="B5910" s="17">
        <f t="array" ref="B5910">SUM(1-'Sparkling Model'!D$2:D$38^A5910)</f>
        <v>36.79934605</v>
      </c>
      <c r="C5910" s="8">
        <f t="array" ref="C5910">PRODUCT(1-'Sparkling Model'!D$2:D$38^A5910)</f>
        <v>0.8139862525</v>
      </c>
    </row>
    <row r="5911">
      <c r="A5911" s="6">
        <v>5909.0</v>
      </c>
      <c r="B5911" s="17">
        <f t="array" ref="B5911">SUM(1-'Sparkling Model'!D$2:D$38^A5911)</f>
        <v>36.79945312</v>
      </c>
      <c r="C5911" s="8">
        <f t="array" ref="C5911">PRODUCT(1-'Sparkling Model'!D$2:D$38^A5911)</f>
        <v>0.8140776655</v>
      </c>
    </row>
    <row r="5912">
      <c r="A5912" s="6">
        <v>5910.0</v>
      </c>
      <c r="B5912" s="17">
        <f t="array" ref="B5912">SUM(1-'Sparkling Model'!D$2:D$38^A5912)</f>
        <v>36.79956014</v>
      </c>
      <c r="C5912" s="8">
        <f t="array" ref="C5912">PRODUCT(1-'Sparkling Model'!D$2:D$38^A5912)</f>
        <v>0.8141690347</v>
      </c>
    </row>
    <row r="5913">
      <c r="A5913" s="6">
        <v>5911.0</v>
      </c>
      <c r="B5913" s="17">
        <f t="array" ref="B5913">SUM(1-'Sparkling Model'!D$2:D$38^A5913)</f>
        <v>36.79966708</v>
      </c>
      <c r="C5913" s="8">
        <f t="array" ref="C5913">PRODUCT(1-'Sparkling Model'!D$2:D$38^A5913)</f>
        <v>0.81426036</v>
      </c>
    </row>
    <row r="5914">
      <c r="A5914" s="6">
        <v>5912.0</v>
      </c>
      <c r="B5914" s="17">
        <f t="array" ref="B5914">SUM(1-'Sparkling Model'!D$2:D$38^A5914)</f>
        <v>36.79977397</v>
      </c>
      <c r="C5914" s="8">
        <f t="array" ref="C5914">PRODUCT(1-'Sparkling Model'!D$2:D$38^A5914)</f>
        <v>0.8143516416</v>
      </c>
    </row>
    <row r="5915">
      <c r="A5915" s="6">
        <v>5913.0</v>
      </c>
      <c r="B5915" s="17">
        <f t="array" ref="B5915">SUM(1-'Sparkling Model'!D$2:D$38^A5915)</f>
        <v>36.7998808</v>
      </c>
      <c r="C5915" s="8">
        <f t="array" ref="C5915">PRODUCT(1-'Sparkling Model'!D$2:D$38^A5915)</f>
        <v>0.8144428795</v>
      </c>
    </row>
    <row r="5916">
      <c r="A5916" s="6">
        <v>5914.0</v>
      </c>
      <c r="B5916" s="17">
        <f t="array" ref="B5916">SUM(1-'Sparkling Model'!D$2:D$38^A5916)</f>
        <v>36.79998757</v>
      </c>
      <c r="C5916" s="8">
        <f t="array" ref="C5916">PRODUCT(1-'Sparkling Model'!D$2:D$38^A5916)</f>
        <v>0.8145340736</v>
      </c>
    </row>
    <row r="5917">
      <c r="A5917" s="6">
        <v>5915.0</v>
      </c>
      <c r="B5917" s="17">
        <f t="array" ref="B5917">SUM(1-'Sparkling Model'!D$2:D$38^A5917)</f>
        <v>36.80009427</v>
      </c>
      <c r="C5917" s="8">
        <f t="array" ref="C5917">PRODUCT(1-'Sparkling Model'!D$2:D$38^A5917)</f>
        <v>0.814625224</v>
      </c>
    </row>
    <row r="5918">
      <c r="A5918" s="6">
        <v>5916.0</v>
      </c>
      <c r="B5918" s="17">
        <f t="array" ref="B5918">SUM(1-'Sparkling Model'!D$2:D$38^A5918)</f>
        <v>36.80020092</v>
      </c>
      <c r="C5918" s="8">
        <f t="array" ref="C5918">PRODUCT(1-'Sparkling Model'!D$2:D$38^A5918)</f>
        <v>0.8147163307</v>
      </c>
    </row>
    <row r="5919">
      <c r="A5919" s="6">
        <v>5917.0</v>
      </c>
      <c r="B5919" s="17">
        <f t="array" ref="B5919">SUM(1-'Sparkling Model'!D$2:D$38^A5919)</f>
        <v>36.8003075</v>
      </c>
      <c r="C5919" s="8">
        <f t="array" ref="C5919">PRODUCT(1-'Sparkling Model'!D$2:D$38^A5919)</f>
        <v>0.8148073937</v>
      </c>
    </row>
    <row r="5920">
      <c r="A5920" s="6">
        <v>5918.0</v>
      </c>
      <c r="B5920" s="17">
        <f t="array" ref="B5920">SUM(1-'Sparkling Model'!D$2:D$38^A5920)</f>
        <v>36.80041403</v>
      </c>
      <c r="C5920" s="8">
        <f t="array" ref="C5920">PRODUCT(1-'Sparkling Model'!D$2:D$38^A5920)</f>
        <v>0.814898413</v>
      </c>
    </row>
    <row r="5921">
      <c r="A5921" s="6">
        <v>5919.0</v>
      </c>
      <c r="B5921" s="17">
        <f t="array" ref="B5921">SUM(1-'Sparkling Model'!D$2:D$38^A5921)</f>
        <v>36.80052049</v>
      </c>
      <c r="C5921" s="8">
        <f t="array" ref="C5921">PRODUCT(1-'Sparkling Model'!D$2:D$38^A5921)</f>
        <v>0.8149893888</v>
      </c>
    </row>
    <row r="5922">
      <c r="A5922" s="6">
        <v>5920.0</v>
      </c>
      <c r="B5922" s="17">
        <f t="array" ref="B5922">SUM(1-'Sparkling Model'!D$2:D$38^A5922)</f>
        <v>36.80062689</v>
      </c>
      <c r="C5922" s="8">
        <f t="array" ref="C5922">PRODUCT(1-'Sparkling Model'!D$2:D$38^A5922)</f>
        <v>0.8150803209</v>
      </c>
    </row>
    <row r="5923">
      <c r="A5923" s="6">
        <v>5921.0</v>
      </c>
      <c r="B5923" s="17">
        <f t="array" ref="B5923">SUM(1-'Sparkling Model'!D$2:D$38^A5923)</f>
        <v>36.80073323</v>
      </c>
      <c r="C5923" s="8">
        <f t="array" ref="C5923">PRODUCT(1-'Sparkling Model'!D$2:D$38^A5923)</f>
        <v>0.8151712094</v>
      </c>
    </row>
    <row r="5924">
      <c r="A5924" s="6">
        <v>5922.0</v>
      </c>
      <c r="B5924" s="17">
        <f t="array" ref="B5924">SUM(1-'Sparkling Model'!D$2:D$38^A5924)</f>
        <v>36.80083951</v>
      </c>
      <c r="C5924" s="8">
        <f t="array" ref="C5924">PRODUCT(1-'Sparkling Model'!D$2:D$38^A5924)</f>
        <v>0.8152620543</v>
      </c>
    </row>
    <row r="5925">
      <c r="A5925" s="6">
        <v>5923.0</v>
      </c>
      <c r="B5925" s="17">
        <f t="array" ref="B5925">SUM(1-'Sparkling Model'!D$2:D$38^A5925)</f>
        <v>36.80094573</v>
      </c>
      <c r="C5925" s="8">
        <f t="array" ref="C5925">PRODUCT(1-'Sparkling Model'!D$2:D$38^A5925)</f>
        <v>0.8153528557</v>
      </c>
    </row>
    <row r="5926">
      <c r="A5926" s="6">
        <v>5924.0</v>
      </c>
      <c r="B5926" s="17">
        <f t="array" ref="B5926">SUM(1-'Sparkling Model'!D$2:D$38^A5926)</f>
        <v>36.80105189</v>
      </c>
      <c r="C5926" s="8">
        <f t="array" ref="C5926">PRODUCT(1-'Sparkling Model'!D$2:D$38^A5926)</f>
        <v>0.8154436135</v>
      </c>
    </row>
    <row r="5927">
      <c r="A5927" s="6">
        <v>5925.0</v>
      </c>
      <c r="B5927" s="17">
        <f t="array" ref="B5927">SUM(1-'Sparkling Model'!D$2:D$38^A5927)</f>
        <v>36.80115799</v>
      </c>
      <c r="C5927" s="8">
        <f t="array" ref="C5927">PRODUCT(1-'Sparkling Model'!D$2:D$38^A5927)</f>
        <v>0.8155343278</v>
      </c>
    </row>
    <row r="5928">
      <c r="A5928" s="6">
        <v>5926.0</v>
      </c>
      <c r="B5928" s="17">
        <f t="array" ref="B5928">SUM(1-'Sparkling Model'!D$2:D$38^A5928)</f>
        <v>36.80126403</v>
      </c>
      <c r="C5928" s="8">
        <f t="array" ref="C5928">PRODUCT(1-'Sparkling Model'!D$2:D$38^A5928)</f>
        <v>0.8156249986</v>
      </c>
    </row>
    <row r="5929">
      <c r="A5929" s="6">
        <v>5927.0</v>
      </c>
      <c r="B5929" s="17">
        <f t="array" ref="B5929">SUM(1-'Sparkling Model'!D$2:D$38^A5929)</f>
        <v>36.80137001</v>
      </c>
      <c r="C5929" s="8">
        <f t="array" ref="C5929">PRODUCT(1-'Sparkling Model'!D$2:D$38^A5929)</f>
        <v>0.8157156259</v>
      </c>
    </row>
    <row r="5930">
      <c r="A5930" s="6">
        <v>5928.0</v>
      </c>
      <c r="B5930" s="17">
        <f t="array" ref="B5930">SUM(1-'Sparkling Model'!D$2:D$38^A5930)</f>
        <v>36.80147593</v>
      </c>
      <c r="C5930" s="8">
        <f t="array" ref="C5930">PRODUCT(1-'Sparkling Model'!D$2:D$38^A5930)</f>
        <v>0.8158062098</v>
      </c>
    </row>
    <row r="5931">
      <c r="A5931" s="6">
        <v>5929.0</v>
      </c>
      <c r="B5931" s="17">
        <f t="array" ref="B5931">SUM(1-'Sparkling Model'!D$2:D$38^A5931)</f>
        <v>36.80158179</v>
      </c>
      <c r="C5931" s="8">
        <f t="array" ref="C5931">PRODUCT(1-'Sparkling Model'!D$2:D$38^A5931)</f>
        <v>0.8158967502</v>
      </c>
    </row>
    <row r="5932">
      <c r="A5932" s="6">
        <v>5930.0</v>
      </c>
      <c r="B5932" s="17">
        <f t="array" ref="B5932">SUM(1-'Sparkling Model'!D$2:D$38^A5932)</f>
        <v>36.80168758</v>
      </c>
      <c r="C5932" s="8">
        <f t="array" ref="C5932">PRODUCT(1-'Sparkling Model'!D$2:D$38^A5932)</f>
        <v>0.8159872471</v>
      </c>
    </row>
    <row r="5933">
      <c r="A5933" s="6">
        <v>5931.0</v>
      </c>
      <c r="B5933" s="17">
        <f t="array" ref="B5933">SUM(1-'Sparkling Model'!D$2:D$38^A5933)</f>
        <v>36.80179332</v>
      </c>
      <c r="C5933" s="8">
        <f t="array" ref="C5933">PRODUCT(1-'Sparkling Model'!D$2:D$38^A5933)</f>
        <v>0.8160777007</v>
      </c>
    </row>
    <row r="5934">
      <c r="A5934" s="6">
        <v>5932.0</v>
      </c>
      <c r="B5934" s="17">
        <f t="array" ref="B5934">SUM(1-'Sparkling Model'!D$2:D$38^A5934)</f>
        <v>36.801899</v>
      </c>
      <c r="C5934" s="8">
        <f t="array" ref="C5934">PRODUCT(1-'Sparkling Model'!D$2:D$38^A5934)</f>
        <v>0.8161681109</v>
      </c>
    </row>
    <row r="5935">
      <c r="A5935" s="6">
        <v>5933.0</v>
      </c>
      <c r="B5935" s="17">
        <f t="array" ref="B5935">SUM(1-'Sparkling Model'!D$2:D$38^A5935)</f>
        <v>36.80200462</v>
      </c>
      <c r="C5935" s="8">
        <f t="array" ref="C5935">PRODUCT(1-'Sparkling Model'!D$2:D$38^A5935)</f>
        <v>0.8162584777</v>
      </c>
    </row>
    <row r="5936">
      <c r="A5936" s="6">
        <v>5934.0</v>
      </c>
      <c r="B5936" s="17">
        <f t="array" ref="B5936">SUM(1-'Sparkling Model'!D$2:D$38^A5936)</f>
        <v>36.80211017</v>
      </c>
      <c r="C5936" s="8">
        <f t="array" ref="C5936">PRODUCT(1-'Sparkling Model'!D$2:D$38^A5936)</f>
        <v>0.8163488012</v>
      </c>
    </row>
    <row r="5937">
      <c r="A5937" s="6">
        <v>5935.0</v>
      </c>
      <c r="B5937" s="17">
        <f t="array" ref="B5937">SUM(1-'Sparkling Model'!D$2:D$38^A5937)</f>
        <v>36.80221567</v>
      </c>
      <c r="C5937" s="8">
        <f t="array" ref="C5937">PRODUCT(1-'Sparkling Model'!D$2:D$38^A5937)</f>
        <v>0.8164390813</v>
      </c>
    </row>
    <row r="5938">
      <c r="A5938" s="6">
        <v>5936.0</v>
      </c>
      <c r="B5938" s="17">
        <f t="array" ref="B5938">SUM(1-'Sparkling Model'!D$2:D$38^A5938)</f>
        <v>36.80232111</v>
      </c>
      <c r="C5938" s="8">
        <f t="array" ref="C5938">PRODUCT(1-'Sparkling Model'!D$2:D$38^A5938)</f>
        <v>0.8165293182</v>
      </c>
    </row>
    <row r="5939">
      <c r="A5939" s="6">
        <v>5937.0</v>
      </c>
      <c r="B5939" s="17">
        <f t="array" ref="B5939">SUM(1-'Sparkling Model'!D$2:D$38^A5939)</f>
        <v>36.80242648</v>
      </c>
      <c r="C5939" s="8">
        <f t="array" ref="C5939">PRODUCT(1-'Sparkling Model'!D$2:D$38^A5939)</f>
        <v>0.8166195117</v>
      </c>
    </row>
    <row r="5940">
      <c r="A5940" s="6">
        <v>5938.0</v>
      </c>
      <c r="B5940" s="17">
        <f t="array" ref="B5940">SUM(1-'Sparkling Model'!D$2:D$38^A5940)</f>
        <v>36.8025318</v>
      </c>
      <c r="C5940" s="8">
        <f t="array" ref="C5940">PRODUCT(1-'Sparkling Model'!D$2:D$38^A5940)</f>
        <v>0.816709662</v>
      </c>
    </row>
    <row r="5941">
      <c r="A5941" s="6">
        <v>5939.0</v>
      </c>
      <c r="B5941" s="17">
        <f t="array" ref="B5941">SUM(1-'Sparkling Model'!D$2:D$38^A5941)</f>
        <v>36.80263706</v>
      </c>
      <c r="C5941" s="8">
        <f t="array" ref="C5941">PRODUCT(1-'Sparkling Model'!D$2:D$38^A5941)</f>
        <v>0.816799769</v>
      </c>
    </row>
    <row r="5942">
      <c r="A5942" s="6">
        <v>5940.0</v>
      </c>
      <c r="B5942" s="17">
        <f t="array" ref="B5942">SUM(1-'Sparkling Model'!D$2:D$38^A5942)</f>
        <v>36.80274225</v>
      </c>
      <c r="C5942" s="8">
        <f t="array" ref="C5942">PRODUCT(1-'Sparkling Model'!D$2:D$38^A5942)</f>
        <v>0.8168898328</v>
      </c>
    </row>
    <row r="5943">
      <c r="A5943" s="6">
        <v>5941.0</v>
      </c>
      <c r="B5943" s="17">
        <f t="array" ref="B5943">SUM(1-'Sparkling Model'!D$2:D$38^A5943)</f>
        <v>36.80284739</v>
      </c>
      <c r="C5943" s="8">
        <f t="array" ref="C5943">PRODUCT(1-'Sparkling Model'!D$2:D$38^A5943)</f>
        <v>0.8169798534</v>
      </c>
    </row>
    <row r="5944">
      <c r="A5944" s="6">
        <v>5942.0</v>
      </c>
      <c r="B5944" s="17">
        <f t="array" ref="B5944">SUM(1-'Sparkling Model'!D$2:D$38^A5944)</f>
        <v>36.80295247</v>
      </c>
      <c r="C5944" s="8">
        <f t="array" ref="C5944">PRODUCT(1-'Sparkling Model'!D$2:D$38^A5944)</f>
        <v>0.8170698308</v>
      </c>
    </row>
    <row r="5945">
      <c r="A5945" s="6">
        <v>5943.0</v>
      </c>
      <c r="B5945" s="17">
        <f t="array" ref="B5945">SUM(1-'Sparkling Model'!D$2:D$38^A5945)</f>
        <v>36.80305749</v>
      </c>
      <c r="C5945" s="8">
        <f t="array" ref="C5945">PRODUCT(1-'Sparkling Model'!D$2:D$38^A5945)</f>
        <v>0.817159765</v>
      </c>
    </row>
    <row r="5946">
      <c r="A5946" s="6">
        <v>5944.0</v>
      </c>
      <c r="B5946" s="17">
        <f t="array" ref="B5946">SUM(1-'Sparkling Model'!D$2:D$38^A5946)</f>
        <v>36.80316244</v>
      </c>
      <c r="C5946" s="8">
        <f t="array" ref="C5946">PRODUCT(1-'Sparkling Model'!D$2:D$38^A5946)</f>
        <v>0.817249656</v>
      </c>
    </row>
    <row r="5947">
      <c r="A5947" s="6">
        <v>5945.0</v>
      </c>
      <c r="B5947" s="17">
        <f t="array" ref="B5947">SUM(1-'Sparkling Model'!D$2:D$38^A5947)</f>
        <v>36.80326734</v>
      </c>
      <c r="C5947" s="8">
        <f t="array" ref="C5947">PRODUCT(1-'Sparkling Model'!D$2:D$38^A5947)</f>
        <v>0.8173395039</v>
      </c>
    </row>
    <row r="5948">
      <c r="A5948" s="6">
        <v>5946.0</v>
      </c>
      <c r="B5948" s="17">
        <f t="array" ref="B5948">SUM(1-'Sparkling Model'!D$2:D$38^A5948)</f>
        <v>36.80337218</v>
      </c>
      <c r="C5948" s="8">
        <f t="array" ref="C5948">PRODUCT(1-'Sparkling Model'!D$2:D$38^A5948)</f>
        <v>0.8174293087</v>
      </c>
    </row>
    <row r="5949">
      <c r="A5949" s="6">
        <v>5947.0</v>
      </c>
      <c r="B5949" s="17">
        <f t="array" ref="B5949">SUM(1-'Sparkling Model'!D$2:D$38^A5949)</f>
        <v>36.80347696</v>
      </c>
      <c r="C5949" s="8">
        <f t="array" ref="C5949">PRODUCT(1-'Sparkling Model'!D$2:D$38^A5949)</f>
        <v>0.8175190704</v>
      </c>
    </row>
    <row r="5950">
      <c r="A5950" s="6">
        <v>5948.0</v>
      </c>
      <c r="B5950" s="17">
        <f t="array" ref="B5950">SUM(1-'Sparkling Model'!D$2:D$38^A5950)</f>
        <v>36.80358168</v>
      </c>
      <c r="C5950" s="8">
        <f t="array" ref="C5950">PRODUCT(1-'Sparkling Model'!D$2:D$38^A5950)</f>
        <v>0.8176087891</v>
      </c>
    </row>
    <row r="5951">
      <c r="A5951" s="6">
        <v>5949.0</v>
      </c>
      <c r="B5951" s="17">
        <f t="array" ref="B5951">SUM(1-'Sparkling Model'!D$2:D$38^A5951)</f>
        <v>36.80368634</v>
      </c>
      <c r="C5951" s="8">
        <f t="array" ref="C5951">PRODUCT(1-'Sparkling Model'!D$2:D$38^A5951)</f>
        <v>0.8176984646</v>
      </c>
    </row>
    <row r="5952">
      <c r="A5952" s="6">
        <v>5950.0</v>
      </c>
      <c r="B5952" s="17">
        <f t="array" ref="B5952">SUM(1-'Sparkling Model'!D$2:D$38^A5952)</f>
        <v>36.80379094</v>
      </c>
      <c r="C5952" s="8">
        <f t="array" ref="C5952">PRODUCT(1-'Sparkling Model'!D$2:D$38^A5952)</f>
        <v>0.8177880972</v>
      </c>
    </row>
    <row r="5953">
      <c r="A5953" s="6">
        <v>5951.0</v>
      </c>
      <c r="B5953" s="17">
        <f t="array" ref="B5953">SUM(1-'Sparkling Model'!D$2:D$38^A5953)</f>
        <v>36.80389548</v>
      </c>
      <c r="C5953" s="8">
        <f t="array" ref="C5953">PRODUCT(1-'Sparkling Model'!D$2:D$38^A5953)</f>
        <v>0.8178776867</v>
      </c>
    </row>
    <row r="5954">
      <c r="A5954" s="6">
        <v>5952.0</v>
      </c>
      <c r="B5954" s="17">
        <f t="array" ref="B5954">SUM(1-'Sparkling Model'!D$2:D$38^A5954)</f>
        <v>36.80399996</v>
      </c>
      <c r="C5954" s="8">
        <f t="array" ref="C5954">PRODUCT(1-'Sparkling Model'!D$2:D$38^A5954)</f>
        <v>0.8179672332</v>
      </c>
    </row>
    <row r="5955">
      <c r="A5955" s="6">
        <v>5953.0</v>
      </c>
      <c r="B5955" s="17">
        <f t="array" ref="B5955">SUM(1-'Sparkling Model'!D$2:D$38^A5955)</f>
        <v>36.80410438</v>
      </c>
      <c r="C5955" s="8">
        <f t="array" ref="C5955">PRODUCT(1-'Sparkling Model'!D$2:D$38^A5955)</f>
        <v>0.8180567367</v>
      </c>
    </row>
    <row r="5956">
      <c r="A5956" s="6">
        <v>5954.0</v>
      </c>
      <c r="B5956" s="17">
        <f t="array" ref="B5956">SUM(1-'Sparkling Model'!D$2:D$38^A5956)</f>
        <v>36.80420875</v>
      </c>
      <c r="C5956" s="8">
        <f t="array" ref="C5956">PRODUCT(1-'Sparkling Model'!D$2:D$38^A5956)</f>
        <v>0.8181461972</v>
      </c>
    </row>
    <row r="5957">
      <c r="A5957" s="6">
        <v>5955.0</v>
      </c>
      <c r="B5957" s="17">
        <f t="array" ref="B5957">SUM(1-'Sparkling Model'!D$2:D$38^A5957)</f>
        <v>36.80431305</v>
      </c>
      <c r="C5957" s="8">
        <f t="array" ref="C5957">PRODUCT(1-'Sparkling Model'!D$2:D$38^A5957)</f>
        <v>0.8182356148</v>
      </c>
    </row>
    <row r="5958">
      <c r="A5958" s="6">
        <v>5956.0</v>
      </c>
      <c r="B5958" s="17">
        <f t="array" ref="B5958">SUM(1-'Sparkling Model'!D$2:D$38^A5958)</f>
        <v>36.80441729</v>
      </c>
      <c r="C5958" s="8">
        <f t="array" ref="C5958">PRODUCT(1-'Sparkling Model'!D$2:D$38^A5958)</f>
        <v>0.8183249895</v>
      </c>
    </row>
    <row r="5959">
      <c r="A5959" s="6">
        <v>5957.0</v>
      </c>
      <c r="B5959" s="17">
        <f t="array" ref="B5959">SUM(1-'Sparkling Model'!D$2:D$38^A5959)</f>
        <v>36.80452148</v>
      </c>
      <c r="C5959" s="8">
        <f t="array" ref="C5959">PRODUCT(1-'Sparkling Model'!D$2:D$38^A5959)</f>
        <v>0.8184143213</v>
      </c>
    </row>
    <row r="5960">
      <c r="A5960" s="6">
        <v>5958.0</v>
      </c>
      <c r="B5960" s="17">
        <f t="array" ref="B5960">SUM(1-'Sparkling Model'!D$2:D$38^A5960)</f>
        <v>36.8046256</v>
      </c>
      <c r="C5960" s="8">
        <f t="array" ref="C5960">PRODUCT(1-'Sparkling Model'!D$2:D$38^A5960)</f>
        <v>0.8185036102</v>
      </c>
    </row>
    <row r="5961">
      <c r="A5961" s="6">
        <v>5959.0</v>
      </c>
      <c r="B5961" s="17">
        <f t="array" ref="B5961">SUM(1-'Sparkling Model'!D$2:D$38^A5961)</f>
        <v>36.80472967</v>
      </c>
      <c r="C5961" s="8">
        <f t="array" ref="C5961">PRODUCT(1-'Sparkling Model'!D$2:D$38^A5961)</f>
        <v>0.8185928562</v>
      </c>
    </row>
    <row r="5962">
      <c r="A5962" s="6">
        <v>5960.0</v>
      </c>
      <c r="B5962" s="17">
        <f t="array" ref="B5962">SUM(1-'Sparkling Model'!D$2:D$38^A5962)</f>
        <v>36.80483368</v>
      </c>
      <c r="C5962" s="8">
        <f t="array" ref="C5962">PRODUCT(1-'Sparkling Model'!D$2:D$38^A5962)</f>
        <v>0.8186820594</v>
      </c>
    </row>
    <row r="5963">
      <c r="A5963" s="6">
        <v>5961.0</v>
      </c>
      <c r="B5963" s="17">
        <f t="array" ref="B5963">SUM(1-'Sparkling Model'!D$2:D$38^A5963)</f>
        <v>36.80493763</v>
      </c>
      <c r="C5963" s="8">
        <f t="array" ref="C5963">PRODUCT(1-'Sparkling Model'!D$2:D$38^A5963)</f>
        <v>0.8187712198</v>
      </c>
    </row>
    <row r="5964">
      <c r="A5964" s="6">
        <v>5962.0</v>
      </c>
      <c r="B5964" s="17">
        <f t="array" ref="B5964">SUM(1-'Sparkling Model'!D$2:D$38^A5964)</f>
        <v>36.80504151</v>
      </c>
      <c r="C5964" s="8">
        <f t="array" ref="C5964">PRODUCT(1-'Sparkling Model'!D$2:D$38^A5964)</f>
        <v>0.8188603373</v>
      </c>
    </row>
    <row r="5965">
      <c r="A5965" s="6">
        <v>5963.0</v>
      </c>
      <c r="B5965" s="17">
        <f t="array" ref="B5965">SUM(1-'Sparkling Model'!D$2:D$38^A5965)</f>
        <v>36.80514534</v>
      </c>
      <c r="C5965" s="8">
        <f t="array" ref="C5965">PRODUCT(1-'Sparkling Model'!D$2:D$38^A5965)</f>
        <v>0.818949412</v>
      </c>
    </row>
    <row r="5966">
      <c r="A5966" s="6">
        <v>5964.0</v>
      </c>
      <c r="B5966" s="17">
        <f t="array" ref="B5966">SUM(1-'Sparkling Model'!D$2:D$38^A5966)</f>
        <v>36.80524912</v>
      </c>
      <c r="C5966" s="8">
        <f t="array" ref="C5966">PRODUCT(1-'Sparkling Model'!D$2:D$38^A5966)</f>
        <v>0.819038444</v>
      </c>
    </row>
    <row r="5967">
      <c r="A5967" s="6">
        <v>5965.0</v>
      </c>
      <c r="B5967" s="17">
        <f t="array" ref="B5967">SUM(1-'Sparkling Model'!D$2:D$38^A5967)</f>
        <v>36.80535283</v>
      </c>
      <c r="C5967" s="8">
        <f t="array" ref="C5967">PRODUCT(1-'Sparkling Model'!D$2:D$38^A5967)</f>
        <v>0.8191274332</v>
      </c>
    </row>
    <row r="5968">
      <c r="A5968" s="6">
        <v>5966.0</v>
      </c>
      <c r="B5968" s="17">
        <f t="array" ref="B5968">SUM(1-'Sparkling Model'!D$2:D$38^A5968)</f>
        <v>36.80545648</v>
      </c>
      <c r="C5968" s="8">
        <f t="array" ref="C5968">PRODUCT(1-'Sparkling Model'!D$2:D$38^A5968)</f>
        <v>0.8192163797</v>
      </c>
    </row>
    <row r="5969">
      <c r="A5969" s="6">
        <v>5967.0</v>
      </c>
      <c r="B5969" s="17">
        <f t="array" ref="B5969">SUM(1-'Sparkling Model'!D$2:D$38^A5969)</f>
        <v>36.80556008</v>
      </c>
      <c r="C5969" s="8">
        <f t="array" ref="C5969">PRODUCT(1-'Sparkling Model'!D$2:D$38^A5969)</f>
        <v>0.8193052835</v>
      </c>
    </row>
    <row r="5970">
      <c r="A5970" s="6">
        <v>5968.0</v>
      </c>
      <c r="B5970" s="17">
        <f t="array" ref="B5970">SUM(1-'Sparkling Model'!D$2:D$38^A5970)</f>
        <v>36.80566361</v>
      </c>
      <c r="C5970" s="8">
        <f t="array" ref="C5970">PRODUCT(1-'Sparkling Model'!D$2:D$38^A5970)</f>
        <v>0.8193941446</v>
      </c>
    </row>
    <row r="5971">
      <c r="A5971" s="6">
        <v>5969.0</v>
      </c>
      <c r="B5971" s="17">
        <f t="array" ref="B5971">SUM(1-'Sparkling Model'!D$2:D$38^A5971)</f>
        <v>36.80576709</v>
      </c>
      <c r="C5971" s="8">
        <f t="array" ref="C5971">PRODUCT(1-'Sparkling Model'!D$2:D$38^A5971)</f>
        <v>0.819482963</v>
      </c>
    </row>
    <row r="5972">
      <c r="A5972" s="6">
        <v>5970.0</v>
      </c>
      <c r="B5972" s="17">
        <f t="array" ref="B5972">SUM(1-'Sparkling Model'!D$2:D$38^A5972)</f>
        <v>36.80587051</v>
      </c>
      <c r="C5972" s="8">
        <f t="array" ref="C5972">PRODUCT(1-'Sparkling Model'!D$2:D$38^A5972)</f>
        <v>0.8195717387</v>
      </c>
    </row>
    <row r="5973">
      <c r="A5973" s="6">
        <v>5971.0</v>
      </c>
      <c r="B5973" s="17">
        <f t="array" ref="B5973">SUM(1-'Sparkling Model'!D$2:D$38^A5973)</f>
        <v>36.80597387</v>
      </c>
      <c r="C5973" s="8">
        <f t="array" ref="C5973">PRODUCT(1-'Sparkling Model'!D$2:D$38^A5973)</f>
        <v>0.8196604718</v>
      </c>
    </row>
    <row r="5974">
      <c r="A5974" s="6">
        <v>5972.0</v>
      </c>
      <c r="B5974" s="17">
        <f t="array" ref="B5974">SUM(1-'Sparkling Model'!D$2:D$38^A5974)</f>
        <v>36.80607717</v>
      </c>
      <c r="C5974" s="8">
        <f t="array" ref="C5974">PRODUCT(1-'Sparkling Model'!D$2:D$38^A5974)</f>
        <v>0.8197491623</v>
      </c>
    </row>
    <row r="5975">
      <c r="A5975" s="6">
        <v>5973.0</v>
      </c>
      <c r="B5975" s="17">
        <f t="array" ref="B5975">SUM(1-'Sparkling Model'!D$2:D$38^A5975)</f>
        <v>36.80618041</v>
      </c>
      <c r="C5975" s="8">
        <f t="array" ref="C5975">PRODUCT(1-'Sparkling Model'!D$2:D$38^A5975)</f>
        <v>0.8198378102</v>
      </c>
    </row>
    <row r="5976">
      <c r="A5976" s="6">
        <v>5974.0</v>
      </c>
      <c r="B5976" s="17">
        <f t="array" ref="B5976">SUM(1-'Sparkling Model'!D$2:D$38^A5976)</f>
        <v>36.80628359</v>
      </c>
      <c r="C5976" s="8">
        <f t="array" ref="C5976">PRODUCT(1-'Sparkling Model'!D$2:D$38^A5976)</f>
        <v>0.8199264155</v>
      </c>
    </row>
    <row r="5977">
      <c r="A5977" s="6">
        <v>5975.0</v>
      </c>
      <c r="B5977" s="17">
        <f t="array" ref="B5977">SUM(1-'Sparkling Model'!D$2:D$38^A5977)</f>
        <v>36.80638672</v>
      </c>
      <c r="C5977" s="8">
        <f t="array" ref="C5977">PRODUCT(1-'Sparkling Model'!D$2:D$38^A5977)</f>
        <v>0.8200149782</v>
      </c>
    </row>
    <row r="5978">
      <c r="A5978" s="6">
        <v>5976.0</v>
      </c>
      <c r="B5978" s="17">
        <f t="array" ref="B5978">SUM(1-'Sparkling Model'!D$2:D$38^A5978)</f>
        <v>36.80648978</v>
      </c>
      <c r="C5978" s="8">
        <f t="array" ref="C5978">PRODUCT(1-'Sparkling Model'!D$2:D$38^A5978)</f>
        <v>0.8201034984</v>
      </c>
    </row>
    <row r="5979">
      <c r="A5979" s="6">
        <v>5977.0</v>
      </c>
      <c r="B5979" s="17">
        <f t="array" ref="B5979">SUM(1-'Sparkling Model'!D$2:D$38^A5979)</f>
        <v>36.80659279</v>
      </c>
      <c r="C5979" s="8">
        <f t="array" ref="C5979">PRODUCT(1-'Sparkling Model'!D$2:D$38^A5979)</f>
        <v>0.8201919761</v>
      </c>
    </row>
    <row r="5980">
      <c r="A5980" s="6">
        <v>5978.0</v>
      </c>
      <c r="B5980" s="17">
        <f t="array" ref="B5980">SUM(1-'Sparkling Model'!D$2:D$38^A5980)</f>
        <v>36.80669574</v>
      </c>
      <c r="C5980" s="8">
        <f t="array" ref="C5980">PRODUCT(1-'Sparkling Model'!D$2:D$38^A5980)</f>
        <v>0.8202804113</v>
      </c>
    </row>
    <row r="5981">
      <c r="A5981" s="6">
        <v>5979.0</v>
      </c>
      <c r="B5981" s="17">
        <f t="array" ref="B5981">SUM(1-'Sparkling Model'!D$2:D$38^A5981)</f>
        <v>36.80679863</v>
      </c>
      <c r="C5981" s="8">
        <f t="array" ref="C5981">PRODUCT(1-'Sparkling Model'!D$2:D$38^A5981)</f>
        <v>0.8203688039</v>
      </c>
    </row>
    <row r="5982">
      <c r="A5982" s="6">
        <v>5980.0</v>
      </c>
      <c r="B5982" s="17">
        <f t="array" ref="B5982">SUM(1-'Sparkling Model'!D$2:D$38^A5982)</f>
        <v>36.80690147</v>
      </c>
      <c r="C5982" s="8">
        <f t="array" ref="C5982">PRODUCT(1-'Sparkling Model'!D$2:D$38^A5982)</f>
        <v>0.8204571542</v>
      </c>
    </row>
    <row r="5983">
      <c r="A5983" s="6">
        <v>5981.0</v>
      </c>
      <c r="B5983" s="17">
        <f t="array" ref="B5983">SUM(1-'Sparkling Model'!D$2:D$38^A5983)</f>
        <v>36.80700424</v>
      </c>
      <c r="C5983" s="8">
        <f t="array" ref="C5983">PRODUCT(1-'Sparkling Model'!D$2:D$38^A5983)</f>
        <v>0.8205454619</v>
      </c>
    </row>
    <row r="5984">
      <c r="A5984" s="6">
        <v>5982.0</v>
      </c>
      <c r="B5984" s="17">
        <f t="array" ref="B5984">SUM(1-'Sparkling Model'!D$2:D$38^A5984)</f>
        <v>36.80710696</v>
      </c>
      <c r="C5984" s="8">
        <f t="array" ref="C5984">PRODUCT(1-'Sparkling Model'!D$2:D$38^A5984)</f>
        <v>0.8206337273</v>
      </c>
    </row>
    <row r="5985">
      <c r="A5985" s="6">
        <v>5983.0</v>
      </c>
      <c r="B5985" s="17">
        <f t="array" ref="B5985">SUM(1-'Sparkling Model'!D$2:D$38^A5985)</f>
        <v>36.80720961</v>
      </c>
      <c r="C5985" s="8">
        <f t="array" ref="C5985">PRODUCT(1-'Sparkling Model'!D$2:D$38^A5985)</f>
        <v>0.8207219502</v>
      </c>
    </row>
    <row r="5986">
      <c r="A5986" s="6">
        <v>5984.0</v>
      </c>
      <c r="B5986" s="17">
        <f t="array" ref="B5986">SUM(1-'Sparkling Model'!D$2:D$38^A5986)</f>
        <v>36.80731221</v>
      </c>
      <c r="C5986" s="8">
        <f t="array" ref="C5986">PRODUCT(1-'Sparkling Model'!D$2:D$38^A5986)</f>
        <v>0.8208101307</v>
      </c>
    </row>
    <row r="5987">
      <c r="A5987" s="6">
        <v>5985.0</v>
      </c>
      <c r="B5987" s="17">
        <f t="array" ref="B5987">SUM(1-'Sparkling Model'!D$2:D$38^A5987)</f>
        <v>36.80741475</v>
      </c>
      <c r="C5987" s="8">
        <f t="array" ref="C5987">PRODUCT(1-'Sparkling Model'!D$2:D$38^A5987)</f>
        <v>0.8208982689</v>
      </c>
    </row>
    <row r="5988">
      <c r="A5988" s="6">
        <v>5986.0</v>
      </c>
      <c r="B5988" s="17">
        <f t="array" ref="B5988">SUM(1-'Sparkling Model'!D$2:D$38^A5988)</f>
        <v>36.80751724</v>
      </c>
      <c r="C5988" s="8">
        <f t="array" ref="C5988">PRODUCT(1-'Sparkling Model'!D$2:D$38^A5988)</f>
        <v>0.8209863647</v>
      </c>
    </row>
    <row r="5989">
      <c r="A5989" s="6">
        <v>5987.0</v>
      </c>
      <c r="B5989" s="17">
        <f t="array" ref="B5989">SUM(1-'Sparkling Model'!D$2:D$38^A5989)</f>
        <v>36.80761966</v>
      </c>
      <c r="C5989" s="8">
        <f t="array" ref="C5989">PRODUCT(1-'Sparkling Model'!D$2:D$38^A5989)</f>
        <v>0.8210744182</v>
      </c>
    </row>
    <row r="5990">
      <c r="A5990" s="6">
        <v>5988.0</v>
      </c>
      <c r="B5990" s="17">
        <f t="array" ref="B5990">SUM(1-'Sparkling Model'!D$2:D$38^A5990)</f>
        <v>36.80772203</v>
      </c>
      <c r="C5990" s="8">
        <f t="array" ref="C5990">PRODUCT(1-'Sparkling Model'!D$2:D$38^A5990)</f>
        <v>0.8211624293</v>
      </c>
    </row>
    <row r="5991">
      <c r="A5991" s="6">
        <v>5989.0</v>
      </c>
      <c r="B5991" s="17">
        <f t="array" ref="B5991">SUM(1-'Sparkling Model'!D$2:D$38^A5991)</f>
        <v>36.80782434</v>
      </c>
      <c r="C5991" s="8">
        <f t="array" ref="C5991">PRODUCT(1-'Sparkling Model'!D$2:D$38^A5991)</f>
        <v>0.8212503982</v>
      </c>
    </row>
    <row r="5992">
      <c r="A5992" s="6">
        <v>5990.0</v>
      </c>
      <c r="B5992" s="17">
        <f t="array" ref="B5992">SUM(1-'Sparkling Model'!D$2:D$38^A5992)</f>
        <v>36.80792659</v>
      </c>
      <c r="C5992" s="8">
        <f t="array" ref="C5992">PRODUCT(1-'Sparkling Model'!D$2:D$38^A5992)</f>
        <v>0.8213383248</v>
      </c>
    </row>
    <row r="5993">
      <c r="A5993" s="6">
        <v>5991.0</v>
      </c>
      <c r="B5993" s="17">
        <f t="array" ref="B5993">SUM(1-'Sparkling Model'!D$2:D$38^A5993)</f>
        <v>36.80802878</v>
      </c>
      <c r="C5993" s="8">
        <f t="array" ref="C5993">PRODUCT(1-'Sparkling Model'!D$2:D$38^A5993)</f>
        <v>0.8214262091</v>
      </c>
    </row>
    <row r="5994">
      <c r="A5994" s="6">
        <v>5992.0</v>
      </c>
      <c r="B5994" s="17">
        <f t="array" ref="B5994">SUM(1-'Sparkling Model'!D$2:D$38^A5994)</f>
        <v>36.80813092</v>
      </c>
      <c r="C5994" s="8">
        <f t="array" ref="C5994">PRODUCT(1-'Sparkling Model'!D$2:D$38^A5994)</f>
        <v>0.8215140512</v>
      </c>
    </row>
    <row r="5995">
      <c r="A5995" s="6">
        <v>5993.0</v>
      </c>
      <c r="B5995" s="17">
        <f t="array" ref="B5995">SUM(1-'Sparkling Model'!D$2:D$38^A5995)</f>
        <v>36.80823299</v>
      </c>
      <c r="C5995" s="8">
        <f t="array" ref="C5995">PRODUCT(1-'Sparkling Model'!D$2:D$38^A5995)</f>
        <v>0.8216018511</v>
      </c>
    </row>
    <row r="5996">
      <c r="A5996" s="6">
        <v>5994.0</v>
      </c>
      <c r="B5996" s="17">
        <f t="array" ref="B5996">SUM(1-'Sparkling Model'!D$2:D$38^A5996)</f>
        <v>36.80833501</v>
      </c>
      <c r="C5996" s="8">
        <f t="array" ref="C5996">PRODUCT(1-'Sparkling Model'!D$2:D$38^A5996)</f>
        <v>0.8216896087</v>
      </c>
    </row>
    <row r="5997">
      <c r="A5997" s="6">
        <v>5995.0</v>
      </c>
      <c r="B5997" s="17">
        <f t="array" ref="B5997">SUM(1-'Sparkling Model'!D$2:D$38^A5997)</f>
        <v>36.80843698</v>
      </c>
      <c r="C5997" s="8">
        <f t="array" ref="C5997">PRODUCT(1-'Sparkling Model'!D$2:D$38^A5997)</f>
        <v>0.8217773242</v>
      </c>
    </row>
    <row r="5998">
      <c r="A5998" s="6">
        <v>5996.0</v>
      </c>
      <c r="B5998" s="17">
        <f t="array" ref="B5998">SUM(1-'Sparkling Model'!D$2:D$38^A5998)</f>
        <v>36.80853888</v>
      </c>
      <c r="C5998" s="8">
        <f t="array" ref="C5998">PRODUCT(1-'Sparkling Model'!D$2:D$38^A5998)</f>
        <v>0.8218649975</v>
      </c>
    </row>
    <row r="5999">
      <c r="A5999" s="6">
        <v>5997.0</v>
      </c>
      <c r="B5999" s="17">
        <f t="array" ref="B5999">SUM(1-'Sparkling Model'!D$2:D$38^A5999)</f>
        <v>36.80864073</v>
      </c>
      <c r="C5999" s="8">
        <f t="array" ref="C5999">PRODUCT(1-'Sparkling Model'!D$2:D$38^A5999)</f>
        <v>0.8219526287</v>
      </c>
    </row>
    <row r="6000">
      <c r="A6000" s="6">
        <v>5998.0</v>
      </c>
      <c r="B6000" s="17">
        <f t="array" ref="B6000">SUM(1-'Sparkling Model'!D$2:D$38^A6000)</f>
        <v>36.80874251</v>
      </c>
      <c r="C6000" s="8">
        <f t="array" ref="C6000">PRODUCT(1-'Sparkling Model'!D$2:D$38^A6000)</f>
        <v>0.8220402177</v>
      </c>
    </row>
    <row r="6001">
      <c r="A6001" s="6">
        <v>5999.0</v>
      </c>
      <c r="B6001" s="17">
        <f t="array" ref="B6001">SUM(1-'Sparkling Model'!D$2:D$38^A6001)</f>
        <v>36.80884424</v>
      </c>
      <c r="C6001" s="8">
        <f t="array" ref="C6001">PRODUCT(1-'Sparkling Model'!D$2:D$38^A6001)</f>
        <v>0.8221277647</v>
      </c>
    </row>
    <row r="6002">
      <c r="A6002" s="6">
        <v>6000.0</v>
      </c>
      <c r="B6002" s="17">
        <f t="array" ref="B6002">SUM(1-'Sparkling Model'!D$2:D$38^A6002)</f>
        <v>36.80894592</v>
      </c>
      <c r="C6002" s="8">
        <f t="array" ref="C6002">PRODUCT(1-'Sparkling Model'!D$2:D$38^A6002)</f>
        <v>0.8222152695</v>
      </c>
    </row>
    <row r="6003">
      <c r="A6003" s="6">
        <v>6001.0</v>
      </c>
      <c r="B6003" s="17">
        <f t="array" ref="B6003">SUM(1-'Sparkling Model'!D$2:D$38^A6003)</f>
        <v>36.80904753</v>
      </c>
      <c r="C6003" s="8">
        <f t="array" ref="C6003">PRODUCT(1-'Sparkling Model'!D$2:D$38^A6003)</f>
        <v>0.8223027323</v>
      </c>
    </row>
    <row r="6004">
      <c r="A6004" s="6">
        <v>6002.0</v>
      </c>
      <c r="B6004" s="17">
        <f t="array" ref="B6004">SUM(1-'Sparkling Model'!D$2:D$38^A6004)</f>
        <v>36.80914909</v>
      </c>
      <c r="C6004" s="8">
        <f t="array" ref="C6004">PRODUCT(1-'Sparkling Model'!D$2:D$38^A6004)</f>
        <v>0.822390153</v>
      </c>
    </row>
    <row r="6005">
      <c r="A6005" s="6">
        <v>6003.0</v>
      </c>
      <c r="B6005" s="17">
        <f t="array" ref="B6005">SUM(1-'Sparkling Model'!D$2:D$38^A6005)</f>
        <v>36.80925059</v>
      </c>
      <c r="C6005" s="8">
        <f t="array" ref="C6005">PRODUCT(1-'Sparkling Model'!D$2:D$38^A6005)</f>
        <v>0.8224775317</v>
      </c>
    </row>
    <row r="6006">
      <c r="A6006" s="6">
        <v>6004.0</v>
      </c>
      <c r="B6006" s="17">
        <f t="array" ref="B6006">SUM(1-'Sparkling Model'!D$2:D$38^A6006)</f>
        <v>36.80935203</v>
      </c>
      <c r="C6006" s="8">
        <f t="array" ref="C6006">PRODUCT(1-'Sparkling Model'!D$2:D$38^A6006)</f>
        <v>0.8225648684</v>
      </c>
    </row>
    <row r="6007">
      <c r="A6007" s="6">
        <v>6005.0</v>
      </c>
      <c r="B6007" s="17">
        <f t="array" ref="B6007">SUM(1-'Sparkling Model'!D$2:D$38^A6007)</f>
        <v>36.80945342</v>
      </c>
      <c r="C6007" s="8">
        <f t="array" ref="C6007">PRODUCT(1-'Sparkling Model'!D$2:D$38^A6007)</f>
        <v>0.8226521631</v>
      </c>
    </row>
    <row r="6008">
      <c r="A6008" s="6">
        <v>6006.0</v>
      </c>
      <c r="B6008" s="17">
        <f t="array" ref="B6008">SUM(1-'Sparkling Model'!D$2:D$38^A6008)</f>
        <v>36.80955475</v>
      </c>
      <c r="C6008" s="8">
        <f t="array" ref="C6008">PRODUCT(1-'Sparkling Model'!D$2:D$38^A6008)</f>
        <v>0.8227394158</v>
      </c>
    </row>
    <row r="6009">
      <c r="A6009" s="6">
        <v>6007.0</v>
      </c>
      <c r="B6009" s="17">
        <f t="array" ref="B6009">SUM(1-'Sparkling Model'!D$2:D$38^A6009)</f>
        <v>36.80965602</v>
      </c>
      <c r="C6009" s="8">
        <f t="array" ref="C6009">PRODUCT(1-'Sparkling Model'!D$2:D$38^A6009)</f>
        <v>0.8228266266</v>
      </c>
    </row>
    <row r="6010">
      <c r="A6010" s="6">
        <v>6008.0</v>
      </c>
      <c r="B6010" s="17">
        <f t="array" ref="B6010">SUM(1-'Sparkling Model'!D$2:D$38^A6010)</f>
        <v>36.80975723</v>
      </c>
      <c r="C6010" s="8">
        <f t="array" ref="C6010">PRODUCT(1-'Sparkling Model'!D$2:D$38^A6010)</f>
        <v>0.8229137954</v>
      </c>
    </row>
    <row r="6011">
      <c r="A6011" s="6">
        <v>6009.0</v>
      </c>
      <c r="B6011" s="17">
        <f t="array" ref="B6011">SUM(1-'Sparkling Model'!D$2:D$38^A6011)</f>
        <v>36.80985839</v>
      </c>
      <c r="C6011" s="8">
        <f t="array" ref="C6011">PRODUCT(1-'Sparkling Model'!D$2:D$38^A6011)</f>
        <v>0.8230009223</v>
      </c>
    </row>
    <row r="6012">
      <c r="A6012" s="6">
        <v>6010.0</v>
      </c>
      <c r="B6012" s="17">
        <f t="array" ref="B6012">SUM(1-'Sparkling Model'!D$2:D$38^A6012)</f>
        <v>36.80995948</v>
      </c>
      <c r="C6012" s="8">
        <f t="array" ref="C6012">PRODUCT(1-'Sparkling Model'!D$2:D$38^A6012)</f>
        <v>0.8230880073</v>
      </c>
    </row>
    <row r="6013">
      <c r="A6013" s="6">
        <v>6011.0</v>
      </c>
      <c r="B6013" s="17">
        <f t="array" ref="B6013">SUM(1-'Sparkling Model'!D$2:D$38^A6013)</f>
        <v>36.81006053</v>
      </c>
      <c r="C6013" s="8">
        <f t="array" ref="C6013">PRODUCT(1-'Sparkling Model'!D$2:D$38^A6013)</f>
        <v>0.8231750504</v>
      </c>
    </row>
    <row r="6014">
      <c r="A6014" s="6">
        <v>6012.0</v>
      </c>
      <c r="B6014" s="17">
        <f t="array" ref="B6014">SUM(1-'Sparkling Model'!D$2:D$38^A6014)</f>
        <v>36.81016151</v>
      </c>
      <c r="C6014" s="8">
        <f t="array" ref="C6014">PRODUCT(1-'Sparkling Model'!D$2:D$38^A6014)</f>
        <v>0.8232620517</v>
      </c>
    </row>
    <row r="6015">
      <c r="A6015" s="6">
        <v>6013.0</v>
      </c>
      <c r="B6015" s="17">
        <f t="array" ref="B6015">SUM(1-'Sparkling Model'!D$2:D$38^A6015)</f>
        <v>36.81026244</v>
      </c>
      <c r="C6015" s="8">
        <f t="array" ref="C6015">PRODUCT(1-'Sparkling Model'!D$2:D$38^A6015)</f>
        <v>0.8233490111</v>
      </c>
    </row>
    <row r="6016">
      <c r="A6016" s="6">
        <v>6014.0</v>
      </c>
      <c r="B6016" s="17">
        <f t="array" ref="B6016">SUM(1-'Sparkling Model'!D$2:D$38^A6016)</f>
        <v>36.81036331</v>
      </c>
      <c r="C6016" s="8">
        <f t="array" ref="C6016">PRODUCT(1-'Sparkling Model'!D$2:D$38^A6016)</f>
        <v>0.8234359287</v>
      </c>
    </row>
    <row r="6017">
      <c r="A6017" s="6">
        <v>6015.0</v>
      </c>
      <c r="B6017" s="17">
        <f t="array" ref="B6017">SUM(1-'Sparkling Model'!D$2:D$38^A6017)</f>
        <v>36.81046412</v>
      </c>
      <c r="C6017" s="8">
        <f t="array" ref="C6017">PRODUCT(1-'Sparkling Model'!D$2:D$38^A6017)</f>
        <v>0.8235228045</v>
      </c>
    </row>
    <row r="6018">
      <c r="A6018" s="6">
        <v>6016.0</v>
      </c>
      <c r="B6018" s="17">
        <f t="array" ref="B6018">SUM(1-'Sparkling Model'!D$2:D$38^A6018)</f>
        <v>36.81056487</v>
      </c>
      <c r="C6018" s="8">
        <f t="array" ref="C6018">PRODUCT(1-'Sparkling Model'!D$2:D$38^A6018)</f>
        <v>0.8236096384</v>
      </c>
    </row>
    <row r="6019">
      <c r="A6019" s="6">
        <v>6017.0</v>
      </c>
      <c r="B6019" s="17">
        <f t="array" ref="B6019">SUM(1-'Sparkling Model'!D$2:D$38^A6019)</f>
        <v>36.81066557</v>
      </c>
      <c r="C6019" s="8">
        <f t="array" ref="C6019">PRODUCT(1-'Sparkling Model'!D$2:D$38^A6019)</f>
        <v>0.8236964307</v>
      </c>
    </row>
    <row r="6020">
      <c r="A6020" s="6">
        <v>6018.0</v>
      </c>
      <c r="B6020" s="17">
        <f t="array" ref="B6020">SUM(1-'Sparkling Model'!D$2:D$38^A6020)</f>
        <v>36.81076621</v>
      </c>
      <c r="C6020" s="8">
        <f t="array" ref="C6020">PRODUCT(1-'Sparkling Model'!D$2:D$38^A6020)</f>
        <v>0.8237831811</v>
      </c>
    </row>
    <row r="6021">
      <c r="A6021" s="6">
        <v>6019.0</v>
      </c>
      <c r="B6021" s="17">
        <f t="array" ref="B6021">SUM(1-'Sparkling Model'!D$2:D$38^A6021)</f>
        <v>36.8108668</v>
      </c>
      <c r="C6021" s="8">
        <f t="array" ref="C6021">PRODUCT(1-'Sparkling Model'!D$2:D$38^A6021)</f>
        <v>0.8238698899</v>
      </c>
    </row>
    <row r="6022">
      <c r="A6022" s="6">
        <v>6020.0</v>
      </c>
      <c r="B6022" s="17">
        <f t="array" ref="B6022">SUM(1-'Sparkling Model'!D$2:D$38^A6022)</f>
        <v>36.81096733</v>
      </c>
      <c r="C6022" s="8">
        <f t="array" ref="C6022">PRODUCT(1-'Sparkling Model'!D$2:D$38^A6022)</f>
        <v>0.8239565569</v>
      </c>
    </row>
    <row r="6023">
      <c r="A6023" s="6">
        <v>6021.0</v>
      </c>
      <c r="B6023" s="17">
        <f t="array" ref="B6023">SUM(1-'Sparkling Model'!D$2:D$38^A6023)</f>
        <v>36.8110678</v>
      </c>
      <c r="C6023" s="8">
        <f t="array" ref="C6023">PRODUCT(1-'Sparkling Model'!D$2:D$38^A6023)</f>
        <v>0.8240431823</v>
      </c>
    </row>
    <row r="6024">
      <c r="A6024" s="6">
        <v>6022.0</v>
      </c>
      <c r="B6024" s="17">
        <f t="array" ref="B6024">SUM(1-'Sparkling Model'!D$2:D$38^A6024)</f>
        <v>36.81116821</v>
      </c>
      <c r="C6024" s="8">
        <f t="array" ref="C6024">PRODUCT(1-'Sparkling Model'!D$2:D$38^A6024)</f>
        <v>0.8241297659</v>
      </c>
    </row>
    <row r="6025">
      <c r="A6025" s="6">
        <v>6023.0</v>
      </c>
      <c r="B6025" s="17">
        <f t="array" ref="B6025">SUM(1-'Sparkling Model'!D$2:D$38^A6025)</f>
        <v>36.81126857</v>
      </c>
      <c r="C6025" s="8">
        <f t="array" ref="C6025">PRODUCT(1-'Sparkling Model'!D$2:D$38^A6025)</f>
        <v>0.8242163079</v>
      </c>
    </row>
    <row r="6026">
      <c r="A6026" s="6">
        <v>6024.0</v>
      </c>
      <c r="B6026" s="17">
        <f t="array" ref="B6026">SUM(1-'Sparkling Model'!D$2:D$38^A6026)</f>
        <v>36.81136887</v>
      </c>
      <c r="C6026" s="8">
        <f t="array" ref="C6026">PRODUCT(1-'Sparkling Model'!D$2:D$38^A6026)</f>
        <v>0.8243028083</v>
      </c>
    </row>
    <row r="6027">
      <c r="A6027" s="6">
        <v>6025.0</v>
      </c>
      <c r="B6027" s="17">
        <f t="array" ref="B6027">SUM(1-'Sparkling Model'!D$2:D$38^A6027)</f>
        <v>36.81146911</v>
      </c>
      <c r="C6027" s="8">
        <f t="array" ref="C6027">PRODUCT(1-'Sparkling Model'!D$2:D$38^A6027)</f>
        <v>0.8243892671</v>
      </c>
    </row>
    <row r="6028">
      <c r="A6028" s="6">
        <v>6026.0</v>
      </c>
      <c r="B6028" s="17">
        <f t="array" ref="B6028">SUM(1-'Sparkling Model'!D$2:D$38^A6028)</f>
        <v>36.8115693</v>
      </c>
      <c r="C6028" s="8">
        <f t="array" ref="C6028">PRODUCT(1-'Sparkling Model'!D$2:D$38^A6028)</f>
        <v>0.8244756842</v>
      </c>
    </row>
    <row r="6029">
      <c r="A6029" s="6">
        <v>6027.0</v>
      </c>
      <c r="B6029" s="17">
        <f t="array" ref="B6029">SUM(1-'Sparkling Model'!D$2:D$38^A6029)</f>
        <v>36.81166943</v>
      </c>
      <c r="C6029" s="8">
        <f t="array" ref="C6029">PRODUCT(1-'Sparkling Model'!D$2:D$38^A6029)</f>
        <v>0.8245620598</v>
      </c>
    </row>
    <row r="6030">
      <c r="A6030" s="6">
        <v>6028.0</v>
      </c>
      <c r="B6030" s="17">
        <f t="array" ref="B6030">SUM(1-'Sparkling Model'!D$2:D$38^A6030)</f>
        <v>36.8117695</v>
      </c>
      <c r="C6030" s="8">
        <f t="array" ref="C6030">PRODUCT(1-'Sparkling Model'!D$2:D$38^A6030)</f>
        <v>0.8246483938</v>
      </c>
    </row>
    <row r="6031">
      <c r="A6031" s="6">
        <v>6029.0</v>
      </c>
      <c r="B6031" s="17">
        <f t="array" ref="B6031">SUM(1-'Sparkling Model'!D$2:D$38^A6031)</f>
        <v>36.81186952</v>
      </c>
      <c r="C6031" s="8">
        <f t="array" ref="C6031">PRODUCT(1-'Sparkling Model'!D$2:D$38^A6031)</f>
        <v>0.8247346862</v>
      </c>
    </row>
    <row r="6032">
      <c r="A6032" s="6">
        <v>6030.0</v>
      </c>
      <c r="B6032" s="17">
        <f t="array" ref="B6032">SUM(1-'Sparkling Model'!D$2:D$38^A6032)</f>
        <v>36.81196948</v>
      </c>
      <c r="C6032" s="8">
        <f t="array" ref="C6032">PRODUCT(1-'Sparkling Model'!D$2:D$38^A6032)</f>
        <v>0.8248209372</v>
      </c>
    </row>
    <row r="6033">
      <c r="A6033" s="6">
        <v>6031.0</v>
      </c>
      <c r="B6033" s="17">
        <f t="array" ref="B6033">SUM(1-'Sparkling Model'!D$2:D$38^A6033)</f>
        <v>36.81206939</v>
      </c>
      <c r="C6033" s="8">
        <f t="array" ref="C6033">PRODUCT(1-'Sparkling Model'!D$2:D$38^A6033)</f>
        <v>0.8249071466</v>
      </c>
    </row>
    <row r="6034">
      <c r="A6034" s="6">
        <v>6032.0</v>
      </c>
      <c r="B6034" s="17">
        <f t="array" ref="B6034">SUM(1-'Sparkling Model'!D$2:D$38^A6034)</f>
        <v>36.81216923</v>
      </c>
      <c r="C6034" s="8">
        <f t="array" ref="C6034">PRODUCT(1-'Sparkling Model'!D$2:D$38^A6034)</f>
        <v>0.8249933146</v>
      </c>
    </row>
    <row r="6035">
      <c r="A6035" s="6">
        <v>6033.0</v>
      </c>
      <c r="B6035" s="17">
        <f t="array" ref="B6035">SUM(1-'Sparkling Model'!D$2:D$38^A6035)</f>
        <v>36.81226903</v>
      </c>
      <c r="C6035" s="8">
        <f t="array" ref="C6035">PRODUCT(1-'Sparkling Model'!D$2:D$38^A6035)</f>
        <v>0.825079441</v>
      </c>
    </row>
    <row r="6036">
      <c r="A6036" s="6">
        <v>6034.0</v>
      </c>
      <c r="B6036" s="17">
        <f t="array" ref="B6036">SUM(1-'Sparkling Model'!D$2:D$38^A6036)</f>
        <v>36.81236876</v>
      </c>
      <c r="C6036" s="8">
        <f t="array" ref="C6036">PRODUCT(1-'Sparkling Model'!D$2:D$38^A6036)</f>
        <v>0.825165526</v>
      </c>
    </row>
    <row r="6037">
      <c r="A6037" s="6">
        <v>6035.0</v>
      </c>
      <c r="B6037" s="17">
        <f t="array" ref="B6037">SUM(1-'Sparkling Model'!D$2:D$38^A6037)</f>
        <v>36.81246844</v>
      </c>
      <c r="C6037" s="8">
        <f t="array" ref="C6037">PRODUCT(1-'Sparkling Model'!D$2:D$38^A6037)</f>
        <v>0.8252515696</v>
      </c>
    </row>
    <row r="6038">
      <c r="A6038" s="6">
        <v>6036.0</v>
      </c>
      <c r="B6038" s="17">
        <f t="array" ref="B6038">SUM(1-'Sparkling Model'!D$2:D$38^A6038)</f>
        <v>36.81256806</v>
      </c>
      <c r="C6038" s="8">
        <f t="array" ref="C6038">PRODUCT(1-'Sparkling Model'!D$2:D$38^A6038)</f>
        <v>0.8253375718</v>
      </c>
    </row>
    <row r="6039">
      <c r="A6039" s="6">
        <v>6037.0</v>
      </c>
      <c r="B6039" s="17">
        <f t="array" ref="B6039">SUM(1-'Sparkling Model'!D$2:D$38^A6039)</f>
        <v>36.81266763</v>
      </c>
      <c r="C6039" s="8">
        <f t="array" ref="C6039">PRODUCT(1-'Sparkling Model'!D$2:D$38^A6039)</f>
        <v>0.8254235326</v>
      </c>
    </row>
    <row r="6040">
      <c r="A6040" s="6">
        <v>6038.0</v>
      </c>
      <c r="B6040" s="17">
        <f t="array" ref="B6040">SUM(1-'Sparkling Model'!D$2:D$38^A6040)</f>
        <v>36.81276714</v>
      </c>
      <c r="C6040" s="8">
        <f t="array" ref="C6040">PRODUCT(1-'Sparkling Model'!D$2:D$38^A6040)</f>
        <v>0.825509452</v>
      </c>
    </row>
    <row r="6041">
      <c r="A6041" s="6">
        <v>6039.0</v>
      </c>
      <c r="B6041" s="17">
        <f t="array" ref="B6041">SUM(1-'Sparkling Model'!D$2:D$38^A6041)</f>
        <v>36.81286659</v>
      </c>
      <c r="C6041" s="8">
        <f t="array" ref="C6041">PRODUCT(1-'Sparkling Model'!D$2:D$38^A6041)</f>
        <v>0.8255953301</v>
      </c>
    </row>
    <row r="6042">
      <c r="A6042" s="6">
        <v>6040.0</v>
      </c>
      <c r="B6042" s="17">
        <f t="array" ref="B6042">SUM(1-'Sparkling Model'!D$2:D$38^A6042)</f>
        <v>36.81296599</v>
      </c>
      <c r="C6042" s="8">
        <f t="array" ref="C6042">PRODUCT(1-'Sparkling Model'!D$2:D$38^A6042)</f>
        <v>0.8256811668</v>
      </c>
    </row>
    <row r="6043">
      <c r="A6043" s="6">
        <v>6041.0</v>
      </c>
      <c r="B6043" s="17">
        <f t="array" ref="B6043">SUM(1-'Sparkling Model'!D$2:D$38^A6043)</f>
        <v>36.81306533</v>
      </c>
      <c r="C6043" s="8">
        <f t="array" ref="C6043">PRODUCT(1-'Sparkling Model'!D$2:D$38^A6043)</f>
        <v>0.8257669622</v>
      </c>
    </row>
    <row r="6044">
      <c r="A6044" s="6">
        <v>6042.0</v>
      </c>
      <c r="B6044" s="17">
        <f t="array" ref="B6044">SUM(1-'Sparkling Model'!D$2:D$38^A6044)</f>
        <v>36.81316461</v>
      </c>
      <c r="C6044" s="8">
        <f t="array" ref="C6044">PRODUCT(1-'Sparkling Model'!D$2:D$38^A6044)</f>
        <v>0.8258527162</v>
      </c>
    </row>
    <row r="6045">
      <c r="A6045" s="6">
        <v>6043.0</v>
      </c>
      <c r="B6045" s="17">
        <f t="array" ref="B6045">SUM(1-'Sparkling Model'!D$2:D$38^A6045)</f>
        <v>36.81326384</v>
      </c>
      <c r="C6045" s="8">
        <f t="array" ref="C6045">PRODUCT(1-'Sparkling Model'!D$2:D$38^A6045)</f>
        <v>0.825938429</v>
      </c>
    </row>
    <row r="6046">
      <c r="A6046" s="6">
        <v>6044.0</v>
      </c>
      <c r="B6046" s="17">
        <f t="array" ref="B6046">SUM(1-'Sparkling Model'!D$2:D$38^A6046)</f>
        <v>36.81336301</v>
      </c>
      <c r="C6046" s="8">
        <f t="array" ref="C6046">PRODUCT(1-'Sparkling Model'!D$2:D$38^A6046)</f>
        <v>0.8260241006</v>
      </c>
    </row>
    <row r="6047">
      <c r="A6047" s="6">
        <v>6045.0</v>
      </c>
      <c r="B6047" s="17">
        <f t="array" ref="B6047">SUM(1-'Sparkling Model'!D$2:D$38^A6047)</f>
        <v>36.81346213</v>
      </c>
      <c r="C6047" s="8">
        <f t="array" ref="C6047">PRODUCT(1-'Sparkling Model'!D$2:D$38^A6047)</f>
        <v>0.8261097309</v>
      </c>
    </row>
    <row r="6048">
      <c r="A6048" s="6">
        <v>6046.0</v>
      </c>
      <c r="B6048" s="17">
        <f t="array" ref="B6048">SUM(1-'Sparkling Model'!D$2:D$38^A6048)</f>
        <v>36.81356119</v>
      </c>
      <c r="C6048" s="8">
        <f t="array" ref="C6048">PRODUCT(1-'Sparkling Model'!D$2:D$38^A6048)</f>
        <v>0.8261953199</v>
      </c>
    </row>
    <row r="6049">
      <c r="A6049" s="6">
        <v>6047.0</v>
      </c>
      <c r="B6049" s="17">
        <f t="array" ref="B6049">SUM(1-'Sparkling Model'!D$2:D$38^A6049)</f>
        <v>36.81366019</v>
      </c>
      <c r="C6049" s="8">
        <f t="array" ref="C6049">PRODUCT(1-'Sparkling Model'!D$2:D$38^A6049)</f>
        <v>0.8262808678</v>
      </c>
    </row>
    <row r="6050">
      <c r="A6050" s="6">
        <v>6048.0</v>
      </c>
      <c r="B6050" s="17">
        <f t="array" ref="B6050">SUM(1-'Sparkling Model'!D$2:D$38^A6050)</f>
        <v>36.81375914</v>
      </c>
      <c r="C6050" s="8">
        <f t="array" ref="C6050">PRODUCT(1-'Sparkling Model'!D$2:D$38^A6050)</f>
        <v>0.8263663745</v>
      </c>
    </row>
    <row r="6051">
      <c r="A6051" s="6">
        <v>6049.0</v>
      </c>
      <c r="B6051" s="17">
        <f t="array" ref="B6051">SUM(1-'Sparkling Model'!D$2:D$38^A6051)</f>
        <v>36.81385804</v>
      </c>
      <c r="C6051" s="8">
        <f t="array" ref="C6051">PRODUCT(1-'Sparkling Model'!D$2:D$38^A6051)</f>
        <v>0.82645184</v>
      </c>
    </row>
    <row r="6052">
      <c r="A6052" s="6">
        <v>6050.0</v>
      </c>
      <c r="B6052" s="17">
        <f t="array" ref="B6052">SUM(1-'Sparkling Model'!D$2:D$38^A6052)</f>
        <v>36.81395687</v>
      </c>
      <c r="C6052" s="8">
        <f t="array" ref="C6052">PRODUCT(1-'Sparkling Model'!D$2:D$38^A6052)</f>
        <v>0.8265372643</v>
      </c>
    </row>
    <row r="6053">
      <c r="A6053" s="6">
        <v>6051.0</v>
      </c>
      <c r="B6053" s="17">
        <f t="array" ref="B6053">SUM(1-'Sparkling Model'!D$2:D$38^A6053)</f>
        <v>36.81405565</v>
      </c>
      <c r="C6053" s="8">
        <f t="array" ref="C6053">PRODUCT(1-'Sparkling Model'!D$2:D$38^A6053)</f>
        <v>0.8266226475</v>
      </c>
    </row>
    <row r="6054">
      <c r="A6054" s="6">
        <v>6052.0</v>
      </c>
      <c r="B6054" s="17">
        <f t="array" ref="B6054">SUM(1-'Sparkling Model'!D$2:D$38^A6054)</f>
        <v>36.81415438</v>
      </c>
      <c r="C6054" s="8">
        <f t="array" ref="C6054">PRODUCT(1-'Sparkling Model'!D$2:D$38^A6054)</f>
        <v>0.8267079896</v>
      </c>
    </row>
    <row r="6055">
      <c r="A6055" s="6">
        <v>6053.0</v>
      </c>
      <c r="B6055" s="17">
        <f t="array" ref="B6055">SUM(1-'Sparkling Model'!D$2:D$38^A6055)</f>
        <v>36.81425305</v>
      </c>
      <c r="C6055" s="8">
        <f t="array" ref="C6055">PRODUCT(1-'Sparkling Model'!D$2:D$38^A6055)</f>
        <v>0.8267932906</v>
      </c>
    </row>
    <row r="6056">
      <c r="A6056" s="6">
        <v>6054.0</v>
      </c>
      <c r="B6056" s="17">
        <f t="array" ref="B6056">SUM(1-'Sparkling Model'!D$2:D$38^A6056)</f>
        <v>36.81435166</v>
      </c>
      <c r="C6056" s="8">
        <f t="array" ref="C6056">PRODUCT(1-'Sparkling Model'!D$2:D$38^A6056)</f>
        <v>0.8268785505</v>
      </c>
    </row>
    <row r="6057">
      <c r="A6057" s="6">
        <v>6055.0</v>
      </c>
      <c r="B6057" s="17">
        <f t="array" ref="B6057">SUM(1-'Sparkling Model'!D$2:D$38^A6057)</f>
        <v>36.81445022</v>
      </c>
      <c r="C6057" s="8">
        <f t="array" ref="C6057">PRODUCT(1-'Sparkling Model'!D$2:D$38^A6057)</f>
        <v>0.8269637694</v>
      </c>
    </row>
    <row r="6058">
      <c r="A6058" s="6">
        <v>6056.0</v>
      </c>
      <c r="B6058" s="17">
        <f t="array" ref="B6058">SUM(1-'Sparkling Model'!D$2:D$38^A6058)</f>
        <v>36.81454872</v>
      </c>
      <c r="C6058" s="8">
        <f t="array" ref="C6058">PRODUCT(1-'Sparkling Model'!D$2:D$38^A6058)</f>
        <v>0.8270489472</v>
      </c>
    </row>
    <row r="6059">
      <c r="A6059" s="6">
        <v>6057.0</v>
      </c>
      <c r="B6059" s="17">
        <f t="array" ref="B6059">SUM(1-'Sparkling Model'!D$2:D$38^A6059)</f>
        <v>36.81464717</v>
      </c>
      <c r="C6059" s="8">
        <f t="array" ref="C6059">PRODUCT(1-'Sparkling Model'!D$2:D$38^A6059)</f>
        <v>0.827134084</v>
      </c>
    </row>
    <row r="6060">
      <c r="A6060" s="6">
        <v>6058.0</v>
      </c>
      <c r="B6060" s="17">
        <f t="array" ref="B6060">SUM(1-'Sparkling Model'!D$2:D$38^A6060)</f>
        <v>36.81474556</v>
      </c>
      <c r="C6060" s="8">
        <f t="array" ref="C6060">PRODUCT(1-'Sparkling Model'!D$2:D$38^A6060)</f>
        <v>0.8272191798</v>
      </c>
    </row>
    <row r="6061">
      <c r="A6061" s="6">
        <v>6059.0</v>
      </c>
      <c r="B6061" s="17">
        <f t="array" ref="B6061">SUM(1-'Sparkling Model'!D$2:D$38^A6061)</f>
        <v>36.8148439</v>
      </c>
      <c r="C6061" s="8">
        <f t="array" ref="C6061">PRODUCT(1-'Sparkling Model'!D$2:D$38^A6061)</f>
        <v>0.8273042346</v>
      </c>
    </row>
    <row r="6062">
      <c r="A6062" s="6">
        <v>6060.0</v>
      </c>
      <c r="B6062" s="17">
        <f t="array" ref="B6062">SUM(1-'Sparkling Model'!D$2:D$38^A6062)</f>
        <v>36.81494218</v>
      </c>
      <c r="C6062" s="8">
        <f t="array" ref="C6062">PRODUCT(1-'Sparkling Model'!D$2:D$38^A6062)</f>
        <v>0.8273892484</v>
      </c>
    </row>
    <row r="6063">
      <c r="A6063" s="6">
        <v>6061.0</v>
      </c>
      <c r="B6063" s="17">
        <f t="array" ref="B6063">SUM(1-'Sparkling Model'!D$2:D$38^A6063)</f>
        <v>36.8150404</v>
      </c>
      <c r="C6063" s="8">
        <f t="array" ref="C6063">PRODUCT(1-'Sparkling Model'!D$2:D$38^A6063)</f>
        <v>0.8274742213</v>
      </c>
    </row>
    <row r="6064">
      <c r="A6064" s="6">
        <v>6062.0</v>
      </c>
      <c r="B6064" s="17">
        <f t="array" ref="B6064">SUM(1-'Sparkling Model'!D$2:D$38^A6064)</f>
        <v>36.81513857</v>
      </c>
      <c r="C6064" s="8">
        <f t="array" ref="C6064">PRODUCT(1-'Sparkling Model'!D$2:D$38^A6064)</f>
        <v>0.8275591532</v>
      </c>
    </row>
    <row r="6065">
      <c r="A6065" s="6">
        <v>6063.0</v>
      </c>
      <c r="B6065" s="17">
        <f t="array" ref="B6065">SUM(1-'Sparkling Model'!D$2:D$38^A6065)</f>
        <v>36.81523669</v>
      </c>
      <c r="C6065" s="8">
        <f t="array" ref="C6065">PRODUCT(1-'Sparkling Model'!D$2:D$38^A6065)</f>
        <v>0.8276440443</v>
      </c>
    </row>
    <row r="6066">
      <c r="A6066" s="6">
        <v>6064.0</v>
      </c>
      <c r="B6066" s="17">
        <f t="array" ref="B6066">SUM(1-'Sparkling Model'!D$2:D$38^A6066)</f>
        <v>36.81533475</v>
      </c>
      <c r="C6066" s="8">
        <f t="array" ref="C6066">PRODUCT(1-'Sparkling Model'!D$2:D$38^A6066)</f>
        <v>0.8277288944</v>
      </c>
    </row>
    <row r="6067">
      <c r="A6067" s="6">
        <v>6065.0</v>
      </c>
      <c r="B6067" s="17">
        <f t="array" ref="B6067">SUM(1-'Sparkling Model'!D$2:D$38^A6067)</f>
        <v>36.81543275</v>
      </c>
      <c r="C6067" s="8">
        <f t="array" ref="C6067">PRODUCT(1-'Sparkling Model'!D$2:D$38^A6067)</f>
        <v>0.8278137037</v>
      </c>
    </row>
    <row r="6068">
      <c r="A6068" s="6">
        <v>6066.0</v>
      </c>
      <c r="B6068" s="17">
        <f t="array" ref="B6068">SUM(1-'Sparkling Model'!D$2:D$38^A6068)</f>
        <v>36.8155307</v>
      </c>
      <c r="C6068" s="8">
        <f t="array" ref="C6068">PRODUCT(1-'Sparkling Model'!D$2:D$38^A6068)</f>
        <v>0.8278984721</v>
      </c>
    </row>
    <row r="6069">
      <c r="A6069" s="6">
        <v>6067.0</v>
      </c>
      <c r="B6069" s="17">
        <f t="array" ref="B6069">SUM(1-'Sparkling Model'!D$2:D$38^A6069)</f>
        <v>36.81562859</v>
      </c>
      <c r="C6069" s="8">
        <f t="array" ref="C6069">PRODUCT(1-'Sparkling Model'!D$2:D$38^A6069)</f>
        <v>0.8279831997</v>
      </c>
    </row>
    <row r="6070">
      <c r="A6070" s="6">
        <v>6068.0</v>
      </c>
      <c r="B6070" s="17">
        <f t="array" ref="B6070">SUM(1-'Sparkling Model'!D$2:D$38^A6070)</f>
        <v>36.81572643</v>
      </c>
      <c r="C6070" s="8">
        <f t="array" ref="C6070">PRODUCT(1-'Sparkling Model'!D$2:D$38^A6070)</f>
        <v>0.8280678864</v>
      </c>
    </row>
    <row r="6071">
      <c r="A6071" s="6">
        <v>6069.0</v>
      </c>
      <c r="B6071" s="17">
        <f t="array" ref="B6071">SUM(1-'Sparkling Model'!D$2:D$38^A6071)</f>
        <v>36.81582421</v>
      </c>
      <c r="C6071" s="8">
        <f t="array" ref="C6071">PRODUCT(1-'Sparkling Model'!D$2:D$38^A6071)</f>
        <v>0.8281525324</v>
      </c>
    </row>
    <row r="6072">
      <c r="A6072" s="6">
        <v>6070.0</v>
      </c>
      <c r="B6072" s="17">
        <f t="array" ref="B6072">SUM(1-'Sparkling Model'!D$2:D$38^A6072)</f>
        <v>36.81592194</v>
      </c>
      <c r="C6072" s="8">
        <f t="array" ref="C6072">PRODUCT(1-'Sparkling Model'!D$2:D$38^A6072)</f>
        <v>0.8282371375</v>
      </c>
    </row>
    <row r="6073">
      <c r="A6073" s="6">
        <v>6071.0</v>
      </c>
      <c r="B6073" s="17">
        <f t="array" ref="B6073">SUM(1-'Sparkling Model'!D$2:D$38^A6073)</f>
        <v>36.81601961</v>
      </c>
      <c r="C6073" s="8">
        <f t="array" ref="C6073">PRODUCT(1-'Sparkling Model'!D$2:D$38^A6073)</f>
        <v>0.8283217019</v>
      </c>
    </row>
    <row r="6074">
      <c r="A6074" s="6">
        <v>6072.0</v>
      </c>
      <c r="B6074" s="17">
        <f t="array" ref="B6074">SUM(1-'Sparkling Model'!D$2:D$38^A6074)</f>
        <v>36.81611723</v>
      </c>
      <c r="C6074" s="8">
        <f t="array" ref="C6074">PRODUCT(1-'Sparkling Model'!D$2:D$38^A6074)</f>
        <v>0.8284062256</v>
      </c>
    </row>
    <row r="6075">
      <c r="A6075" s="6">
        <v>6073.0</v>
      </c>
      <c r="B6075" s="17">
        <f t="array" ref="B6075">SUM(1-'Sparkling Model'!D$2:D$38^A6075)</f>
        <v>36.81621479</v>
      </c>
      <c r="C6075" s="8">
        <f t="array" ref="C6075">PRODUCT(1-'Sparkling Model'!D$2:D$38^A6075)</f>
        <v>0.8284907085</v>
      </c>
    </row>
    <row r="6076">
      <c r="A6076" s="6">
        <v>6074.0</v>
      </c>
      <c r="B6076" s="17">
        <f t="array" ref="B6076">SUM(1-'Sparkling Model'!D$2:D$38^A6076)</f>
        <v>36.8163123</v>
      </c>
      <c r="C6076" s="8">
        <f t="array" ref="C6076">PRODUCT(1-'Sparkling Model'!D$2:D$38^A6076)</f>
        <v>0.8285751507</v>
      </c>
    </row>
    <row r="6077">
      <c r="A6077" s="6">
        <v>6075.0</v>
      </c>
      <c r="B6077" s="17">
        <f t="array" ref="B6077">SUM(1-'Sparkling Model'!D$2:D$38^A6077)</f>
        <v>36.81640975</v>
      </c>
      <c r="C6077" s="8">
        <f t="array" ref="C6077">PRODUCT(1-'Sparkling Model'!D$2:D$38^A6077)</f>
        <v>0.8286595522</v>
      </c>
    </row>
    <row r="6078">
      <c r="A6078" s="6">
        <v>6076.0</v>
      </c>
      <c r="B6078" s="17">
        <f t="array" ref="B6078">SUM(1-'Sparkling Model'!D$2:D$38^A6078)</f>
        <v>36.81650715</v>
      </c>
      <c r="C6078" s="8">
        <f t="array" ref="C6078">PRODUCT(1-'Sparkling Model'!D$2:D$38^A6078)</f>
        <v>0.8287439131</v>
      </c>
    </row>
    <row r="6079">
      <c r="A6079" s="6">
        <v>6077.0</v>
      </c>
      <c r="B6079" s="17">
        <f t="array" ref="B6079">SUM(1-'Sparkling Model'!D$2:D$38^A6079)</f>
        <v>36.81660449</v>
      </c>
      <c r="C6079" s="8">
        <f t="array" ref="C6079">PRODUCT(1-'Sparkling Model'!D$2:D$38^A6079)</f>
        <v>0.8288282333</v>
      </c>
    </row>
    <row r="6080">
      <c r="A6080" s="6">
        <v>6078.0</v>
      </c>
      <c r="B6080" s="17">
        <f t="array" ref="B6080">SUM(1-'Sparkling Model'!D$2:D$38^A6080)</f>
        <v>36.81670178</v>
      </c>
      <c r="C6080" s="8">
        <f t="array" ref="C6080">PRODUCT(1-'Sparkling Model'!D$2:D$38^A6080)</f>
        <v>0.8289125129</v>
      </c>
    </row>
    <row r="6081">
      <c r="A6081" s="6">
        <v>6079.0</v>
      </c>
      <c r="B6081" s="17">
        <f t="array" ref="B6081">SUM(1-'Sparkling Model'!D$2:D$38^A6081)</f>
        <v>36.81679901</v>
      </c>
      <c r="C6081" s="8">
        <f t="array" ref="C6081">PRODUCT(1-'Sparkling Model'!D$2:D$38^A6081)</f>
        <v>0.8289967518</v>
      </c>
    </row>
    <row r="6082">
      <c r="A6082" s="6">
        <v>6080.0</v>
      </c>
      <c r="B6082" s="17">
        <f t="array" ref="B6082">SUM(1-'Sparkling Model'!D$2:D$38^A6082)</f>
        <v>36.81689619</v>
      </c>
      <c r="C6082" s="8">
        <f t="array" ref="C6082">PRODUCT(1-'Sparkling Model'!D$2:D$38^A6082)</f>
        <v>0.8290809501</v>
      </c>
    </row>
    <row r="6083">
      <c r="A6083" s="6">
        <v>6081.0</v>
      </c>
      <c r="B6083" s="17">
        <f t="array" ref="B6083">SUM(1-'Sparkling Model'!D$2:D$38^A6083)</f>
        <v>36.81699331</v>
      </c>
      <c r="C6083" s="8">
        <f t="array" ref="C6083">PRODUCT(1-'Sparkling Model'!D$2:D$38^A6083)</f>
        <v>0.8291651079</v>
      </c>
    </row>
    <row r="6084">
      <c r="A6084" s="6">
        <v>6082.0</v>
      </c>
      <c r="B6084" s="17">
        <f t="array" ref="B6084">SUM(1-'Sparkling Model'!D$2:D$38^A6084)</f>
        <v>36.81709038</v>
      </c>
      <c r="C6084" s="8">
        <f t="array" ref="C6084">PRODUCT(1-'Sparkling Model'!D$2:D$38^A6084)</f>
        <v>0.8292492251</v>
      </c>
    </row>
    <row r="6085">
      <c r="A6085" s="6">
        <v>6083.0</v>
      </c>
      <c r="B6085" s="17">
        <f t="array" ref="B6085">SUM(1-'Sparkling Model'!D$2:D$38^A6085)</f>
        <v>36.81718739</v>
      </c>
      <c r="C6085" s="8">
        <f t="array" ref="C6085">PRODUCT(1-'Sparkling Model'!D$2:D$38^A6085)</f>
        <v>0.8293333018</v>
      </c>
    </row>
    <row r="6086">
      <c r="A6086" s="6">
        <v>6084.0</v>
      </c>
      <c r="B6086" s="17">
        <f t="array" ref="B6086">SUM(1-'Sparkling Model'!D$2:D$38^A6086)</f>
        <v>36.81728435</v>
      </c>
      <c r="C6086" s="8">
        <f t="array" ref="C6086">PRODUCT(1-'Sparkling Model'!D$2:D$38^A6086)</f>
        <v>0.8294173379</v>
      </c>
    </row>
    <row r="6087">
      <c r="A6087" s="6">
        <v>6085.0</v>
      </c>
      <c r="B6087" s="17">
        <f t="array" ref="B6087">SUM(1-'Sparkling Model'!D$2:D$38^A6087)</f>
        <v>36.81738126</v>
      </c>
      <c r="C6087" s="8">
        <f t="array" ref="C6087">PRODUCT(1-'Sparkling Model'!D$2:D$38^A6087)</f>
        <v>0.8295013335</v>
      </c>
    </row>
    <row r="6088">
      <c r="A6088" s="6">
        <v>6086.0</v>
      </c>
      <c r="B6088" s="17">
        <f t="array" ref="B6088">SUM(1-'Sparkling Model'!D$2:D$38^A6088)</f>
        <v>36.81747811</v>
      </c>
      <c r="C6088" s="8">
        <f t="array" ref="C6088">PRODUCT(1-'Sparkling Model'!D$2:D$38^A6088)</f>
        <v>0.8295852886</v>
      </c>
    </row>
    <row r="6089">
      <c r="A6089" s="6">
        <v>6087.0</v>
      </c>
      <c r="B6089" s="17">
        <f t="array" ref="B6089">SUM(1-'Sparkling Model'!D$2:D$38^A6089)</f>
        <v>36.8175749</v>
      </c>
      <c r="C6089" s="8">
        <f t="array" ref="C6089">PRODUCT(1-'Sparkling Model'!D$2:D$38^A6089)</f>
        <v>0.8296692033</v>
      </c>
    </row>
    <row r="6090">
      <c r="A6090" s="6">
        <v>6088.0</v>
      </c>
      <c r="B6090" s="17">
        <f t="array" ref="B6090">SUM(1-'Sparkling Model'!D$2:D$38^A6090)</f>
        <v>36.81767164</v>
      </c>
      <c r="C6090" s="8">
        <f t="array" ref="C6090">PRODUCT(1-'Sparkling Model'!D$2:D$38^A6090)</f>
        <v>0.8297530775</v>
      </c>
    </row>
    <row r="6091">
      <c r="A6091" s="6">
        <v>6089.0</v>
      </c>
      <c r="B6091" s="17">
        <f t="array" ref="B6091">SUM(1-'Sparkling Model'!D$2:D$38^A6091)</f>
        <v>36.81776833</v>
      </c>
      <c r="C6091" s="8">
        <f t="array" ref="C6091">PRODUCT(1-'Sparkling Model'!D$2:D$38^A6091)</f>
        <v>0.8298369113</v>
      </c>
    </row>
    <row r="6092">
      <c r="A6092" s="6">
        <v>6090.0</v>
      </c>
      <c r="B6092" s="17">
        <f t="array" ref="B6092">SUM(1-'Sparkling Model'!D$2:D$38^A6092)</f>
        <v>36.81786496</v>
      </c>
      <c r="C6092" s="8">
        <f t="array" ref="C6092">PRODUCT(1-'Sparkling Model'!D$2:D$38^A6092)</f>
        <v>0.8299207046</v>
      </c>
    </row>
    <row r="6093">
      <c r="A6093" s="6">
        <v>6091.0</v>
      </c>
      <c r="B6093" s="17">
        <f t="array" ref="B6093">SUM(1-'Sparkling Model'!D$2:D$38^A6093)</f>
        <v>36.81796154</v>
      </c>
      <c r="C6093" s="8">
        <f t="array" ref="C6093">PRODUCT(1-'Sparkling Model'!D$2:D$38^A6093)</f>
        <v>0.8300044576</v>
      </c>
    </row>
    <row r="6094">
      <c r="A6094" s="6">
        <v>6092.0</v>
      </c>
      <c r="B6094" s="17">
        <f t="array" ref="B6094">SUM(1-'Sparkling Model'!D$2:D$38^A6094)</f>
        <v>36.81805806</v>
      </c>
      <c r="C6094" s="8">
        <f t="array" ref="C6094">PRODUCT(1-'Sparkling Model'!D$2:D$38^A6094)</f>
        <v>0.8300881702</v>
      </c>
    </row>
    <row r="6095">
      <c r="A6095" s="6">
        <v>6093.0</v>
      </c>
      <c r="B6095" s="17">
        <f t="array" ref="B6095">SUM(1-'Sparkling Model'!D$2:D$38^A6095)</f>
        <v>36.81815453</v>
      </c>
      <c r="C6095" s="8">
        <f t="array" ref="C6095">PRODUCT(1-'Sparkling Model'!D$2:D$38^A6095)</f>
        <v>0.8301718424</v>
      </c>
    </row>
    <row r="6096">
      <c r="A6096" s="6">
        <v>6094.0</v>
      </c>
      <c r="B6096" s="17">
        <f t="array" ref="B6096">SUM(1-'Sparkling Model'!D$2:D$38^A6096)</f>
        <v>36.81825095</v>
      </c>
      <c r="C6096" s="8">
        <f t="array" ref="C6096">PRODUCT(1-'Sparkling Model'!D$2:D$38^A6096)</f>
        <v>0.8302554742</v>
      </c>
    </row>
    <row r="6097">
      <c r="A6097" s="6">
        <v>6095.0</v>
      </c>
      <c r="B6097" s="17">
        <f t="array" ref="B6097">SUM(1-'Sparkling Model'!D$2:D$38^A6097)</f>
        <v>36.81834731</v>
      </c>
      <c r="C6097" s="8">
        <f t="array" ref="C6097">PRODUCT(1-'Sparkling Model'!D$2:D$38^A6097)</f>
        <v>0.8303390658</v>
      </c>
    </row>
    <row r="6098">
      <c r="A6098" s="6">
        <v>6096.0</v>
      </c>
      <c r="B6098" s="17">
        <f t="array" ref="B6098">SUM(1-'Sparkling Model'!D$2:D$38^A6098)</f>
        <v>36.81844361</v>
      </c>
      <c r="C6098" s="8">
        <f t="array" ref="C6098">PRODUCT(1-'Sparkling Model'!D$2:D$38^A6098)</f>
        <v>0.830422617</v>
      </c>
    </row>
    <row r="6099">
      <c r="A6099" s="6">
        <v>6097.0</v>
      </c>
      <c r="B6099" s="17">
        <f t="array" ref="B6099">SUM(1-'Sparkling Model'!D$2:D$38^A6099)</f>
        <v>36.81853986</v>
      </c>
      <c r="C6099" s="8">
        <f t="array" ref="C6099">PRODUCT(1-'Sparkling Model'!D$2:D$38^A6099)</f>
        <v>0.830506128</v>
      </c>
    </row>
    <row r="6100">
      <c r="A6100" s="6">
        <v>6098.0</v>
      </c>
      <c r="B6100" s="17">
        <f t="array" ref="B6100">SUM(1-'Sparkling Model'!D$2:D$38^A6100)</f>
        <v>36.81863606</v>
      </c>
      <c r="C6100" s="8">
        <f t="array" ref="C6100">PRODUCT(1-'Sparkling Model'!D$2:D$38^A6100)</f>
        <v>0.8305895987</v>
      </c>
    </row>
    <row r="6101">
      <c r="A6101" s="6">
        <v>6099.0</v>
      </c>
      <c r="B6101" s="17">
        <f t="array" ref="B6101">SUM(1-'Sparkling Model'!D$2:D$38^A6101)</f>
        <v>36.8187322</v>
      </c>
      <c r="C6101" s="8">
        <f t="array" ref="C6101">PRODUCT(1-'Sparkling Model'!D$2:D$38^A6101)</f>
        <v>0.8306730291</v>
      </c>
    </row>
    <row r="6102">
      <c r="A6102" s="6">
        <v>6100.0</v>
      </c>
      <c r="B6102" s="17">
        <f t="array" ref="B6102">SUM(1-'Sparkling Model'!D$2:D$38^A6102)</f>
        <v>36.81882829</v>
      </c>
      <c r="C6102" s="8">
        <f t="array" ref="C6102">PRODUCT(1-'Sparkling Model'!D$2:D$38^A6102)</f>
        <v>0.8307564193</v>
      </c>
    </row>
    <row r="6103">
      <c r="A6103" s="6">
        <v>6101.0</v>
      </c>
      <c r="B6103" s="17">
        <f t="array" ref="B6103">SUM(1-'Sparkling Model'!D$2:D$38^A6103)</f>
        <v>36.81892433</v>
      </c>
      <c r="C6103" s="8">
        <f t="array" ref="C6103">PRODUCT(1-'Sparkling Model'!D$2:D$38^A6103)</f>
        <v>0.8308397693</v>
      </c>
    </row>
    <row r="6104">
      <c r="A6104" s="6">
        <v>6102.0</v>
      </c>
      <c r="B6104" s="17">
        <f t="array" ref="B6104">SUM(1-'Sparkling Model'!D$2:D$38^A6104)</f>
        <v>36.81902031</v>
      </c>
      <c r="C6104" s="8">
        <f t="array" ref="C6104">PRODUCT(1-'Sparkling Model'!D$2:D$38^A6104)</f>
        <v>0.830923079</v>
      </c>
    </row>
    <row r="6105">
      <c r="A6105" s="6">
        <v>6103.0</v>
      </c>
      <c r="B6105" s="17">
        <f t="array" ref="B6105">SUM(1-'Sparkling Model'!D$2:D$38^A6105)</f>
        <v>36.81911624</v>
      </c>
      <c r="C6105" s="8">
        <f t="array" ref="C6105">PRODUCT(1-'Sparkling Model'!D$2:D$38^A6105)</f>
        <v>0.8310063486</v>
      </c>
    </row>
    <row r="6106">
      <c r="A6106" s="6">
        <v>6104.0</v>
      </c>
      <c r="B6106" s="17">
        <f t="array" ref="B6106">SUM(1-'Sparkling Model'!D$2:D$38^A6106)</f>
        <v>36.81921211</v>
      </c>
      <c r="C6106" s="8">
        <f t="array" ref="C6106">PRODUCT(1-'Sparkling Model'!D$2:D$38^A6106)</f>
        <v>0.8310895781</v>
      </c>
    </row>
    <row r="6107">
      <c r="A6107" s="6">
        <v>6105.0</v>
      </c>
      <c r="B6107" s="17">
        <f t="array" ref="B6107">SUM(1-'Sparkling Model'!D$2:D$38^A6107)</f>
        <v>36.81930793</v>
      </c>
      <c r="C6107" s="8">
        <f t="array" ref="C6107">PRODUCT(1-'Sparkling Model'!D$2:D$38^A6107)</f>
        <v>0.8311727674</v>
      </c>
    </row>
    <row r="6108">
      <c r="A6108" s="6">
        <v>6106.0</v>
      </c>
      <c r="B6108" s="17">
        <f t="array" ref="B6108">SUM(1-'Sparkling Model'!D$2:D$38^A6108)</f>
        <v>36.81940369</v>
      </c>
      <c r="C6108" s="8">
        <f t="array" ref="C6108">PRODUCT(1-'Sparkling Model'!D$2:D$38^A6108)</f>
        <v>0.8312559166</v>
      </c>
    </row>
    <row r="6109">
      <c r="A6109" s="6">
        <v>6107.0</v>
      </c>
      <c r="B6109" s="17">
        <f t="array" ref="B6109">SUM(1-'Sparkling Model'!D$2:D$38^A6109)</f>
        <v>36.8194994</v>
      </c>
      <c r="C6109" s="8">
        <f t="array" ref="C6109">PRODUCT(1-'Sparkling Model'!D$2:D$38^A6109)</f>
        <v>0.8313390256</v>
      </c>
    </row>
    <row r="6110">
      <c r="A6110" s="6">
        <v>6108.0</v>
      </c>
      <c r="B6110" s="17">
        <f t="array" ref="B6110">SUM(1-'Sparkling Model'!D$2:D$38^A6110)</f>
        <v>36.81959506</v>
      </c>
      <c r="C6110" s="8">
        <f t="array" ref="C6110">PRODUCT(1-'Sparkling Model'!D$2:D$38^A6110)</f>
        <v>0.8314220946</v>
      </c>
    </row>
    <row r="6111">
      <c r="A6111" s="6">
        <v>6109.0</v>
      </c>
      <c r="B6111" s="17">
        <f t="array" ref="B6111">SUM(1-'Sparkling Model'!D$2:D$38^A6111)</f>
        <v>36.81969067</v>
      </c>
      <c r="C6111" s="8">
        <f t="array" ref="C6111">PRODUCT(1-'Sparkling Model'!D$2:D$38^A6111)</f>
        <v>0.8315051235</v>
      </c>
    </row>
    <row r="6112">
      <c r="A6112" s="6">
        <v>6110.0</v>
      </c>
      <c r="B6112" s="17">
        <f t="array" ref="B6112">SUM(1-'Sparkling Model'!D$2:D$38^A6112)</f>
        <v>36.81978622</v>
      </c>
      <c r="C6112" s="8">
        <f t="array" ref="C6112">PRODUCT(1-'Sparkling Model'!D$2:D$38^A6112)</f>
        <v>0.8315881124</v>
      </c>
    </row>
    <row r="6113">
      <c r="A6113" s="6">
        <v>6111.0</v>
      </c>
      <c r="B6113" s="17">
        <f t="array" ref="B6113">SUM(1-'Sparkling Model'!D$2:D$38^A6113)</f>
        <v>36.81988171</v>
      </c>
      <c r="C6113" s="8">
        <f t="array" ref="C6113">PRODUCT(1-'Sparkling Model'!D$2:D$38^A6113)</f>
        <v>0.8316710612</v>
      </c>
    </row>
    <row r="6114">
      <c r="A6114" s="6">
        <v>6112.0</v>
      </c>
      <c r="B6114" s="17">
        <f t="array" ref="B6114">SUM(1-'Sparkling Model'!D$2:D$38^A6114)</f>
        <v>36.81997715</v>
      </c>
      <c r="C6114" s="8">
        <f t="array" ref="C6114">PRODUCT(1-'Sparkling Model'!D$2:D$38^A6114)</f>
        <v>0.83175397</v>
      </c>
    </row>
    <row r="6115">
      <c r="A6115" s="6">
        <v>6113.0</v>
      </c>
      <c r="B6115" s="17">
        <f t="array" ref="B6115">SUM(1-'Sparkling Model'!D$2:D$38^A6115)</f>
        <v>36.82007254</v>
      </c>
      <c r="C6115" s="8">
        <f t="array" ref="C6115">PRODUCT(1-'Sparkling Model'!D$2:D$38^A6115)</f>
        <v>0.8318368388</v>
      </c>
    </row>
    <row r="6116">
      <c r="A6116" s="6">
        <v>6114.0</v>
      </c>
      <c r="B6116" s="17">
        <f t="array" ref="B6116">SUM(1-'Sparkling Model'!D$2:D$38^A6116)</f>
        <v>36.82016788</v>
      </c>
      <c r="C6116" s="8">
        <f t="array" ref="C6116">PRODUCT(1-'Sparkling Model'!D$2:D$38^A6116)</f>
        <v>0.8319196676</v>
      </c>
    </row>
    <row r="6117">
      <c r="A6117" s="6">
        <v>6115.0</v>
      </c>
      <c r="B6117" s="17">
        <f t="array" ref="B6117">SUM(1-'Sparkling Model'!D$2:D$38^A6117)</f>
        <v>36.82026316</v>
      </c>
      <c r="C6117" s="8">
        <f t="array" ref="C6117">PRODUCT(1-'Sparkling Model'!D$2:D$38^A6117)</f>
        <v>0.8320024565</v>
      </c>
    </row>
    <row r="6118">
      <c r="A6118" s="6">
        <v>6116.0</v>
      </c>
      <c r="B6118" s="17">
        <f t="array" ref="B6118">SUM(1-'Sparkling Model'!D$2:D$38^A6118)</f>
        <v>36.82035839</v>
      </c>
      <c r="C6118" s="8">
        <f t="array" ref="C6118">PRODUCT(1-'Sparkling Model'!D$2:D$38^A6118)</f>
        <v>0.8320852054</v>
      </c>
    </row>
    <row r="6119">
      <c r="A6119" s="6">
        <v>6117.0</v>
      </c>
      <c r="B6119" s="17">
        <f t="array" ref="B6119">SUM(1-'Sparkling Model'!D$2:D$38^A6119)</f>
        <v>36.82045356</v>
      </c>
      <c r="C6119" s="8">
        <f t="array" ref="C6119">PRODUCT(1-'Sparkling Model'!D$2:D$38^A6119)</f>
        <v>0.8321679144</v>
      </c>
    </row>
    <row r="6120">
      <c r="A6120" s="6">
        <v>6118.0</v>
      </c>
      <c r="B6120" s="17">
        <f t="array" ref="B6120">SUM(1-'Sparkling Model'!D$2:D$38^A6120)</f>
        <v>36.82054868</v>
      </c>
      <c r="C6120" s="8">
        <f t="array" ref="C6120">PRODUCT(1-'Sparkling Model'!D$2:D$38^A6120)</f>
        <v>0.8322505835</v>
      </c>
    </row>
    <row r="6121">
      <c r="A6121" s="6">
        <v>6119.0</v>
      </c>
      <c r="B6121" s="17">
        <f t="array" ref="B6121">SUM(1-'Sparkling Model'!D$2:D$38^A6121)</f>
        <v>36.82064375</v>
      </c>
      <c r="C6121" s="8">
        <f t="array" ref="C6121">PRODUCT(1-'Sparkling Model'!D$2:D$38^A6121)</f>
        <v>0.8323332127</v>
      </c>
    </row>
    <row r="6122">
      <c r="A6122" s="6">
        <v>6120.0</v>
      </c>
      <c r="B6122" s="17">
        <f t="array" ref="B6122">SUM(1-'Sparkling Model'!D$2:D$38^A6122)</f>
        <v>36.82073876</v>
      </c>
      <c r="C6122" s="8">
        <f t="array" ref="C6122">PRODUCT(1-'Sparkling Model'!D$2:D$38^A6122)</f>
        <v>0.832415802</v>
      </c>
    </row>
    <row r="6123">
      <c r="A6123" s="6">
        <v>6121.0</v>
      </c>
      <c r="B6123" s="17">
        <f t="array" ref="B6123">SUM(1-'Sparkling Model'!D$2:D$38^A6123)</f>
        <v>36.82083372</v>
      </c>
      <c r="C6123" s="8">
        <f t="array" ref="C6123">PRODUCT(1-'Sparkling Model'!D$2:D$38^A6123)</f>
        <v>0.8324983515</v>
      </c>
    </row>
    <row r="6124">
      <c r="A6124" s="6">
        <v>6122.0</v>
      </c>
      <c r="B6124" s="17">
        <f t="array" ref="B6124">SUM(1-'Sparkling Model'!D$2:D$38^A6124)</f>
        <v>36.82092863</v>
      </c>
      <c r="C6124" s="8">
        <f t="array" ref="C6124">PRODUCT(1-'Sparkling Model'!D$2:D$38^A6124)</f>
        <v>0.8325808612</v>
      </c>
    </row>
    <row r="6125">
      <c r="A6125" s="6">
        <v>6123.0</v>
      </c>
      <c r="B6125" s="17">
        <f t="array" ref="B6125">SUM(1-'Sparkling Model'!D$2:D$38^A6125)</f>
        <v>36.82102348</v>
      </c>
      <c r="C6125" s="8">
        <f t="array" ref="C6125">PRODUCT(1-'Sparkling Model'!D$2:D$38^A6125)</f>
        <v>0.832663331</v>
      </c>
    </row>
    <row r="6126">
      <c r="A6126" s="6">
        <v>6124.0</v>
      </c>
      <c r="B6126" s="17">
        <f t="array" ref="B6126">SUM(1-'Sparkling Model'!D$2:D$38^A6126)</f>
        <v>36.82111829</v>
      </c>
      <c r="C6126" s="8">
        <f t="array" ref="C6126">PRODUCT(1-'Sparkling Model'!D$2:D$38^A6126)</f>
        <v>0.832745761</v>
      </c>
    </row>
    <row r="6127">
      <c r="A6127" s="6">
        <v>6125.0</v>
      </c>
      <c r="B6127" s="17">
        <f t="array" ref="B6127">SUM(1-'Sparkling Model'!D$2:D$38^A6127)</f>
        <v>36.82121303</v>
      </c>
      <c r="C6127" s="8">
        <f t="array" ref="C6127">PRODUCT(1-'Sparkling Model'!D$2:D$38^A6127)</f>
        <v>0.8328281513</v>
      </c>
    </row>
    <row r="6128">
      <c r="A6128" s="6">
        <v>6126.0</v>
      </c>
      <c r="B6128" s="17">
        <f t="array" ref="B6128">SUM(1-'Sparkling Model'!D$2:D$38^A6128)</f>
        <v>36.82130773</v>
      </c>
      <c r="C6128" s="8">
        <f t="array" ref="C6128">PRODUCT(1-'Sparkling Model'!D$2:D$38^A6128)</f>
        <v>0.8329105018</v>
      </c>
    </row>
    <row r="6129">
      <c r="A6129" s="6">
        <v>6127.0</v>
      </c>
      <c r="B6129" s="17">
        <f t="array" ref="B6129">SUM(1-'Sparkling Model'!D$2:D$38^A6129)</f>
        <v>36.82140237</v>
      </c>
      <c r="C6129" s="8">
        <f t="array" ref="C6129">PRODUCT(1-'Sparkling Model'!D$2:D$38^A6129)</f>
        <v>0.8329928125</v>
      </c>
    </row>
    <row r="6130">
      <c r="A6130" s="6">
        <v>6128.0</v>
      </c>
      <c r="B6130" s="17">
        <f t="array" ref="B6130">SUM(1-'Sparkling Model'!D$2:D$38^A6130)</f>
        <v>36.82149695</v>
      </c>
      <c r="C6130" s="8">
        <f t="array" ref="C6130">PRODUCT(1-'Sparkling Model'!D$2:D$38^A6130)</f>
        <v>0.8330750835</v>
      </c>
    </row>
    <row r="6131">
      <c r="A6131" s="6">
        <v>6129.0</v>
      </c>
      <c r="B6131" s="17">
        <f t="array" ref="B6131">SUM(1-'Sparkling Model'!D$2:D$38^A6131)</f>
        <v>36.82159149</v>
      </c>
      <c r="C6131" s="8">
        <f t="array" ref="C6131">PRODUCT(1-'Sparkling Model'!D$2:D$38^A6131)</f>
        <v>0.8331573148</v>
      </c>
    </row>
    <row r="6132">
      <c r="A6132" s="6">
        <v>6130.0</v>
      </c>
      <c r="B6132" s="17">
        <f t="array" ref="B6132">SUM(1-'Sparkling Model'!D$2:D$38^A6132)</f>
        <v>36.82168597</v>
      </c>
      <c r="C6132" s="8">
        <f t="array" ref="C6132">PRODUCT(1-'Sparkling Model'!D$2:D$38^A6132)</f>
        <v>0.8332395065</v>
      </c>
    </row>
    <row r="6133">
      <c r="A6133" s="6">
        <v>6131.0</v>
      </c>
      <c r="B6133" s="17">
        <f t="array" ref="B6133">SUM(1-'Sparkling Model'!D$2:D$38^A6133)</f>
        <v>36.8217804</v>
      </c>
      <c r="C6133" s="8">
        <f t="array" ref="C6133">PRODUCT(1-'Sparkling Model'!D$2:D$38^A6133)</f>
        <v>0.8333216584</v>
      </c>
    </row>
    <row r="6134">
      <c r="A6134" s="6">
        <v>6132.0</v>
      </c>
      <c r="B6134" s="17">
        <f t="array" ref="B6134">SUM(1-'Sparkling Model'!D$2:D$38^A6134)</f>
        <v>36.82187477</v>
      </c>
      <c r="C6134" s="8">
        <f t="array" ref="C6134">PRODUCT(1-'Sparkling Model'!D$2:D$38^A6134)</f>
        <v>0.8334037707</v>
      </c>
    </row>
    <row r="6135">
      <c r="A6135" s="6">
        <v>6133.0</v>
      </c>
      <c r="B6135" s="17">
        <f t="array" ref="B6135">SUM(1-'Sparkling Model'!D$2:D$38^A6135)</f>
        <v>36.8219691</v>
      </c>
      <c r="C6135" s="8">
        <f t="array" ref="C6135">PRODUCT(1-'Sparkling Model'!D$2:D$38^A6135)</f>
        <v>0.8334858433</v>
      </c>
    </row>
    <row r="6136">
      <c r="A6136" s="6">
        <v>6134.0</v>
      </c>
      <c r="B6136" s="17">
        <f t="array" ref="B6136">SUM(1-'Sparkling Model'!D$2:D$38^A6136)</f>
        <v>36.82206337</v>
      </c>
      <c r="C6136" s="8">
        <f t="array" ref="C6136">PRODUCT(1-'Sparkling Model'!D$2:D$38^A6136)</f>
        <v>0.8335678764</v>
      </c>
    </row>
    <row r="6137">
      <c r="A6137" s="6">
        <v>6135.0</v>
      </c>
      <c r="B6137" s="17">
        <f t="array" ref="B6137">SUM(1-'Sparkling Model'!D$2:D$38^A6137)</f>
        <v>36.82215758</v>
      </c>
      <c r="C6137" s="8">
        <f t="array" ref="C6137">PRODUCT(1-'Sparkling Model'!D$2:D$38^A6137)</f>
        <v>0.8336498698</v>
      </c>
    </row>
    <row r="6138">
      <c r="A6138" s="6">
        <v>6136.0</v>
      </c>
      <c r="B6138" s="17">
        <f t="array" ref="B6138">SUM(1-'Sparkling Model'!D$2:D$38^A6138)</f>
        <v>36.82225175</v>
      </c>
      <c r="C6138" s="8">
        <f t="array" ref="C6138">PRODUCT(1-'Sparkling Model'!D$2:D$38^A6138)</f>
        <v>0.8337318237</v>
      </c>
    </row>
    <row r="6139">
      <c r="A6139" s="6">
        <v>6137.0</v>
      </c>
      <c r="B6139" s="17">
        <f t="array" ref="B6139">SUM(1-'Sparkling Model'!D$2:D$38^A6139)</f>
        <v>36.82234586</v>
      </c>
      <c r="C6139" s="8">
        <f t="array" ref="C6139">PRODUCT(1-'Sparkling Model'!D$2:D$38^A6139)</f>
        <v>0.833813738</v>
      </c>
    </row>
    <row r="6140">
      <c r="A6140" s="6">
        <v>6138.0</v>
      </c>
      <c r="B6140" s="17">
        <f t="array" ref="B6140">SUM(1-'Sparkling Model'!D$2:D$38^A6140)</f>
        <v>36.82243991</v>
      </c>
      <c r="C6140" s="8">
        <f t="array" ref="C6140">PRODUCT(1-'Sparkling Model'!D$2:D$38^A6140)</f>
        <v>0.8338956127</v>
      </c>
    </row>
    <row r="6141">
      <c r="A6141" s="6">
        <v>6139.0</v>
      </c>
      <c r="B6141" s="17">
        <f t="array" ref="B6141">SUM(1-'Sparkling Model'!D$2:D$38^A6141)</f>
        <v>36.82253392</v>
      </c>
      <c r="C6141" s="8">
        <f t="array" ref="C6141">PRODUCT(1-'Sparkling Model'!D$2:D$38^A6141)</f>
        <v>0.8339774479</v>
      </c>
    </row>
    <row r="6142">
      <c r="A6142" s="6">
        <v>6140.0</v>
      </c>
      <c r="B6142" s="17">
        <f t="array" ref="B6142">SUM(1-'Sparkling Model'!D$2:D$38^A6142)</f>
        <v>36.82262787</v>
      </c>
      <c r="C6142" s="8">
        <f t="array" ref="C6142">PRODUCT(1-'Sparkling Model'!D$2:D$38^A6142)</f>
        <v>0.8340592436</v>
      </c>
    </row>
    <row r="6143">
      <c r="A6143" s="6">
        <v>6141.0</v>
      </c>
      <c r="B6143" s="17">
        <f t="array" ref="B6143">SUM(1-'Sparkling Model'!D$2:D$38^A6143)</f>
        <v>36.82272177</v>
      </c>
      <c r="C6143" s="8">
        <f t="array" ref="C6143">PRODUCT(1-'Sparkling Model'!D$2:D$38^A6143)</f>
        <v>0.8341409998</v>
      </c>
    </row>
    <row r="6144">
      <c r="A6144" s="6">
        <v>6142.0</v>
      </c>
      <c r="B6144" s="17">
        <f t="array" ref="B6144">SUM(1-'Sparkling Model'!D$2:D$38^A6144)</f>
        <v>36.82281562</v>
      </c>
      <c r="C6144" s="8">
        <f t="array" ref="C6144">PRODUCT(1-'Sparkling Model'!D$2:D$38^A6144)</f>
        <v>0.8342227166</v>
      </c>
    </row>
    <row r="6145">
      <c r="A6145" s="6">
        <v>6143.0</v>
      </c>
      <c r="B6145" s="17">
        <f t="array" ref="B6145">SUM(1-'Sparkling Model'!D$2:D$38^A6145)</f>
        <v>36.82290941</v>
      </c>
      <c r="C6145" s="8">
        <f t="array" ref="C6145">PRODUCT(1-'Sparkling Model'!D$2:D$38^A6145)</f>
        <v>0.8343043939</v>
      </c>
    </row>
    <row r="6146">
      <c r="A6146" s="6">
        <v>6144.0</v>
      </c>
      <c r="B6146" s="17">
        <f t="array" ref="B6146">SUM(1-'Sparkling Model'!D$2:D$38^A6146)</f>
        <v>36.82300315</v>
      </c>
      <c r="C6146" s="8">
        <f t="array" ref="C6146">PRODUCT(1-'Sparkling Model'!D$2:D$38^A6146)</f>
        <v>0.8343860317</v>
      </c>
    </row>
    <row r="6147">
      <c r="A6147" s="6">
        <v>6145.0</v>
      </c>
      <c r="B6147" s="17">
        <f t="array" ref="B6147">SUM(1-'Sparkling Model'!D$2:D$38^A6147)</f>
        <v>36.82309684</v>
      </c>
      <c r="C6147" s="8">
        <f t="array" ref="C6147">PRODUCT(1-'Sparkling Model'!D$2:D$38^A6147)</f>
        <v>0.8344676301</v>
      </c>
    </row>
    <row r="6148">
      <c r="A6148" s="6">
        <v>6146.0</v>
      </c>
      <c r="B6148" s="17">
        <f t="array" ref="B6148">SUM(1-'Sparkling Model'!D$2:D$38^A6148)</f>
        <v>36.82319048</v>
      </c>
      <c r="C6148" s="8">
        <f t="array" ref="C6148">PRODUCT(1-'Sparkling Model'!D$2:D$38^A6148)</f>
        <v>0.8345491891</v>
      </c>
    </row>
    <row r="6149">
      <c r="A6149" s="6">
        <v>6147.0</v>
      </c>
      <c r="B6149" s="17">
        <f t="array" ref="B6149">SUM(1-'Sparkling Model'!D$2:D$38^A6149)</f>
        <v>36.82328406</v>
      </c>
      <c r="C6149" s="8">
        <f t="array" ref="C6149">PRODUCT(1-'Sparkling Model'!D$2:D$38^A6149)</f>
        <v>0.8346307088</v>
      </c>
    </row>
    <row r="6150">
      <c r="A6150" s="6">
        <v>6148.0</v>
      </c>
      <c r="B6150" s="17">
        <f t="array" ref="B6150">SUM(1-'Sparkling Model'!D$2:D$38^A6150)</f>
        <v>36.82337759</v>
      </c>
      <c r="C6150" s="8">
        <f t="array" ref="C6150">PRODUCT(1-'Sparkling Model'!D$2:D$38^A6150)</f>
        <v>0.834712189</v>
      </c>
    </row>
    <row r="6151">
      <c r="A6151" s="6">
        <v>6149.0</v>
      </c>
      <c r="B6151" s="17">
        <f t="array" ref="B6151">SUM(1-'Sparkling Model'!D$2:D$38^A6151)</f>
        <v>36.82347107</v>
      </c>
      <c r="C6151" s="8">
        <f t="array" ref="C6151">PRODUCT(1-'Sparkling Model'!D$2:D$38^A6151)</f>
        <v>0.83479363</v>
      </c>
    </row>
    <row r="6152">
      <c r="A6152" s="6">
        <v>6150.0</v>
      </c>
      <c r="B6152" s="17">
        <f t="array" ref="B6152">SUM(1-'Sparkling Model'!D$2:D$38^A6152)</f>
        <v>36.8235645</v>
      </c>
      <c r="C6152" s="8">
        <f t="array" ref="C6152">PRODUCT(1-'Sparkling Model'!D$2:D$38^A6152)</f>
        <v>0.8348750316</v>
      </c>
    </row>
    <row r="6153">
      <c r="A6153" s="6">
        <v>6151.0</v>
      </c>
      <c r="B6153" s="17">
        <f t="array" ref="B6153">SUM(1-'Sparkling Model'!D$2:D$38^A6153)</f>
        <v>36.82365787</v>
      </c>
      <c r="C6153" s="8">
        <f t="array" ref="C6153">PRODUCT(1-'Sparkling Model'!D$2:D$38^A6153)</f>
        <v>0.8349563938</v>
      </c>
    </row>
    <row r="6154">
      <c r="A6154" s="6">
        <v>6152.0</v>
      </c>
      <c r="B6154" s="17">
        <f t="array" ref="B6154">SUM(1-'Sparkling Model'!D$2:D$38^A6154)</f>
        <v>36.82375119</v>
      </c>
      <c r="C6154" s="8">
        <f t="array" ref="C6154">PRODUCT(1-'Sparkling Model'!D$2:D$38^A6154)</f>
        <v>0.8350377168</v>
      </c>
    </row>
    <row r="6155">
      <c r="A6155" s="6">
        <v>6153.0</v>
      </c>
      <c r="B6155" s="17">
        <f t="array" ref="B6155">SUM(1-'Sparkling Model'!D$2:D$38^A6155)</f>
        <v>36.82384446</v>
      </c>
      <c r="C6155" s="8">
        <f t="array" ref="C6155">PRODUCT(1-'Sparkling Model'!D$2:D$38^A6155)</f>
        <v>0.8351190005</v>
      </c>
    </row>
    <row r="6156">
      <c r="A6156" s="6">
        <v>6154.0</v>
      </c>
      <c r="B6156" s="17">
        <f t="array" ref="B6156">SUM(1-'Sparkling Model'!D$2:D$38^A6156)</f>
        <v>36.82393768</v>
      </c>
      <c r="C6156" s="8">
        <f t="array" ref="C6156">PRODUCT(1-'Sparkling Model'!D$2:D$38^A6156)</f>
        <v>0.835200245</v>
      </c>
    </row>
    <row r="6157">
      <c r="A6157" s="6">
        <v>6155.0</v>
      </c>
      <c r="B6157" s="17">
        <f t="array" ref="B6157">SUM(1-'Sparkling Model'!D$2:D$38^A6157)</f>
        <v>36.82403084</v>
      </c>
      <c r="C6157" s="8">
        <f t="array" ref="C6157">PRODUCT(1-'Sparkling Model'!D$2:D$38^A6157)</f>
        <v>0.8352814502</v>
      </c>
    </row>
    <row r="6158">
      <c r="A6158" s="6">
        <v>6156.0</v>
      </c>
      <c r="B6158" s="17">
        <f t="array" ref="B6158">SUM(1-'Sparkling Model'!D$2:D$38^A6158)</f>
        <v>36.82412395</v>
      </c>
      <c r="C6158" s="8">
        <f t="array" ref="C6158">PRODUCT(1-'Sparkling Model'!D$2:D$38^A6158)</f>
        <v>0.8353626161</v>
      </c>
    </row>
    <row r="6159">
      <c r="A6159" s="6">
        <v>6157.0</v>
      </c>
      <c r="B6159" s="17">
        <f t="array" ref="B6159">SUM(1-'Sparkling Model'!D$2:D$38^A6159)</f>
        <v>36.82421701</v>
      </c>
      <c r="C6159" s="8">
        <f t="array" ref="C6159">PRODUCT(1-'Sparkling Model'!D$2:D$38^A6159)</f>
        <v>0.8354437429</v>
      </c>
    </row>
    <row r="6160">
      <c r="A6160" s="6">
        <v>6158.0</v>
      </c>
      <c r="B6160" s="17">
        <f t="array" ref="B6160">SUM(1-'Sparkling Model'!D$2:D$38^A6160)</f>
        <v>36.82431002</v>
      </c>
      <c r="C6160" s="8">
        <f t="array" ref="C6160">PRODUCT(1-'Sparkling Model'!D$2:D$38^A6160)</f>
        <v>0.8355248305</v>
      </c>
    </row>
    <row r="6161">
      <c r="A6161" s="6">
        <v>6159.0</v>
      </c>
      <c r="B6161" s="17">
        <f t="array" ref="B6161">SUM(1-'Sparkling Model'!D$2:D$38^A6161)</f>
        <v>36.82440298</v>
      </c>
      <c r="C6161" s="8">
        <f t="array" ref="C6161">PRODUCT(1-'Sparkling Model'!D$2:D$38^A6161)</f>
        <v>0.8356058789</v>
      </c>
    </row>
    <row r="6162">
      <c r="A6162" s="6">
        <v>6160.0</v>
      </c>
      <c r="B6162" s="17">
        <f t="array" ref="B6162">SUM(1-'Sparkling Model'!D$2:D$38^A6162)</f>
        <v>36.82449588</v>
      </c>
      <c r="C6162" s="8">
        <f t="array" ref="C6162">PRODUCT(1-'Sparkling Model'!D$2:D$38^A6162)</f>
        <v>0.8356868882</v>
      </c>
    </row>
    <row r="6163">
      <c r="A6163" s="6">
        <v>6161.0</v>
      </c>
      <c r="B6163" s="17">
        <f t="array" ref="B6163">SUM(1-'Sparkling Model'!D$2:D$38^A6163)</f>
        <v>36.82458873</v>
      </c>
      <c r="C6163" s="8">
        <f t="array" ref="C6163">PRODUCT(1-'Sparkling Model'!D$2:D$38^A6163)</f>
        <v>0.8357678583</v>
      </c>
    </row>
    <row r="6164">
      <c r="A6164" s="6">
        <v>6162.0</v>
      </c>
      <c r="B6164" s="17">
        <f t="array" ref="B6164">SUM(1-'Sparkling Model'!D$2:D$38^A6164)</f>
        <v>36.82468153</v>
      </c>
      <c r="C6164" s="8">
        <f t="array" ref="C6164">PRODUCT(1-'Sparkling Model'!D$2:D$38^A6164)</f>
        <v>0.8358487893</v>
      </c>
    </row>
    <row r="6165">
      <c r="A6165" s="6">
        <v>6163.0</v>
      </c>
      <c r="B6165" s="17">
        <f t="array" ref="B6165">SUM(1-'Sparkling Model'!D$2:D$38^A6165)</f>
        <v>36.82477428</v>
      </c>
      <c r="C6165" s="8">
        <f t="array" ref="C6165">PRODUCT(1-'Sparkling Model'!D$2:D$38^A6165)</f>
        <v>0.8359296812</v>
      </c>
    </row>
    <row r="6166">
      <c r="A6166" s="6">
        <v>6164.0</v>
      </c>
      <c r="B6166" s="17">
        <f t="array" ref="B6166">SUM(1-'Sparkling Model'!D$2:D$38^A6166)</f>
        <v>36.82486697</v>
      </c>
      <c r="C6166" s="8">
        <f t="array" ref="C6166">PRODUCT(1-'Sparkling Model'!D$2:D$38^A6166)</f>
        <v>0.836010534</v>
      </c>
    </row>
    <row r="6167">
      <c r="A6167" s="6">
        <v>6165.0</v>
      </c>
      <c r="B6167" s="17">
        <f t="array" ref="B6167">SUM(1-'Sparkling Model'!D$2:D$38^A6167)</f>
        <v>36.82495962</v>
      </c>
      <c r="C6167" s="8">
        <f t="array" ref="C6167">PRODUCT(1-'Sparkling Model'!D$2:D$38^A6167)</f>
        <v>0.8360913478</v>
      </c>
    </row>
    <row r="6168">
      <c r="A6168" s="6">
        <v>6166.0</v>
      </c>
      <c r="B6168" s="17">
        <f t="array" ref="B6168">SUM(1-'Sparkling Model'!D$2:D$38^A6168)</f>
        <v>36.82505221</v>
      </c>
      <c r="C6168" s="8">
        <f t="array" ref="C6168">PRODUCT(1-'Sparkling Model'!D$2:D$38^A6168)</f>
        <v>0.8361721225</v>
      </c>
    </row>
    <row r="6169">
      <c r="A6169" s="6">
        <v>6167.0</v>
      </c>
      <c r="B6169" s="17">
        <f t="array" ref="B6169">SUM(1-'Sparkling Model'!D$2:D$38^A6169)</f>
        <v>36.82514475</v>
      </c>
      <c r="C6169" s="8">
        <f t="array" ref="C6169">PRODUCT(1-'Sparkling Model'!D$2:D$38^A6169)</f>
        <v>0.8362528582</v>
      </c>
    </row>
    <row r="6170">
      <c r="A6170" s="6">
        <v>6168.0</v>
      </c>
      <c r="B6170" s="17">
        <f t="array" ref="B6170">SUM(1-'Sparkling Model'!D$2:D$38^A6170)</f>
        <v>36.82523724</v>
      </c>
      <c r="C6170" s="8">
        <f t="array" ref="C6170">PRODUCT(1-'Sparkling Model'!D$2:D$38^A6170)</f>
        <v>0.8363335549</v>
      </c>
    </row>
    <row r="6171">
      <c r="A6171" s="6">
        <v>6169.0</v>
      </c>
      <c r="B6171" s="17">
        <f t="array" ref="B6171">SUM(1-'Sparkling Model'!D$2:D$38^A6171)</f>
        <v>36.82532967</v>
      </c>
      <c r="C6171" s="8">
        <f t="array" ref="C6171">PRODUCT(1-'Sparkling Model'!D$2:D$38^A6171)</f>
        <v>0.8364142126</v>
      </c>
    </row>
    <row r="6172">
      <c r="A6172" s="6">
        <v>6170.0</v>
      </c>
      <c r="B6172" s="17">
        <f t="array" ref="B6172">SUM(1-'Sparkling Model'!D$2:D$38^A6172)</f>
        <v>36.82542206</v>
      </c>
      <c r="C6172" s="8">
        <f t="array" ref="C6172">PRODUCT(1-'Sparkling Model'!D$2:D$38^A6172)</f>
        <v>0.8364948313</v>
      </c>
    </row>
    <row r="6173">
      <c r="A6173" s="6">
        <v>6171.0</v>
      </c>
      <c r="B6173" s="17">
        <f t="array" ref="B6173">SUM(1-'Sparkling Model'!D$2:D$38^A6173)</f>
        <v>36.82551439</v>
      </c>
      <c r="C6173" s="8">
        <f t="array" ref="C6173">PRODUCT(1-'Sparkling Model'!D$2:D$38^A6173)</f>
        <v>0.836575411</v>
      </c>
    </row>
    <row r="6174">
      <c r="A6174" s="6">
        <v>6172.0</v>
      </c>
      <c r="B6174" s="17">
        <f t="array" ref="B6174">SUM(1-'Sparkling Model'!D$2:D$38^A6174)</f>
        <v>36.82560667</v>
      </c>
      <c r="C6174" s="8">
        <f t="array" ref="C6174">PRODUCT(1-'Sparkling Model'!D$2:D$38^A6174)</f>
        <v>0.8366559519</v>
      </c>
    </row>
    <row r="6175">
      <c r="A6175" s="6">
        <v>6173.0</v>
      </c>
      <c r="B6175" s="17">
        <f t="array" ref="B6175">SUM(1-'Sparkling Model'!D$2:D$38^A6175)</f>
        <v>36.8256989</v>
      </c>
      <c r="C6175" s="8">
        <f t="array" ref="C6175">PRODUCT(1-'Sparkling Model'!D$2:D$38^A6175)</f>
        <v>0.8367364538</v>
      </c>
    </row>
    <row r="6176">
      <c r="A6176" s="6">
        <v>6174.0</v>
      </c>
      <c r="B6176" s="17">
        <f t="array" ref="B6176">SUM(1-'Sparkling Model'!D$2:D$38^A6176)</f>
        <v>36.82579107</v>
      </c>
      <c r="C6176" s="8">
        <f t="array" ref="C6176">PRODUCT(1-'Sparkling Model'!D$2:D$38^A6176)</f>
        <v>0.8368169168</v>
      </c>
    </row>
    <row r="6177">
      <c r="A6177" s="6">
        <v>6175.0</v>
      </c>
      <c r="B6177" s="17">
        <f t="array" ref="B6177">SUM(1-'Sparkling Model'!D$2:D$38^A6177)</f>
        <v>36.8258832</v>
      </c>
      <c r="C6177" s="8">
        <f t="array" ref="C6177">PRODUCT(1-'Sparkling Model'!D$2:D$38^A6177)</f>
        <v>0.8368973409</v>
      </c>
    </row>
    <row r="6178">
      <c r="A6178" s="6">
        <v>6176.0</v>
      </c>
      <c r="B6178" s="17">
        <f t="array" ref="B6178">SUM(1-'Sparkling Model'!D$2:D$38^A6178)</f>
        <v>36.82597527</v>
      </c>
      <c r="C6178" s="8">
        <f t="array" ref="C6178">PRODUCT(1-'Sparkling Model'!D$2:D$38^A6178)</f>
        <v>0.8369777261</v>
      </c>
    </row>
    <row r="6179">
      <c r="A6179" s="6">
        <v>6177.0</v>
      </c>
      <c r="B6179" s="17">
        <f t="array" ref="B6179">SUM(1-'Sparkling Model'!D$2:D$38^A6179)</f>
        <v>36.8260673</v>
      </c>
      <c r="C6179" s="8">
        <f t="array" ref="C6179">PRODUCT(1-'Sparkling Model'!D$2:D$38^A6179)</f>
        <v>0.8370580725</v>
      </c>
    </row>
    <row r="6180">
      <c r="A6180" s="6">
        <v>6178.0</v>
      </c>
      <c r="B6180" s="17">
        <f t="array" ref="B6180">SUM(1-'Sparkling Model'!D$2:D$38^A6180)</f>
        <v>36.82615927</v>
      </c>
      <c r="C6180" s="8">
        <f t="array" ref="C6180">PRODUCT(1-'Sparkling Model'!D$2:D$38^A6180)</f>
        <v>0.83713838</v>
      </c>
    </row>
    <row r="6181">
      <c r="A6181" s="6">
        <v>6179.0</v>
      </c>
      <c r="B6181" s="17">
        <f t="array" ref="B6181">SUM(1-'Sparkling Model'!D$2:D$38^A6181)</f>
        <v>36.82625119</v>
      </c>
      <c r="C6181" s="8">
        <f t="array" ref="C6181">PRODUCT(1-'Sparkling Model'!D$2:D$38^A6181)</f>
        <v>0.8372186488</v>
      </c>
    </row>
    <row r="6182">
      <c r="A6182" s="6">
        <v>6180.0</v>
      </c>
      <c r="B6182" s="17">
        <f t="array" ref="B6182">SUM(1-'Sparkling Model'!D$2:D$38^A6182)</f>
        <v>36.82634305</v>
      </c>
      <c r="C6182" s="8">
        <f t="array" ref="C6182">PRODUCT(1-'Sparkling Model'!D$2:D$38^A6182)</f>
        <v>0.8372988787</v>
      </c>
    </row>
    <row r="6183">
      <c r="A6183" s="6">
        <v>6181.0</v>
      </c>
      <c r="B6183" s="17">
        <f t="array" ref="B6183">SUM(1-'Sparkling Model'!D$2:D$38^A6183)</f>
        <v>36.82643487</v>
      </c>
      <c r="C6183" s="8">
        <f t="array" ref="C6183">PRODUCT(1-'Sparkling Model'!D$2:D$38^A6183)</f>
        <v>0.8373790699</v>
      </c>
    </row>
    <row r="6184">
      <c r="A6184" s="6">
        <v>6182.0</v>
      </c>
      <c r="B6184" s="17">
        <f t="array" ref="B6184">SUM(1-'Sparkling Model'!D$2:D$38^A6184)</f>
        <v>36.82652663</v>
      </c>
      <c r="C6184" s="8">
        <f t="array" ref="C6184">PRODUCT(1-'Sparkling Model'!D$2:D$38^A6184)</f>
        <v>0.8374592223</v>
      </c>
    </row>
    <row r="6185">
      <c r="A6185" s="6">
        <v>6183.0</v>
      </c>
      <c r="B6185" s="17">
        <f t="array" ref="B6185">SUM(1-'Sparkling Model'!D$2:D$38^A6185)</f>
        <v>36.82661835</v>
      </c>
      <c r="C6185" s="8">
        <f t="array" ref="C6185">PRODUCT(1-'Sparkling Model'!D$2:D$38^A6185)</f>
        <v>0.837539336</v>
      </c>
    </row>
    <row r="6186">
      <c r="A6186" s="6">
        <v>6184.0</v>
      </c>
      <c r="B6186" s="17">
        <f t="array" ref="B6186">SUM(1-'Sparkling Model'!D$2:D$38^A6186)</f>
        <v>36.82671001</v>
      </c>
      <c r="C6186" s="8">
        <f t="array" ref="C6186">PRODUCT(1-'Sparkling Model'!D$2:D$38^A6186)</f>
        <v>0.8376194109</v>
      </c>
    </row>
    <row r="6187">
      <c r="A6187" s="6">
        <v>6185.0</v>
      </c>
      <c r="B6187" s="17">
        <f t="array" ref="B6187">SUM(1-'Sparkling Model'!D$2:D$38^A6187)</f>
        <v>36.82680162</v>
      </c>
      <c r="C6187" s="8">
        <f t="array" ref="C6187">PRODUCT(1-'Sparkling Model'!D$2:D$38^A6187)</f>
        <v>0.8376994471</v>
      </c>
    </row>
    <row r="6188">
      <c r="A6188" s="6">
        <v>6186.0</v>
      </c>
      <c r="B6188" s="17">
        <f t="array" ref="B6188">SUM(1-'Sparkling Model'!D$2:D$38^A6188)</f>
        <v>36.82689318</v>
      </c>
      <c r="C6188" s="8">
        <f t="array" ref="C6188">PRODUCT(1-'Sparkling Model'!D$2:D$38^A6188)</f>
        <v>0.8377794446</v>
      </c>
    </row>
    <row r="6189">
      <c r="A6189" s="6">
        <v>6187.0</v>
      </c>
      <c r="B6189" s="17">
        <f t="array" ref="B6189">SUM(1-'Sparkling Model'!D$2:D$38^A6189)</f>
        <v>36.82698469</v>
      </c>
      <c r="C6189" s="8">
        <f t="array" ref="C6189">PRODUCT(1-'Sparkling Model'!D$2:D$38^A6189)</f>
        <v>0.8378594035</v>
      </c>
    </row>
    <row r="6190">
      <c r="A6190" s="6">
        <v>6188.0</v>
      </c>
      <c r="B6190" s="17">
        <f t="array" ref="B6190">SUM(1-'Sparkling Model'!D$2:D$38^A6190)</f>
        <v>36.82707615</v>
      </c>
      <c r="C6190" s="8">
        <f t="array" ref="C6190">PRODUCT(1-'Sparkling Model'!D$2:D$38^A6190)</f>
        <v>0.8379393237</v>
      </c>
    </row>
    <row r="6191">
      <c r="A6191" s="6">
        <v>6189.0</v>
      </c>
      <c r="B6191" s="17">
        <f t="array" ref="B6191">SUM(1-'Sparkling Model'!D$2:D$38^A6191)</f>
        <v>36.82716755</v>
      </c>
      <c r="C6191" s="8">
        <f t="array" ref="C6191">PRODUCT(1-'Sparkling Model'!D$2:D$38^A6191)</f>
        <v>0.8380192053</v>
      </c>
    </row>
    <row r="6192">
      <c r="A6192" s="6">
        <v>6190.0</v>
      </c>
      <c r="B6192" s="17">
        <f t="array" ref="B6192">SUM(1-'Sparkling Model'!D$2:D$38^A6192)</f>
        <v>36.82725891</v>
      </c>
      <c r="C6192" s="8">
        <f t="array" ref="C6192">PRODUCT(1-'Sparkling Model'!D$2:D$38^A6192)</f>
        <v>0.8380990482</v>
      </c>
    </row>
    <row r="6193">
      <c r="A6193" s="6">
        <v>6191.0</v>
      </c>
      <c r="B6193" s="17">
        <f t="array" ref="B6193">SUM(1-'Sparkling Model'!D$2:D$38^A6193)</f>
        <v>36.82735021</v>
      </c>
      <c r="C6193" s="8">
        <f t="array" ref="C6193">PRODUCT(1-'Sparkling Model'!D$2:D$38^A6193)</f>
        <v>0.8381788526</v>
      </c>
    </row>
    <row r="6194">
      <c r="A6194" s="6">
        <v>6192.0</v>
      </c>
      <c r="B6194" s="17">
        <f t="array" ref="B6194">SUM(1-'Sparkling Model'!D$2:D$38^A6194)</f>
        <v>36.82744146</v>
      </c>
      <c r="C6194" s="8">
        <f t="array" ref="C6194">PRODUCT(1-'Sparkling Model'!D$2:D$38^A6194)</f>
        <v>0.8382586183</v>
      </c>
    </row>
    <row r="6195">
      <c r="A6195" s="6">
        <v>6193.0</v>
      </c>
      <c r="B6195" s="17">
        <f t="array" ref="B6195">SUM(1-'Sparkling Model'!D$2:D$38^A6195)</f>
        <v>36.82753266</v>
      </c>
      <c r="C6195" s="8">
        <f t="array" ref="C6195">PRODUCT(1-'Sparkling Model'!D$2:D$38^A6195)</f>
        <v>0.8383383455</v>
      </c>
    </row>
    <row r="6196">
      <c r="A6196" s="6">
        <v>6194.0</v>
      </c>
      <c r="B6196" s="17">
        <f t="array" ref="B6196">SUM(1-'Sparkling Model'!D$2:D$38^A6196)</f>
        <v>36.82762382</v>
      </c>
      <c r="C6196" s="8">
        <f t="array" ref="C6196">PRODUCT(1-'Sparkling Model'!D$2:D$38^A6196)</f>
        <v>0.8384180341</v>
      </c>
    </row>
    <row r="6197">
      <c r="A6197" s="6">
        <v>6195.0</v>
      </c>
      <c r="B6197" s="17">
        <f t="array" ref="B6197">SUM(1-'Sparkling Model'!D$2:D$38^A6197)</f>
        <v>36.82771491</v>
      </c>
      <c r="C6197" s="8">
        <f t="array" ref="C6197">PRODUCT(1-'Sparkling Model'!D$2:D$38^A6197)</f>
        <v>0.8384976842</v>
      </c>
    </row>
    <row r="6198">
      <c r="A6198" s="6">
        <v>6196.0</v>
      </c>
      <c r="B6198" s="17">
        <f t="array" ref="B6198">SUM(1-'Sparkling Model'!D$2:D$38^A6198)</f>
        <v>36.82780596</v>
      </c>
      <c r="C6198" s="8">
        <f t="array" ref="C6198">PRODUCT(1-'Sparkling Model'!D$2:D$38^A6198)</f>
        <v>0.8385772958</v>
      </c>
    </row>
    <row r="6199">
      <c r="A6199" s="6">
        <v>6197.0</v>
      </c>
      <c r="B6199" s="17">
        <f t="array" ref="B6199">SUM(1-'Sparkling Model'!D$2:D$38^A6199)</f>
        <v>36.82789696</v>
      </c>
      <c r="C6199" s="8">
        <f t="array" ref="C6199">PRODUCT(1-'Sparkling Model'!D$2:D$38^A6199)</f>
        <v>0.8386568689</v>
      </c>
    </row>
    <row r="6200">
      <c r="A6200" s="6">
        <v>6198.0</v>
      </c>
      <c r="B6200" s="17">
        <f t="array" ref="B6200">SUM(1-'Sparkling Model'!D$2:D$38^A6200)</f>
        <v>36.82798791</v>
      </c>
      <c r="C6200" s="8">
        <f t="array" ref="C6200">PRODUCT(1-'Sparkling Model'!D$2:D$38^A6200)</f>
        <v>0.8387364035</v>
      </c>
    </row>
    <row r="6201">
      <c r="A6201" s="6">
        <v>6199.0</v>
      </c>
      <c r="B6201" s="17">
        <f t="array" ref="B6201">SUM(1-'Sparkling Model'!D$2:D$38^A6201)</f>
        <v>36.8280788</v>
      </c>
      <c r="C6201" s="8">
        <f t="array" ref="C6201">PRODUCT(1-'Sparkling Model'!D$2:D$38^A6201)</f>
        <v>0.8388158997</v>
      </c>
    </row>
    <row r="6202">
      <c r="A6202" s="6">
        <v>6200.0</v>
      </c>
      <c r="B6202" s="17">
        <f t="array" ref="B6202">SUM(1-'Sparkling Model'!D$2:D$38^A6202)</f>
        <v>36.82816965</v>
      </c>
      <c r="C6202" s="8">
        <f t="array" ref="C6202">PRODUCT(1-'Sparkling Model'!D$2:D$38^A6202)</f>
        <v>0.8388953574</v>
      </c>
    </row>
    <row r="6203">
      <c r="A6203" s="6">
        <v>6201.0</v>
      </c>
      <c r="B6203" s="17">
        <f t="array" ref="B6203">SUM(1-'Sparkling Model'!D$2:D$38^A6203)</f>
        <v>36.82826044</v>
      </c>
      <c r="C6203" s="8">
        <f t="array" ref="C6203">PRODUCT(1-'Sparkling Model'!D$2:D$38^A6203)</f>
        <v>0.8389747767</v>
      </c>
    </row>
    <row r="6204">
      <c r="A6204" s="6">
        <v>6202.0</v>
      </c>
      <c r="B6204" s="17">
        <f t="array" ref="B6204">SUM(1-'Sparkling Model'!D$2:D$38^A6204)</f>
        <v>36.82835119</v>
      </c>
      <c r="C6204" s="8">
        <f t="array" ref="C6204">PRODUCT(1-'Sparkling Model'!D$2:D$38^A6204)</f>
        <v>0.8390541575</v>
      </c>
    </row>
    <row r="6205">
      <c r="A6205" s="6">
        <v>6203.0</v>
      </c>
      <c r="B6205" s="17">
        <f t="array" ref="B6205">SUM(1-'Sparkling Model'!D$2:D$38^A6205)</f>
        <v>36.82844188</v>
      </c>
      <c r="C6205" s="8">
        <f t="array" ref="C6205">PRODUCT(1-'Sparkling Model'!D$2:D$38^A6205)</f>
        <v>0.8391335</v>
      </c>
    </row>
    <row r="6206">
      <c r="A6206" s="6">
        <v>6204.0</v>
      </c>
      <c r="B6206" s="17">
        <f t="array" ref="B6206">SUM(1-'Sparkling Model'!D$2:D$38^A6206)</f>
        <v>36.82853252</v>
      </c>
      <c r="C6206" s="8">
        <f t="array" ref="C6206">PRODUCT(1-'Sparkling Model'!D$2:D$38^A6206)</f>
        <v>0.8392128041</v>
      </c>
    </row>
    <row r="6207">
      <c r="A6207" s="6">
        <v>6205.0</v>
      </c>
      <c r="B6207" s="17">
        <f t="array" ref="B6207">SUM(1-'Sparkling Model'!D$2:D$38^A6207)</f>
        <v>36.82862311</v>
      </c>
      <c r="C6207" s="8">
        <f t="array" ref="C6207">PRODUCT(1-'Sparkling Model'!D$2:D$38^A6207)</f>
        <v>0.8392920699</v>
      </c>
    </row>
    <row r="6208">
      <c r="A6208" s="6">
        <v>6206.0</v>
      </c>
      <c r="B6208" s="17">
        <f t="array" ref="B6208">SUM(1-'Sparkling Model'!D$2:D$38^A6208)</f>
        <v>36.82871365</v>
      </c>
      <c r="C6208" s="8">
        <f t="array" ref="C6208">PRODUCT(1-'Sparkling Model'!D$2:D$38^A6208)</f>
        <v>0.8393712973</v>
      </c>
    </row>
    <row r="6209">
      <c r="A6209" s="6">
        <v>6207.0</v>
      </c>
      <c r="B6209" s="17">
        <f t="array" ref="B6209">SUM(1-'Sparkling Model'!D$2:D$38^A6209)</f>
        <v>36.82880414</v>
      </c>
      <c r="C6209" s="8">
        <f t="array" ref="C6209">PRODUCT(1-'Sparkling Model'!D$2:D$38^A6209)</f>
        <v>0.8394504864</v>
      </c>
    </row>
    <row r="6210">
      <c r="A6210" s="6">
        <v>6208.0</v>
      </c>
      <c r="B6210" s="17">
        <f t="array" ref="B6210">SUM(1-'Sparkling Model'!D$2:D$38^A6210)</f>
        <v>36.82889458</v>
      </c>
      <c r="C6210" s="8">
        <f t="array" ref="C6210">PRODUCT(1-'Sparkling Model'!D$2:D$38^A6210)</f>
        <v>0.8395296371</v>
      </c>
    </row>
    <row r="6211">
      <c r="A6211" s="6">
        <v>6209.0</v>
      </c>
      <c r="B6211" s="17">
        <f t="array" ref="B6211">SUM(1-'Sparkling Model'!D$2:D$38^A6211)</f>
        <v>36.82898497</v>
      </c>
      <c r="C6211" s="8">
        <f t="array" ref="C6211">PRODUCT(1-'Sparkling Model'!D$2:D$38^A6211)</f>
        <v>0.8396087496</v>
      </c>
    </row>
    <row r="6212">
      <c r="A6212" s="6">
        <v>6210.0</v>
      </c>
      <c r="B6212" s="17">
        <f t="array" ref="B6212">SUM(1-'Sparkling Model'!D$2:D$38^A6212)</f>
        <v>36.82907531</v>
      </c>
      <c r="C6212" s="8">
        <f t="array" ref="C6212">PRODUCT(1-'Sparkling Model'!D$2:D$38^A6212)</f>
        <v>0.8396878238</v>
      </c>
    </row>
    <row r="6213">
      <c r="A6213" s="6">
        <v>6211.0</v>
      </c>
      <c r="B6213" s="17">
        <f t="array" ref="B6213">SUM(1-'Sparkling Model'!D$2:D$38^A6213)</f>
        <v>36.8291656</v>
      </c>
      <c r="C6213" s="8">
        <f t="array" ref="C6213">PRODUCT(1-'Sparkling Model'!D$2:D$38^A6213)</f>
        <v>0.8397668598</v>
      </c>
    </row>
    <row r="6214">
      <c r="A6214" s="6">
        <v>6212.0</v>
      </c>
      <c r="B6214" s="17">
        <f t="array" ref="B6214">SUM(1-'Sparkling Model'!D$2:D$38^A6214)</f>
        <v>36.82925583</v>
      </c>
      <c r="C6214" s="8">
        <f t="array" ref="C6214">PRODUCT(1-'Sparkling Model'!D$2:D$38^A6214)</f>
        <v>0.8398458576</v>
      </c>
    </row>
    <row r="6215">
      <c r="A6215" s="6">
        <v>6213.0</v>
      </c>
      <c r="B6215" s="17">
        <f t="array" ref="B6215">SUM(1-'Sparkling Model'!D$2:D$38^A6215)</f>
        <v>36.82934602</v>
      </c>
      <c r="C6215" s="8">
        <f t="array" ref="C6215">PRODUCT(1-'Sparkling Model'!D$2:D$38^A6215)</f>
        <v>0.8399248171</v>
      </c>
    </row>
    <row r="6216">
      <c r="A6216" s="6">
        <v>6214.0</v>
      </c>
      <c r="B6216" s="17">
        <f t="array" ref="B6216">SUM(1-'Sparkling Model'!D$2:D$38^A6216)</f>
        <v>36.82943616</v>
      </c>
      <c r="C6216" s="8">
        <f t="array" ref="C6216">PRODUCT(1-'Sparkling Model'!D$2:D$38^A6216)</f>
        <v>0.8400037384</v>
      </c>
    </row>
    <row r="6217">
      <c r="A6217" s="6">
        <v>6215.0</v>
      </c>
      <c r="B6217" s="17">
        <f t="array" ref="B6217">SUM(1-'Sparkling Model'!D$2:D$38^A6217)</f>
        <v>36.82952624</v>
      </c>
      <c r="C6217" s="8">
        <f t="array" ref="C6217">PRODUCT(1-'Sparkling Model'!D$2:D$38^A6217)</f>
        <v>0.8400826215</v>
      </c>
    </row>
    <row r="6218">
      <c r="A6218" s="6">
        <v>6216.0</v>
      </c>
      <c r="B6218" s="17">
        <f t="array" ref="B6218">SUM(1-'Sparkling Model'!D$2:D$38^A6218)</f>
        <v>36.82961628</v>
      </c>
      <c r="C6218" s="8">
        <f t="array" ref="C6218">PRODUCT(1-'Sparkling Model'!D$2:D$38^A6218)</f>
        <v>0.8401614665</v>
      </c>
    </row>
    <row r="6219">
      <c r="A6219" s="6">
        <v>6217.0</v>
      </c>
      <c r="B6219" s="17">
        <f t="array" ref="B6219">SUM(1-'Sparkling Model'!D$2:D$38^A6219)</f>
        <v>36.82970626</v>
      </c>
      <c r="C6219" s="8">
        <f t="array" ref="C6219">PRODUCT(1-'Sparkling Model'!D$2:D$38^A6219)</f>
        <v>0.8402402733</v>
      </c>
    </row>
    <row r="6220">
      <c r="A6220" s="6">
        <v>6218.0</v>
      </c>
      <c r="B6220" s="17">
        <f t="array" ref="B6220">SUM(1-'Sparkling Model'!D$2:D$38^A6220)</f>
        <v>36.8297962</v>
      </c>
      <c r="C6220" s="8">
        <f t="array" ref="C6220">PRODUCT(1-'Sparkling Model'!D$2:D$38^A6220)</f>
        <v>0.840319042</v>
      </c>
    </row>
    <row r="6221">
      <c r="A6221" s="6">
        <v>6219.0</v>
      </c>
      <c r="B6221" s="17">
        <f t="array" ref="B6221">SUM(1-'Sparkling Model'!D$2:D$38^A6221)</f>
        <v>36.82988608</v>
      </c>
      <c r="C6221" s="8">
        <f t="array" ref="C6221">PRODUCT(1-'Sparkling Model'!D$2:D$38^A6221)</f>
        <v>0.8403977726</v>
      </c>
    </row>
    <row r="6222">
      <c r="A6222" s="6">
        <v>6220.0</v>
      </c>
      <c r="B6222" s="17">
        <f t="array" ref="B6222">SUM(1-'Sparkling Model'!D$2:D$38^A6222)</f>
        <v>36.82997592</v>
      </c>
      <c r="C6222" s="8">
        <f t="array" ref="C6222">PRODUCT(1-'Sparkling Model'!D$2:D$38^A6222)</f>
        <v>0.8404764651</v>
      </c>
    </row>
    <row r="6223">
      <c r="A6223" s="6">
        <v>6221.0</v>
      </c>
      <c r="B6223" s="17">
        <f t="array" ref="B6223">SUM(1-'Sparkling Model'!D$2:D$38^A6223)</f>
        <v>36.8300657</v>
      </c>
      <c r="C6223" s="8">
        <f t="array" ref="C6223">PRODUCT(1-'Sparkling Model'!D$2:D$38^A6223)</f>
        <v>0.8405551195</v>
      </c>
    </row>
    <row r="6224">
      <c r="A6224" s="6">
        <v>6222.0</v>
      </c>
      <c r="B6224" s="17">
        <f t="array" ref="B6224">SUM(1-'Sparkling Model'!D$2:D$38^A6224)</f>
        <v>36.83015544</v>
      </c>
      <c r="C6224" s="8">
        <f t="array" ref="C6224">PRODUCT(1-'Sparkling Model'!D$2:D$38^A6224)</f>
        <v>0.8406337359</v>
      </c>
    </row>
    <row r="6225">
      <c r="A6225" s="6">
        <v>6223.0</v>
      </c>
      <c r="B6225" s="17">
        <f t="array" ref="B6225">SUM(1-'Sparkling Model'!D$2:D$38^A6225)</f>
        <v>36.83024512</v>
      </c>
      <c r="C6225" s="8">
        <f t="array" ref="C6225">PRODUCT(1-'Sparkling Model'!D$2:D$38^A6225)</f>
        <v>0.8407123142</v>
      </c>
    </row>
    <row r="6226">
      <c r="A6226" s="6">
        <v>6224.0</v>
      </c>
      <c r="B6226" s="17">
        <f t="array" ref="B6226">SUM(1-'Sparkling Model'!D$2:D$38^A6226)</f>
        <v>36.83033475</v>
      </c>
      <c r="C6226" s="8">
        <f t="array" ref="C6226">PRODUCT(1-'Sparkling Model'!D$2:D$38^A6226)</f>
        <v>0.8407908545</v>
      </c>
    </row>
    <row r="6227">
      <c r="A6227" s="6">
        <v>6225.0</v>
      </c>
      <c r="B6227" s="17">
        <f t="array" ref="B6227">SUM(1-'Sparkling Model'!D$2:D$38^A6227)</f>
        <v>36.83042434</v>
      </c>
      <c r="C6227" s="8">
        <f t="array" ref="C6227">PRODUCT(1-'Sparkling Model'!D$2:D$38^A6227)</f>
        <v>0.8408693568</v>
      </c>
    </row>
    <row r="6228">
      <c r="A6228" s="6">
        <v>6226.0</v>
      </c>
      <c r="B6228" s="17">
        <f t="array" ref="B6228">SUM(1-'Sparkling Model'!D$2:D$38^A6228)</f>
        <v>36.83051387</v>
      </c>
      <c r="C6228" s="8">
        <f t="array" ref="C6228">PRODUCT(1-'Sparkling Model'!D$2:D$38^A6228)</f>
        <v>0.8409478211</v>
      </c>
    </row>
    <row r="6229">
      <c r="A6229" s="6">
        <v>6227.0</v>
      </c>
      <c r="B6229" s="17">
        <f t="array" ref="B6229">SUM(1-'Sparkling Model'!D$2:D$38^A6229)</f>
        <v>36.83060336</v>
      </c>
      <c r="C6229" s="8">
        <f t="array" ref="C6229">PRODUCT(1-'Sparkling Model'!D$2:D$38^A6229)</f>
        <v>0.8410262474</v>
      </c>
    </row>
    <row r="6230">
      <c r="A6230" s="6">
        <v>6228.0</v>
      </c>
      <c r="B6230" s="17">
        <f t="array" ref="B6230">SUM(1-'Sparkling Model'!D$2:D$38^A6230)</f>
        <v>36.83069279</v>
      </c>
      <c r="C6230" s="8">
        <f t="array" ref="C6230">PRODUCT(1-'Sparkling Model'!D$2:D$38^A6230)</f>
        <v>0.8411046357</v>
      </c>
    </row>
    <row r="6231">
      <c r="A6231" s="6">
        <v>6229.0</v>
      </c>
      <c r="B6231" s="17">
        <f t="array" ref="B6231">SUM(1-'Sparkling Model'!D$2:D$38^A6231)</f>
        <v>36.83078218</v>
      </c>
      <c r="C6231" s="8">
        <f t="array" ref="C6231">PRODUCT(1-'Sparkling Model'!D$2:D$38^A6231)</f>
        <v>0.8411829862</v>
      </c>
    </row>
    <row r="6232">
      <c r="A6232" s="6">
        <v>6230.0</v>
      </c>
      <c r="B6232" s="17">
        <f t="array" ref="B6232">SUM(1-'Sparkling Model'!D$2:D$38^A6232)</f>
        <v>36.83087151</v>
      </c>
      <c r="C6232" s="8">
        <f t="array" ref="C6232">PRODUCT(1-'Sparkling Model'!D$2:D$38^A6232)</f>
        <v>0.8412612987</v>
      </c>
    </row>
    <row r="6233">
      <c r="A6233" s="6">
        <v>6231.0</v>
      </c>
      <c r="B6233" s="17">
        <f t="array" ref="B6233">SUM(1-'Sparkling Model'!D$2:D$38^A6233)</f>
        <v>36.83096079</v>
      </c>
      <c r="C6233" s="8">
        <f t="array" ref="C6233">PRODUCT(1-'Sparkling Model'!D$2:D$38^A6233)</f>
        <v>0.8413395733</v>
      </c>
    </row>
    <row r="6234">
      <c r="A6234" s="6">
        <v>6232.0</v>
      </c>
      <c r="B6234" s="17">
        <f t="array" ref="B6234">SUM(1-'Sparkling Model'!D$2:D$38^A6234)</f>
        <v>36.83105003</v>
      </c>
      <c r="C6234" s="8">
        <f t="array" ref="C6234">PRODUCT(1-'Sparkling Model'!D$2:D$38^A6234)</f>
        <v>0.84141781</v>
      </c>
    </row>
    <row r="6235">
      <c r="A6235" s="6">
        <v>6233.0</v>
      </c>
      <c r="B6235" s="17">
        <f t="array" ref="B6235">SUM(1-'Sparkling Model'!D$2:D$38^A6235)</f>
        <v>36.83113921</v>
      </c>
      <c r="C6235" s="8">
        <f t="array" ref="C6235">PRODUCT(1-'Sparkling Model'!D$2:D$38^A6235)</f>
        <v>0.8414960088</v>
      </c>
    </row>
    <row r="6236">
      <c r="A6236" s="6">
        <v>6234.0</v>
      </c>
      <c r="B6236" s="17">
        <f t="array" ref="B6236">SUM(1-'Sparkling Model'!D$2:D$38^A6236)</f>
        <v>36.83122835</v>
      </c>
      <c r="C6236" s="8">
        <f t="array" ref="C6236">PRODUCT(1-'Sparkling Model'!D$2:D$38^A6236)</f>
        <v>0.8415741698</v>
      </c>
    </row>
    <row r="6237">
      <c r="A6237" s="6">
        <v>6235.0</v>
      </c>
      <c r="B6237" s="17">
        <f t="array" ref="B6237">SUM(1-'Sparkling Model'!D$2:D$38^A6237)</f>
        <v>36.83131743</v>
      </c>
      <c r="C6237" s="8">
        <f t="array" ref="C6237">PRODUCT(1-'Sparkling Model'!D$2:D$38^A6237)</f>
        <v>0.841652293</v>
      </c>
    </row>
    <row r="6238">
      <c r="A6238" s="6">
        <v>6236.0</v>
      </c>
      <c r="B6238" s="17">
        <f t="array" ref="B6238">SUM(1-'Sparkling Model'!D$2:D$38^A6238)</f>
        <v>36.83140647</v>
      </c>
      <c r="C6238" s="8">
        <f t="array" ref="C6238">PRODUCT(1-'Sparkling Model'!D$2:D$38^A6238)</f>
        <v>0.8417303783</v>
      </c>
    </row>
    <row r="6239">
      <c r="A6239" s="6">
        <v>6237.0</v>
      </c>
      <c r="B6239" s="17">
        <f t="array" ref="B6239">SUM(1-'Sparkling Model'!D$2:D$38^A6239)</f>
        <v>36.83149545</v>
      </c>
      <c r="C6239" s="8">
        <f t="array" ref="C6239">PRODUCT(1-'Sparkling Model'!D$2:D$38^A6239)</f>
        <v>0.8418084259</v>
      </c>
    </row>
    <row r="6240">
      <c r="A6240" s="6">
        <v>6238.0</v>
      </c>
      <c r="B6240" s="17">
        <f t="array" ref="B6240">SUM(1-'Sparkling Model'!D$2:D$38^A6240)</f>
        <v>36.83158439</v>
      </c>
      <c r="C6240" s="8">
        <f t="array" ref="C6240">PRODUCT(1-'Sparkling Model'!D$2:D$38^A6240)</f>
        <v>0.8418864356</v>
      </c>
    </row>
    <row r="6241">
      <c r="A6241" s="6">
        <v>6239.0</v>
      </c>
      <c r="B6241" s="17">
        <f t="array" ref="B6241">SUM(1-'Sparkling Model'!D$2:D$38^A6241)</f>
        <v>36.83167328</v>
      </c>
      <c r="C6241" s="8">
        <f t="array" ref="C6241">PRODUCT(1-'Sparkling Model'!D$2:D$38^A6241)</f>
        <v>0.8419644076</v>
      </c>
    </row>
    <row r="6242">
      <c r="A6242" s="6">
        <v>6240.0</v>
      </c>
      <c r="B6242" s="17">
        <f t="array" ref="B6242">SUM(1-'Sparkling Model'!D$2:D$38^A6242)</f>
        <v>36.83176211</v>
      </c>
      <c r="C6242" s="8">
        <f t="array" ref="C6242">PRODUCT(1-'Sparkling Model'!D$2:D$38^A6242)</f>
        <v>0.8420423419</v>
      </c>
    </row>
    <row r="6243">
      <c r="A6243" s="6">
        <v>6241.0</v>
      </c>
      <c r="B6243" s="17">
        <f t="array" ref="B6243">SUM(1-'Sparkling Model'!D$2:D$38^A6243)</f>
        <v>36.8318509</v>
      </c>
      <c r="C6243" s="8">
        <f t="array" ref="C6243">PRODUCT(1-'Sparkling Model'!D$2:D$38^A6243)</f>
        <v>0.8421202384</v>
      </c>
    </row>
    <row r="6244">
      <c r="A6244" s="6">
        <v>6242.0</v>
      </c>
      <c r="B6244" s="17">
        <f t="array" ref="B6244">SUM(1-'Sparkling Model'!D$2:D$38^A6244)</f>
        <v>36.83193964</v>
      </c>
      <c r="C6244" s="8">
        <f t="array" ref="C6244">PRODUCT(1-'Sparkling Model'!D$2:D$38^A6244)</f>
        <v>0.8421980972</v>
      </c>
    </row>
    <row r="6245">
      <c r="A6245" s="6">
        <v>6243.0</v>
      </c>
      <c r="B6245" s="17">
        <f t="array" ref="B6245">SUM(1-'Sparkling Model'!D$2:D$38^A6245)</f>
        <v>36.83202833</v>
      </c>
      <c r="C6245" s="8">
        <f t="array" ref="C6245">PRODUCT(1-'Sparkling Model'!D$2:D$38^A6245)</f>
        <v>0.8422759183</v>
      </c>
    </row>
    <row r="6246">
      <c r="A6246" s="6">
        <v>6244.0</v>
      </c>
      <c r="B6246" s="17">
        <f t="array" ref="B6246">SUM(1-'Sparkling Model'!D$2:D$38^A6246)</f>
        <v>36.83211697</v>
      </c>
      <c r="C6246" s="8">
        <f t="array" ref="C6246">PRODUCT(1-'Sparkling Model'!D$2:D$38^A6246)</f>
        <v>0.8423537018</v>
      </c>
    </row>
    <row r="6247">
      <c r="A6247" s="6">
        <v>6245.0</v>
      </c>
      <c r="B6247" s="17">
        <f t="array" ref="B6247">SUM(1-'Sparkling Model'!D$2:D$38^A6247)</f>
        <v>36.83220555</v>
      </c>
      <c r="C6247" s="8">
        <f t="array" ref="C6247">PRODUCT(1-'Sparkling Model'!D$2:D$38^A6247)</f>
        <v>0.8424314475</v>
      </c>
    </row>
    <row r="6248">
      <c r="A6248" s="6">
        <v>6246.0</v>
      </c>
      <c r="B6248" s="17">
        <f t="array" ref="B6248">SUM(1-'Sparkling Model'!D$2:D$38^A6248)</f>
        <v>36.83229409</v>
      </c>
      <c r="C6248" s="8">
        <f t="array" ref="C6248">PRODUCT(1-'Sparkling Model'!D$2:D$38^A6248)</f>
        <v>0.8425091557</v>
      </c>
    </row>
    <row r="6249">
      <c r="A6249" s="6">
        <v>6247.0</v>
      </c>
      <c r="B6249" s="17">
        <f t="array" ref="B6249">SUM(1-'Sparkling Model'!D$2:D$38^A6249)</f>
        <v>36.83238258</v>
      </c>
      <c r="C6249" s="8">
        <f t="array" ref="C6249">PRODUCT(1-'Sparkling Model'!D$2:D$38^A6249)</f>
        <v>0.8425868262</v>
      </c>
    </row>
    <row r="6250">
      <c r="A6250" s="6">
        <v>6248.0</v>
      </c>
      <c r="B6250" s="17">
        <f t="array" ref="B6250">SUM(1-'Sparkling Model'!D$2:D$38^A6250)</f>
        <v>36.83247103</v>
      </c>
      <c r="C6250" s="8">
        <f t="array" ref="C6250">PRODUCT(1-'Sparkling Model'!D$2:D$38^A6250)</f>
        <v>0.8426644591</v>
      </c>
    </row>
    <row r="6251">
      <c r="A6251" s="6">
        <v>6249.0</v>
      </c>
      <c r="B6251" s="17">
        <f t="array" ref="B6251">SUM(1-'Sparkling Model'!D$2:D$38^A6251)</f>
        <v>36.83255942</v>
      </c>
      <c r="C6251" s="8">
        <f t="array" ref="C6251">PRODUCT(1-'Sparkling Model'!D$2:D$38^A6251)</f>
        <v>0.8427420544</v>
      </c>
    </row>
    <row r="6252">
      <c r="A6252" s="6">
        <v>6250.0</v>
      </c>
      <c r="B6252" s="17">
        <f t="array" ref="B6252">SUM(1-'Sparkling Model'!D$2:D$38^A6252)</f>
        <v>36.83264776</v>
      </c>
      <c r="C6252" s="8">
        <f t="array" ref="C6252">PRODUCT(1-'Sparkling Model'!D$2:D$38^A6252)</f>
        <v>0.8428196121</v>
      </c>
    </row>
    <row r="6253">
      <c r="A6253" s="6">
        <v>6251.0</v>
      </c>
      <c r="B6253" s="17">
        <f t="array" ref="B6253">SUM(1-'Sparkling Model'!D$2:D$38^A6253)</f>
        <v>36.83273605</v>
      </c>
      <c r="C6253" s="8">
        <f t="array" ref="C6253">PRODUCT(1-'Sparkling Model'!D$2:D$38^A6253)</f>
        <v>0.8428971323</v>
      </c>
    </row>
    <row r="6254">
      <c r="A6254" s="6">
        <v>6252.0</v>
      </c>
      <c r="B6254" s="17">
        <f t="array" ref="B6254">SUM(1-'Sparkling Model'!D$2:D$38^A6254)</f>
        <v>36.8328243</v>
      </c>
      <c r="C6254" s="8">
        <f t="array" ref="C6254">PRODUCT(1-'Sparkling Model'!D$2:D$38^A6254)</f>
        <v>0.8429746149</v>
      </c>
    </row>
    <row r="6255">
      <c r="A6255" s="6">
        <v>6253.0</v>
      </c>
      <c r="B6255" s="17">
        <f t="array" ref="B6255">SUM(1-'Sparkling Model'!D$2:D$38^A6255)</f>
        <v>36.83291249</v>
      </c>
      <c r="C6255" s="8">
        <f t="array" ref="C6255">PRODUCT(1-'Sparkling Model'!D$2:D$38^A6255)</f>
        <v>0.84305206</v>
      </c>
    </row>
    <row r="6256">
      <c r="A6256" s="6">
        <v>6254.0</v>
      </c>
      <c r="B6256" s="17">
        <f t="array" ref="B6256">SUM(1-'Sparkling Model'!D$2:D$38^A6256)</f>
        <v>36.83300064</v>
      </c>
      <c r="C6256" s="8">
        <f t="array" ref="C6256">PRODUCT(1-'Sparkling Model'!D$2:D$38^A6256)</f>
        <v>0.8431294676</v>
      </c>
    </row>
    <row r="6257">
      <c r="A6257" s="6">
        <v>6255.0</v>
      </c>
      <c r="B6257" s="17">
        <f t="array" ref="B6257">SUM(1-'Sparkling Model'!D$2:D$38^A6257)</f>
        <v>36.83308873</v>
      </c>
      <c r="C6257" s="8">
        <f t="array" ref="C6257">PRODUCT(1-'Sparkling Model'!D$2:D$38^A6257)</f>
        <v>0.8432068377</v>
      </c>
    </row>
    <row r="6258">
      <c r="A6258" s="6">
        <v>6256.0</v>
      </c>
      <c r="B6258" s="17">
        <f t="array" ref="B6258">SUM(1-'Sparkling Model'!D$2:D$38^A6258)</f>
        <v>36.83317678</v>
      </c>
      <c r="C6258" s="8">
        <f t="array" ref="C6258">PRODUCT(1-'Sparkling Model'!D$2:D$38^A6258)</f>
        <v>0.8432841704</v>
      </c>
    </row>
    <row r="6259">
      <c r="A6259" s="6">
        <v>6257.0</v>
      </c>
      <c r="B6259" s="17">
        <f t="array" ref="B6259">SUM(1-'Sparkling Model'!D$2:D$38^A6259)</f>
        <v>36.83326478</v>
      </c>
      <c r="C6259" s="8">
        <f t="array" ref="C6259">PRODUCT(1-'Sparkling Model'!D$2:D$38^A6259)</f>
        <v>0.8433614655</v>
      </c>
    </row>
    <row r="6260">
      <c r="A6260" s="6">
        <v>6258.0</v>
      </c>
      <c r="B6260" s="17">
        <f t="array" ref="B6260">SUM(1-'Sparkling Model'!D$2:D$38^A6260)</f>
        <v>36.83335273</v>
      </c>
      <c r="C6260" s="8">
        <f t="array" ref="C6260">PRODUCT(1-'Sparkling Model'!D$2:D$38^A6260)</f>
        <v>0.8434387233</v>
      </c>
    </row>
    <row r="6261">
      <c r="A6261" s="6">
        <v>6259.0</v>
      </c>
      <c r="B6261" s="17">
        <f t="array" ref="B6261">SUM(1-'Sparkling Model'!D$2:D$38^A6261)</f>
        <v>36.83344063</v>
      </c>
      <c r="C6261" s="8">
        <f t="array" ref="C6261">PRODUCT(1-'Sparkling Model'!D$2:D$38^A6261)</f>
        <v>0.8435159436</v>
      </c>
    </row>
    <row r="6262">
      <c r="A6262" s="6">
        <v>6260.0</v>
      </c>
      <c r="B6262" s="17">
        <f t="array" ref="B6262">SUM(1-'Sparkling Model'!D$2:D$38^A6262)</f>
        <v>36.83352848</v>
      </c>
      <c r="C6262" s="8">
        <f t="array" ref="C6262">PRODUCT(1-'Sparkling Model'!D$2:D$38^A6262)</f>
        <v>0.8435931266</v>
      </c>
    </row>
    <row r="6263">
      <c r="A6263" s="6">
        <v>6261.0</v>
      </c>
      <c r="B6263" s="17">
        <f t="array" ref="B6263">SUM(1-'Sparkling Model'!D$2:D$38^A6263)</f>
        <v>36.83361628</v>
      </c>
      <c r="C6263" s="8">
        <f t="array" ref="C6263">PRODUCT(1-'Sparkling Model'!D$2:D$38^A6263)</f>
        <v>0.8436702721</v>
      </c>
    </row>
    <row r="6264">
      <c r="A6264" s="6">
        <v>6262.0</v>
      </c>
      <c r="B6264" s="17">
        <f t="array" ref="B6264">SUM(1-'Sparkling Model'!D$2:D$38^A6264)</f>
        <v>36.83370404</v>
      </c>
      <c r="C6264" s="8">
        <f t="array" ref="C6264">PRODUCT(1-'Sparkling Model'!D$2:D$38^A6264)</f>
        <v>0.8437473803</v>
      </c>
    </row>
    <row r="6265">
      <c r="A6265" s="6">
        <v>6263.0</v>
      </c>
      <c r="B6265" s="17">
        <f t="array" ref="B6265">SUM(1-'Sparkling Model'!D$2:D$38^A6265)</f>
        <v>36.83379174</v>
      </c>
      <c r="C6265" s="8">
        <f t="array" ref="C6265">PRODUCT(1-'Sparkling Model'!D$2:D$38^A6265)</f>
        <v>0.8438244511</v>
      </c>
    </row>
    <row r="6266">
      <c r="A6266" s="6">
        <v>6264.0</v>
      </c>
      <c r="B6266" s="17">
        <f t="array" ref="B6266">SUM(1-'Sparkling Model'!D$2:D$38^A6266)</f>
        <v>36.8338794</v>
      </c>
      <c r="C6266" s="8">
        <f t="array" ref="C6266">PRODUCT(1-'Sparkling Model'!D$2:D$38^A6266)</f>
        <v>0.8439014846</v>
      </c>
    </row>
    <row r="6267">
      <c r="A6267" s="6">
        <v>6265.0</v>
      </c>
      <c r="B6267" s="17">
        <f t="array" ref="B6267">SUM(1-'Sparkling Model'!D$2:D$38^A6267)</f>
        <v>36.833967</v>
      </c>
      <c r="C6267" s="8">
        <f t="array" ref="C6267">PRODUCT(1-'Sparkling Model'!D$2:D$38^A6267)</f>
        <v>0.8439784808</v>
      </c>
    </row>
    <row r="6268">
      <c r="A6268" s="6">
        <v>6266.0</v>
      </c>
      <c r="B6268" s="17">
        <f t="array" ref="B6268">SUM(1-'Sparkling Model'!D$2:D$38^A6268)</f>
        <v>36.83405456</v>
      </c>
      <c r="C6268" s="8">
        <f t="array" ref="C6268">PRODUCT(1-'Sparkling Model'!D$2:D$38^A6268)</f>
        <v>0.8440554396</v>
      </c>
    </row>
    <row r="6269">
      <c r="A6269" s="6">
        <v>6267.0</v>
      </c>
      <c r="B6269" s="17">
        <f t="array" ref="B6269">SUM(1-'Sparkling Model'!D$2:D$38^A6269)</f>
        <v>36.83414207</v>
      </c>
      <c r="C6269" s="8">
        <f t="array" ref="C6269">PRODUCT(1-'Sparkling Model'!D$2:D$38^A6269)</f>
        <v>0.8441323612</v>
      </c>
    </row>
    <row r="6270">
      <c r="A6270" s="6">
        <v>6268.0</v>
      </c>
      <c r="B6270" s="17">
        <f t="array" ref="B6270">SUM(1-'Sparkling Model'!D$2:D$38^A6270)</f>
        <v>36.83422953</v>
      </c>
      <c r="C6270" s="8">
        <f t="array" ref="C6270">PRODUCT(1-'Sparkling Model'!D$2:D$38^A6270)</f>
        <v>0.8442092456</v>
      </c>
    </row>
    <row r="6271">
      <c r="A6271" s="6">
        <v>6269.0</v>
      </c>
      <c r="B6271" s="17">
        <f t="array" ref="B6271">SUM(1-'Sparkling Model'!D$2:D$38^A6271)</f>
        <v>36.83431694</v>
      </c>
      <c r="C6271" s="8">
        <f t="array" ref="C6271">PRODUCT(1-'Sparkling Model'!D$2:D$38^A6271)</f>
        <v>0.8442860926</v>
      </c>
    </row>
    <row r="6272">
      <c r="A6272" s="6">
        <v>6270.0</v>
      </c>
      <c r="B6272" s="17">
        <f t="array" ref="B6272">SUM(1-'Sparkling Model'!D$2:D$38^A6272)</f>
        <v>36.8344043</v>
      </c>
      <c r="C6272" s="8">
        <f t="array" ref="C6272">PRODUCT(1-'Sparkling Model'!D$2:D$38^A6272)</f>
        <v>0.8443629025</v>
      </c>
    </row>
    <row r="6273">
      <c r="A6273" s="6">
        <v>6271.0</v>
      </c>
      <c r="B6273" s="17">
        <f t="array" ref="B6273">SUM(1-'Sparkling Model'!D$2:D$38^A6273)</f>
        <v>36.83449162</v>
      </c>
      <c r="C6273" s="8">
        <f t="array" ref="C6273">PRODUCT(1-'Sparkling Model'!D$2:D$38^A6273)</f>
        <v>0.8444396751</v>
      </c>
    </row>
    <row r="6274">
      <c r="A6274" s="6">
        <v>6272.0</v>
      </c>
      <c r="B6274" s="17">
        <f t="array" ref="B6274">SUM(1-'Sparkling Model'!D$2:D$38^A6274)</f>
        <v>36.83457888</v>
      </c>
      <c r="C6274" s="8">
        <f t="array" ref="C6274">PRODUCT(1-'Sparkling Model'!D$2:D$38^A6274)</f>
        <v>0.8445164106</v>
      </c>
    </row>
    <row r="6275">
      <c r="A6275" s="6">
        <v>6273.0</v>
      </c>
      <c r="B6275" s="17">
        <f t="array" ref="B6275">SUM(1-'Sparkling Model'!D$2:D$38^A6275)</f>
        <v>36.8346661</v>
      </c>
      <c r="C6275" s="8">
        <f t="array" ref="C6275">PRODUCT(1-'Sparkling Model'!D$2:D$38^A6275)</f>
        <v>0.8445931088</v>
      </c>
    </row>
    <row r="6276">
      <c r="A6276" s="6">
        <v>6274.0</v>
      </c>
      <c r="B6276" s="17">
        <f t="array" ref="B6276">SUM(1-'Sparkling Model'!D$2:D$38^A6276)</f>
        <v>36.83475327</v>
      </c>
      <c r="C6276" s="8">
        <f t="array" ref="C6276">PRODUCT(1-'Sparkling Model'!D$2:D$38^A6276)</f>
        <v>0.8446697699</v>
      </c>
    </row>
    <row r="6277">
      <c r="A6277" s="6">
        <v>6275.0</v>
      </c>
      <c r="B6277" s="17">
        <f t="array" ref="B6277">SUM(1-'Sparkling Model'!D$2:D$38^A6277)</f>
        <v>36.83484039</v>
      </c>
      <c r="C6277" s="8">
        <f t="array" ref="C6277">PRODUCT(1-'Sparkling Model'!D$2:D$38^A6277)</f>
        <v>0.8447463938</v>
      </c>
    </row>
    <row r="6278">
      <c r="A6278" s="6">
        <v>6276.0</v>
      </c>
      <c r="B6278" s="17">
        <f t="array" ref="B6278">SUM(1-'Sparkling Model'!D$2:D$38^A6278)</f>
        <v>36.83492746</v>
      </c>
      <c r="C6278" s="8">
        <f t="array" ref="C6278">PRODUCT(1-'Sparkling Model'!D$2:D$38^A6278)</f>
        <v>0.8448229807</v>
      </c>
    </row>
    <row r="6279">
      <c r="A6279" s="6">
        <v>6277.0</v>
      </c>
      <c r="B6279" s="17">
        <f t="array" ref="B6279">SUM(1-'Sparkling Model'!D$2:D$38^A6279)</f>
        <v>36.83501448</v>
      </c>
      <c r="C6279" s="8">
        <f t="array" ref="C6279">PRODUCT(1-'Sparkling Model'!D$2:D$38^A6279)</f>
        <v>0.8448995304</v>
      </c>
    </row>
    <row r="6280">
      <c r="A6280" s="6">
        <v>6278.0</v>
      </c>
      <c r="B6280" s="17">
        <f t="array" ref="B6280">SUM(1-'Sparkling Model'!D$2:D$38^A6280)</f>
        <v>36.83510146</v>
      </c>
      <c r="C6280" s="8">
        <f t="array" ref="C6280">PRODUCT(1-'Sparkling Model'!D$2:D$38^A6280)</f>
        <v>0.844976043</v>
      </c>
    </row>
    <row r="6281">
      <c r="A6281" s="6">
        <v>6279.0</v>
      </c>
      <c r="B6281" s="17">
        <f t="array" ref="B6281">SUM(1-'Sparkling Model'!D$2:D$38^A6281)</f>
        <v>36.83518839</v>
      </c>
      <c r="C6281" s="8">
        <f t="array" ref="C6281">PRODUCT(1-'Sparkling Model'!D$2:D$38^A6281)</f>
        <v>0.8450525185</v>
      </c>
    </row>
    <row r="6282">
      <c r="A6282" s="6">
        <v>6280.0</v>
      </c>
      <c r="B6282" s="17">
        <f t="array" ref="B6282">SUM(1-'Sparkling Model'!D$2:D$38^A6282)</f>
        <v>36.83527526</v>
      </c>
      <c r="C6282" s="8">
        <f t="array" ref="C6282">PRODUCT(1-'Sparkling Model'!D$2:D$38^A6282)</f>
        <v>0.845128957</v>
      </c>
    </row>
    <row r="6283">
      <c r="A6283" s="6">
        <v>6281.0</v>
      </c>
      <c r="B6283" s="17">
        <f t="array" ref="B6283">SUM(1-'Sparkling Model'!D$2:D$38^A6283)</f>
        <v>36.83536209</v>
      </c>
      <c r="C6283" s="8">
        <f t="array" ref="C6283">PRODUCT(1-'Sparkling Model'!D$2:D$38^A6283)</f>
        <v>0.8452053584</v>
      </c>
    </row>
    <row r="6284">
      <c r="A6284" s="6">
        <v>6282.0</v>
      </c>
      <c r="B6284" s="17">
        <f t="array" ref="B6284">SUM(1-'Sparkling Model'!D$2:D$38^A6284)</f>
        <v>36.83544887</v>
      </c>
      <c r="C6284" s="8">
        <f t="array" ref="C6284">PRODUCT(1-'Sparkling Model'!D$2:D$38^A6284)</f>
        <v>0.8452817228</v>
      </c>
    </row>
    <row r="6285">
      <c r="A6285" s="6">
        <v>6283.0</v>
      </c>
      <c r="B6285" s="17">
        <f t="array" ref="B6285">SUM(1-'Sparkling Model'!D$2:D$38^A6285)</f>
        <v>36.83553561</v>
      </c>
      <c r="C6285" s="8">
        <f t="array" ref="C6285">PRODUCT(1-'Sparkling Model'!D$2:D$38^A6285)</f>
        <v>0.8453580502</v>
      </c>
    </row>
    <row r="6286">
      <c r="A6286" s="6">
        <v>6284.0</v>
      </c>
      <c r="B6286" s="17">
        <f t="array" ref="B6286">SUM(1-'Sparkling Model'!D$2:D$38^A6286)</f>
        <v>36.83562229</v>
      </c>
      <c r="C6286" s="8">
        <f t="array" ref="C6286">PRODUCT(1-'Sparkling Model'!D$2:D$38^A6286)</f>
        <v>0.8454343406</v>
      </c>
    </row>
    <row r="6287">
      <c r="A6287" s="6">
        <v>6285.0</v>
      </c>
      <c r="B6287" s="17">
        <f t="array" ref="B6287">SUM(1-'Sparkling Model'!D$2:D$38^A6287)</f>
        <v>36.83570893</v>
      </c>
      <c r="C6287" s="8">
        <f t="array" ref="C6287">PRODUCT(1-'Sparkling Model'!D$2:D$38^A6287)</f>
        <v>0.8455105941</v>
      </c>
    </row>
    <row r="6288">
      <c r="A6288" s="6">
        <v>6286.0</v>
      </c>
      <c r="B6288" s="17">
        <f t="array" ref="B6288">SUM(1-'Sparkling Model'!D$2:D$38^A6288)</f>
        <v>36.83579551</v>
      </c>
      <c r="C6288" s="8">
        <f t="array" ref="C6288">PRODUCT(1-'Sparkling Model'!D$2:D$38^A6288)</f>
        <v>0.8455868105</v>
      </c>
    </row>
    <row r="6289">
      <c r="A6289" s="6">
        <v>6287.0</v>
      </c>
      <c r="B6289" s="17">
        <f t="array" ref="B6289">SUM(1-'Sparkling Model'!D$2:D$38^A6289)</f>
        <v>36.83588205</v>
      </c>
      <c r="C6289" s="8">
        <f t="array" ref="C6289">PRODUCT(1-'Sparkling Model'!D$2:D$38^A6289)</f>
        <v>0.8456629901</v>
      </c>
    </row>
    <row r="6290">
      <c r="A6290" s="6">
        <v>6288.0</v>
      </c>
      <c r="B6290" s="17">
        <f t="array" ref="B6290">SUM(1-'Sparkling Model'!D$2:D$38^A6290)</f>
        <v>36.83596855</v>
      </c>
      <c r="C6290" s="8">
        <f t="array" ref="C6290">PRODUCT(1-'Sparkling Model'!D$2:D$38^A6290)</f>
        <v>0.8457391327</v>
      </c>
    </row>
    <row r="6291">
      <c r="A6291" s="6">
        <v>6289.0</v>
      </c>
      <c r="B6291" s="17">
        <f t="array" ref="B6291">SUM(1-'Sparkling Model'!D$2:D$38^A6291)</f>
        <v>36.83605499</v>
      </c>
      <c r="C6291" s="8">
        <f t="array" ref="C6291">PRODUCT(1-'Sparkling Model'!D$2:D$38^A6291)</f>
        <v>0.8458152384</v>
      </c>
    </row>
    <row r="6292">
      <c r="A6292" s="6">
        <v>6290.0</v>
      </c>
      <c r="B6292" s="17">
        <f t="array" ref="B6292">SUM(1-'Sparkling Model'!D$2:D$38^A6292)</f>
        <v>36.83614139</v>
      </c>
      <c r="C6292" s="8">
        <f t="array" ref="C6292">PRODUCT(1-'Sparkling Model'!D$2:D$38^A6292)</f>
        <v>0.8458913072</v>
      </c>
    </row>
    <row r="6293">
      <c r="A6293" s="6">
        <v>6291.0</v>
      </c>
      <c r="B6293" s="17">
        <f t="array" ref="B6293">SUM(1-'Sparkling Model'!D$2:D$38^A6293)</f>
        <v>36.83622773</v>
      </c>
      <c r="C6293" s="8">
        <f t="array" ref="C6293">PRODUCT(1-'Sparkling Model'!D$2:D$38^A6293)</f>
        <v>0.8459673391</v>
      </c>
    </row>
    <row r="6294">
      <c r="A6294" s="6">
        <v>6292.0</v>
      </c>
      <c r="B6294" s="17">
        <f t="array" ref="B6294">SUM(1-'Sparkling Model'!D$2:D$38^A6294)</f>
        <v>36.83631403</v>
      </c>
      <c r="C6294" s="8">
        <f t="array" ref="C6294">PRODUCT(1-'Sparkling Model'!D$2:D$38^A6294)</f>
        <v>0.8460433342</v>
      </c>
    </row>
    <row r="6295">
      <c r="A6295" s="6">
        <v>6293.0</v>
      </c>
      <c r="B6295" s="17">
        <f t="array" ref="B6295">SUM(1-'Sparkling Model'!D$2:D$38^A6295)</f>
        <v>36.83640028</v>
      </c>
      <c r="C6295" s="8">
        <f t="array" ref="C6295">PRODUCT(1-'Sparkling Model'!D$2:D$38^A6295)</f>
        <v>0.8461192924</v>
      </c>
    </row>
    <row r="6296">
      <c r="A6296" s="6">
        <v>6294.0</v>
      </c>
      <c r="B6296" s="17">
        <f t="array" ref="B6296">SUM(1-'Sparkling Model'!D$2:D$38^A6296)</f>
        <v>36.83648649</v>
      </c>
      <c r="C6296" s="8">
        <f t="array" ref="C6296">PRODUCT(1-'Sparkling Model'!D$2:D$38^A6296)</f>
        <v>0.8461952138</v>
      </c>
    </row>
    <row r="6297">
      <c r="A6297" s="6">
        <v>6295.0</v>
      </c>
      <c r="B6297" s="17">
        <f t="array" ref="B6297">SUM(1-'Sparkling Model'!D$2:D$38^A6297)</f>
        <v>36.83657264</v>
      </c>
      <c r="C6297" s="8">
        <f t="array" ref="C6297">PRODUCT(1-'Sparkling Model'!D$2:D$38^A6297)</f>
        <v>0.8462710984</v>
      </c>
    </row>
    <row r="6298">
      <c r="A6298" s="6">
        <v>6296.0</v>
      </c>
      <c r="B6298" s="17">
        <f t="array" ref="B6298">SUM(1-'Sparkling Model'!D$2:D$38^A6298)</f>
        <v>36.83665875</v>
      </c>
      <c r="C6298" s="8">
        <f t="array" ref="C6298">PRODUCT(1-'Sparkling Model'!D$2:D$38^A6298)</f>
        <v>0.8463469463</v>
      </c>
    </row>
    <row r="6299">
      <c r="A6299" s="6">
        <v>6297.0</v>
      </c>
      <c r="B6299" s="17">
        <f t="array" ref="B6299">SUM(1-'Sparkling Model'!D$2:D$38^A6299)</f>
        <v>36.83674481</v>
      </c>
      <c r="C6299" s="8">
        <f t="array" ref="C6299">PRODUCT(1-'Sparkling Model'!D$2:D$38^A6299)</f>
        <v>0.8464227573</v>
      </c>
    </row>
    <row r="6300">
      <c r="A6300" s="6">
        <v>6298.0</v>
      </c>
      <c r="B6300" s="17">
        <f t="array" ref="B6300">SUM(1-'Sparkling Model'!D$2:D$38^A6300)</f>
        <v>36.83683082</v>
      </c>
      <c r="C6300" s="8">
        <f t="array" ref="C6300">PRODUCT(1-'Sparkling Model'!D$2:D$38^A6300)</f>
        <v>0.8464985316</v>
      </c>
    </row>
    <row r="6301">
      <c r="A6301" s="6">
        <v>6299.0</v>
      </c>
      <c r="B6301" s="17">
        <f t="array" ref="B6301">SUM(1-'Sparkling Model'!D$2:D$38^A6301)</f>
        <v>36.83691678</v>
      </c>
      <c r="C6301" s="8">
        <f t="array" ref="C6301">PRODUCT(1-'Sparkling Model'!D$2:D$38^A6301)</f>
        <v>0.8465742692</v>
      </c>
    </row>
    <row r="6302">
      <c r="A6302" s="6">
        <v>6300.0</v>
      </c>
      <c r="B6302" s="17">
        <f t="array" ref="B6302">SUM(1-'Sparkling Model'!D$2:D$38^A6302)</f>
        <v>36.8370027</v>
      </c>
      <c r="C6302" s="8">
        <f t="array" ref="C6302">PRODUCT(1-'Sparkling Model'!D$2:D$38^A6302)</f>
        <v>0.84664997</v>
      </c>
    </row>
    <row r="6303">
      <c r="A6303" s="6">
        <v>6301.0</v>
      </c>
      <c r="B6303" s="17">
        <f t="array" ref="B6303">SUM(1-'Sparkling Model'!D$2:D$38^A6303)</f>
        <v>36.83708857</v>
      </c>
      <c r="C6303" s="8">
        <f t="array" ref="C6303">PRODUCT(1-'Sparkling Model'!D$2:D$38^A6303)</f>
        <v>0.8467256341</v>
      </c>
    </row>
    <row r="6304">
      <c r="A6304" s="6">
        <v>6302.0</v>
      </c>
      <c r="B6304" s="17">
        <f t="array" ref="B6304">SUM(1-'Sparkling Model'!D$2:D$38^A6304)</f>
        <v>36.83717439</v>
      </c>
      <c r="C6304" s="8">
        <f t="array" ref="C6304">PRODUCT(1-'Sparkling Model'!D$2:D$38^A6304)</f>
        <v>0.8468012616</v>
      </c>
    </row>
    <row r="6305">
      <c r="A6305" s="6">
        <v>6303.0</v>
      </c>
      <c r="B6305" s="17">
        <f t="array" ref="B6305">SUM(1-'Sparkling Model'!D$2:D$38^A6305)</f>
        <v>36.83726016</v>
      </c>
      <c r="C6305" s="8">
        <f t="array" ref="C6305">PRODUCT(1-'Sparkling Model'!D$2:D$38^A6305)</f>
        <v>0.8468768524</v>
      </c>
    </row>
    <row r="6306">
      <c r="A6306" s="6">
        <v>6304.0</v>
      </c>
      <c r="B6306" s="17">
        <f t="array" ref="B6306">SUM(1-'Sparkling Model'!D$2:D$38^A6306)</f>
        <v>36.83734589</v>
      </c>
      <c r="C6306" s="8">
        <f t="array" ref="C6306">PRODUCT(1-'Sparkling Model'!D$2:D$38^A6306)</f>
        <v>0.8469524065</v>
      </c>
    </row>
    <row r="6307">
      <c r="A6307" s="6">
        <v>6305.0</v>
      </c>
      <c r="B6307" s="17">
        <f t="array" ref="B6307">SUM(1-'Sparkling Model'!D$2:D$38^A6307)</f>
        <v>36.83743157</v>
      </c>
      <c r="C6307" s="8">
        <f t="array" ref="C6307">PRODUCT(1-'Sparkling Model'!D$2:D$38^A6307)</f>
        <v>0.847027924</v>
      </c>
    </row>
    <row r="6308">
      <c r="A6308" s="6">
        <v>6306.0</v>
      </c>
      <c r="B6308" s="17">
        <f t="array" ref="B6308">SUM(1-'Sparkling Model'!D$2:D$38^A6308)</f>
        <v>36.8375172</v>
      </c>
      <c r="C6308" s="8">
        <f t="array" ref="C6308">PRODUCT(1-'Sparkling Model'!D$2:D$38^A6308)</f>
        <v>0.8471034048</v>
      </c>
    </row>
    <row r="6309">
      <c r="A6309" s="6">
        <v>6307.0</v>
      </c>
      <c r="B6309" s="17">
        <f t="array" ref="B6309">SUM(1-'Sparkling Model'!D$2:D$38^A6309)</f>
        <v>36.83760278</v>
      </c>
      <c r="C6309" s="8">
        <f t="array" ref="C6309">PRODUCT(1-'Sparkling Model'!D$2:D$38^A6309)</f>
        <v>0.8471788491</v>
      </c>
    </row>
    <row r="6310">
      <c r="A6310" s="6">
        <v>6308.0</v>
      </c>
      <c r="B6310" s="17">
        <f t="array" ref="B6310">SUM(1-'Sparkling Model'!D$2:D$38^A6310)</f>
        <v>36.83768831</v>
      </c>
      <c r="C6310" s="8">
        <f t="array" ref="C6310">PRODUCT(1-'Sparkling Model'!D$2:D$38^A6310)</f>
        <v>0.8472542568</v>
      </c>
    </row>
    <row r="6311">
      <c r="A6311" s="6">
        <v>6309.0</v>
      </c>
      <c r="B6311" s="17">
        <f t="array" ref="B6311">SUM(1-'Sparkling Model'!D$2:D$38^A6311)</f>
        <v>36.8377738</v>
      </c>
      <c r="C6311" s="8">
        <f t="array" ref="C6311">PRODUCT(1-'Sparkling Model'!D$2:D$38^A6311)</f>
        <v>0.8473296279</v>
      </c>
    </row>
    <row r="6312">
      <c r="A6312" s="6">
        <v>6310.0</v>
      </c>
      <c r="B6312" s="17">
        <f t="array" ref="B6312">SUM(1-'Sparkling Model'!D$2:D$38^A6312)</f>
        <v>36.83785924</v>
      </c>
      <c r="C6312" s="8">
        <f t="array" ref="C6312">PRODUCT(1-'Sparkling Model'!D$2:D$38^A6312)</f>
        <v>0.8474049624</v>
      </c>
    </row>
    <row r="6313">
      <c r="A6313" s="6">
        <v>6311.0</v>
      </c>
      <c r="B6313" s="17">
        <f t="array" ref="B6313">SUM(1-'Sparkling Model'!D$2:D$38^A6313)</f>
        <v>36.83794463</v>
      </c>
      <c r="C6313" s="8">
        <f t="array" ref="C6313">PRODUCT(1-'Sparkling Model'!D$2:D$38^A6313)</f>
        <v>0.8474802605</v>
      </c>
    </row>
    <row r="6314">
      <c r="A6314" s="6">
        <v>6312.0</v>
      </c>
      <c r="B6314" s="17">
        <f t="array" ref="B6314">SUM(1-'Sparkling Model'!D$2:D$38^A6314)</f>
        <v>36.83802998</v>
      </c>
      <c r="C6314" s="8">
        <f t="array" ref="C6314">PRODUCT(1-'Sparkling Model'!D$2:D$38^A6314)</f>
        <v>0.847555522</v>
      </c>
    </row>
    <row r="6315">
      <c r="A6315" s="6">
        <v>6313.0</v>
      </c>
      <c r="B6315" s="17">
        <f t="array" ref="B6315">SUM(1-'Sparkling Model'!D$2:D$38^A6315)</f>
        <v>36.83811527</v>
      </c>
      <c r="C6315" s="8">
        <f t="array" ref="C6315">PRODUCT(1-'Sparkling Model'!D$2:D$38^A6315)</f>
        <v>0.847630747</v>
      </c>
    </row>
    <row r="6316">
      <c r="A6316" s="6">
        <v>6314.0</v>
      </c>
      <c r="B6316" s="17">
        <f t="array" ref="B6316">SUM(1-'Sparkling Model'!D$2:D$38^A6316)</f>
        <v>36.83820052</v>
      </c>
      <c r="C6316" s="8">
        <f t="array" ref="C6316">PRODUCT(1-'Sparkling Model'!D$2:D$38^A6316)</f>
        <v>0.8477059355</v>
      </c>
    </row>
    <row r="6317">
      <c r="A6317" s="6">
        <v>6315.0</v>
      </c>
      <c r="B6317" s="17">
        <f t="array" ref="B6317">SUM(1-'Sparkling Model'!D$2:D$38^A6317)</f>
        <v>36.83828573</v>
      </c>
      <c r="C6317" s="8">
        <f t="array" ref="C6317">PRODUCT(1-'Sparkling Model'!D$2:D$38^A6317)</f>
        <v>0.8477810875</v>
      </c>
    </row>
    <row r="6318">
      <c r="A6318" s="6">
        <v>6316.0</v>
      </c>
      <c r="B6318" s="17">
        <f t="array" ref="B6318">SUM(1-'Sparkling Model'!D$2:D$38^A6318)</f>
        <v>36.83837088</v>
      </c>
      <c r="C6318" s="8">
        <f t="array" ref="C6318">PRODUCT(1-'Sparkling Model'!D$2:D$38^A6318)</f>
        <v>0.8478562031</v>
      </c>
    </row>
    <row r="6319">
      <c r="A6319" s="6">
        <v>6317.0</v>
      </c>
      <c r="B6319" s="17">
        <f t="array" ref="B6319">SUM(1-'Sparkling Model'!D$2:D$38^A6319)</f>
        <v>36.83845599</v>
      </c>
      <c r="C6319" s="8">
        <f t="array" ref="C6319">PRODUCT(1-'Sparkling Model'!D$2:D$38^A6319)</f>
        <v>0.8479312823</v>
      </c>
    </row>
    <row r="6320">
      <c r="A6320" s="6">
        <v>6318.0</v>
      </c>
      <c r="B6320" s="17">
        <f t="array" ref="B6320">SUM(1-'Sparkling Model'!D$2:D$38^A6320)</f>
        <v>36.83854105</v>
      </c>
      <c r="C6320" s="8">
        <f t="array" ref="C6320">PRODUCT(1-'Sparkling Model'!D$2:D$38^A6320)</f>
        <v>0.848006325</v>
      </c>
    </row>
    <row r="6321">
      <c r="A6321" s="6">
        <v>6319.0</v>
      </c>
      <c r="B6321" s="17">
        <f t="array" ref="B6321">SUM(1-'Sparkling Model'!D$2:D$38^A6321)</f>
        <v>36.83862606</v>
      </c>
      <c r="C6321" s="8">
        <f t="array" ref="C6321">PRODUCT(1-'Sparkling Model'!D$2:D$38^A6321)</f>
        <v>0.8480813314</v>
      </c>
    </row>
    <row r="6322">
      <c r="A6322" s="6">
        <v>6320.0</v>
      </c>
      <c r="B6322" s="17">
        <f t="array" ref="B6322">SUM(1-'Sparkling Model'!D$2:D$38^A6322)</f>
        <v>36.83871103</v>
      </c>
      <c r="C6322" s="8">
        <f t="array" ref="C6322">PRODUCT(1-'Sparkling Model'!D$2:D$38^A6322)</f>
        <v>0.8481563013</v>
      </c>
    </row>
    <row r="6323">
      <c r="A6323" s="6">
        <v>6321.0</v>
      </c>
      <c r="B6323" s="17">
        <f t="array" ref="B6323">SUM(1-'Sparkling Model'!D$2:D$38^A6323)</f>
        <v>36.83879595</v>
      </c>
      <c r="C6323" s="8">
        <f t="array" ref="C6323">PRODUCT(1-'Sparkling Model'!D$2:D$38^A6323)</f>
        <v>0.8482312349</v>
      </c>
    </row>
    <row r="6324">
      <c r="A6324" s="6">
        <v>6322.0</v>
      </c>
      <c r="B6324" s="17">
        <f t="array" ref="B6324">SUM(1-'Sparkling Model'!D$2:D$38^A6324)</f>
        <v>36.83888082</v>
      </c>
      <c r="C6324" s="8">
        <f t="array" ref="C6324">PRODUCT(1-'Sparkling Model'!D$2:D$38^A6324)</f>
        <v>0.8483061322</v>
      </c>
    </row>
    <row r="6325">
      <c r="A6325" s="6">
        <v>6323.0</v>
      </c>
      <c r="B6325" s="17">
        <f t="array" ref="B6325">SUM(1-'Sparkling Model'!D$2:D$38^A6325)</f>
        <v>36.83896564</v>
      </c>
      <c r="C6325" s="8">
        <f t="array" ref="C6325">PRODUCT(1-'Sparkling Model'!D$2:D$38^A6325)</f>
        <v>0.8483809931</v>
      </c>
    </row>
    <row r="6326">
      <c r="A6326" s="6">
        <v>6324.0</v>
      </c>
      <c r="B6326" s="17">
        <f t="array" ref="B6326">SUM(1-'Sparkling Model'!D$2:D$38^A6326)</f>
        <v>36.83905042</v>
      </c>
      <c r="C6326" s="8">
        <f t="array" ref="C6326">PRODUCT(1-'Sparkling Model'!D$2:D$38^A6326)</f>
        <v>0.8484558177</v>
      </c>
    </row>
    <row r="6327">
      <c r="A6327" s="6">
        <v>6325.0</v>
      </c>
      <c r="B6327" s="17">
        <f t="array" ref="B6327">SUM(1-'Sparkling Model'!D$2:D$38^A6327)</f>
        <v>36.83913515</v>
      </c>
      <c r="C6327" s="8">
        <f t="array" ref="C6327">PRODUCT(1-'Sparkling Model'!D$2:D$38^A6327)</f>
        <v>0.848530606</v>
      </c>
    </row>
    <row r="6328">
      <c r="A6328" s="6">
        <v>6326.0</v>
      </c>
      <c r="B6328" s="17">
        <f t="array" ref="B6328">SUM(1-'Sparkling Model'!D$2:D$38^A6328)</f>
        <v>36.83921984</v>
      </c>
      <c r="C6328" s="8">
        <f t="array" ref="C6328">PRODUCT(1-'Sparkling Model'!D$2:D$38^A6328)</f>
        <v>0.848605358</v>
      </c>
    </row>
    <row r="6329">
      <c r="A6329" s="6">
        <v>6327.0</v>
      </c>
      <c r="B6329" s="17">
        <f t="array" ref="B6329">SUM(1-'Sparkling Model'!D$2:D$38^A6329)</f>
        <v>36.83930447</v>
      </c>
      <c r="C6329" s="8">
        <f t="array" ref="C6329">PRODUCT(1-'Sparkling Model'!D$2:D$38^A6329)</f>
        <v>0.8486800737</v>
      </c>
    </row>
    <row r="6330">
      <c r="A6330" s="6">
        <v>6328.0</v>
      </c>
      <c r="B6330" s="17">
        <f t="array" ref="B6330">SUM(1-'Sparkling Model'!D$2:D$38^A6330)</f>
        <v>36.83938906</v>
      </c>
      <c r="C6330" s="8">
        <f t="array" ref="C6330">PRODUCT(1-'Sparkling Model'!D$2:D$38^A6330)</f>
        <v>0.8487547532</v>
      </c>
    </row>
    <row r="6331">
      <c r="A6331" s="6">
        <v>6329.0</v>
      </c>
      <c r="B6331" s="17">
        <f t="array" ref="B6331">SUM(1-'Sparkling Model'!D$2:D$38^A6331)</f>
        <v>36.83947361</v>
      </c>
      <c r="C6331" s="8">
        <f t="array" ref="C6331">PRODUCT(1-'Sparkling Model'!D$2:D$38^A6331)</f>
        <v>0.8488293965</v>
      </c>
    </row>
    <row r="6332">
      <c r="A6332" s="6">
        <v>6330.0</v>
      </c>
      <c r="B6332" s="17">
        <f t="array" ref="B6332">SUM(1-'Sparkling Model'!D$2:D$38^A6332)</f>
        <v>36.8395581</v>
      </c>
      <c r="C6332" s="8">
        <f t="array" ref="C6332">PRODUCT(1-'Sparkling Model'!D$2:D$38^A6332)</f>
        <v>0.8489040035</v>
      </c>
    </row>
    <row r="6333">
      <c r="A6333" s="6">
        <v>6331.0</v>
      </c>
      <c r="B6333" s="17">
        <f t="array" ref="B6333">SUM(1-'Sparkling Model'!D$2:D$38^A6333)</f>
        <v>36.83964255</v>
      </c>
      <c r="C6333" s="8">
        <f t="array" ref="C6333">PRODUCT(1-'Sparkling Model'!D$2:D$38^A6333)</f>
        <v>0.8489785744</v>
      </c>
    </row>
    <row r="6334">
      <c r="A6334" s="6">
        <v>6332.0</v>
      </c>
      <c r="B6334" s="17">
        <f t="array" ref="B6334">SUM(1-'Sparkling Model'!D$2:D$38^A6334)</f>
        <v>36.83972695</v>
      </c>
      <c r="C6334" s="8">
        <f t="array" ref="C6334">PRODUCT(1-'Sparkling Model'!D$2:D$38^A6334)</f>
        <v>0.849053109</v>
      </c>
    </row>
    <row r="6335">
      <c r="A6335" s="6">
        <v>6333.0</v>
      </c>
      <c r="B6335" s="17">
        <f t="array" ref="B6335">SUM(1-'Sparkling Model'!D$2:D$38^A6335)</f>
        <v>36.83981131</v>
      </c>
      <c r="C6335" s="8">
        <f t="array" ref="C6335">PRODUCT(1-'Sparkling Model'!D$2:D$38^A6335)</f>
        <v>0.8491276075</v>
      </c>
    </row>
    <row r="6336">
      <c r="A6336" s="6">
        <v>6334.0</v>
      </c>
      <c r="B6336" s="17">
        <f t="array" ref="B6336">SUM(1-'Sparkling Model'!D$2:D$38^A6336)</f>
        <v>36.83989561</v>
      </c>
      <c r="C6336" s="8">
        <f t="array" ref="C6336">PRODUCT(1-'Sparkling Model'!D$2:D$38^A6336)</f>
        <v>0.8492020698</v>
      </c>
    </row>
    <row r="6337">
      <c r="A6337" s="6">
        <v>6335.0</v>
      </c>
      <c r="B6337" s="17">
        <f t="array" ref="B6337">SUM(1-'Sparkling Model'!D$2:D$38^A6337)</f>
        <v>36.83997988</v>
      </c>
      <c r="C6337" s="8">
        <f t="array" ref="C6337">PRODUCT(1-'Sparkling Model'!D$2:D$38^A6337)</f>
        <v>0.8492764961</v>
      </c>
    </row>
    <row r="6338">
      <c r="A6338" s="6">
        <v>6336.0</v>
      </c>
      <c r="B6338" s="17">
        <f t="array" ref="B6338">SUM(1-'Sparkling Model'!D$2:D$38^A6338)</f>
        <v>36.84006409</v>
      </c>
      <c r="C6338" s="8">
        <f t="array" ref="C6338">PRODUCT(1-'Sparkling Model'!D$2:D$38^A6338)</f>
        <v>0.8493508862</v>
      </c>
    </row>
    <row r="6339">
      <c r="A6339" s="6">
        <v>6337.0</v>
      </c>
      <c r="B6339" s="17">
        <f t="array" ref="B6339">SUM(1-'Sparkling Model'!D$2:D$38^A6339)</f>
        <v>36.84014826</v>
      </c>
      <c r="C6339" s="8">
        <f t="array" ref="C6339">PRODUCT(1-'Sparkling Model'!D$2:D$38^A6339)</f>
        <v>0.8494252401</v>
      </c>
    </row>
    <row r="6340">
      <c r="A6340" s="6">
        <v>6338.0</v>
      </c>
      <c r="B6340" s="17">
        <f t="array" ref="B6340">SUM(1-'Sparkling Model'!D$2:D$38^A6340)</f>
        <v>36.84023238</v>
      </c>
      <c r="C6340" s="8">
        <f t="array" ref="C6340">PRODUCT(1-'Sparkling Model'!D$2:D$38^A6340)</f>
        <v>0.8494995581</v>
      </c>
    </row>
    <row r="6341">
      <c r="A6341" s="6">
        <v>6339.0</v>
      </c>
      <c r="B6341" s="17">
        <f t="array" ref="B6341">SUM(1-'Sparkling Model'!D$2:D$38^A6341)</f>
        <v>36.84031645</v>
      </c>
      <c r="C6341" s="8">
        <f t="array" ref="C6341">PRODUCT(1-'Sparkling Model'!D$2:D$38^A6341)</f>
        <v>0.8495738399</v>
      </c>
    </row>
    <row r="6342">
      <c r="A6342" s="6">
        <v>6340.0</v>
      </c>
      <c r="B6342" s="17">
        <f t="array" ref="B6342">SUM(1-'Sparkling Model'!D$2:D$38^A6342)</f>
        <v>36.84040048</v>
      </c>
      <c r="C6342" s="8">
        <f t="array" ref="C6342">PRODUCT(1-'Sparkling Model'!D$2:D$38^A6342)</f>
        <v>0.8496480857</v>
      </c>
    </row>
    <row r="6343">
      <c r="A6343" s="6">
        <v>6341.0</v>
      </c>
      <c r="B6343" s="17">
        <f t="array" ref="B6343">SUM(1-'Sparkling Model'!D$2:D$38^A6343)</f>
        <v>36.84048446</v>
      </c>
      <c r="C6343" s="8">
        <f t="array" ref="C6343">PRODUCT(1-'Sparkling Model'!D$2:D$38^A6343)</f>
        <v>0.8497222955</v>
      </c>
    </row>
    <row r="6344">
      <c r="A6344" s="6">
        <v>6342.0</v>
      </c>
      <c r="B6344" s="17">
        <f t="array" ref="B6344">SUM(1-'Sparkling Model'!D$2:D$38^A6344)</f>
        <v>36.8405684</v>
      </c>
      <c r="C6344" s="8">
        <f t="array" ref="C6344">PRODUCT(1-'Sparkling Model'!D$2:D$38^A6344)</f>
        <v>0.8497964692</v>
      </c>
    </row>
    <row r="6345">
      <c r="A6345" s="6">
        <v>6343.0</v>
      </c>
      <c r="B6345" s="17">
        <f t="array" ref="B6345">SUM(1-'Sparkling Model'!D$2:D$38^A6345)</f>
        <v>36.84065229</v>
      </c>
      <c r="C6345" s="8">
        <f t="array" ref="C6345">PRODUCT(1-'Sparkling Model'!D$2:D$38^A6345)</f>
        <v>0.849870607</v>
      </c>
    </row>
    <row r="6346">
      <c r="A6346" s="6">
        <v>6344.0</v>
      </c>
      <c r="B6346" s="17">
        <f t="array" ref="B6346">SUM(1-'Sparkling Model'!D$2:D$38^A6346)</f>
        <v>36.84073613</v>
      </c>
      <c r="C6346" s="8">
        <f t="array" ref="C6346">PRODUCT(1-'Sparkling Model'!D$2:D$38^A6346)</f>
        <v>0.8499447087</v>
      </c>
    </row>
    <row r="6347">
      <c r="A6347" s="6">
        <v>6345.0</v>
      </c>
      <c r="B6347" s="17">
        <f t="array" ref="B6347">SUM(1-'Sparkling Model'!D$2:D$38^A6347)</f>
        <v>36.84081992</v>
      </c>
      <c r="C6347" s="8">
        <f t="array" ref="C6347">PRODUCT(1-'Sparkling Model'!D$2:D$38^A6347)</f>
        <v>0.8500187745</v>
      </c>
    </row>
    <row r="6348">
      <c r="A6348" s="6">
        <v>6346.0</v>
      </c>
      <c r="B6348" s="17">
        <f t="array" ref="B6348">SUM(1-'Sparkling Model'!D$2:D$38^A6348)</f>
        <v>36.84090367</v>
      </c>
      <c r="C6348" s="8">
        <f t="array" ref="C6348">PRODUCT(1-'Sparkling Model'!D$2:D$38^A6348)</f>
        <v>0.8500928044</v>
      </c>
    </row>
    <row r="6349">
      <c r="A6349" s="6">
        <v>6347.0</v>
      </c>
      <c r="B6349" s="17">
        <f t="array" ref="B6349">SUM(1-'Sparkling Model'!D$2:D$38^A6349)</f>
        <v>36.84098737</v>
      </c>
      <c r="C6349" s="8">
        <f t="array" ref="C6349">PRODUCT(1-'Sparkling Model'!D$2:D$38^A6349)</f>
        <v>0.8501667983</v>
      </c>
    </row>
    <row r="6350">
      <c r="A6350" s="6">
        <v>6348.0</v>
      </c>
      <c r="B6350" s="17">
        <f t="array" ref="B6350">SUM(1-'Sparkling Model'!D$2:D$38^A6350)</f>
        <v>36.84107103</v>
      </c>
      <c r="C6350" s="8">
        <f t="array" ref="C6350">PRODUCT(1-'Sparkling Model'!D$2:D$38^A6350)</f>
        <v>0.8502407563</v>
      </c>
    </row>
    <row r="6351">
      <c r="A6351" s="6">
        <v>6349.0</v>
      </c>
      <c r="B6351" s="17">
        <f t="array" ref="B6351">SUM(1-'Sparkling Model'!D$2:D$38^A6351)</f>
        <v>36.84115464</v>
      </c>
      <c r="C6351" s="8">
        <f t="array" ref="C6351">PRODUCT(1-'Sparkling Model'!D$2:D$38^A6351)</f>
        <v>0.8503146784</v>
      </c>
    </row>
    <row r="6352">
      <c r="A6352" s="6">
        <v>6350.0</v>
      </c>
      <c r="B6352" s="17">
        <f t="array" ref="B6352">SUM(1-'Sparkling Model'!D$2:D$38^A6352)</f>
        <v>36.8412382</v>
      </c>
      <c r="C6352" s="8">
        <f t="array" ref="C6352">PRODUCT(1-'Sparkling Model'!D$2:D$38^A6352)</f>
        <v>0.8503885646</v>
      </c>
    </row>
    <row r="6353">
      <c r="A6353" s="6">
        <v>6351.0</v>
      </c>
      <c r="B6353" s="17">
        <f t="array" ref="B6353">SUM(1-'Sparkling Model'!D$2:D$38^A6353)</f>
        <v>36.84132172</v>
      </c>
      <c r="C6353" s="8">
        <f t="array" ref="C6353">PRODUCT(1-'Sparkling Model'!D$2:D$38^A6353)</f>
        <v>0.8504624149</v>
      </c>
    </row>
    <row r="6354">
      <c r="A6354" s="6">
        <v>6352.0</v>
      </c>
      <c r="B6354" s="17">
        <f t="array" ref="B6354">SUM(1-'Sparkling Model'!D$2:D$38^A6354)</f>
        <v>36.84140519</v>
      </c>
      <c r="C6354" s="8">
        <f t="array" ref="C6354">PRODUCT(1-'Sparkling Model'!D$2:D$38^A6354)</f>
        <v>0.8505362294</v>
      </c>
    </row>
    <row r="6355">
      <c r="A6355" s="6">
        <v>6353.0</v>
      </c>
      <c r="B6355" s="17">
        <f t="array" ref="B6355">SUM(1-'Sparkling Model'!D$2:D$38^A6355)</f>
        <v>36.84148861</v>
      </c>
      <c r="C6355" s="8">
        <f t="array" ref="C6355">PRODUCT(1-'Sparkling Model'!D$2:D$38^A6355)</f>
        <v>0.8506100081</v>
      </c>
    </row>
    <row r="6356">
      <c r="A6356" s="6">
        <v>6354.0</v>
      </c>
      <c r="B6356" s="17">
        <f t="array" ref="B6356">SUM(1-'Sparkling Model'!D$2:D$38^A6356)</f>
        <v>36.84157199</v>
      </c>
      <c r="C6356" s="8">
        <f t="array" ref="C6356">PRODUCT(1-'Sparkling Model'!D$2:D$38^A6356)</f>
        <v>0.8506837509</v>
      </c>
    </row>
    <row r="6357">
      <c r="A6357" s="6">
        <v>6355.0</v>
      </c>
      <c r="B6357" s="17">
        <f t="array" ref="B6357">SUM(1-'Sparkling Model'!D$2:D$38^A6357)</f>
        <v>36.84165532</v>
      </c>
      <c r="C6357" s="8">
        <f t="array" ref="C6357">PRODUCT(1-'Sparkling Model'!D$2:D$38^A6357)</f>
        <v>0.850757458</v>
      </c>
    </row>
    <row r="6358">
      <c r="A6358" s="6">
        <v>6356.0</v>
      </c>
      <c r="B6358" s="17">
        <f t="array" ref="B6358">SUM(1-'Sparkling Model'!D$2:D$38^A6358)</f>
        <v>36.84173861</v>
      </c>
      <c r="C6358" s="8">
        <f t="array" ref="C6358">PRODUCT(1-'Sparkling Model'!D$2:D$38^A6358)</f>
        <v>0.8508311292</v>
      </c>
    </row>
    <row r="6359">
      <c r="A6359" s="6">
        <v>6357.0</v>
      </c>
      <c r="B6359" s="17">
        <f t="array" ref="B6359">SUM(1-'Sparkling Model'!D$2:D$38^A6359)</f>
        <v>36.84182185</v>
      </c>
      <c r="C6359" s="8">
        <f t="array" ref="C6359">PRODUCT(1-'Sparkling Model'!D$2:D$38^A6359)</f>
        <v>0.8509047647</v>
      </c>
    </row>
    <row r="6360">
      <c r="A6360" s="6">
        <v>6358.0</v>
      </c>
      <c r="B6360" s="17">
        <f t="array" ref="B6360">SUM(1-'Sparkling Model'!D$2:D$38^A6360)</f>
        <v>36.84190504</v>
      </c>
      <c r="C6360" s="8">
        <f t="array" ref="C6360">PRODUCT(1-'Sparkling Model'!D$2:D$38^A6360)</f>
        <v>0.8509783645</v>
      </c>
    </row>
    <row r="6361">
      <c r="A6361" s="6">
        <v>6359.0</v>
      </c>
      <c r="B6361" s="17">
        <f t="array" ref="B6361">SUM(1-'Sparkling Model'!D$2:D$38^A6361)</f>
        <v>36.84198819</v>
      </c>
      <c r="C6361" s="8">
        <f t="array" ref="C6361">PRODUCT(1-'Sparkling Model'!D$2:D$38^A6361)</f>
        <v>0.8510519285</v>
      </c>
    </row>
    <row r="6362">
      <c r="A6362" s="6">
        <v>6360.0</v>
      </c>
      <c r="B6362" s="17">
        <f t="array" ref="B6362">SUM(1-'Sparkling Model'!D$2:D$38^A6362)</f>
        <v>36.84207129</v>
      </c>
      <c r="C6362" s="8">
        <f t="array" ref="C6362">PRODUCT(1-'Sparkling Model'!D$2:D$38^A6362)</f>
        <v>0.8511254568</v>
      </c>
    </row>
    <row r="6363">
      <c r="A6363" s="6">
        <v>6361.0</v>
      </c>
      <c r="B6363" s="17">
        <f t="array" ref="B6363">SUM(1-'Sparkling Model'!D$2:D$38^A6363)</f>
        <v>36.84215434</v>
      </c>
      <c r="C6363" s="8">
        <f t="array" ref="C6363">PRODUCT(1-'Sparkling Model'!D$2:D$38^A6363)</f>
        <v>0.8511989494</v>
      </c>
    </row>
    <row r="6364">
      <c r="A6364" s="6">
        <v>6362.0</v>
      </c>
      <c r="B6364" s="17">
        <f t="array" ref="B6364">SUM(1-'Sparkling Model'!D$2:D$38^A6364)</f>
        <v>36.84223735</v>
      </c>
      <c r="C6364" s="8">
        <f t="array" ref="C6364">PRODUCT(1-'Sparkling Model'!D$2:D$38^A6364)</f>
        <v>0.8512724063</v>
      </c>
    </row>
    <row r="6365">
      <c r="A6365" s="6">
        <v>6363.0</v>
      </c>
      <c r="B6365" s="17">
        <f t="array" ref="B6365">SUM(1-'Sparkling Model'!D$2:D$38^A6365)</f>
        <v>36.84232031</v>
      </c>
      <c r="C6365" s="8">
        <f t="array" ref="C6365">PRODUCT(1-'Sparkling Model'!D$2:D$38^A6365)</f>
        <v>0.8513458275</v>
      </c>
    </row>
    <row r="6366">
      <c r="A6366" s="6">
        <v>6364.0</v>
      </c>
      <c r="B6366" s="17">
        <f t="array" ref="B6366">SUM(1-'Sparkling Model'!D$2:D$38^A6366)</f>
        <v>36.84240323</v>
      </c>
      <c r="C6366" s="8">
        <f t="array" ref="C6366">PRODUCT(1-'Sparkling Model'!D$2:D$38^A6366)</f>
        <v>0.8514192131</v>
      </c>
    </row>
    <row r="6367">
      <c r="A6367" s="6">
        <v>6365.0</v>
      </c>
      <c r="B6367" s="17">
        <f t="array" ref="B6367">SUM(1-'Sparkling Model'!D$2:D$38^A6367)</f>
        <v>36.8424861</v>
      </c>
      <c r="C6367" s="8">
        <f t="array" ref="C6367">PRODUCT(1-'Sparkling Model'!D$2:D$38^A6367)</f>
        <v>0.851492563</v>
      </c>
    </row>
    <row r="6368">
      <c r="A6368" s="6">
        <v>6366.0</v>
      </c>
      <c r="B6368" s="17">
        <f t="array" ref="B6368">SUM(1-'Sparkling Model'!D$2:D$38^A6368)</f>
        <v>36.84256893</v>
      </c>
      <c r="C6368" s="8">
        <f t="array" ref="C6368">PRODUCT(1-'Sparkling Model'!D$2:D$38^A6368)</f>
        <v>0.8515658774</v>
      </c>
    </row>
    <row r="6369">
      <c r="A6369" s="6">
        <v>6367.0</v>
      </c>
      <c r="B6369" s="17">
        <f t="array" ref="B6369">SUM(1-'Sparkling Model'!D$2:D$38^A6369)</f>
        <v>36.84265171</v>
      </c>
      <c r="C6369" s="8">
        <f t="array" ref="C6369">PRODUCT(1-'Sparkling Model'!D$2:D$38^A6369)</f>
        <v>0.8516391561</v>
      </c>
    </row>
    <row r="6370">
      <c r="A6370" s="6">
        <v>6368.0</v>
      </c>
      <c r="B6370" s="17">
        <f t="array" ref="B6370">SUM(1-'Sparkling Model'!D$2:D$38^A6370)</f>
        <v>36.84273444</v>
      </c>
      <c r="C6370" s="8">
        <f t="array" ref="C6370">PRODUCT(1-'Sparkling Model'!D$2:D$38^A6370)</f>
        <v>0.8517123992</v>
      </c>
    </row>
    <row r="6371">
      <c r="A6371" s="6">
        <v>6369.0</v>
      </c>
      <c r="B6371" s="17">
        <f t="array" ref="B6371">SUM(1-'Sparkling Model'!D$2:D$38^A6371)</f>
        <v>36.84281713</v>
      </c>
      <c r="C6371" s="8">
        <f t="array" ref="C6371">PRODUCT(1-'Sparkling Model'!D$2:D$38^A6371)</f>
        <v>0.8517856068</v>
      </c>
    </row>
    <row r="6372">
      <c r="A6372" s="6">
        <v>6370.0</v>
      </c>
      <c r="B6372" s="17">
        <f t="array" ref="B6372">SUM(1-'Sparkling Model'!D$2:D$38^A6372)</f>
        <v>36.84289977</v>
      </c>
      <c r="C6372" s="8">
        <f t="array" ref="C6372">PRODUCT(1-'Sparkling Model'!D$2:D$38^A6372)</f>
        <v>0.8518587788</v>
      </c>
    </row>
    <row r="6373">
      <c r="A6373" s="6">
        <v>6371.0</v>
      </c>
      <c r="B6373" s="17">
        <f t="array" ref="B6373">SUM(1-'Sparkling Model'!D$2:D$38^A6373)</f>
        <v>36.84298236</v>
      </c>
      <c r="C6373" s="8">
        <f t="array" ref="C6373">PRODUCT(1-'Sparkling Model'!D$2:D$38^A6373)</f>
        <v>0.8519319153</v>
      </c>
    </row>
    <row r="6374">
      <c r="A6374" s="6">
        <v>6372.0</v>
      </c>
      <c r="B6374" s="17">
        <f t="array" ref="B6374">SUM(1-'Sparkling Model'!D$2:D$38^A6374)</f>
        <v>36.84306491</v>
      </c>
      <c r="C6374" s="8">
        <f t="array" ref="C6374">PRODUCT(1-'Sparkling Model'!D$2:D$38^A6374)</f>
        <v>0.8520050162</v>
      </c>
    </row>
    <row r="6375">
      <c r="A6375" s="6">
        <v>6373.0</v>
      </c>
      <c r="B6375" s="17">
        <f t="array" ref="B6375">SUM(1-'Sparkling Model'!D$2:D$38^A6375)</f>
        <v>36.84314742</v>
      </c>
      <c r="C6375" s="8">
        <f t="array" ref="C6375">PRODUCT(1-'Sparkling Model'!D$2:D$38^A6375)</f>
        <v>0.8520780817</v>
      </c>
    </row>
    <row r="6376">
      <c r="A6376" s="6">
        <v>6374.0</v>
      </c>
      <c r="B6376" s="17">
        <f t="array" ref="B6376">SUM(1-'Sparkling Model'!D$2:D$38^A6376)</f>
        <v>36.84322988</v>
      </c>
      <c r="C6376" s="8">
        <f t="array" ref="C6376">PRODUCT(1-'Sparkling Model'!D$2:D$38^A6376)</f>
        <v>0.8521511117</v>
      </c>
    </row>
    <row r="6377">
      <c r="A6377" s="6">
        <v>6375.0</v>
      </c>
      <c r="B6377" s="17">
        <f t="array" ref="B6377">SUM(1-'Sparkling Model'!D$2:D$38^A6377)</f>
        <v>36.84331229</v>
      </c>
      <c r="C6377" s="8">
        <f t="array" ref="C6377">PRODUCT(1-'Sparkling Model'!D$2:D$38^A6377)</f>
        <v>0.8522241062</v>
      </c>
    </row>
    <row r="6378">
      <c r="A6378" s="6">
        <v>6376.0</v>
      </c>
      <c r="B6378" s="17">
        <f t="array" ref="B6378">SUM(1-'Sparkling Model'!D$2:D$38^A6378)</f>
        <v>36.84339466</v>
      </c>
      <c r="C6378" s="8">
        <f t="array" ref="C6378">PRODUCT(1-'Sparkling Model'!D$2:D$38^A6378)</f>
        <v>0.8522970652</v>
      </c>
    </row>
    <row r="6379">
      <c r="A6379" s="6">
        <v>6377.0</v>
      </c>
      <c r="B6379" s="17">
        <f t="array" ref="B6379">SUM(1-'Sparkling Model'!D$2:D$38^A6379)</f>
        <v>36.84347698</v>
      </c>
      <c r="C6379" s="8">
        <f t="array" ref="C6379">PRODUCT(1-'Sparkling Model'!D$2:D$38^A6379)</f>
        <v>0.8523699888</v>
      </c>
    </row>
    <row r="6380">
      <c r="A6380" s="6">
        <v>6378.0</v>
      </c>
      <c r="B6380" s="17">
        <f t="array" ref="B6380">SUM(1-'Sparkling Model'!D$2:D$38^A6380)</f>
        <v>36.84355926</v>
      </c>
      <c r="C6380" s="8">
        <f t="array" ref="C6380">PRODUCT(1-'Sparkling Model'!D$2:D$38^A6380)</f>
        <v>0.852442877</v>
      </c>
    </row>
    <row r="6381">
      <c r="A6381" s="6">
        <v>6379.0</v>
      </c>
      <c r="B6381" s="17">
        <f t="array" ref="B6381">SUM(1-'Sparkling Model'!D$2:D$38^A6381)</f>
        <v>36.84364149</v>
      </c>
      <c r="C6381" s="8">
        <f t="array" ref="C6381">PRODUCT(1-'Sparkling Model'!D$2:D$38^A6381)</f>
        <v>0.8525157298</v>
      </c>
    </row>
    <row r="6382">
      <c r="A6382" s="6">
        <v>6380.0</v>
      </c>
      <c r="B6382" s="17">
        <f t="array" ref="B6382">SUM(1-'Sparkling Model'!D$2:D$38^A6382)</f>
        <v>36.84372367</v>
      </c>
      <c r="C6382" s="8">
        <f t="array" ref="C6382">PRODUCT(1-'Sparkling Model'!D$2:D$38^A6382)</f>
        <v>0.8525885472</v>
      </c>
    </row>
    <row r="6383">
      <c r="A6383" s="6">
        <v>6381.0</v>
      </c>
      <c r="B6383" s="17">
        <f t="array" ref="B6383">SUM(1-'Sparkling Model'!D$2:D$38^A6383)</f>
        <v>36.84380581</v>
      </c>
      <c r="C6383" s="8">
        <f t="array" ref="C6383">PRODUCT(1-'Sparkling Model'!D$2:D$38^A6383)</f>
        <v>0.8526613292</v>
      </c>
    </row>
    <row r="6384">
      <c r="A6384" s="6">
        <v>6382.0</v>
      </c>
      <c r="B6384" s="17">
        <f t="array" ref="B6384">SUM(1-'Sparkling Model'!D$2:D$38^A6384)</f>
        <v>36.84388791</v>
      </c>
      <c r="C6384" s="8">
        <f t="array" ref="C6384">PRODUCT(1-'Sparkling Model'!D$2:D$38^A6384)</f>
        <v>0.8527340758</v>
      </c>
    </row>
    <row r="6385">
      <c r="A6385" s="6">
        <v>6383.0</v>
      </c>
      <c r="B6385" s="17">
        <f t="array" ref="B6385">SUM(1-'Sparkling Model'!D$2:D$38^A6385)</f>
        <v>36.84396996</v>
      </c>
      <c r="C6385" s="8">
        <f t="array" ref="C6385">PRODUCT(1-'Sparkling Model'!D$2:D$38^A6385)</f>
        <v>0.8528067872</v>
      </c>
    </row>
    <row r="6386">
      <c r="A6386" s="6">
        <v>6384.0</v>
      </c>
      <c r="B6386" s="17">
        <f t="array" ref="B6386">SUM(1-'Sparkling Model'!D$2:D$38^A6386)</f>
        <v>36.84405196</v>
      </c>
      <c r="C6386" s="8">
        <f t="array" ref="C6386">PRODUCT(1-'Sparkling Model'!D$2:D$38^A6386)</f>
        <v>0.8528794632</v>
      </c>
    </row>
    <row r="6387">
      <c r="A6387" s="6">
        <v>6385.0</v>
      </c>
      <c r="B6387" s="17">
        <f t="array" ref="B6387">SUM(1-'Sparkling Model'!D$2:D$38^A6387)</f>
        <v>36.84413392</v>
      </c>
      <c r="C6387" s="8">
        <f t="array" ref="C6387">PRODUCT(1-'Sparkling Model'!D$2:D$38^A6387)</f>
        <v>0.8529521039</v>
      </c>
    </row>
    <row r="6388">
      <c r="A6388" s="6">
        <v>6386.0</v>
      </c>
      <c r="B6388" s="17">
        <f t="array" ref="B6388">SUM(1-'Sparkling Model'!D$2:D$38^A6388)</f>
        <v>36.84421583</v>
      </c>
      <c r="C6388" s="8">
        <f t="array" ref="C6388">PRODUCT(1-'Sparkling Model'!D$2:D$38^A6388)</f>
        <v>0.8530247093</v>
      </c>
    </row>
    <row r="6389">
      <c r="A6389" s="6">
        <v>6387.0</v>
      </c>
      <c r="B6389" s="17">
        <f t="array" ref="B6389">SUM(1-'Sparkling Model'!D$2:D$38^A6389)</f>
        <v>36.8442977</v>
      </c>
      <c r="C6389" s="8">
        <f t="array" ref="C6389">PRODUCT(1-'Sparkling Model'!D$2:D$38^A6389)</f>
        <v>0.8530972794</v>
      </c>
    </row>
    <row r="6390">
      <c r="A6390" s="6">
        <v>6388.0</v>
      </c>
      <c r="B6390" s="17">
        <f t="array" ref="B6390">SUM(1-'Sparkling Model'!D$2:D$38^A6390)</f>
        <v>36.84437952</v>
      </c>
      <c r="C6390" s="8">
        <f t="array" ref="C6390">PRODUCT(1-'Sparkling Model'!D$2:D$38^A6390)</f>
        <v>0.8531698143</v>
      </c>
    </row>
    <row r="6391">
      <c r="A6391" s="6">
        <v>6389.0</v>
      </c>
      <c r="B6391" s="17">
        <f t="array" ref="B6391">SUM(1-'Sparkling Model'!D$2:D$38^A6391)</f>
        <v>36.8444613</v>
      </c>
      <c r="C6391" s="8">
        <f t="array" ref="C6391">PRODUCT(1-'Sparkling Model'!D$2:D$38^A6391)</f>
        <v>0.8532423139</v>
      </c>
    </row>
    <row r="6392">
      <c r="A6392" s="6">
        <v>6390.0</v>
      </c>
      <c r="B6392" s="17">
        <f t="array" ref="B6392">SUM(1-'Sparkling Model'!D$2:D$38^A6392)</f>
        <v>36.84454303</v>
      </c>
      <c r="C6392" s="8">
        <f t="array" ref="C6392">PRODUCT(1-'Sparkling Model'!D$2:D$38^A6392)</f>
        <v>0.8533147783</v>
      </c>
    </row>
    <row r="6393">
      <c r="A6393" s="6">
        <v>6391.0</v>
      </c>
      <c r="B6393" s="17">
        <f t="array" ref="B6393">SUM(1-'Sparkling Model'!D$2:D$38^A6393)</f>
        <v>36.84462471</v>
      </c>
      <c r="C6393" s="8">
        <f t="array" ref="C6393">PRODUCT(1-'Sparkling Model'!D$2:D$38^A6393)</f>
        <v>0.8533872075</v>
      </c>
    </row>
    <row r="6394">
      <c r="A6394" s="6">
        <v>6392.0</v>
      </c>
      <c r="B6394" s="17">
        <f t="array" ref="B6394">SUM(1-'Sparkling Model'!D$2:D$38^A6394)</f>
        <v>36.84470635</v>
      </c>
      <c r="C6394" s="8">
        <f t="array" ref="C6394">PRODUCT(1-'Sparkling Model'!D$2:D$38^A6394)</f>
        <v>0.8534596015</v>
      </c>
    </row>
    <row r="6395">
      <c r="A6395" s="6">
        <v>6393.0</v>
      </c>
      <c r="B6395" s="17">
        <f t="array" ref="B6395">SUM(1-'Sparkling Model'!D$2:D$38^A6395)</f>
        <v>36.84478795</v>
      </c>
      <c r="C6395" s="8">
        <f t="array" ref="C6395">PRODUCT(1-'Sparkling Model'!D$2:D$38^A6395)</f>
        <v>0.8535319603</v>
      </c>
    </row>
    <row r="6396">
      <c r="A6396" s="6">
        <v>6394.0</v>
      </c>
      <c r="B6396" s="17">
        <f t="array" ref="B6396">SUM(1-'Sparkling Model'!D$2:D$38^A6396)</f>
        <v>36.8448695</v>
      </c>
      <c r="C6396" s="8">
        <f t="array" ref="C6396">PRODUCT(1-'Sparkling Model'!D$2:D$38^A6396)</f>
        <v>0.853604284</v>
      </c>
    </row>
    <row r="6397">
      <c r="A6397" s="6">
        <v>6395.0</v>
      </c>
      <c r="B6397" s="17">
        <f t="array" ref="B6397">SUM(1-'Sparkling Model'!D$2:D$38^A6397)</f>
        <v>36.84495101</v>
      </c>
      <c r="C6397" s="8">
        <f t="array" ref="C6397">PRODUCT(1-'Sparkling Model'!D$2:D$38^A6397)</f>
        <v>0.8536765725</v>
      </c>
    </row>
    <row r="6398">
      <c r="A6398" s="6">
        <v>6396.0</v>
      </c>
      <c r="B6398" s="17">
        <f t="array" ref="B6398">SUM(1-'Sparkling Model'!D$2:D$38^A6398)</f>
        <v>36.84503247</v>
      </c>
      <c r="C6398" s="8">
        <f t="array" ref="C6398">PRODUCT(1-'Sparkling Model'!D$2:D$38^A6398)</f>
        <v>0.8537488259</v>
      </c>
    </row>
    <row r="6399">
      <c r="A6399" s="6">
        <v>6397.0</v>
      </c>
      <c r="B6399" s="17">
        <f t="array" ref="B6399">SUM(1-'Sparkling Model'!D$2:D$38^A6399)</f>
        <v>36.84511388</v>
      </c>
      <c r="C6399" s="8">
        <f t="array" ref="C6399">PRODUCT(1-'Sparkling Model'!D$2:D$38^A6399)</f>
        <v>0.8538210442</v>
      </c>
    </row>
    <row r="6400">
      <c r="A6400" s="6">
        <v>6398.0</v>
      </c>
      <c r="B6400" s="17">
        <f t="array" ref="B6400">SUM(1-'Sparkling Model'!D$2:D$38^A6400)</f>
        <v>36.84519525</v>
      </c>
      <c r="C6400" s="8">
        <f t="array" ref="C6400">PRODUCT(1-'Sparkling Model'!D$2:D$38^A6400)</f>
        <v>0.8538932273</v>
      </c>
    </row>
    <row r="6401">
      <c r="A6401" s="6">
        <v>6399.0</v>
      </c>
      <c r="B6401" s="17">
        <f t="array" ref="B6401">SUM(1-'Sparkling Model'!D$2:D$38^A6401)</f>
        <v>36.84527658</v>
      </c>
      <c r="C6401" s="8">
        <f t="array" ref="C6401">PRODUCT(1-'Sparkling Model'!D$2:D$38^A6401)</f>
        <v>0.8539653755</v>
      </c>
    </row>
    <row r="6402">
      <c r="A6402" s="6">
        <v>6400.0</v>
      </c>
      <c r="B6402" s="17">
        <f t="array" ref="B6402">SUM(1-'Sparkling Model'!D$2:D$38^A6402)</f>
        <v>36.84535786</v>
      </c>
      <c r="C6402" s="8">
        <f t="array" ref="C6402">PRODUCT(1-'Sparkling Model'!D$2:D$38^A6402)</f>
        <v>0.8540374885</v>
      </c>
    </row>
    <row r="6403">
      <c r="A6403" s="6">
        <v>6401.0</v>
      </c>
      <c r="B6403" s="17">
        <f t="array" ref="B6403">SUM(1-'Sparkling Model'!D$2:D$38^A6403)</f>
        <v>36.8454391</v>
      </c>
      <c r="C6403" s="8">
        <f t="array" ref="C6403">PRODUCT(1-'Sparkling Model'!D$2:D$38^A6403)</f>
        <v>0.8541095665</v>
      </c>
    </row>
    <row r="6404">
      <c r="A6404" s="6">
        <v>6402.0</v>
      </c>
      <c r="B6404" s="17">
        <f t="array" ref="B6404">SUM(1-'Sparkling Model'!D$2:D$38^A6404)</f>
        <v>36.84552029</v>
      </c>
      <c r="C6404" s="8">
        <f t="array" ref="C6404">PRODUCT(1-'Sparkling Model'!D$2:D$38^A6404)</f>
        <v>0.8541816095</v>
      </c>
    </row>
    <row r="6405">
      <c r="A6405" s="6">
        <v>6403.0</v>
      </c>
      <c r="B6405" s="17">
        <f t="array" ref="B6405">SUM(1-'Sparkling Model'!D$2:D$38^A6405)</f>
        <v>36.84560143</v>
      </c>
      <c r="C6405" s="8">
        <f t="array" ref="C6405">PRODUCT(1-'Sparkling Model'!D$2:D$38^A6405)</f>
        <v>0.8542536174</v>
      </c>
    </row>
    <row r="6406">
      <c r="A6406" s="6">
        <v>6404.0</v>
      </c>
      <c r="B6406" s="17">
        <f t="array" ref="B6406">SUM(1-'Sparkling Model'!D$2:D$38^A6406)</f>
        <v>36.84568253</v>
      </c>
      <c r="C6406" s="8">
        <f t="array" ref="C6406">PRODUCT(1-'Sparkling Model'!D$2:D$38^A6406)</f>
        <v>0.8543255904</v>
      </c>
    </row>
    <row r="6407">
      <c r="A6407" s="6">
        <v>6405.0</v>
      </c>
      <c r="B6407" s="17">
        <f t="array" ref="B6407">SUM(1-'Sparkling Model'!D$2:D$38^A6407)</f>
        <v>36.84576359</v>
      </c>
      <c r="C6407" s="8">
        <f t="array" ref="C6407">PRODUCT(1-'Sparkling Model'!D$2:D$38^A6407)</f>
        <v>0.8543975284</v>
      </c>
    </row>
    <row r="6408">
      <c r="A6408" s="6">
        <v>6406.0</v>
      </c>
      <c r="B6408" s="17">
        <f t="array" ref="B6408">SUM(1-'Sparkling Model'!D$2:D$38^A6408)</f>
        <v>36.8458446</v>
      </c>
      <c r="C6408" s="8">
        <f t="array" ref="C6408">PRODUCT(1-'Sparkling Model'!D$2:D$38^A6408)</f>
        <v>0.8544694314</v>
      </c>
    </row>
    <row r="6409">
      <c r="A6409" s="6">
        <v>6407.0</v>
      </c>
      <c r="B6409" s="17">
        <f t="array" ref="B6409">SUM(1-'Sparkling Model'!D$2:D$38^A6409)</f>
        <v>36.84592557</v>
      </c>
      <c r="C6409" s="8">
        <f t="array" ref="C6409">PRODUCT(1-'Sparkling Model'!D$2:D$38^A6409)</f>
        <v>0.8545412994</v>
      </c>
    </row>
    <row r="6410">
      <c r="A6410" s="6">
        <v>6408.0</v>
      </c>
      <c r="B6410" s="17">
        <f t="array" ref="B6410">SUM(1-'Sparkling Model'!D$2:D$38^A6410)</f>
        <v>36.84600649</v>
      </c>
      <c r="C6410" s="8">
        <f t="array" ref="C6410">PRODUCT(1-'Sparkling Model'!D$2:D$38^A6410)</f>
        <v>0.8546131326</v>
      </c>
    </row>
    <row r="6411">
      <c r="A6411" s="6">
        <v>6409.0</v>
      </c>
      <c r="B6411" s="17">
        <f t="array" ref="B6411">SUM(1-'Sparkling Model'!D$2:D$38^A6411)</f>
        <v>36.84608737</v>
      </c>
      <c r="C6411" s="8">
        <f t="array" ref="C6411">PRODUCT(1-'Sparkling Model'!D$2:D$38^A6411)</f>
        <v>0.8546849308</v>
      </c>
    </row>
    <row r="6412">
      <c r="A6412" s="6">
        <v>6410.0</v>
      </c>
      <c r="B6412" s="17">
        <f t="array" ref="B6412">SUM(1-'Sparkling Model'!D$2:D$38^A6412)</f>
        <v>36.8461682</v>
      </c>
      <c r="C6412" s="8">
        <f t="array" ref="C6412">PRODUCT(1-'Sparkling Model'!D$2:D$38^A6412)</f>
        <v>0.8547566941</v>
      </c>
    </row>
    <row r="6413">
      <c r="A6413" s="6">
        <v>6411.0</v>
      </c>
      <c r="B6413" s="17">
        <f t="array" ref="B6413">SUM(1-'Sparkling Model'!D$2:D$38^A6413)</f>
        <v>36.84624899</v>
      </c>
      <c r="C6413" s="8">
        <f t="array" ref="C6413">PRODUCT(1-'Sparkling Model'!D$2:D$38^A6413)</f>
        <v>0.8548284225</v>
      </c>
    </row>
    <row r="6414">
      <c r="A6414" s="6">
        <v>6412.0</v>
      </c>
      <c r="B6414" s="17">
        <f t="array" ref="B6414">SUM(1-'Sparkling Model'!D$2:D$38^A6414)</f>
        <v>36.84632973</v>
      </c>
      <c r="C6414" s="8">
        <f t="array" ref="C6414">PRODUCT(1-'Sparkling Model'!D$2:D$38^A6414)</f>
        <v>0.8549001161</v>
      </c>
    </row>
    <row r="6415">
      <c r="A6415" s="6">
        <v>6413.0</v>
      </c>
      <c r="B6415" s="17">
        <f t="array" ref="B6415">SUM(1-'Sparkling Model'!D$2:D$38^A6415)</f>
        <v>36.84641043</v>
      </c>
      <c r="C6415" s="8">
        <f t="array" ref="C6415">PRODUCT(1-'Sparkling Model'!D$2:D$38^A6415)</f>
        <v>0.8549717748</v>
      </c>
    </row>
    <row r="6416">
      <c r="A6416" s="6">
        <v>6414.0</v>
      </c>
      <c r="B6416" s="17">
        <f t="array" ref="B6416">SUM(1-'Sparkling Model'!D$2:D$38^A6416)</f>
        <v>36.84649108</v>
      </c>
      <c r="C6416" s="8">
        <f t="array" ref="C6416">PRODUCT(1-'Sparkling Model'!D$2:D$38^A6416)</f>
        <v>0.8550433987</v>
      </c>
    </row>
    <row r="6417">
      <c r="A6417" s="6">
        <v>6415.0</v>
      </c>
      <c r="B6417" s="17">
        <f t="array" ref="B6417">SUM(1-'Sparkling Model'!D$2:D$38^A6417)</f>
        <v>36.84657169</v>
      </c>
      <c r="C6417" s="8">
        <f t="array" ref="C6417">PRODUCT(1-'Sparkling Model'!D$2:D$38^A6417)</f>
        <v>0.8551149877</v>
      </c>
    </row>
    <row r="6418">
      <c r="A6418" s="6">
        <v>6416.0</v>
      </c>
      <c r="B6418" s="17">
        <f t="array" ref="B6418">SUM(1-'Sparkling Model'!D$2:D$38^A6418)</f>
        <v>36.84665226</v>
      </c>
      <c r="C6418" s="8">
        <f t="array" ref="C6418">PRODUCT(1-'Sparkling Model'!D$2:D$38^A6418)</f>
        <v>0.855186542</v>
      </c>
    </row>
    <row r="6419">
      <c r="A6419" s="6">
        <v>6417.0</v>
      </c>
      <c r="B6419" s="17">
        <f t="array" ref="B6419">SUM(1-'Sparkling Model'!D$2:D$38^A6419)</f>
        <v>36.84673278</v>
      </c>
      <c r="C6419" s="8">
        <f t="array" ref="C6419">PRODUCT(1-'Sparkling Model'!D$2:D$38^A6419)</f>
        <v>0.8552580615</v>
      </c>
    </row>
    <row r="6420">
      <c r="A6420" s="6">
        <v>6418.0</v>
      </c>
      <c r="B6420" s="17">
        <f t="array" ref="B6420">SUM(1-'Sparkling Model'!D$2:D$38^A6420)</f>
        <v>36.84681325</v>
      </c>
      <c r="C6420" s="8">
        <f t="array" ref="C6420">PRODUCT(1-'Sparkling Model'!D$2:D$38^A6420)</f>
        <v>0.8553295462</v>
      </c>
    </row>
    <row r="6421">
      <c r="A6421" s="6">
        <v>6419.0</v>
      </c>
      <c r="B6421" s="17">
        <f t="array" ref="B6421">SUM(1-'Sparkling Model'!D$2:D$38^A6421)</f>
        <v>36.84689368</v>
      </c>
      <c r="C6421" s="8">
        <f t="array" ref="C6421">PRODUCT(1-'Sparkling Model'!D$2:D$38^A6421)</f>
        <v>0.8554009961</v>
      </c>
    </row>
    <row r="6422">
      <c r="A6422" s="6">
        <v>6420.0</v>
      </c>
      <c r="B6422" s="17">
        <f t="array" ref="B6422">SUM(1-'Sparkling Model'!D$2:D$38^A6422)</f>
        <v>36.84697407</v>
      </c>
      <c r="C6422" s="8">
        <f t="array" ref="C6422">PRODUCT(1-'Sparkling Model'!D$2:D$38^A6422)</f>
        <v>0.8554724113</v>
      </c>
    </row>
    <row r="6423">
      <c r="A6423" s="6">
        <v>6421.0</v>
      </c>
      <c r="B6423" s="17">
        <f t="array" ref="B6423">SUM(1-'Sparkling Model'!D$2:D$38^A6423)</f>
        <v>36.84705441</v>
      </c>
      <c r="C6423" s="8">
        <f t="array" ref="C6423">PRODUCT(1-'Sparkling Model'!D$2:D$38^A6423)</f>
        <v>0.8555437918</v>
      </c>
    </row>
    <row r="6424">
      <c r="A6424" s="6">
        <v>6422.0</v>
      </c>
      <c r="B6424" s="17">
        <f t="array" ref="B6424">SUM(1-'Sparkling Model'!D$2:D$38^A6424)</f>
        <v>36.84713471</v>
      </c>
      <c r="C6424" s="8">
        <f t="array" ref="C6424">PRODUCT(1-'Sparkling Model'!D$2:D$38^A6424)</f>
        <v>0.8556151376</v>
      </c>
    </row>
    <row r="6425">
      <c r="A6425" s="6">
        <v>6423.0</v>
      </c>
      <c r="B6425" s="17">
        <f t="array" ref="B6425">SUM(1-'Sparkling Model'!D$2:D$38^A6425)</f>
        <v>36.84721497</v>
      </c>
      <c r="C6425" s="8">
        <f t="array" ref="C6425">PRODUCT(1-'Sparkling Model'!D$2:D$38^A6425)</f>
        <v>0.8556864486</v>
      </c>
    </row>
    <row r="6426">
      <c r="A6426" s="6">
        <v>6424.0</v>
      </c>
      <c r="B6426" s="17">
        <f t="array" ref="B6426">SUM(1-'Sparkling Model'!D$2:D$38^A6426)</f>
        <v>36.84729517</v>
      </c>
      <c r="C6426" s="8">
        <f t="array" ref="C6426">PRODUCT(1-'Sparkling Model'!D$2:D$38^A6426)</f>
        <v>0.8557577251</v>
      </c>
    </row>
    <row r="6427">
      <c r="A6427" s="6">
        <v>6425.0</v>
      </c>
      <c r="B6427" s="17">
        <f t="array" ref="B6427">SUM(1-'Sparkling Model'!D$2:D$38^A6427)</f>
        <v>36.84737534</v>
      </c>
      <c r="C6427" s="8">
        <f t="array" ref="C6427">PRODUCT(1-'Sparkling Model'!D$2:D$38^A6427)</f>
        <v>0.8558289668</v>
      </c>
    </row>
    <row r="6428">
      <c r="A6428" s="6">
        <v>6426.0</v>
      </c>
      <c r="B6428" s="17">
        <f t="array" ref="B6428">SUM(1-'Sparkling Model'!D$2:D$38^A6428)</f>
        <v>36.84745546</v>
      </c>
      <c r="C6428" s="8">
        <f t="array" ref="C6428">PRODUCT(1-'Sparkling Model'!D$2:D$38^A6428)</f>
        <v>0.8559001739</v>
      </c>
    </row>
    <row r="6429">
      <c r="A6429" s="6">
        <v>6427.0</v>
      </c>
      <c r="B6429" s="17">
        <f t="array" ref="B6429">SUM(1-'Sparkling Model'!D$2:D$38^A6429)</f>
        <v>36.84753554</v>
      </c>
      <c r="C6429" s="8">
        <f t="array" ref="C6429">PRODUCT(1-'Sparkling Model'!D$2:D$38^A6429)</f>
        <v>0.8559713464</v>
      </c>
    </row>
    <row r="6430">
      <c r="A6430" s="6">
        <v>6428.0</v>
      </c>
      <c r="B6430" s="17">
        <f t="array" ref="B6430">SUM(1-'Sparkling Model'!D$2:D$38^A6430)</f>
        <v>36.84761557</v>
      </c>
      <c r="C6430" s="8">
        <f t="array" ref="C6430">PRODUCT(1-'Sparkling Model'!D$2:D$38^A6430)</f>
        <v>0.8560424843</v>
      </c>
    </row>
    <row r="6431">
      <c r="A6431" s="6">
        <v>6429.0</v>
      </c>
      <c r="B6431" s="17">
        <f t="array" ref="B6431">SUM(1-'Sparkling Model'!D$2:D$38^A6431)</f>
        <v>36.84769556</v>
      </c>
      <c r="C6431" s="8">
        <f t="array" ref="C6431">PRODUCT(1-'Sparkling Model'!D$2:D$38^A6431)</f>
        <v>0.8561135876</v>
      </c>
    </row>
    <row r="6432">
      <c r="A6432" s="6">
        <v>6430.0</v>
      </c>
      <c r="B6432" s="17">
        <f t="array" ref="B6432">SUM(1-'Sparkling Model'!D$2:D$38^A6432)</f>
        <v>36.8477755</v>
      </c>
      <c r="C6432" s="8">
        <f t="array" ref="C6432">PRODUCT(1-'Sparkling Model'!D$2:D$38^A6432)</f>
        <v>0.8561846563</v>
      </c>
    </row>
    <row r="6433">
      <c r="A6433" s="6">
        <v>6431.0</v>
      </c>
      <c r="B6433" s="17">
        <f t="array" ref="B6433">SUM(1-'Sparkling Model'!D$2:D$38^A6433)</f>
        <v>36.8478554</v>
      </c>
      <c r="C6433" s="8">
        <f t="array" ref="C6433">PRODUCT(1-'Sparkling Model'!D$2:D$38^A6433)</f>
        <v>0.8562556904</v>
      </c>
    </row>
    <row r="6434">
      <c r="A6434" s="6">
        <v>6432.0</v>
      </c>
      <c r="B6434" s="17">
        <f t="array" ref="B6434">SUM(1-'Sparkling Model'!D$2:D$38^A6434)</f>
        <v>36.84793526</v>
      </c>
      <c r="C6434" s="8">
        <f t="array" ref="C6434">PRODUCT(1-'Sparkling Model'!D$2:D$38^A6434)</f>
        <v>0.85632669</v>
      </c>
    </row>
    <row r="6435">
      <c r="A6435" s="6">
        <v>6433.0</v>
      </c>
      <c r="B6435" s="17">
        <f t="array" ref="B6435">SUM(1-'Sparkling Model'!D$2:D$38^A6435)</f>
        <v>36.84801507</v>
      </c>
      <c r="C6435" s="8">
        <f t="array" ref="C6435">PRODUCT(1-'Sparkling Model'!D$2:D$38^A6435)</f>
        <v>0.8563976551</v>
      </c>
    </row>
    <row r="6436">
      <c r="A6436" s="6">
        <v>6434.0</v>
      </c>
      <c r="B6436" s="17">
        <f t="array" ref="B6436">SUM(1-'Sparkling Model'!D$2:D$38^A6436)</f>
        <v>36.84809484</v>
      </c>
      <c r="C6436" s="8">
        <f t="array" ref="C6436">PRODUCT(1-'Sparkling Model'!D$2:D$38^A6436)</f>
        <v>0.8564685857</v>
      </c>
    </row>
    <row r="6437">
      <c r="A6437" s="6">
        <v>6435.0</v>
      </c>
      <c r="B6437" s="17">
        <f t="array" ref="B6437">SUM(1-'Sparkling Model'!D$2:D$38^A6437)</f>
        <v>36.84817456</v>
      </c>
      <c r="C6437" s="8">
        <f t="array" ref="C6437">PRODUCT(1-'Sparkling Model'!D$2:D$38^A6437)</f>
        <v>0.8565394817</v>
      </c>
    </row>
    <row r="6438">
      <c r="A6438" s="6">
        <v>6436.0</v>
      </c>
      <c r="B6438" s="17">
        <f t="array" ref="B6438">SUM(1-'Sparkling Model'!D$2:D$38^A6438)</f>
        <v>36.84825424</v>
      </c>
      <c r="C6438" s="8">
        <f t="array" ref="C6438">PRODUCT(1-'Sparkling Model'!D$2:D$38^A6438)</f>
        <v>0.8566103433</v>
      </c>
    </row>
    <row r="6439">
      <c r="A6439" s="6">
        <v>6437.0</v>
      </c>
      <c r="B6439" s="17">
        <f t="array" ref="B6439">SUM(1-'Sparkling Model'!D$2:D$38^A6439)</f>
        <v>36.84833388</v>
      </c>
      <c r="C6439" s="8">
        <f t="array" ref="C6439">PRODUCT(1-'Sparkling Model'!D$2:D$38^A6439)</f>
        <v>0.8566811704</v>
      </c>
    </row>
    <row r="6440">
      <c r="A6440" s="6">
        <v>6438.0</v>
      </c>
      <c r="B6440" s="17">
        <f t="array" ref="B6440">SUM(1-'Sparkling Model'!D$2:D$38^A6440)</f>
        <v>36.84841347</v>
      </c>
      <c r="C6440" s="8">
        <f t="array" ref="C6440">PRODUCT(1-'Sparkling Model'!D$2:D$38^A6440)</f>
        <v>0.8567519631</v>
      </c>
    </row>
    <row r="6441">
      <c r="A6441" s="6">
        <v>6439.0</v>
      </c>
      <c r="B6441" s="17">
        <f t="array" ref="B6441">SUM(1-'Sparkling Model'!D$2:D$38^A6441)</f>
        <v>36.84849302</v>
      </c>
      <c r="C6441" s="8">
        <f t="array" ref="C6441">PRODUCT(1-'Sparkling Model'!D$2:D$38^A6441)</f>
        <v>0.8568227213</v>
      </c>
    </row>
    <row r="6442">
      <c r="A6442" s="6">
        <v>6440.0</v>
      </c>
      <c r="B6442" s="17">
        <f t="array" ref="B6442">SUM(1-'Sparkling Model'!D$2:D$38^A6442)</f>
        <v>36.84857252</v>
      </c>
      <c r="C6442" s="8">
        <f t="array" ref="C6442">PRODUCT(1-'Sparkling Model'!D$2:D$38^A6442)</f>
        <v>0.8568934451</v>
      </c>
    </row>
    <row r="6443">
      <c r="A6443" s="6">
        <v>6441.0</v>
      </c>
      <c r="B6443" s="17">
        <f t="array" ref="B6443">SUM(1-'Sparkling Model'!D$2:D$38^A6443)</f>
        <v>36.84865198</v>
      </c>
      <c r="C6443" s="8">
        <f t="array" ref="C6443">PRODUCT(1-'Sparkling Model'!D$2:D$38^A6443)</f>
        <v>0.8569641345</v>
      </c>
    </row>
    <row r="6444">
      <c r="A6444" s="6">
        <v>6442.0</v>
      </c>
      <c r="B6444" s="17">
        <f t="array" ref="B6444">SUM(1-'Sparkling Model'!D$2:D$38^A6444)</f>
        <v>36.8487314</v>
      </c>
      <c r="C6444" s="8">
        <f t="array" ref="C6444">PRODUCT(1-'Sparkling Model'!D$2:D$38^A6444)</f>
        <v>0.8570347896</v>
      </c>
    </row>
    <row r="6445">
      <c r="A6445" s="6">
        <v>6443.0</v>
      </c>
      <c r="B6445" s="17">
        <f t="array" ref="B6445">SUM(1-'Sparkling Model'!D$2:D$38^A6445)</f>
        <v>36.84881077</v>
      </c>
      <c r="C6445" s="8">
        <f t="array" ref="C6445">PRODUCT(1-'Sparkling Model'!D$2:D$38^A6445)</f>
        <v>0.8571054102</v>
      </c>
    </row>
    <row r="6446">
      <c r="A6446" s="6">
        <v>6444.0</v>
      </c>
      <c r="B6446" s="17">
        <f t="array" ref="B6446">SUM(1-'Sparkling Model'!D$2:D$38^A6446)</f>
        <v>36.8488901</v>
      </c>
      <c r="C6446" s="8">
        <f t="array" ref="C6446">PRODUCT(1-'Sparkling Model'!D$2:D$38^A6446)</f>
        <v>0.8571759965</v>
      </c>
    </row>
    <row r="6447">
      <c r="A6447" s="6">
        <v>6445.0</v>
      </c>
      <c r="B6447" s="17">
        <f t="array" ref="B6447">SUM(1-'Sparkling Model'!D$2:D$38^A6447)</f>
        <v>36.84896938</v>
      </c>
      <c r="C6447" s="8">
        <f t="array" ref="C6447">PRODUCT(1-'Sparkling Model'!D$2:D$38^A6447)</f>
        <v>0.8572465485</v>
      </c>
    </row>
    <row r="6448">
      <c r="A6448" s="6">
        <v>6446.0</v>
      </c>
      <c r="B6448" s="17">
        <f t="array" ref="B6448">SUM(1-'Sparkling Model'!D$2:D$38^A6448)</f>
        <v>36.84904862</v>
      </c>
      <c r="C6448" s="8">
        <f t="array" ref="C6448">PRODUCT(1-'Sparkling Model'!D$2:D$38^A6448)</f>
        <v>0.8573170661</v>
      </c>
    </row>
    <row r="6449">
      <c r="A6449" s="6">
        <v>6447.0</v>
      </c>
      <c r="B6449" s="17">
        <f t="array" ref="B6449">SUM(1-'Sparkling Model'!D$2:D$38^A6449)</f>
        <v>36.84912782</v>
      </c>
      <c r="C6449" s="8">
        <f t="array" ref="C6449">PRODUCT(1-'Sparkling Model'!D$2:D$38^A6449)</f>
        <v>0.8573875495</v>
      </c>
    </row>
    <row r="6450">
      <c r="A6450" s="6">
        <v>6448.0</v>
      </c>
      <c r="B6450" s="17">
        <f t="array" ref="B6450">SUM(1-'Sparkling Model'!D$2:D$38^A6450)</f>
        <v>36.84920698</v>
      </c>
      <c r="C6450" s="8">
        <f t="array" ref="C6450">PRODUCT(1-'Sparkling Model'!D$2:D$38^A6450)</f>
        <v>0.8574579985</v>
      </c>
    </row>
    <row r="6451">
      <c r="A6451" s="6">
        <v>6449.0</v>
      </c>
      <c r="B6451" s="17">
        <f t="array" ref="B6451">SUM(1-'Sparkling Model'!D$2:D$38^A6451)</f>
        <v>36.84928609</v>
      </c>
      <c r="C6451" s="8">
        <f t="array" ref="C6451">PRODUCT(1-'Sparkling Model'!D$2:D$38^A6451)</f>
        <v>0.8575284133</v>
      </c>
    </row>
    <row r="6452">
      <c r="A6452" s="6">
        <v>6450.0</v>
      </c>
      <c r="B6452" s="17">
        <f t="array" ref="B6452">SUM(1-'Sparkling Model'!D$2:D$38^A6452)</f>
        <v>36.84936515</v>
      </c>
      <c r="C6452" s="8">
        <f t="array" ref="C6452">PRODUCT(1-'Sparkling Model'!D$2:D$38^A6452)</f>
        <v>0.8575987938</v>
      </c>
    </row>
    <row r="6453">
      <c r="A6453" s="6">
        <v>6451.0</v>
      </c>
      <c r="B6453" s="17">
        <f t="array" ref="B6453">SUM(1-'Sparkling Model'!D$2:D$38^A6453)</f>
        <v>36.84944417</v>
      </c>
      <c r="C6453" s="8">
        <f t="array" ref="C6453">PRODUCT(1-'Sparkling Model'!D$2:D$38^A6453)</f>
        <v>0.8576691401</v>
      </c>
    </row>
    <row r="6454">
      <c r="A6454" s="6">
        <v>6452.0</v>
      </c>
      <c r="B6454" s="17">
        <f t="array" ref="B6454">SUM(1-'Sparkling Model'!D$2:D$38^A6454)</f>
        <v>36.84952315</v>
      </c>
      <c r="C6454" s="8">
        <f t="array" ref="C6454">PRODUCT(1-'Sparkling Model'!D$2:D$38^A6454)</f>
        <v>0.8577394522</v>
      </c>
    </row>
    <row r="6455">
      <c r="A6455" s="6">
        <v>6453.0</v>
      </c>
      <c r="B6455" s="17">
        <f t="array" ref="B6455">SUM(1-'Sparkling Model'!D$2:D$38^A6455)</f>
        <v>36.84960209</v>
      </c>
      <c r="C6455" s="8">
        <f t="array" ref="C6455">PRODUCT(1-'Sparkling Model'!D$2:D$38^A6455)</f>
        <v>0.85780973</v>
      </c>
    </row>
    <row r="6456">
      <c r="A6456" s="6">
        <v>6454.0</v>
      </c>
      <c r="B6456" s="17">
        <f t="array" ref="B6456">SUM(1-'Sparkling Model'!D$2:D$38^A6456)</f>
        <v>36.84968098</v>
      </c>
      <c r="C6456" s="8">
        <f t="array" ref="C6456">PRODUCT(1-'Sparkling Model'!D$2:D$38^A6456)</f>
        <v>0.8578799737</v>
      </c>
    </row>
    <row r="6457">
      <c r="A6457" s="6">
        <v>6455.0</v>
      </c>
      <c r="B6457" s="17">
        <f t="array" ref="B6457">SUM(1-'Sparkling Model'!D$2:D$38^A6457)</f>
        <v>36.84975983</v>
      </c>
      <c r="C6457" s="8">
        <f t="array" ref="C6457">PRODUCT(1-'Sparkling Model'!D$2:D$38^A6457)</f>
        <v>0.8579501832</v>
      </c>
    </row>
    <row r="6458">
      <c r="A6458" s="6">
        <v>6456.0</v>
      </c>
      <c r="B6458" s="17">
        <f t="array" ref="B6458">SUM(1-'Sparkling Model'!D$2:D$38^A6458)</f>
        <v>36.84983864</v>
      </c>
      <c r="C6458" s="8">
        <f t="array" ref="C6458">PRODUCT(1-'Sparkling Model'!D$2:D$38^A6458)</f>
        <v>0.8580203585</v>
      </c>
    </row>
    <row r="6459">
      <c r="A6459" s="6">
        <v>6457.0</v>
      </c>
      <c r="B6459" s="17">
        <f t="array" ref="B6459">SUM(1-'Sparkling Model'!D$2:D$38^A6459)</f>
        <v>36.8499174</v>
      </c>
      <c r="C6459" s="8">
        <f t="array" ref="C6459">PRODUCT(1-'Sparkling Model'!D$2:D$38^A6459)</f>
        <v>0.8580904996</v>
      </c>
    </row>
    <row r="6460">
      <c r="A6460" s="6">
        <v>6458.0</v>
      </c>
      <c r="B6460" s="17">
        <f t="array" ref="B6460">SUM(1-'Sparkling Model'!D$2:D$38^A6460)</f>
        <v>36.84999612</v>
      </c>
      <c r="C6460" s="8">
        <f t="array" ref="C6460">PRODUCT(1-'Sparkling Model'!D$2:D$38^A6460)</f>
        <v>0.8581606067</v>
      </c>
    </row>
    <row r="6461">
      <c r="A6461" s="6">
        <v>6459.0</v>
      </c>
      <c r="B6461" s="17">
        <f t="array" ref="B6461">SUM(1-'Sparkling Model'!D$2:D$38^A6461)</f>
        <v>36.85007479</v>
      </c>
      <c r="C6461" s="8">
        <f t="array" ref="C6461">PRODUCT(1-'Sparkling Model'!D$2:D$38^A6461)</f>
        <v>0.8582306796</v>
      </c>
    </row>
    <row r="6462">
      <c r="A6462" s="6">
        <v>6460.0</v>
      </c>
      <c r="B6462" s="17">
        <f t="array" ref="B6462">SUM(1-'Sparkling Model'!D$2:D$38^A6462)</f>
        <v>36.85015342</v>
      </c>
      <c r="C6462" s="8">
        <f t="array" ref="C6462">PRODUCT(1-'Sparkling Model'!D$2:D$38^A6462)</f>
        <v>0.8583007184</v>
      </c>
    </row>
    <row r="6463">
      <c r="A6463" s="6">
        <v>6461.0</v>
      </c>
      <c r="B6463" s="17">
        <f t="array" ref="B6463">SUM(1-'Sparkling Model'!D$2:D$38^A6463)</f>
        <v>36.85023201</v>
      </c>
      <c r="C6463" s="8">
        <f t="array" ref="C6463">PRODUCT(1-'Sparkling Model'!D$2:D$38^A6463)</f>
        <v>0.8583707232</v>
      </c>
    </row>
    <row r="6464">
      <c r="A6464" s="6">
        <v>6462.0</v>
      </c>
      <c r="B6464" s="17">
        <f t="array" ref="B6464">SUM(1-'Sparkling Model'!D$2:D$38^A6464)</f>
        <v>36.85031056</v>
      </c>
      <c r="C6464" s="8">
        <f t="array" ref="C6464">PRODUCT(1-'Sparkling Model'!D$2:D$38^A6464)</f>
        <v>0.8584406939</v>
      </c>
    </row>
    <row r="6465">
      <c r="A6465" s="6">
        <v>6463.0</v>
      </c>
      <c r="B6465" s="17">
        <f t="array" ref="B6465">SUM(1-'Sparkling Model'!D$2:D$38^A6465)</f>
        <v>36.85038906</v>
      </c>
      <c r="C6465" s="8">
        <f t="array" ref="C6465">PRODUCT(1-'Sparkling Model'!D$2:D$38^A6465)</f>
        <v>0.8585106305</v>
      </c>
    </row>
    <row r="6466">
      <c r="A6466" s="6">
        <v>6464.0</v>
      </c>
      <c r="B6466" s="17">
        <f t="array" ref="B6466">SUM(1-'Sparkling Model'!D$2:D$38^A6466)</f>
        <v>36.85046752</v>
      </c>
      <c r="C6466" s="8">
        <f t="array" ref="C6466">PRODUCT(1-'Sparkling Model'!D$2:D$38^A6466)</f>
        <v>0.8585805331</v>
      </c>
    </row>
    <row r="6467">
      <c r="A6467" s="6">
        <v>6465.0</v>
      </c>
      <c r="B6467" s="17">
        <f t="array" ref="B6467">SUM(1-'Sparkling Model'!D$2:D$38^A6467)</f>
        <v>36.85054593</v>
      </c>
      <c r="C6467" s="8">
        <f t="array" ref="C6467">PRODUCT(1-'Sparkling Model'!D$2:D$38^A6467)</f>
        <v>0.8586504016</v>
      </c>
    </row>
    <row r="6468">
      <c r="A6468" s="6">
        <v>6466.0</v>
      </c>
      <c r="B6468" s="17">
        <f t="array" ref="B6468">SUM(1-'Sparkling Model'!D$2:D$38^A6468)</f>
        <v>36.8506243</v>
      </c>
      <c r="C6468" s="8">
        <f t="array" ref="C6468">PRODUCT(1-'Sparkling Model'!D$2:D$38^A6468)</f>
        <v>0.8587202362</v>
      </c>
    </row>
    <row r="6469">
      <c r="A6469" s="6">
        <v>6467.0</v>
      </c>
      <c r="B6469" s="17">
        <f t="array" ref="B6469">SUM(1-'Sparkling Model'!D$2:D$38^A6469)</f>
        <v>36.85070263</v>
      </c>
      <c r="C6469" s="8">
        <f t="array" ref="C6469">PRODUCT(1-'Sparkling Model'!D$2:D$38^A6469)</f>
        <v>0.8587900368</v>
      </c>
    </row>
    <row r="6470">
      <c r="A6470" s="6">
        <v>6468.0</v>
      </c>
      <c r="B6470" s="17">
        <f t="array" ref="B6470">SUM(1-'Sparkling Model'!D$2:D$38^A6470)</f>
        <v>36.85078092</v>
      </c>
      <c r="C6470" s="8">
        <f t="array" ref="C6470">PRODUCT(1-'Sparkling Model'!D$2:D$38^A6470)</f>
        <v>0.8588598034</v>
      </c>
    </row>
    <row r="6471">
      <c r="A6471" s="6">
        <v>6469.0</v>
      </c>
      <c r="B6471" s="17">
        <f t="array" ref="B6471">SUM(1-'Sparkling Model'!D$2:D$38^A6471)</f>
        <v>36.85085916</v>
      </c>
      <c r="C6471" s="8">
        <f t="array" ref="C6471">PRODUCT(1-'Sparkling Model'!D$2:D$38^A6471)</f>
        <v>0.8589295361</v>
      </c>
    </row>
    <row r="6472">
      <c r="A6472" s="6">
        <v>6470.0</v>
      </c>
      <c r="B6472" s="17">
        <f t="array" ref="B6472">SUM(1-'Sparkling Model'!D$2:D$38^A6472)</f>
        <v>36.85093736</v>
      </c>
      <c r="C6472" s="8">
        <f t="array" ref="C6472">PRODUCT(1-'Sparkling Model'!D$2:D$38^A6472)</f>
        <v>0.8589992348</v>
      </c>
    </row>
    <row r="6473">
      <c r="A6473" s="6">
        <v>6471.0</v>
      </c>
      <c r="B6473" s="17">
        <f t="array" ref="B6473">SUM(1-'Sparkling Model'!D$2:D$38^A6473)</f>
        <v>36.85101552</v>
      </c>
      <c r="C6473" s="8">
        <f t="array" ref="C6473">PRODUCT(1-'Sparkling Model'!D$2:D$38^A6473)</f>
        <v>0.8590688996</v>
      </c>
    </row>
    <row r="6474">
      <c r="A6474" s="6">
        <v>6472.0</v>
      </c>
      <c r="B6474" s="17">
        <f t="array" ref="B6474">SUM(1-'Sparkling Model'!D$2:D$38^A6474)</f>
        <v>36.85109363</v>
      </c>
      <c r="C6474" s="8">
        <f t="array" ref="C6474">PRODUCT(1-'Sparkling Model'!D$2:D$38^A6474)</f>
        <v>0.8591385304</v>
      </c>
    </row>
    <row r="6475">
      <c r="A6475" s="6">
        <v>6473.0</v>
      </c>
      <c r="B6475" s="17">
        <f t="array" ref="B6475">SUM(1-'Sparkling Model'!D$2:D$38^A6475)</f>
        <v>36.8511717</v>
      </c>
      <c r="C6475" s="8">
        <f t="array" ref="C6475">PRODUCT(1-'Sparkling Model'!D$2:D$38^A6475)</f>
        <v>0.8592081274</v>
      </c>
    </row>
    <row r="6476">
      <c r="A6476" s="6">
        <v>6474.0</v>
      </c>
      <c r="B6476" s="17">
        <f t="array" ref="B6476">SUM(1-'Sparkling Model'!D$2:D$38^A6476)</f>
        <v>36.85124973</v>
      </c>
      <c r="C6476" s="8">
        <f t="array" ref="C6476">PRODUCT(1-'Sparkling Model'!D$2:D$38^A6476)</f>
        <v>0.8592776906</v>
      </c>
    </row>
    <row r="6477">
      <c r="A6477" s="6">
        <v>6475.0</v>
      </c>
      <c r="B6477" s="17">
        <f t="array" ref="B6477">SUM(1-'Sparkling Model'!D$2:D$38^A6477)</f>
        <v>36.85132771</v>
      </c>
      <c r="C6477" s="8">
        <f t="array" ref="C6477">PRODUCT(1-'Sparkling Model'!D$2:D$38^A6477)</f>
        <v>0.8593472198</v>
      </c>
    </row>
    <row r="6478">
      <c r="A6478" s="6">
        <v>6476.0</v>
      </c>
      <c r="B6478" s="17">
        <f t="array" ref="B6478">SUM(1-'Sparkling Model'!D$2:D$38^A6478)</f>
        <v>36.85140565</v>
      </c>
      <c r="C6478" s="8">
        <f t="array" ref="C6478">PRODUCT(1-'Sparkling Model'!D$2:D$38^A6478)</f>
        <v>0.8594167152</v>
      </c>
    </row>
    <row r="6479">
      <c r="A6479" s="6">
        <v>6477.0</v>
      </c>
      <c r="B6479" s="17">
        <f t="array" ref="B6479">SUM(1-'Sparkling Model'!D$2:D$38^A6479)</f>
        <v>36.85148355</v>
      </c>
      <c r="C6479" s="8">
        <f t="array" ref="C6479">PRODUCT(1-'Sparkling Model'!D$2:D$38^A6479)</f>
        <v>0.8594861768</v>
      </c>
    </row>
    <row r="6480">
      <c r="A6480" s="6">
        <v>6478.0</v>
      </c>
      <c r="B6480" s="17">
        <f t="array" ref="B6480">SUM(1-'Sparkling Model'!D$2:D$38^A6480)</f>
        <v>36.85156141</v>
      </c>
      <c r="C6480" s="8">
        <f t="array" ref="C6480">PRODUCT(1-'Sparkling Model'!D$2:D$38^A6480)</f>
        <v>0.8595556046</v>
      </c>
    </row>
    <row r="6481">
      <c r="A6481" s="6">
        <v>6479.0</v>
      </c>
      <c r="B6481" s="17">
        <f t="array" ref="B6481">SUM(1-'Sparkling Model'!D$2:D$38^A6481)</f>
        <v>36.85163922</v>
      </c>
      <c r="C6481" s="8">
        <f t="array" ref="C6481">PRODUCT(1-'Sparkling Model'!D$2:D$38^A6481)</f>
        <v>0.8596249985</v>
      </c>
    </row>
    <row r="6482">
      <c r="A6482" s="6">
        <v>6480.0</v>
      </c>
      <c r="B6482" s="17">
        <f t="array" ref="B6482">SUM(1-'Sparkling Model'!D$2:D$38^A6482)</f>
        <v>36.85171699</v>
      </c>
      <c r="C6482" s="8">
        <f t="array" ref="C6482">PRODUCT(1-'Sparkling Model'!D$2:D$38^A6482)</f>
        <v>0.8596943587</v>
      </c>
    </row>
    <row r="6483">
      <c r="A6483" s="6">
        <v>6481.0</v>
      </c>
      <c r="B6483" s="17">
        <f t="array" ref="B6483">SUM(1-'Sparkling Model'!D$2:D$38^A6483)</f>
        <v>36.85179472</v>
      </c>
      <c r="C6483" s="8">
        <f t="array" ref="C6483">PRODUCT(1-'Sparkling Model'!D$2:D$38^A6483)</f>
        <v>0.8597636851</v>
      </c>
    </row>
    <row r="6484">
      <c r="A6484" s="6">
        <v>6482.0</v>
      </c>
      <c r="B6484" s="17">
        <f t="array" ref="B6484">SUM(1-'Sparkling Model'!D$2:D$38^A6484)</f>
        <v>36.8518724</v>
      </c>
      <c r="C6484" s="8">
        <f t="array" ref="C6484">PRODUCT(1-'Sparkling Model'!D$2:D$38^A6484)</f>
        <v>0.8598329778</v>
      </c>
    </row>
    <row r="6485">
      <c r="A6485" s="6">
        <v>6483.0</v>
      </c>
      <c r="B6485" s="17">
        <f t="array" ref="B6485">SUM(1-'Sparkling Model'!D$2:D$38^A6485)</f>
        <v>36.85195004</v>
      </c>
      <c r="C6485" s="8">
        <f t="array" ref="C6485">PRODUCT(1-'Sparkling Model'!D$2:D$38^A6485)</f>
        <v>0.8599022367</v>
      </c>
    </row>
    <row r="6486">
      <c r="A6486" s="6">
        <v>6484.0</v>
      </c>
      <c r="B6486" s="17">
        <f t="array" ref="B6486">SUM(1-'Sparkling Model'!D$2:D$38^A6486)</f>
        <v>36.85202764</v>
      </c>
      <c r="C6486" s="8">
        <f t="array" ref="C6486">PRODUCT(1-'Sparkling Model'!D$2:D$38^A6486)</f>
        <v>0.8599714619</v>
      </c>
    </row>
    <row r="6487">
      <c r="A6487" s="6">
        <v>6485.0</v>
      </c>
      <c r="B6487" s="17">
        <f t="array" ref="B6487">SUM(1-'Sparkling Model'!D$2:D$38^A6487)</f>
        <v>36.8521052</v>
      </c>
      <c r="C6487" s="8">
        <f t="array" ref="C6487">PRODUCT(1-'Sparkling Model'!D$2:D$38^A6487)</f>
        <v>0.8600406535</v>
      </c>
    </row>
    <row r="6488">
      <c r="A6488" s="6">
        <v>6486.0</v>
      </c>
      <c r="B6488" s="17">
        <f t="array" ref="B6488">SUM(1-'Sparkling Model'!D$2:D$38^A6488)</f>
        <v>36.85218271</v>
      </c>
      <c r="C6488" s="8">
        <f t="array" ref="C6488">PRODUCT(1-'Sparkling Model'!D$2:D$38^A6488)</f>
        <v>0.8601098113</v>
      </c>
    </row>
    <row r="6489">
      <c r="A6489" s="6">
        <v>6487.0</v>
      </c>
      <c r="B6489" s="17">
        <f t="array" ref="B6489">SUM(1-'Sparkling Model'!D$2:D$38^A6489)</f>
        <v>36.85226018</v>
      </c>
      <c r="C6489" s="8">
        <f t="array" ref="C6489">PRODUCT(1-'Sparkling Model'!D$2:D$38^A6489)</f>
        <v>0.8601789354</v>
      </c>
    </row>
    <row r="6490">
      <c r="A6490" s="6">
        <v>6488.0</v>
      </c>
      <c r="B6490" s="17">
        <f t="array" ref="B6490">SUM(1-'Sparkling Model'!D$2:D$38^A6490)</f>
        <v>36.85233761</v>
      </c>
      <c r="C6490" s="8">
        <f t="array" ref="C6490">PRODUCT(1-'Sparkling Model'!D$2:D$38^A6490)</f>
        <v>0.8602480259</v>
      </c>
    </row>
    <row r="6491">
      <c r="A6491" s="6">
        <v>6489.0</v>
      </c>
      <c r="B6491" s="17">
        <f t="array" ref="B6491">SUM(1-'Sparkling Model'!D$2:D$38^A6491)</f>
        <v>36.85241499</v>
      </c>
      <c r="C6491" s="8">
        <f t="array" ref="C6491">PRODUCT(1-'Sparkling Model'!D$2:D$38^A6491)</f>
        <v>0.8603170828</v>
      </c>
    </row>
    <row r="6492">
      <c r="A6492" s="6">
        <v>6490.0</v>
      </c>
      <c r="B6492" s="17">
        <f t="array" ref="B6492">SUM(1-'Sparkling Model'!D$2:D$38^A6492)</f>
        <v>36.85249234</v>
      </c>
      <c r="C6492" s="8">
        <f t="array" ref="C6492">PRODUCT(1-'Sparkling Model'!D$2:D$38^A6492)</f>
        <v>0.860386106</v>
      </c>
    </row>
    <row r="6493">
      <c r="A6493" s="6">
        <v>6491.0</v>
      </c>
      <c r="B6493" s="17">
        <f t="array" ref="B6493">SUM(1-'Sparkling Model'!D$2:D$38^A6493)</f>
        <v>36.85256964</v>
      </c>
      <c r="C6493" s="8">
        <f t="array" ref="C6493">PRODUCT(1-'Sparkling Model'!D$2:D$38^A6493)</f>
        <v>0.8604550956</v>
      </c>
    </row>
    <row r="6494">
      <c r="A6494" s="6">
        <v>6492.0</v>
      </c>
      <c r="B6494" s="17">
        <f t="array" ref="B6494">SUM(1-'Sparkling Model'!D$2:D$38^A6494)</f>
        <v>36.85264689</v>
      </c>
      <c r="C6494" s="8">
        <f t="array" ref="C6494">PRODUCT(1-'Sparkling Model'!D$2:D$38^A6494)</f>
        <v>0.8605240517</v>
      </c>
    </row>
    <row r="6495">
      <c r="A6495" s="6">
        <v>6493.0</v>
      </c>
      <c r="B6495" s="17">
        <f t="array" ref="B6495">SUM(1-'Sparkling Model'!D$2:D$38^A6495)</f>
        <v>36.85272411</v>
      </c>
      <c r="C6495" s="8">
        <f t="array" ref="C6495">PRODUCT(1-'Sparkling Model'!D$2:D$38^A6495)</f>
        <v>0.8605929741</v>
      </c>
    </row>
    <row r="6496">
      <c r="A6496" s="6">
        <v>6494.0</v>
      </c>
      <c r="B6496" s="17">
        <f t="array" ref="B6496">SUM(1-'Sparkling Model'!D$2:D$38^A6496)</f>
        <v>36.85280128</v>
      </c>
      <c r="C6496" s="8">
        <f t="array" ref="C6496">PRODUCT(1-'Sparkling Model'!D$2:D$38^A6496)</f>
        <v>0.860661863</v>
      </c>
    </row>
    <row r="6497">
      <c r="A6497" s="6">
        <v>6495.0</v>
      </c>
      <c r="B6497" s="17">
        <f t="array" ref="B6497">SUM(1-'Sparkling Model'!D$2:D$38^A6497)</f>
        <v>36.85287841</v>
      </c>
      <c r="C6497" s="8">
        <f t="array" ref="C6497">PRODUCT(1-'Sparkling Model'!D$2:D$38^A6497)</f>
        <v>0.8607307183</v>
      </c>
    </row>
    <row r="6498">
      <c r="A6498" s="6">
        <v>6496.0</v>
      </c>
      <c r="B6498" s="17">
        <f t="array" ref="B6498">SUM(1-'Sparkling Model'!D$2:D$38^A6498)</f>
        <v>36.8529555</v>
      </c>
      <c r="C6498" s="8">
        <f t="array" ref="C6498">PRODUCT(1-'Sparkling Model'!D$2:D$38^A6498)</f>
        <v>0.8607995402</v>
      </c>
    </row>
    <row r="6499">
      <c r="A6499" s="6">
        <v>6497.0</v>
      </c>
      <c r="B6499" s="17">
        <f t="array" ref="B6499">SUM(1-'Sparkling Model'!D$2:D$38^A6499)</f>
        <v>36.85303255</v>
      </c>
      <c r="C6499" s="8">
        <f t="array" ref="C6499">PRODUCT(1-'Sparkling Model'!D$2:D$38^A6499)</f>
        <v>0.8608683285</v>
      </c>
    </row>
    <row r="6500">
      <c r="A6500" s="6">
        <v>6498.0</v>
      </c>
      <c r="B6500" s="17">
        <f t="array" ref="B6500">SUM(1-'Sparkling Model'!D$2:D$38^A6500)</f>
        <v>36.85310955</v>
      </c>
      <c r="C6500" s="8">
        <f t="array" ref="C6500">PRODUCT(1-'Sparkling Model'!D$2:D$38^A6500)</f>
        <v>0.8609370833</v>
      </c>
    </row>
    <row r="6501">
      <c r="A6501" s="6">
        <v>6499.0</v>
      </c>
      <c r="B6501" s="17">
        <f t="array" ref="B6501">SUM(1-'Sparkling Model'!D$2:D$38^A6501)</f>
        <v>36.85318651</v>
      </c>
      <c r="C6501" s="8">
        <f t="array" ref="C6501">PRODUCT(1-'Sparkling Model'!D$2:D$38^A6501)</f>
        <v>0.8610058046</v>
      </c>
    </row>
    <row r="6502">
      <c r="A6502" s="6">
        <v>6500.0</v>
      </c>
      <c r="B6502" s="17">
        <f t="array" ref="B6502">SUM(1-'Sparkling Model'!D$2:D$38^A6502)</f>
        <v>36.85326343</v>
      </c>
      <c r="C6502" s="8">
        <f t="array" ref="C6502">PRODUCT(1-'Sparkling Model'!D$2:D$38^A6502)</f>
        <v>0.8610744924</v>
      </c>
    </row>
    <row r="6503">
      <c r="A6503" s="6">
        <v>6501.0</v>
      </c>
      <c r="B6503" s="17">
        <f t="array" ref="B6503">SUM(1-'Sparkling Model'!D$2:D$38^A6503)</f>
        <v>36.8533403</v>
      </c>
      <c r="C6503" s="8">
        <f t="array" ref="C6503">PRODUCT(1-'Sparkling Model'!D$2:D$38^A6503)</f>
        <v>0.8611431468</v>
      </c>
    </row>
    <row r="6504">
      <c r="A6504" s="6">
        <v>6502.0</v>
      </c>
      <c r="B6504" s="17">
        <f t="array" ref="B6504">SUM(1-'Sparkling Model'!D$2:D$38^A6504)</f>
        <v>36.85341714</v>
      </c>
      <c r="C6504" s="8">
        <f t="array" ref="C6504">PRODUCT(1-'Sparkling Model'!D$2:D$38^A6504)</f>
        <v>0.8612117678</v>
      </c>
    </row>
    <row r="6505">
      <c r="A6505" s="6">
        <v>6503.0</v>
      </c>
      <c r="B6505" s="17">
        <f t="array" ref="B6505">SUM(1-'Sparkling Model'!D$2:D$38^A6505)</f>
        <v>36.85349393</v>
      </c>
      <c r="C6505" s="8">
        <f t="array" ref="C6505">PRODUCT(1-'Sparkling Model'!D$2:D$38^A6505)</f>
        <v>0.8612803553</v>
      </c>
    </row>
    <row r="6506">
      <c r="A6506" s="6">
        <v>6504.0</v>
      </c>
      <c r="B6506" s="17">
        <f t="array" ref="B6506">SUM(1-'Sparkling Model'!D$2:D$38^A6506)</f>
        <v>36.85357068</v>
      </c>
      <c r="C6506" s="8">
        <f t="array" ref="C6506">PRODUCT(1-'Sparkling Model'!D$2:D$38^A6506)</f>
        <v>0.8613489094</v>
      </c>
    </row>
    <row r="6507">
      <c r="A6507" s="6">
        <v>6505.0</v>
      </c>
      <c r="B6507" s="17">
        <f t="array" ref="B6507">SUM(1-'Sparkling Model'!D$2:D$38^A6507)</f>
        <v>36.85364739</v>
      </c>
      <c r="C6507" s="8">
        <f t="array" ref="C6507">PRODUCT(1-'Sparkling Model'!D$2:D$38^A6507)</f>
        <v>0.8614174301</v>
      </c>
    </row>
    <row r="6508">
      <c r="A6508" s="6">
        <v>6506.0</v>
      </c>
      <c r="B6508" s="17">
        <f t="array" ref="B6508">SUM(1-'Sparkling Model'!D$2:D$38^A6508)</f>
        <v>36.85372405</v>
      </c>
      <c r="C6508" s="8">
        <f t="array" ref="C6508">PRODUCT(1-'Sparkling Model'!D$2:D$38^A6508)</f>
        <v>0.8614859175</v>
      </c>
    </row>
    <row r="6509">
      <c r="A6509" s="6">
        <v>6507.0</v>
      </c>
      <c r="B6509" s="17">
        <f t="array" ref="B6509">SUM(1-'Sparkling Model'!D$2:D$38^A6509)</f>
        <v>36.85380067</v>
      </c>
      <c r="C6509" s="8">
        <f t="array" ref="C6509">PRODUCT(1-'Sparkling Model'!D$2:D$38^A6509)</f>
        <v>0.8615543715</v>
      </c>
    </row>
    <row r="6510">
      <c r="A6510" s="6">
        <v>6508.0</v>
      </c>
      <c r="B6510" s="17">
        <f t="array" ref="B6510">SUM(1-'Sparkling Model'!D$2:D$38^A6510)</f>
        <v>36.85387725</v>
      </c>
      <c r="C6510" s="8">
        <f t="array" ref="C6510">PRODUCT(1-'Sparkling Model'!D$2:D$38^A6510)</f>
        <v>0.8616227922</v>
      </c>
    </row>
    <row r="6511">
      <c r="A6511" s="6">
        <v>6509.0</v>
      </c>
      <c r="B6511" s="17">
        <f t="array" ref="B6511">SUM(1-'Sparkling Model'!D$2:D$38^A6511)</f>
        <v>36.85395379</v>
      </c>
      <c r="C6511" s="8">
        <f t="array" ref="C6511">PRODUCT(1-'Sparkling Model'!D$2:D$38^A6511)</f>
        <v>0.8616911795</v>
      </c>
    </row>
    <row r="6512">
      <c r="A6512" s="6">
        <v>6510.0</v>
      </c>
      <c r="B6512" s="17">
        <f t="array" ref="B6512">SUM(1-'Sparkling Model'!D$2:D$38^A6512)</f>
        <v>36.85403029</v>
      </c>
      <c r="C6512" s="8">
        <f t="array" ref="C6512">PRODUCT(1-'Sparkling Model'!D$2:D$38^A6512)</f>
        <v>0.8617595335</v>
      </c>
    </row>
    <row r="6513">
      <c r="A6513" s="6">
        <v>6511.0</v>
      </c>
      <c r="B6513" s="17">
        <f t="array" ref="B6513">SUM(1-'Sparkling Model'!D$2:D$38^A6513)</f>
        <v>36.85410674</v>
      </c>
      <c r="C6513" s="8">
        <f t="array" ref="C6513">PRODUCT(1-'Sparkling Model'!D$2:D$38^A6513)</f>
        <v>0.8618278542</v>
      </c>
    </row>
    <row r="6514">
      <c r="A6514" s="6">
        <v>6512.0</v>
      </c>
      <c r="B6514" s="17">
        <f t="array" ref="B6514">SUM(1-'Sparkling Model'!D$2:D$38^A6514)</f>
        <v>36.85418315</v>
      </c>
      <c r="C6514" s="8">
        <f t="array" ref="C6514">PRODUCT(1-'Sparkling Model'!D$2:D$38^A6514)</f>
        <v>0.8618961417</v>
      </c>
    </row>
    <row r="6515">
      <c r="A6515" s="6">
        <v>6513.0</v>
      </c>
      <c r="B6515" s="17">
        <f t="array" ref="B6515">SUM(1-'Sparkling Model'!D$2:D$38^A6515)</f>
        <v>36.85425952</v>
      </c>
      <c r="C6515" s="8">
        <f t="array" ref="C6515">PRODUCT(1-'Sparkling Model'!D$2:D$38^A6515)</f>
        <v>0.8619643959</v>
      </c>
    </row>
    <row r="6516">
      <c r="A6516" s="6">
        <v>6514.0</v>
      </c>
      <c r="B6516" s="17">
        <f t="array" ref="B6516">SUM(1-'Sparkling Model'!D$2:D$38^A6516)</f>
        <v>36.85433585</v>
      </c>
      <c r="C6516" s="8">
        <f t="array" ref="C6516">PRODUCT(1-'Sparkling Model'!D$2:D$38^A6516)</f>
        <v>0.8620326168</v>
      </c>
    </row>
    <row r="6517">
      <c r="A6517" s="6">
        <v>6515.0</v>
      </c>
      <c r="B6517" s="17">
        <f t="array" ref="B6517">SUM(1-'Sparkling Model'!D$2:D$38^A6517)</f>
        <v>36.85441214</v>
      </c>
      <c r="C6517" s="8">
        <f t="array" ref="C6517">PRODUCT(1-'Sparkling Model'!D$2:D$38^A6517)</f>
        <v>0.8621008045</v>
      </c>
    </row>
    <row r="6518">
      <c r="A6518" s="6">
        <v>6516.0</v>
      </c>
      <c r="B6518" s="17">
        <f t="array" ref="B6518">SUM(1-'Sparkling Model'!D$2:D$38^A6518)</f>
        <v>36.85448838</v>
      </c>
      <c r="C6518" s="8">
        <f t="array" ref="C6518">PRODUCT(1-'Sparkling Model'!D$2:D$38^A6518)</f>
        <v>0.8621689589</v>
      </c>
    </row>
    <row r="6519">
      <c r="A6519" s="6">
        <v>6517.0</v>
      </c>
      <c r="B6519" s="17">
        <f t="array" ref="B6519">SUM(1-'Sparkling Model'!D$2:D$38^A6519)</f>
        <v>36.85456459</v>
      </c>
      <c r="C6519" s="8">
        <f t="array" ref="C6519">PRODUCT(1-'Sparkling Model'!D$2:D$38^A6519)</f>
        <v>0.8622370802</v>
      </c>
    </row>
    <row r="6520">
      <c r="A6520" s="6">
        <v>6518.0</v>
      </c>
      <c r="B6520" s="17">
        <f t="array" ref="B6520">SUM(1-'Sparkling Model'!D$2:D$38^A6520)</f>
        <v>36.85464075</v>
      </c>
      <c r="C6520" s="8">
        <f t="array" ref="C6520">PRODUCT(1-'Sparkling Model'!D$2:D$38^A6520)</f>
        <v>0.8623051683</v>
      </c>
    </row>
    <row r="6521">
      <c r="A6521" s="6">
        <v>6519.0</v>
      </c>
      <c r="B6521" s="17">
        <f t="array" ref="B6521">SUM(1-'Sparkling Model'!D$2:D$38^A6521)</f>
        <v>36.85471687</v>
      </c>
      <c r="C6521" s="8">
        <f t="array" ref="C6521">PRODUCT(1-'Sparkling Model'!D$2:D$38^A6521)</f>
        <v>0.8623732232</v>
      </c>
    </row>
    <row r="6522">
      <c r="A6522" s="6">
        <v>6520.0</v>
      </c>
      <c r="B6522" s="17">
        <f t="array" ref="B6522">SUM(1-'Sparkling Model'!D$2:D$38^A6522)</f>
        <v>36.85479294</v>
      </c>
      <c r="C6522" s="8">
        <f t="array" ref="C6522">PRODUCT(1-'Sparkling Model'!D$2:D$38^A6522)</f>
        <v>0.8624412449</v>
      </c>
    </row>
    <row r="6523">
      <c r="A6523" s="6">
        <v>6521.0</v>
      </c>
      <c r="B6523" s="17">
        <f t="array" ref="B6523">SUM(1-'Sparkling Model'!D$2:D$38^A6523)</f>
        <v>36.85486898</v>
      </c>
      <c r="C6523" s="8">
        <f t="array" ref="C6523">PRODUCT(1-'Sparkling Model'!D$2:D$38^A6523)</f>
        <v>0.8625092335</v>
      </c>
    </row>
    <row r="6524">
      <c r="A6524" s="6">
        <v>6522.0</v>
      </c>
      <c r="B6524" s="17">
        <f t="array" ref="B6524">SUM(1-'Sparkling Model'!D$2:D$38^A6524)</f>
        <v>36.85494497</v>
      </c>
      <c r="C6524" s="8">
        <f t="array" ref="C6524">PRODUCT(1-'Sparkling Model'!D$2:D$38^A6524)</f>
        <v>0.862577189</v>
      </c>
    </row>
    <row r="6525">
      <c r="A6525" s="6">
        <v>6523.0</v>
      </c>
      <c r="B6525" s="17">
        <f t="array" ref="B6525">SUM(1-'Sparkling Model'!D$2:D$38^A6525)</f>
        <v>36.85502092</v>
      </c>
      <c r="C6525" s="8">
        <f t="array" ref="C6525">PRODUCT(1-'Sparkling Model'!D$2:D$38^A6525)</f>
        <v>0.8626451114</v>
      </c>
    </row>
    <row r="6526">
      <c r="A6526" s="6">
        <v>6524.0</v>
      </c>
      <c r="B6526" s="17">
        <f t="array" ref="B6526">SUM(1-'Sparkling Model'!D$2:D$38^A6526)</f>
        <v>36.85509683</v>
      </c>
      <c r="C6526" s="8">
        <f t="array" ref="C6526">PRODUCT(1-'Sparkling Model'!D$2:D$38^A6526)</f>
        <v>0.8627130007</v>
      </c>
    </row>
    <row r="6527">
      <c r="A6527" s="6">
        <v>6525.0</v>
      </c>
      <c r="B6527" s="17">
        <f t="array" ref="B6527">SUM(1-'Sparkling Model'!D$2:D$38^A6527)</f>
        <v>36.8551727</v>
      </c>
      <c r="C6527" s="8">
        <f t="array" ref="C6527">PRODUCT(1-'Sparkling Model'!D$2:D$38^A6527)</f>
        <v>0.8627808569</v>
      </c>
    </row>
    <row r="6528">
      <c r="A6528" s="6">
        <v>6526.0</v>
      </c>
      <c r="B6528" s="17">
        <f t="array" ref="B6528">SUM(1-'Sparkling Model'!D$2:D$38^A6528)</f>
        <v>36.85524853</v>
      </c>
      <c r="C6528" s="8">
        <f t="array" ref="C6528">PRODUCT(1-'Sparkling Model'!D$2:D$38^A6528)</f>
        <v>0.86284868</v>
      </c>
    </row>
    <row r="6529">
      <c r="A6529" s="6">
        <v>6527.0</v>
      </c>
      <c r="B6529" s="17">
        <f t="array" ref="B6529">SUM(1-'Sparkling Model'!D$2:D$38^A6529)</f>
        <v>36.85532431</v>
      </c>
      <c r="C6529" s="8">
        <f t="array" ref="C6529">PRODUCT(1-'Sparkling Model'!D$2:D$38^A6529)</f>
        <v>0.8629164701</v>
      </c>
    </row>
    <row r="6530">
      <c r="A6530" s="6">
        <v>6528.0</v>
      </c>
      <c r="B6530" s="17">
        <f t="array" ref="B6530">SUM(1-'Sparkling Model'!D$2:D$38^A6530)</f>
        <v>36.85540006</v>
      </c>
      <c r="C6530" s="8">
        <f t="array" ref="C6530">PRODUCT(1-'Sparkling Model'!D$2:D$38^A6530)</f>
        <v>0.8629842271</v>
      </c>
    </row>
    <row r="6531">
      <c r="A6531" s="6">
        <v>6529.0</v>
      </c>
      <c r="B6531" s="17">
        <f t="array" ref="B6531">SUM(1-'Sparkling Model'!D$2:D$38^A6531)</f>
        <v>36.85547576</v>
      </c>
      <c r="C6531" s="8">
        <f t="array" ref="C6531">PRODUCT(1-'Sparkling Model'!D$2:D$38^A6531)</f>
        <v>0.8630519512</v>
      </c>
    </row>
    <row r="6532">
      <c r="A6532" s="6">
        <v>6530.0</v>
      </c>
      <c r="B6532" s="17">
        <f t="array" ref="B6532">SUM(1-'Sparkling Model'!D$2:D$38^A6532)</f>
        <v>36.85555142</v>
      </c>
      <c r="C6532" s="8">
        <f t="array" ref="C6532">PRODUCT(1-'Sparkling Model'!D$2:D$38^A6532)</f>
        <v>0.8631196422</v>
      </c>
    </row>
    <row r="6533">
      <c r="A6533" s="6">
        <v>6531.0</v>
      </c>
      <c r="B6533" s="17">
        <f t="array" ref="B6533">SUM(1-'Sparkling Model'!D$2:D$38^A6533)</f>
        <v>36.85562704</v>
      </c>
      <c r="C6533" s="8">
        <f t="array" ref="C6533">PRODUCT(1-'Sparkling Model'!D$2:D$38^A6533)</f>
        <v>0.8631873002</v>
      </c>
    </row>
    <row r="6534">
      <c r="A6534" s="6">
        <v>6532.0</v>
      </c>
      <c r="B6534" s="17">
        <f t="array" ref="B6534">SUM(1-'Sparkling Model'!D$2:D$38^A6534)</f>
        <v>36.85570261</v>
      </c>
      <c r="C6534" s="8">
        <f t="array" ref="C6534">PRODUCT(1-'Sparkling Model'!D$2:D$38^A6534)</f>
        <v>0.8632549253</v>
      </c>
    </row>
    <row r="6535">
      <c r="A6535" s="6">
        <v>6533.0</v>
      </c>
      <c r="B6535" s="17">
        <f t="array" ref="B6535">SUM(1-'Sparkling Model'!D$2:D$38^A6535)</f>
        <v>36.85577815</v>
      </c>
      <c r="C6535" s="8">
        <f t="array" ref="C6535">PRODUCT(1-'Sparkling Model'!D$2:D$38^A6535)</f>
        <v>0.8633225174</v>
      </c>
    </row>
    <row r="6536">
      <c r="A6536" s="6">
        <v>6534.0</v>
      </c>
      <c r="B6536" s="17">
        <f t="array" ref="B6536">SUM(1-'Sparkling Model'!D$2:D$38^A6536)</f>
        <v>36.85585364</v>
      </c>
      <c r="C6536" s="8">
        <f t="array" ref="C6536">PRODUCT(1-'Sparkling Model'!D$2:D$38^A6536)</f>
        <v>0.8633900766</v>
      </c>
    </row>
    <row r="6537">
      <c r="A6537" s="6">
        <v>6535.0</v>
      </c>
      <c r="B6537" s="17">
        <f t="array" ref="B6537">SUM(1-'Sparkling Model'!D$2:D$38^A6537)</f>
        <v>36.85592909</v>
      </c>
      <c r="C6537" s="8">
        <f t="array" ref="C6537">PRODUCT(1-'Sparkling Model'!D$2:D$38^A6537)</f>
        <v>0.8634576028</v>
      </c>
    </row>
    <row r="6538">
      <c r="A6538" s="6">
        <v>6536.0</v>
      </c>
      <c r="B6538" s="17">
        <f t="array" ref="B6538">SUM(1-'Sparkling Model'!D$2:D$38^A6538)</f>
        <v>36.85600451</v>
      </c>
      <c r="C6538" s="8">
        <f t="array" ref="C6538">PRODUCT(1-'Sparkling Model'!D$2:D$38^A6538)</f>
        <v>0.8635250962</v>
      </c>
    </row>
    <row r="6539">
      <c r="A6539" s="6">
        <v>6537.0</v>
      </c>
      <c r="B6539" s="17">
        <f t="array" ref="B6539">SUM(1-'Sparkling Model'!D$2:D$38^A6539)</f>
        <v>36.85607988</v>
      </c>
      <c r="C6539" s="8">
        <f t="array" ref="C6539">PRODUCT(1-'Sparkling Model'!D$2:D$38^A6539)</f>
        <v>0.8635925566</v>
      </c>
    </row>
    <row r="6540">
      <c r="A6540" s="6">
        <v>6538.0</v>
      </c>
      <c r="B6540" s="17">
        <f t="array" ref="B6540">SUM(1-'Sparkling Model'!D$2:D$38^A6540)</f>
        <v>36.8561552</v>
      </c>
      <c r="C6540" s="8">
        <f t="array" ref="C6540">PRODUCT(1-'Sparkling Model'!D$2:D$38^A6540)</f>
        <v>0.8636599842</v>
      </c>
    </row>
    <row r="6541">
      <c r="A6541" s="6">
        <v>6539.0</v>
      </c>
      <c r="B6541" s="17">
        <f t="array" ref="B6541">SUM(1-'Sparkling Model'!D$2:D$38^A6541)</f>
        <v>36.85623049</v>
      </c>
      <c r="C6541" s="8">
        <f t="array" ref="C6541">PRODUCT(1-'Sparkling Model'!D$2:D$38^A6541)</f>
        <v>0.8637273789</v>
      </c>
    </row>
    <row r="6542">
      <c r="A6542" s="6">
        <v>6540.0</v>
      </c>
      <c r="B6542" s="17">
        <f t="array" ref="B6542">SUM(1-'Sparkling Model'!D$2:D$38^A6542)</f>
        <v>36.85630574</v>
      </c>
      <c r="C6542" s="8">
        <f t="array" ref="C6542">PRODUCT(1-'Sparkling Model'!D$2:D$38^A6542)</f>
        <v>0.8637947407</v>
      </c>
    </row>
    <row r="6543">
      <c r="A6543" s="6">
        <v>6541.0</v>
      </c>
      <c r="B6543" s="17">
        <f t="array" ref="B6543">SUM(1-'Sparkling Model'!D$2:D$38^A6543)</f>
        <v>36.85638094</v>
      </c>
      <c r="C6543" s="8">
        <f t="array" ref="C6543">PRODUCT(1-'Sparkling Model'!D$2:D$38^A6543)</f>
        <v>0.8638620697</v>
      </c>
    </row>
    <row r="6544">
      <c r="A6544" s="6">
        <v>6542.0</v>
      </c>
      <c r="B6544" s="17">
        <f t="array" ref="B6544">SUM(1-'Sparkling Model'!D$2:D$38^A6544)</f>
        <v>36.8564561</v>
      </c>
      <c r="C6544" s="8">
        <f t="array" ref="C6544">PRODUCT(1-'Sparkling Model'!D$2:D$38^A6544)</f>
        <v>0.8639293659</v>
      </c>
    </row>
    <row r="6545">
      <c r="A6545" s="6">
        <v>6543.0</v>
      </c>
      <c r="B6545" s="17">
        <f t="array" ref="B6545">SUM(1-'Sparkling Model'!D$2:D$38^A6545)</f>
        <v>36.85653123</v>
      </c>
      <c r="C6545" s="8">
        <f t="array" ref="C6545">PRODUCT(1-'Sparkling Model'!D$2:D$38^A6545)</f>
        <v>0.8639966293</v>
      </c>
    </row>
    <row r="6546">
      <c r="A6546" s="6">
        <v>6544.0</v>
      </c>
      <c r="B6546" s="17">
        <f t="array" ref="B6546">SUM(1-'Sparkling Model'!D$2:D$38^A6546)</f>
        <v>36.85660631</v>
      </c>
      <c r="C6546" s="8">
        <f t="array" ref="C6546">PRODUCT(1-'Sparkling Model'!D$2:D$38^A6546)</f>
        <v>0.8640638599</v>
      </c>
    </row>
    <row r="6547">
      <c r="A6547" s="6">
        <v>6545.0</v>
      </c>
      <c r="B6547" s="17">
        <f t="array" ref="B6547">SUM(1-'Sparkling Model'!D$2:D$38^A6547)</f>
        <v>36.85668135</v>
      </c>
      <c r="C6547" s="8">
        <f t="array" ref="C6547">PRODUCT(1-'Sparkling Model'!D$2:D$38^A6547)</f>
        <v>0.8641310578</v>
      </c>
    </row>
    <row r="6548">
      <c r="A6548" s="6">
        <v>6546.0</v>
      </c>
      <c r="B6548" s="17">
        <f t="array" ref="B6548">SUM(1-'Sparkling Model'!D$2:D$38^A6548)</f>
        <v>36.85675634</v>
      </c>
      <c r="C6548" s="8">
        <f t="array" ref="C6548">PRODUCT(1-'Sparkling Model'!D$2:D$38^A6548)</f>
        <v>0.8641982229</v>
      </c>
    </row>
    <row r="6549">
      <c r="A6549" s="6">
        <v>6547.0</v>
      </c>
      <c r="B6549" s="17">
        <f t="array" ref="B6549">SUM(1-'Sparkling Model'!D$2:D$38^A6549)</f>
        <v>36.8568313</v>
      </c>
      <c r="C6549" s="8">
        <f t="array" ref="C6549">PRODUCT(1-'Sparkling Model'!D$2:D$38^A6549)</f>
        <v>0.8642653552</v>
      </c>
    </row>
    <row r="6550">
      <c r="A6550" s="6">
        <v>6548.0</v>
      </c>
      <c r="B6550" s="17">
        <f t="array" ref="B6550">SUM(1-'Sparkling Model'!D$2:D$38^A6550)</f>
        <v>36.85690622</v>
      </c>
      <c r="C6550" s="8">
        <f t="array" ref="C6550">PRODUCT(1-'Sparkling Model'!D$2:D$38^A6550)</f>
        <v>0.8643324548</v>
      </c>
    </row>
    <row r="6551">
      <c r="A6551" s="6">
        <v>6549.0</v>
      </c>
      <c r="B6551" s="17">
        <f t="array" ref="B6551">SUM(1-'Sparkling Model'!D$2:D$38^A6551)</f>
        <v>36.85698109</v>
      </c>
      <c r="C6551" s="8">
        <f t="array" ref="C6551">PRODUCT(1-'Sparkling Model'!D$2:D$38^A6551)</f>
        <v>0.8643995217</v>
      </c>
    </row>
    <row r="6552">
      <c r="A6552" s="6">
        <v>6550.0</v>
      </c>
      <c r="B6552" s="17">
        <f t="array" ref="B6552">SUM(1-'Sparkling Model'!D$2:D$38^A6552)</f>
        <v>36.85705593</v>
      </c>
      <c r="C6552" s="8">
        <f t="array" ref="C6552">PRODUCT(1-'Sparkling Model'!D$2:D$38^A6552)</f>
        <v>0.8644665559</v>
      </c>
    </row>
    <row r="6553">
      <c r="A6553" s="6">
        <v>6551.0</v>
      </c>
      <c r="B6553" s="17">
        <f t="array" ref="B6553">SUM(1-'Sparkling Model'!D$2:D$38^A6553)</f>
        <v>36.85713072</v>
      </c>
      <c r="C6553" s="8">
        <f t="array" ref="C6553">PRODUCT(1-'Sparkling Model'!D$2:D$38^A6553)</f>
        <v>0.8645335574</v>
      </c>
    </row>
    <row r="6554">
      <c r="A6554" s="6">
        <v>6552.0</v>
      </c>
      <c r="B6554" s="17">
        <f t="array" ref="B6554">SUM(1-'Sparkling Model'!D$2:D$38^A6554)</f>
        <v>36.85720547</v>
      </c>
      <c r="C6554" s="8">
        <f t="array" ref="C6554">PRODUCT(1-'Sparkling Model'!D$2:D$38^A6554)</f>
        <v>0.8646005263</v>
      </c>
    </row>
    <row r="6555">
      <c r="A6555" s="6">
        <v>6553.0</v>
      </c>
      <c r="B6555" s="17">
        <f t="array" ref="B6555">SUM(1-'Sparkling Model'!D$2:D$38^A6555)</f>
        <v>36.85728018</v>
      </c>
      <c r="C6555" s="8">
        <f t="array" ref="C6555">PRODUCT(1-'Sparkling Model'!D$2:D$38^A6555)</f>
        <v>0.8646674625</v>
      </c>
    </row>
    <row r="6556">
      <c r="A6556" s="6">
        <v>6554.0</v>
      </c>
      <c r="B6556" s="17">
        <f t="array" ref="B6556">SUM(1-'Sparkling Model'!D$2:D$38^A6556)</f>
        <v>36.85735485</v>
      </c>
      <c r="C6556" s="8">
        <f t="array" ref="C6556">PRODUCT(1-'Sparkling Model'!D$2:D$38^A6556)</f>
        <v>0.8647343661</v>
      </c>
    </row>
    <row r="6557">
      <c r="A6557" s="6">
        <v>6555.0</v>
      </c>
      <c r="B6557" s="17">
        <f t="array" ref="B6557">SUM(1-'Sparkling Model'!D$2:D$38^A6557)</f>
        <v>36.85742948</v>
      </c>
      <c r="C6557" s="8">
        <f t="array" ref="C6557">PRODUCT(1-'Sparkling Model'!D$2:D$38^A6557)</f>
        <v>0.8648012371</v>
      </c>
    </row>
    <row r="6558">
      <c r="A6558" s="6">
        <v>6556.0</v>
      </c>
      <c r="B6558" s="17">
        <f t="array" ref="B6558">SUM(1-'Sparkling Model'!D$2:D$38^A6558)</f>
        <v>36.85750407</v>
      </c>
      <c r="C6558" s="8">
        <f t="array" ref="C6558">PRODUCT(1-'Sparkling Model'!D$2:D$38^A6558)</f>
        <v>0.8648680754</v>
      </c>
    </row>
    <row r="6559">
      <c r="A6559" s="6">
        <v>6557.0</v>
      </c>
      <c r="B6559" s="17">
        <f t="array" ref="B6559">SUM(1-'Sparkling Model'!D$2:D$38^A6559)</f>
        <v>36.85757861</v>
      </c>
      <c r="C6559" s="8">
        <f t="array" ref="C6559">PRODUCT(1-'Sparkling Model'!D$2:D$38^A6559)</f>
        <v>0.8649348812</v>
      </c>
    </row>
    <row r="6560">
      <c r="A6560" s="6">
        <v>6558.0</v>
      </c>
      <c r="B6560" s="17">
        <f t="array" ref="B6560">SUM(1-'Sparkling Model'!D$2:D$38^A6560)</f>
        <v>36.85765312</v>
      </c>
      <c r="C6560" s="8">
        <f t="array" ref="C6560">PRODUCT(1-'Sparkling Model'!D$2:D$38^A6560)</f>
        <v>0.8650016544</v>
      </c>
    </row>
    <row r="6561">
      <c r="A6561" s="6">
        <v>6559.0</v>
      </c>
      <c r="B6561" s="17">
        <f t="array" ref="B6561">SUM(1-'Sparkling Model'!D$2:D$38^A6561)</f>
        <v>36.85772758</v>
      </c>
      <c r="C6561" s="8">
        <f t="array" ref="C6561">PRODUCT(1-'Sparkling Model'!D$2:D$38^A6561)</f>
        <v>0.865068395</v>
      </c>
    </row>
    <row r="6562">
      <c r="A6562" s="6">
        <v>6560.0</v>
      </c>
      <c r="B6562" s="17">
        <f t="array" ref="B6562">SUM(1-'Sparkling Model'!D$2:D$38^A6562)</f>
        <v>36.85780201</v>
      </c>
      <c r="C6562" s="8">
        <f t="array" ref="C6562">PRODUCT(1-'Sparkling Model'!D$2:D$38^A6562)</f>
        <v>0.8651351031</v>
      </c>
    </row>
    <row r="6563">
      <c r="A6563" s="6">
        <v>6561.0</v>
      </c>
      <c r="B6563" s="17">
        <f t="array" ref="B6563">SUM(1-'Sparkling Model'!D$2:D$38^A6563)</f>
        <v>36.85787639</v>
      </c>
      <c r="C6563" s="8">
        <f t="array" ref="C6563">PRODUCT(1-'Sparkling Model'!D$2:D$38^A6563)</f>
        <v>0.8652017787</v>
      </c>
    </row>
    <row r="6564">
      <c r="A6564" s="6">
        <v>6562.0</v>
      </c>
      <c r="B6564" s="17">
        <f t="array" ref="B6564">SUM(1-'Sparkling Model'!D$2:D$38^A6564)</f>
        <v>36.85795073</v>
      </c>
      <c r="C6564" s="8">
        <f t="array" ref="C6564">PRODUCT(1-'Sparkling Model'!D$2:D$38^A6564)</f>
        <v>0.8652684218</v>
      </c>
    </row>
    <row r="6565">
      <c r="A6565" s="6">
        <v>6563.0</v>
      </c>
      <c r="B6565" s="17">
        <f t="array" ref="B6565">SUM(1-'Sparkling Model'!D$2:D$38^A6565)</f>
        <v>36.85802504</v>
      </c>
      <c r="C6565" s="8">
        <f t="array" ref="C6565">PRODUCT(1-'Sparkling Model'!D$2:D$38^A6565)</f>
        <v>0.8653350323</v>
      </c>
    </row>
    <row r="6566">
      <c r="A6566" s="6">
        <v>6564.0</v>
      </c>
      <c r="B6566" s="17">
        <f t="array" ref="B6566">SUM(1-'Sparkling Model'!D$2:D$38^A6566)</f>
        <v>36.8580993</v>
      </c>
      <c r="C6566" s="8">
        <f t="array" ref="C6566">PRODUCT(1-'Sparkling Model'!D$2:D$38^A6566)</f>
        <v>0.8654016104</v>
      </c>
    </row>
    <row r="6567">
      <c r="A6567" s="6">
        <v>6565.0</v>
      </c>
      <c r="B6567" s="17">
        <f t="array" ref="B6567">SUM(1-'Sparkling Model'!D$2:D$38^A6567)</f>
        <v>36.85817352</v>
      </c>
      <c r="C6567" s="8">
        <f t="array" ref="C6567">PRODUCT(1-'Sparkling Model'!D$2:D$38^A6567)</f>
        <v>0.865468156</v>
      </c>
    </row>
    <row r="6568">
      <c r="A6568" s="6">
        <v>6566.0</v>
      </c>
      <c r="B6568" s="17">
        <f t="array" ref="B6568">SUM(1-'Sparkling Model'!D$2:D$38^A6568)</f>
        <v>36.8582477</v>
      </c>
      <c r="C6568" s="8">
        <f t="array" ref="C6568">PRODUCT(1-'Sparkling Model'!D$2:D$38^A6568)</f>
        <v>0.8655346692</v>
      </c>
    </row>
    <row r="6569">
      <c r="A6569" s="6">
        <v>6567.0</v>
      </c>
      <c r="B6569" s="17">
        <f t="array" ref="B6569">SUM(1-'Sparkling Model'!D$2:D$38^A6569)</f>
        <v>36.85832184</v>
      </c>
      <c r="C6569" s="8">
        <f t="array" ref="C6569">PRODUCT(1-'Sparkling Model'!D$2:D$38^A6569)</f>
        <v>0.8656011499</v>
      </c>
    </row>
    <row r="6570">
      <c r="A6570" s="6">
        <v>6568.0</v>
      </c>
      <c r="B6570" s="17">
        <f t="array" ref="B6570">SUM(1-'Sparkling Model'!D$2:D$38^A6570)</f>
        <v>36.85839593</v>
      </c>
      <c r="C6570" s="8">
        <f t="array" ref="C6570">PRODUCT(1-'Sparkling Model'!D$2:D$38^A6570)</f>
        <v>0.8656675982</v>
      </c>
    </row>
    <row r="6571">
      <c r="A6571" s="6">
        <v>6569.0</v>
      </c>
      <c r="B6571" s="17">
        <f t="array" ref="B6571">SUM(1-'Sparkling Model'!D$2:D$38^A6571)</f>
        <v>36.85846999</v>
      </c>
      <c r="C6571" s="8">
        <f t="array" ref="C6571">PRODUCT(1-'Sparkling Model'!D$2:D$38^A6571)</f>
        <v>0.8657340141</v>
      </c>
    </row>
    <row r="6572">
      <c r="A6572" s="6">
        <v>6570.0</v>
      </c>
      <c r="B6572" s="17">
        <f t="array" ref="B6572">SUM(1-'Sparkling Model'!D$2:D$38^A6572)</f>
        <v>36.85854401</v>
      </c>
      <c r="C6572" s="8">
        <f t="array" ref="C6572">PRODUCT(1-'Sparkling Model'!D$2:D$38^A6572)</f>
        <v>0.8658003976</v>
      </c>
    </row>
    <row r="6573">
      <c r="A6573" s="6">
        <v>6571.0</v>
      </c>
      <c r="B6573" s="17">
        <f t="array" ref="B6573">SUM(1-'Sparkling Model'!D$2:D$38^A6573)</f>
        <v>36.85861799</v>
      </c>
      <c r="C6573" s="8">
        <f t="array" ref="C6573">PRODUCT(1-'Sparkling Model'!D$2:D$38^A6573)</f>
        <v>0.8658667488</v>
      </c>
    </row>
    <row r="6574">
      <c r="A6574" s="6">
        <v>6572.0</v>
      </c>
      <c r="B6574" s="17">
        <f t="array" ref="B6574">SUM(1-'Sparkling Model'!D$2:D$38^A6574)</f>
        <v>36.85869192</v>
      </c>
      <c r="C6574" s="8">
        <f t="array" ref="C6574">PRODUCT(1-'Sparkling Model'!D$2:D$38^A6574)</f>
        <v>0.8659330675</v>
      </c>
    </row>
    <row r="6575">
      <c r="A6575" s="6">
        <v>6573.0</v>
      </c>
      <c r="B6575" s="17">
        <f t="array" ref="B6575">SUM(1-'Sparkling Model'!D$2:D$38^A6575)</f>
        <v>36.85876582</v>
      </c>
      <c r="C6575" s="8">
        <f t="array" ref="C6575">PRODUCT(1-'Sparkling Model'!D$2:D$38^A6575)</f>
        <v>0.865999354</v>
      </c>
    </row>
    <row r="6576">
      <c r="A6576" s="6">
        <v>6574.0</v>
      </c>
      <c r="B6576" s="17">
        <f t="array" ref="B6576">SUM(1-'Sparkling Model'!D$2:D$38^A6576)</f>
        <v>36.85883967</v>
      </c>
      <c r="C6576" s="8">
        <f t="array" ref="C6576">PRODUCT(1-'Sparkling Model'!D$2:D$38^A6576)</f>
        <v>0.8660656081</v>
      </c>
    </row>
    <row r="6577">
      <c r="A6577" s="6">
        <v>6575.0</v>
      </c>
      <c r="B6577" s="17">
        <f t="array" ref="B6577">SUM(1-'Sparkling Model'!D$2:D$38^A6577)</f>
        <v>36.85891349</v>
      </c>
      <c r="C6577" s="8">
        <f t="array" ref="C6577">PRODUCT(1-'Sparkling Model'!D$2:D$38^A6577)</f>
        <v>0.8661318298</v>
      </c>
    </row>
    <row r="6578">
      <c r="A6578" s="6">
        <v>6576.0</v>
      </c>
      <c r="B6578" s="17">
        <f t="array" ref="B6578">SUM(1-'Sparkling Model'!D$2:D$38^A6578)</f>
        <v>36.85898726</v>
      </c>
      <c r="C6578" s="8">
        <f t="array" ref="C6578">PRODUCT(1-'Sparkling Model'!D$2:D$38^A6578)</f>
        <v>0.8661980193</v>
      </c>
    </row>
    <row r="6579">
      <c r="A6579" s="6">
        <v>6577.0</v>
      </c>
      <c r="B6579" s="17">
        <f t="array" ref="B6579">SUM(1-'Sparkling Model'!D$2:D$38^A6579)</f>
        <v>36.859061</v>
      </c>
      <c r="C6579" s="8">
        <f t="array" ref="C6579">PRODUCT(1-'Sparkling Model'!D$2:D$38^A6579)</f>
        <v>0.8662641765</v>
      </c>
    </row>
    <row r="6580">
      <c r="A6580" s="6">
        <v>6578.0</v>
      </c>
      <c r="B6580" s="17">
        <f t="array" ref="B6580">SUM(1-'Sparkling Model'!D$2:D$38^A6580)</f>
        <v>36.85913469</v>
      </c>
      <c r="C6580" s="8">
        <f t="array" ref="C6580">PRODUCT(1-'Sparkling Model'!D$2:D$38^A6580)</f>
        <v>0.8663303015</v>
      </c>
    </row>
    <row r="6581">
      <c r="A6581" s="6">
        <v>6579.0</v>
      </c>
      <c r="B6581" s="17">
        <f t="array" ref="B6581">SUM(1-'Sparkling Model'!D$2:D$38^A6581)</f>
        <v>36.85920834</v>
      </c>
      <c r="C6581" s="8">
        <f t="array" ref="C6581">PRODUCT(1-'Sparkling Model'!D$2:D$38^A6581)</f>
        <v>0.8663963941</v>
      </c>
    </row>
    <row r="6582">
      <c r="A6582" s="6">
        <v>6580.0</v>
      </c>
      <c r="B6582" s="17">
        <f t="array" ref="B6582">SUM(1-'Sparkling Model'!D$2:D$38^A6582)</f>
        <v>36.85928195</v>
      </c>
      <c r="C6582" s="8">
        <f t="array" ref="C6582">PRODUCT(1-'Sparkling Model'!D$2:D$38^A6582)</f>
        <v>0.8664624546</v>
      </c>
    </row>
    <row r="6583">
      <c r="A6583" s="6">
        <v>6581.0</v>
      </c>
      <c r="B6583" s="17">
        <f t="array" ref="B6583">SUM(1-'Sparkling Model'!D$2:D$38^A6583)</f>
        <v>36.85935553</v>
      </c>
      <c r="C6583" s="8">
        <f t="array" ref="C6583">PRODUCT(1-'Sparkling Model'!D$2:D$38^A6583)</f>
        <v>0.8665284828</v>
      </c>
    </row>
    <row r="6584">
      <c r="A6584" s="6">
        <v>6582.0</v>
      </c>
      <c r="B6584" s="17">
        <f t="array" ref="B6584">SUM(1-'Sparkling Model'!D$2:D$38^A6584)</f>
        <v>36.85942906</v>
      </c>
      <c r="C6584" s="8">
        <f t="array" ref="C6584">PRODUCT(1-'Sparkling Model'!D$2:D$38^A6584)</f>
        <v>0.8665944788</v>
      </c>
    </row>
    <row r="6585">
      <c r="A6585" s="6">
        <v>6583.0</v>
      </c>
      <c r="B6585" s="17">
        <f t="array" ref="B6585">SUM(1-'Sparkling Model'!D$2:D$38^A6585)</f>
        <v>36.85950255</v>
      </c>
      <c r="C6585" s="8">
        <f t="array" ref="C6585">PRODUCT(1-'Sparkling Model'!D$2:D$38^A6585)</f>
        <v>0.8666604426</v>
      </c>
    </row>
    <row r="6586">
      <c r="A6586" s="6">
        <v>6584.0</v>
      </c>
      <c r="B6586" s="17">
        <f t="array" ref="B6586">SUM(1-'Sparkling Model'!D$2:D$38^A6586)</f>
        <v>36.859576</v>
      </c>
      <c r="C6586" s="8">
        <f t="array" ref="C6586">PRODUCT(1-'Sparkling Model'!D$2:D$38^A6586)</f>
        <v>0.8667263743</v>
      </c>
    </row>
    <row r="6587">
      <c r="A6587" s="6">
        <v>6585.0</v>
      </c>
      <c r="B6587" s="17">
        <f t="array" ref="B6587">SUM(1-'Sparkling Model'!D$2:D$38^A6587)</f>
        <v>36.85964941</v>
      </c>
      <c r="C6587" s="8">
        <f t="array" ref="C6587">PRODUCT(1-'Sparkling Model'!D$2:D$38^A6587)</f>
        <v>0.8667922737</v>
      </c>
    </row>
    <row r="6588">
      <c r="A6588" s="6">
        <v>6586.0</v>
      </c>
      <c r="B6588" s="17">
        <f t="array" ref="B6588">SUM(1-'Sparkling Model'!D$2:D$38^A6588)</f>
        <v>36.85972278</v>
      </c>
      <c r="C6588" s="8">
        <f t="array" ref="C6588">PRODUCT(1-'Sparkling Model'!D$2:D$38^A6588)</f>
        <v>0.8668581411</v>
      </c>
    </row>
    <row r="6589">
      <c r="A6589" s="6">
        <v>6587.0</v>
      </c>
      <c r="B6589" s="17">
        <f t="array" ref="B6589">SUM(1-'Sparkling Model'!D$2:D$38^A6589)</f>
        <v>36.85979612</v>
      </c>
      <c r="C6589" s="8">
        <f t="array" ref="C6589">PRODUCT(1-'Sparkling Model'!D$2:D$38^A6589)</f>
        <v>0.8669239762</v>
      </c>
    </row>
    <row r="6590">
      <c r="A6590" s="6">
        <v>6588.0</v>
      </c>
      <c r="B6590" s="17">
        <f t="array" ref="B6590">SUM(1-'Sparkling Model'!D$2:D$38^A6590)</f>
        <v>36.85986941</v>
      </c>
      <c r="C6590" s="8">
        <f t="array" ref="C6590">PRODUCT(1-'Sparkling Model'!D$2:D$38^A6590)</f>
        <v>0.8669897793</v>
      </c>
    </row>
    <row r="6591">
      <c r="A6591" s="6">
        <v>6589.0</v>
      </c>
      <c r="B6591" s="17">
        <f t="array" ref="B6591">SUM(1-'Sparkling Model'!D$2:D$38^A6591)</f>
        <v>36.85994266</v>
      </c>
      <c r="C6591" s="8">
        <f t="array" ref="C6591">PRODUCT(1-'Sparkling Model'!D$2:D$38^A6591)</f>
        <v>0.8670555503</v>
      </c>
    </row>
    <row r="6592">
      <c r="A6592" s="6">
        <v>6590.0</v>
      </c>
      <c r="B6592" s="17">
        <f t="array" ref="B6592">SUM(1-'Sparkling Model'!D$2:D$38^A6592)</f>
        <v>36.86001587</v>
      </c>
      <c r="C6592" s="8">
        <f t="array" ref="C6592">PRODUCT(1-'Sparkling Model'!D$2:D$38^A6592)</f>
        <v>0.8671212892</v>
      </c>
    </row>
    <row r="6593">
      <c r="A6593" s="6">
        <v>6591.0</v>
      </c>
      <c r="B6593" s="17">
        <f t="array" ref="B6593">SUM(1-'Sparkling Model'!D$2:D$38^A6593)</f>
        <v>36.86008904</v>
      </c>
      <c r="C6593" s="8">
        <f t="array" ref="C6593">PRODUCT(1-'Sparkling Model'!D$2:D$38^A6593)</f>
        <v>0.867186996</v>
      </c>
    </row>
    <row r="6594">
      <c r="A6594" s="6">
        <v>6592.0</v>
      </c>
      <c r="B6594" s="17">
        <f t="array" ref="B6594">SUM(1-'Sparkling Model'!D$2:D$38^A6594)</f>
        <v>36.86016217</v>
      </c>
      <c r="C6594" s="8">
        <f t="array" ref="C6594">PRODUCT(1-'Sparkling Model'!D$2:D$38^A6594)</f>
        <v>0.8672526707</v>
      </c>
    </row>
    <row r="6595">
      <c r="A6595" s="6">
        <v>6593.0</v>
      </c>
      <c r="B6595" s="17">
        <f t="array" ref="B6595">SUM(1-'Sparkling Model'!D$2:D$38^A6595)</f>
        <v>36.86023526</v>
      </c>
      <c r="C6595" s="8">
        <f t="array" ref="C6595">PRODUCT(1-'Sparkling Model'!D$2:D$38^A6595)</f>
        <v>0.8673183134</v>
      </c>
    </row>
    <row r="6596">
      <c r="A6596" s="6">
        <v>6594.0</v>
      </c>
      <c r="B6596" s="17">
        <f t="array" ref="B6596">SUM(1-'Sparkling Model'!D$2:D$38^A6596)</f>
        <v>36.86030831</v>
      </c>
      <c r="C6596" s="8">
        <f t="array" ref="C6596">PRODUCT(1-'Sparkling Model'!D$2:D$38^A6596)</f>
        <v>0.8673839241</v>
      </c>
    </row>
    <row r="6597">
      <c r="A6597" s="6">
        <v>6595.0</v>
      </c>
      <c r="B6597" s="17">
        <f t="array" ref="B6597">SUM(1-'Sparkling Model'!D$2:D$38^A6597)</f>
        <v>36.86038132</v>
      </c>
      <c r="C6597" s="8">
        <f t="array" ref="C6597">PRODUCT(1-'Sparkling Model'!D$2:D$38^A6597)</f>
        <v>0.8674495028</v>
      </c>
    </row>
    <row r="6598">
      <c r="A6598" s="6">
        <v>6596.0</v>
      </c>
      <c r="B6598" s="17">
        <f t="array" ref="B6598">SUM(1-'Sparkling Model'!D$2:D$38^A6598)</f>
        <v>36.86045429</v>
      </c>
      <c r="C6598" s="8">
        <f t="array" ref="C6598">PRODUCT(1-'Sparkling Model'!D$2:D$38^A6598)</f>
        <v>0.8675150494</v>
      </c>
    </row>
    <row r="6599">
      <c r="A6599" s="6">
        <v>6597.0</v>
      </c>
      <c r="B6599" s="17">
        <f t="array" ref="B6599">SUM(1-'Sparkling Model'!D$2:D$38^A6599)</f>
        <v>36.86052722</v>
      </c>
      <c r="C6599" s="8">
        <f t="array" ref="C6599">PRODUCT(1-'Sparkling Model'!D$2:D$38^A6599)</f>
        <v>0.8675805641</v>
      </c>
    </row>
    <row r="6600">
      <c r="A6600" s="6">
        <v>6598.0</v>
      </c>
      <c r="B6600" s="17">
        <f t="array" ref="B6600">SUM(1-'Sparkling Model'!D$2:D$38^A6600)</f>
        <v>36.86060011</v>
      </c>
      <c r="C6600" s="8">
        <f t="array" ref="C6600">PRODUCT(1-'Sparkling Model'!D$2:D$38^A6600)</f>
        <v>0.8676460469</v>
      </c>
    </row>
    <row r="6601">
      <c r="A6601" s="6">
        <v>6599.0</v>
      </c>
      <c r="B6601" s="17">
        <f t="array" ref="B6601">SUM(1-'Sparkling Model'!D$2:D$38^A6601)</f>
        <v>36.86067296</v>
      </c>
      <c r="C6601" s="8">
        <f t="array" ref="C6601">PRODUCT(1-'Sparkling Model'!D$2:D$38^A6601)</f>
        <v>0.8677114976</v>
      </c>
    </row>
    <row r="6602">
      <c r="A6602" s="6">
        <v>6600.0</v>
      </c>
      <c r="B6602" s="17">
        <f t="array" ref="B6602">SUM(1-'Sparkling Model'!D$2:D$38^A6602)</f>
        <v>36.86074577</v>
      </c>
      <c r="C6602" s="8">
        <f t="array" ref="C6602">PRODUCT(1-'Sparkling Model'!D$2:D$38^A6602)</f>
        <v>0.8677769164</v>
      </c>
    </row>
    <row r="6603">
      <c r="A6603" s="6">
        <v>6601.0</v>
      </c>
      <c r="B6603" s="17">
        <f t="array" ref="B6603">SUM(1-'Sparkling Model'!D$2:D$38^A6603)</f>
        <v>36.86081854</v>
      </c>
      <c r="C6603" s="8">
        <f t="array" ref="C6603">PRODUCT(1-'Sparkling Model'!D$2:D$38^A6603)</f>
        <v>0.8678423034</v>
      </c>
    </row>
    <row r="6604">
      <c r="A6604" s="6">
        <v>6602.0</v>
      </c>
      <c r="B6604" s="17">
        <f t="array" ref="B6604">SUM(1-'Sparkling Model'!D$2:D$38^A6604)</f>
        <v>36.86089127</v>
      </c>
      <c r="C6604" s="8">
        <f t="array" ref="C6604">PRODUCT(1-'Sparkling Model'!D$2:D$38^A6604)</f>
        <v>0.8679076583</v>
      </c>
    </row>
    <row r="6605">
      <c r="A6605" s="6">
        <v>6603.0</v>
      </c>
      <c r="B6605" s="17">
        <f t="array" ref="B6605">SUM(1-'Sparkling Model'!D$2:D$38^A6605)</f>
        <v>36.86096396</v>
      </c>
      <c r="C6605" s="8">
        <f t="array" ref="C6605">PRODUCT(1-'Sparkling Model'!D$2:D$38^A6605)</f>
        <v>0.8679729815</v>
      </c>
    </row>
    <row r="6606">
      <c r="A6606" s="6">
        <v>6604.0</v>
      </c>
      <c r="B6606" s="17">
        <f t="array" ref="B6606">SUM(1-'Sparkling Model'!D$2:D$38^A6606)</f>
        <v>36.86103661</v>
      </c>
      <c r="C6606" s="8">
        <f t="array" ref="C6606">PRODUCT(1-'Sparkling Model'!D$2:D$38^A6606)</f>
        <v>0.8680382727</v>
      </c>
    </row>
    <row r="6607">
      <c r="A6607" s="6">
        <v>6605.0</v>
      </c>
      <c r="B6607" s="17">
        <f t="array" ref="B6607">SUM(1-'Sparkling Model'!D$2:D$38^A6607)</f>
        <v>36.86110923</v>
      </c>
      <c r="C6607" s="8">
        <f t="array" ref="C6607">PRODUCT(1-'Sparkling Model'!D$2:D$38^A6607)</f>
        <v>0.868103532</v>
      </c>
    </row>
    <row r="6608">
      <c r="A6608" s="6">
        <v>6606.0</v>
      </c>
      <c r="B6608" s="17">
        <f t="array" ref="B6608">SUM(1-'Sparkling Model'!D$2:D$38^A6608)</f>
        <v>36.8611818</v>
      </c>
      <c r="C6608" s="8">
        <f t="array" ref="C6608">PRODUCT(1-'Sparkling Model'!D$2:D$38^A6608)</f>
        <v>0.8681687596</v>
      </c>
    </row>
    <row r="6609">
      <c r="A6609" s="6">
        <v>6607.0</v>
      </c>
      <c r="B6609" s="17">
        <f t="array" ref="B6609">SUM(1-'Sparkling Model'!D$2:D$38^A6609)</f>
        <v>36.86125433</v>
      </c>
      <c r="C6609" s="8">
        <f t="array" ref="C6609">PRODUCT(1-'Sparkling Model'!D$2:D$38^A6609)</f>
        <v>0.8682339552</v>
      </c>
    </row>
    <row r="6610">
      <c r="A6610" s="6">
        <v>6608.0</v>
      </c>
      <c r="B6610" s="17">
        <f t="array" ref="B6610">SUM(1-'Sparkling Model'!D$2:D$38^A6610)</f>
        <v>36.86132682</v>
      </c>
      <c r="C6610" s="8">
        <f t="array" ref="C6610">PRODUCT(1-'Sparkling Model'!D$2:D$38^A6610)</f>
        <v>0.8682991191</v>
      </c>
    </row>
    <row r="6611">
      <c r="A6611" s="6">
        <v>6609.0</v>
      </c>
      <c r="B6611" s="17">
        <f t="array" ref="B6611">SUM(1-'Sparkling Model'!D$2:D$38^A6611)</f>
        <v>36.86139927</v>
      </c>
      <c r="C6611" s="8">
        <f t="array" ref="C6611">PRODUCT(1-'Sparkling Model'!D$2:D$38^A6611)</f>
        <v>0.8683642512</v>
      </c>
    </row>
    <row r="6612">
      <c r="A6612" s="6">
        <v>6610.0</v>
      </c>
      <c r="B6612" s="17">
        <f t="array" ref="B6612">SUM(1-'Sparkling Model'!D$2:D$38^A6612)</f>
        <v>36.86147169</v>
      </c>
      <c r="C6612" s="8">
        <f t="array" ref="C6612">PRODUCT(1-'Sparkling Model'!D$2:D$38^A6612)</f>
        <v>0.8684293514</v>
      </c>
    </row>
    <row r="6613">
      <c r="A6613" s="6">
        <v>6611.0</v>
      </c>
      <c r="B6613" s="17">
        <f t="array" ref="B6613">SUM(1-'Sparkling Model'!D$2:D$38^A6613)</f>
        <v>36.86154406</v>
      </c>
      <c r="C6613" s="8">
        <f t="array" ref="C6613">PRODUCT(1-'Sparkling Model'!D$2:D$38^A6613)</f>
        <v>0.8684944199</v>
      </c>
    </row>
    <row r="6614">
      <c r="A6614" s="6">
        <v>6612.0</v>
      </c>
      <c r="B6614" s="17">
        <f t="array" ref="B6614">SUM(1-'Sparkling Model'!D$2:D$38^A6614)</f>
        <v>36.8616164</v>
      </c>
      <c r="C6614" s="8">
        <f t="array" ref="C6614">PRODUCT(1-'Sparkling Model'!D$2:D$38^A6614)</f>
        <v>0.8685594567</v>
      </c>
    </row>
    <row r="6615">
      <c r="A6615" s="6">
        <v>6613.0</v>
      </c>
      <c r="B6615" s="17">
        <f t="array" ref="B6615">SUM(1-'Sparkling Model'!D$2:D$38^A6615)</f>
        <v>36.86168869</v>
      </c>
      <c r="C6615" s="8">
        <f t="array" ref="C6615">PRODUCT(1-'Sparkling Model'!D$2:D$38^A6615)</f>
        <v>0.8686244617</v>
      </c>
    </row>
    <row r="6616">
      <c r="A6616" s="6">
        <v>6614.0</v>
      </c>
      <c r="B6616" s="17">
        <f t="array" ref="B6616">SUM(1-'Sparkling Model'!D$2:D$38^A6616)</f>
        <v>36.86176094</v>
      </c>
      <c r="C6616" s="8">
        <f t="array" ref="C6616">PRODUCT(1-'Sparkling Model'!D$2:D$38^A6616)</f>
        <v>0.868689435</v>
      </c>
    </row>
    <row r="6617">
      <c r="A6617" s="6">
        <v>6615.0</v>
      </c>
      <c r="B6617" s="17">
        <f t="array" ref="B6617">SUM(1-'Sparkling Model'!D$2:D$38^A6617)</f>
        <v>36.86183316</v>
      </c>
      <c r="C6617" s="8">
        <f t="array" ref="C6617">PRODUCT(1-'Sparkling Model'!D$2:D$38^A6617)</f>
        <v>0.8687543765</v>
      </c>
    </row>
    <row r="6618">
      <c r="A6618" s="6">
        <v>6616.0</v>
      </c>
      <c r="B6618" s="17">
        <f t="array" ref="B6618">SUM(1-'Sparkling Model'!D$2:D$38^A6618)</f>
        <v>36.86190534</v>
      </c>
      <c r="C6618" s="8">
        <f t="array" ref="C6618">PRODUCT(1-'Sparkling Model'!D$2:D$38^A6618)</f>
        <v>0.8688192864</v>
      </c>
    </row>
    <row r="6619">
      <c r="A6619" s="6">
        <v>6617.0</v>
      </c>
      <c r="B6619" s="17">
        <f t="array" ref="B6619">SUM(1-'Sparkling Model'!D$2:D$38^A6619)</f>
        <v>36.86197747</v>
      </c>
      <c r="C6619" s="8">
        <f t="array" ref="C6619">PRODUCT(1-'Sparkling Model'!D$2:D$38^A6619)</f>
        <v>0.8688841645</v>
      </c>
    </row>
    <row r="6620">
      <c r="A6620" s="6">
        <v>6618.0</v>
      </c>
      <c r="B6620" s="17">
        <f t="array" ref="B6620">SUM(1-'Sparkling Model'!D$2:D$38^A6620)</f>
        <v>36.86204957</v>
      </c>
      <c r="C6620" s="8">
        <f t="array" ref="C6620">PRODUCT(1-'Sparkling Model'!D$2:D$38^A6620)</f>
        <v>0.868949011</v>
      </c>
    </row>
    <row r="6621">
      <c r="A6621" s="6">
        <v>6619.0</v>
      </c>
      <c r="B6621" s="17">
        <f t="array" ref="B6621">SUM(1-'Sparkling Model'!D$2:D$38^A6621)</f>
        <v>36.86212163</v>
      </c>
      <c r="C6621" s="8">
        <f t="array" ref="C6621">PRODUCT(1-'Sparkling Model'!D$2:D$38^A6621)</f>
        <v>0.8690138259</v>
      </c>
    </row>
    <row r="6622">
      <c r="A6622" s="6">
        <v>6620.0</v>
      </c>
      <c r="B6622" s="17">
        <f t="array" ref="B6622">SUM(1-'Sparkling Model'!D$2:D$38^A6622)</f>
        <v>36.86219364</v>
      </c>
      <c r="C6622" s="8">
        <f t="array" ref="C6622">PRODUCT(1-'Sparkling Model'!D$2:D$38^A6622)</f>
        <v>0.8690786091</v>
      </c>
    </row>
    <row r="6623">
      <c r="A6623" s="6">
        <v>6621.0</v>
      </c>
      <c r="B6623" s="17">
        <f t="array" ref="B6623">SUM(1-'Sparkling Model'!D$2:D$38^A6623)</f>
        <v>36.86226562</v>
      </c>
      <c r="C6623" s="8">
        <f t="array" ref="C6623">PRODUCT(1-'Sparkling Model'!D$2:D$38^A6623)</f>
        <v>0.8691433607</v>
      </c>
    </row>
    <row r="6624">
      <c r="A6624" s="6">
        <v>6622.0</v>
      </c>
      <c r="B6624" s="17">
        <f t="array" ref="B6624">SUM(1-'Sparkling Model'!D$2:D$38^A6624)</f>
        <v>36.86233756</v>
      </c>
      <c r="C6624" s="8">
        <f t="array" ref="C6624">PRODUCT(1-'Sparkling Model'!D$2:D$38^A6624)</f>
        <v>0.8692080807</v>
      </c>
    </row>
    <row r="6625">
      <c r="A6625" s="6">
        <v>6623.0</v>
      </c>
      <c r="B6625" s="17">
        <f t="array" ref="B6625">SUM(1-'Sparkling Model'!D$2:D$38^A6625)</f>
        <v>36.86240946</v>
      </c>
      <c r="C6625" s="8">
        <f t="array" ref="C6625">PRODUCT(1-'Sparkling Model'!D$2:D$38^A6625)</f>
        <v>0.8692727691</v>
      </c>
    </row>
    <row r="6626">
      <c r="A6626" s="6">
        <v>6624.0</v>
      </c>
      <c r="B6626" s="17">
        <f t="array" ref="B6626">SUM(1-'Sparkling Model'!D$2:D$38^A6626)</f>
        <v>36.86248132</v>
      </c>
      <c r="C6626" s="8">
        <f t="array" ref="C6626">PRODUCT(1-'Sparkling Model'!D$2:D$38^A6626)</f>
        <v>0.8693374259</v>
      </c>
    </row>
    <row r="6627">
      <c r="A6627" s="6">
        <v>6625.0</v>
      </c>
      <c r="B6627" s="17">
        <f t="array" ref="B6627">SUM(1-'Sparkling Model'!D$2:D$38^A6627)</f>
        <v>36.86255315</v>
      </c>
      <c r="C6627" s="8">
        <f t="array" ref="C6627">PRODUCT(1-'Sparkling Model'!D$2:D$38^A6627)</f>
        <v>0.8694020511</v>
      </c>
    </row>
    <row r="6628">
      <c r="A6628" s="6">
        <v>6626.0</v>
      </c>
      <c r="B6628" s="17">
        <f t="array" ref="B6628">SUM(1-'Sparkling Model'!D$2:D$38^A6628)</f>
        <v>36.86262493</v>
      </c>
      <c r="C6628" s="8">
        <f t="array" ref="C6628">PRODUCT(1-'Sparkling Model'!D$2:D$38^A6628)</f>
        <v>0.8694666448</v>
      </c>
    </row>
    <row r="6629">
      <c r="A6629" s="6">
        <v>6627.0</v>
      </c>
      <c r="B6629" s="17">
        <f t="array" ref="B6629">SUM(1-'Sparkling Model'!D$2:D$38^A6629)</f>
        <v>36.86269667</v>
      </c>
      <c r="C6629" s="8">
        <f t="array" ref="C6629">PRODUCT(1-'Sparkling Model'!D$2:D$38^A6629)</f>
        <v>0.8695312069</v>
      </c>
    </row>
    <row r="6630">
      <c r="A6630" s="6">
        <v>6628.0</v>
      </c>
      <c r="B6630" s="17">
        <f t="array" ref="B6630">SUM(1-'Sparkling Model'!D$2:D$38^A6630)</f>
        <v>36.86276837</v>
      </c>
      <c r="C6630" s="8">
        <f t="array" ref="C6630">PRODUCT(1-'Sparkling Model'!D$2:D$38^A6630)</f>
        <v>0.8695957376</v>
      </c>
    </row>
    <row r="6631">
      <c r="A6631" s="6">
        <v>6629.0</v>
      </c>
      <c r="B6631" s="17">
        <f t="array" ref="B6631">SUM(1-'Sparkling Model'!D$2:D$38^A6631)</f>
        <v>36.86284004</v>
      </c>
      <c r="C6631" s="8">
        <f t="array" ref="C6631">PRODUCT(1-'Sparkling Model'!D$2:D$38^A6631)</f>
        <v>0.8696602367</v>
      </c>
    </row>
    <row r="6632">
      <c r="A6632" s="6">
        <v>6630.0</v>
      </c>
      <c r="B6632" s="17">
        <f t="array" ref="B6632">SUM(1-'Sparkling Model'!D$2:D$38^A6632)</f>
        <v>36.86291166</v>
      </c>
      <c r="C6632" s="8">
        <f t="array" ref="C6632">PRODUCT(1-'Sparkling Model'!D$2:D$38^A6632)</f>
        <v>0.8697247043</v>
      </c>
    </row>
    <row r="6633">
      <c r="A6633" s="6">
        <v>6631.0</v>
      </c>
      <c r="B6633" s="17">
        <f t="array" ref="B6633">SUM(1-'Sparkling Model'!D$2:D$38^A6633)</f>
        <v>36.86298325</v>
      </c>
      <c r="C6633" s="8">
        <f t="array" ref="C6633">PRODUCT(1-'Sparkling Model'!D$2:D$38^A6633)</f>
        <v>0.8697891405</v>
      </c>
    </row>
    <row r="6634">
      <c r="A6634" s="6">
        <v>6632.0</v>
      </c>
      <c r="B6634" s="17">
        <f t="array" ref="B6634">SUM(1-'Sparkling Model'!D$2:D$38^A6634)</f>
        <v>36.8630548</v>
      </c>
      <c r="C6634" s="8">
        <f t="array" ref="C6634">PRODUCT(1-'Sparkling Model'!D$2:D$38^A6634)</f>
        <v>0.8698535452</v>
      </c>
    </row>
    <row r="6635">
      <c r="A6635" s="6">
        <v>6633.0</v>
      </c>
      <c r="B6635" s="17">
        <f t="array" ref="B6635">SUM(1-'Sparkling Model'!D$2:D$38^A6635)</f>
        <v>36.86312631</v>
      </c>
      <c r="C6635" s="8">
        <f t="array" ref="C6635">PRODUCT(1-'Sparkling Model'!D$2:D$38^A6635)</f>
        <v>0.8699179184</v>
      </c>
    </row>
    <row r="6636">
      <c r="A6636" s="6">
        <v>6634.0</v>
      </c>
      <c r="B6636" s="17">
        <f t="array" ref="B6636">SUM(1-'Sparkling Model'!D$2:D$38^A6636)</f>
        <v>36.86319777</v>
      </c>
      <c r="C6636" s="8">
        <f t="array" ref="C6636">PRODUCT(1-'Sparkling Model'!D$2:D$38^A6636)</f>
        <v>0.8699822603</v>
      </c>
    </row>
    <row r="6637">
      <c r="A6637" s="6">
        <v>6635.0</v>
      </c>
      <c r="B6637" s="17">
        <f t="array" ref="B6637">SUM(1-'Sparkling Model'!D$2:D$38^A6637)</f>
        <v>36.8632692</v>
      </c>
      <c r="C6637" s="8">
        <f t="array" ref="C6637">PRODUCT(1-'Sparkling Model'!D$2:D$38^A6637)</f>
        <v>0.8700465707</v>
      </c>
    </row>
    <row r="6638">
      <c r="A6638" s="6">
        <v>6636.0</v>
      </c>
      <c r="B6638" s="17">
        <f t="array" ref="B6638">SUM(1-'Sparkling Model'!D$2:D$38^A6638)</f>
        <v>36.86334059</v>
      </c>
      <c r="C6638" s="8">
        <f t="array" ref="C6638">PRODUCT(1-'Sparkling Model'!D$2:D$38^A6638)</f>
        <v>0.8701108497</v>
      </c>
    </row>
    <row r="6639">
      <c r="A6639" s="6">
        <v>6637.0</v>
      </c>
      <c r="B6639" s="17">
        <f t="array" ref="B6639">SUM(1-'Sparkling Model'!D$2:D$38^A6639)</f>
        <v>36.86341195</v>
      </c>
      <c r="C6639" s="8">
        <f t="array" ref="C6639">PRODUCT(1-'Sparkling Model'!D$2:D$38^A6639)</f>
        <v>0.8701750973</v>
      </c>
    </row>
    <row r="6640">
      <c r="A6640" s="6">
        <v>6638.0</v>
      </c>
      <c r="B6640" s="17">
        <f t="array" ref="B6640">SUM(1-'Sparkling Model'!D$2:D$38^A6640)</f>
        <v>36.86348326</v>
      </c>
      <c r="C6640" s="8">
        <f t="array" ref="C6640">PRODUCT(1-'Sparkling Model'!D$2:D$38^A6640)</f>
        <v>0.8702393135</v>
      </c>
    </row>
    <row r="6641">
      <c r="A6641" s="6">
        <v>6639.0</v>
      </c>
      <c r="B6641" s="17">
        <f t="array" ref="B6641">SUM(1-'Sparkling Model'!D$2:D$38^A6641)</f>
        <v>36.86355453</v>
      </c>
      <c r="C6641" s="8">
        <f t="array" ref="C6641">PRODUCT(1-'Sparkling Model'!D$2:D$38^A6641)</f>
        <v>0.8703034984</v>
      </c>
    </row>
    <row r="6642">
      <c r="A6642" s="6">
        <v>6640.0</v>
      </c>
      <c r="B6642" s="17">
        <f t="array" ref="B6642">SUM(1-'Sparkling Model'!D$2:D$38^A6642)</f>
        <v>36.86362577</v>
      </c>
      <c r="C6642" s="8">
        <f t="array" ref="C6642">PRODUCT(1-'Sparkling Model'!D$2:D$38^A6642)</f>
        <v>0.870367652</v>
      </c>
    </row>
    <row r="6643">
      <c r="A6643" s="6">
        <v>6641.0</v>
      </c>
      <c r="B6643" s="17">
        <f t="array" ref="B6643">SUM(1-'Sparkling Model'!D$2:D$38^A6643)</f>
        <v>36.86369696</v>
      </c>
      <c r="C6643" s="8">
        <f t="array" ref="C6643">PRODUCT(1-'Sparkling Model'!D$2:D$38^A6643)</f>
        <v>0.8704317742</v>
      </c>
    </row>
    <row r="6644">
      <c r="A6644" s="6">
        <v>6642.0</v>
      </c>
      <c r="B6644" s="17">
        <f t="array" ref="B6644">SUM(1-'Sparkling Model'!D$2:D$38^A6644)</f>
        <v>36.86376812</v>
      </c>
      <c r="C6644" s="8">
        <f t="array" ref="C6644">PRODUCT(1-'Sparkling Model'!D$2:D$38^A6644)</f>
        <v>0.8704958651</v>
      </c>
    </row>
    <row r="6645">
      <c r="A6645" s="6">
        <v>6643.0</v>
      </c>
      <c r="B6645" s="17">
        <f t="array" ref="B6645">SUM(1-'Sparkling Model'!D$2:D$38^A6645)</f>
        <v>36.86383924</v>
      </c>
      <c r="C6645" s="8">
        <f t="array" ref="C6645">PRODUCT(1-'Sparkling Model'!D$2:D$38^A6645)</f>
        <v>0.8705599247</v>
      </c>
    </row>
    <row r="6646">
      <c r="A6646" s="6">
        <v>6644.0</v>
      </c>
      <c r="B6646" s="17">
        <f t="array" ref="B6646">SUM(1-'Sparkling Model'!D$2:D$38^A6646)</f>
        <v>36.86391032</v>
      </c>
      <c r="C6646" s="8">
        <f t="array" ref="C6646">PRODUCT(1-'Sparkling Model'!D$2:D$38^A6646)</f>
        <v>0.870623953</v>
      </c>
    </row>
    <row r="6647">
      <c r="A6647" s="6">
        <v>6645.0</v>
      </c>
      <c r="B6647" s="17">
        <f t="array" ref="B6647">SUM(1-'Sparkling Model'!D$2:D$38^A6647)</f>
        <v>36.86398136</v>
      </c>
      <c r="C6647" s="8">
        <f t="array" ref="C6647">PRODUCT(1-'Sparkling Model'!D$2:D$38^A6647)</f>
        <v>0.87068795</v>
      </c>
    </row>
    <row r="6648">
      <c r="A6648" s="6">
        <v>6646.0</v>
      </c>
      <c r="B6648" s="17">
        <f t="array" ref="B6648">SUM(1-'Sparkling Model'!D$2:D$38^A6648)</f>
        <v>36.86405236</v>
      </c>
      <c r="C6648" s="8">
        <f t="array" ref="C6648">PRODUCT(1-'Sparkling Model'!D$2:D$38^A6648)</f>
        <v>0.8707519158</v>
      </c>
    </row>
    <row r="6649">
      <c r="A6649" s="6">
        <v>6647.0</v>
      </c>
      <c r="B6649" s="17">
        <f t="array" ref="B6649">SUM(1-'Sparkling Model'!D$2:D$38^A6649)</f>
        <v>36.86412332</v>
      </c>
      <c r="C6649" s="8">
        <f t="array" ref="C6649">PRODUCT(1-'Sparkling Model'!D$2:D$38^A6649)</f>
        <v>0.8708158504</v>
      </c>
    </row>
    <row r="6650">
      <c r="A6650" s="6">
        <v>6648.0</v>
      </c>
      <c r="B6650" s="17">
        <f t="array" ref="B6650">SUM(1-'Sparkling Model'!D$2:D$38^A6650)</f>
        <v>36.86419425</v>
      </c>
      <c r="C6650" s="8">
        <f t="array" ref="C6650">PRODUCT(1-'Sparkling Model'!D$2:D$38^A6650)</f>
        <v>0.8708797537</v>
      </c>
    </row>
    <row r="6651">
      <c r="A6651" s="6">
        <v>6649.0</v>
      </c>
      <c r="B6651" s="17">
        <f t="array" ref="B6651">SUM(1-'Sparkling Model'!D$2:D$38^A6651)</f>
        <v>36.86426513</v>
      </c>
      <c r="C6651" s="8">
        <f t="array" ref="C6651">PRODUCT(1-'Sparkling Model'!D$2:D$38^A6651)</f>
        <v>0.8709436258</v>
      </c>
    </row>
    <row r="6652">
      <c r="A6652" s="6">
        <v>6650.0</v>
      </c>
      <c r="B6652" s="17">
        <f t="array" ref="B6652">SUM(1-'Sparkling Model'!D$2:D$38^A6652)</f>
        <v>36.86433598</v>
      </c>
      <c r="C6652" s="8">
        <f t="array" ref="C6652">PRODUCT(1-'Sparkling Model'!D$2:D$38^A6652)</f>
        <v>0.8710074667</v>
      </c>
    </row>
    <row r="6653">
      <c r="A6653" s="6">
        <v>6651.0</v>
      </c>
      <c r="B6653" s="17">
        <f t="array" ref="B6653">SUM(1-'Sparkling Model'!D$2:D$38^A6653)</f>
        <v>36.86440679</v>
      </c>
      <c r="C6653" s="8">
        <f t="array" ref="C6653">PRODUCT(1-'Sparkling Model'!D$2:D$38^A6653)</f>
        <v>0.8710712765</v>
      </c>
    </row>
    <row r="6654">
      <c r="A6654" s="6">
        <v>6652.0</v>
      </c>
      <c r="B6654" s="17">
        <f t="array" ref="B6654">SUM(1-'Sparkling Model'!D$2:D$38^A6654)</f>
        <v>36.86447756</v>
      </c>
      <c r="C6654" s="8">
        <f t="array" ref="C6654">PRODUCT(1-'Sparkling Model'!D$2:D$38^A6654)</f>
        <v>0.871135055</v>
      </c>
    </row>
    <row r="6655">
      <c r="A6655" s="6">
        <v>6653.0</v>
      </c>
      <c r="B6655" s="17">
        <f t="array" ref="B6655">SUM(1-'Sparkling Model'!D$2:D$38^A6655)</f>
        <v>36.86454829</v>
      </c>
      <c r="C6655" s="8">
        <f t="array" ref="C6655">PRODUCT(1-'Sparkling Model'!D$2:D$38^A6655)</f>
        <v>0.8711988025</v>
      </c>
    </row>
    <row r="6656">
      <c r="A6656" s="6">
        <v>6654.0</v>
      </c>
      <c r="B6656" s="17">
        <f t="array" ref="B6656">SUM(1-'Sparkling Model'!D$2:D$38^A6656)</f>
        <v>36.86461898</v>
      </c>
      <c r="C6656" s="8">
        <f t="array" ref="C6656">PRODUCT(1-'Sparkling Model'!D$2:D$38^A6656)</f>
        <v>0.8712625187</v>
      </c>
    </row>
    <row r="6657">
      <c r="A6657" s="6">
        <v>6655.0</v>
      </c>
      <c r="B6657" s="17">
        <f t="array" ref="B6657">SUM(1-'Sparkling Model'!D$2:D$38^A6657)</f>
        <v>36.86468964</v>
      </c>
      <c r="C6657" s="8">
        <f t="array" ref="C6657">PRODUCT(1-'Sparkling Model'!D$2:D$38^A6657)</f>
        <v>0.8713262039</v>
      </c>
    </row>
    <row r="6658">
      <c r="A6658" s="6">
        <v>6656.0</v>
      </c>
      <c r="B6658" s="17">
        <f t="array" ref="B6658">SUM(1-'Sparkling Model'!D$2:D$38^A6658)</f>
        <v>36.86476025</v>
      </c>
      <c r="C6658" s="8">
        <f t="array" ref="C6658">PRODUCT(1-'Sparkling Model'!D$2:D$38^A6658)</f>
        <v>0.871389858</v>
      </c>
    </row>
    <row r="6659">
      <c r="A6659" s="6">
        <v>6657.0</v>
      </c>
      <c r="B6659" s="17">
        <f t="array" ref="B6659">SUM(1-'Sparkling Model'!D$2:D$38^A6659)</f>
        <v>36.86483083</v>
      </c>
      <c r="C6659" s="8">
        <f t="array" ref="C6659">PRODUCT(1-'Sparkling Model'!D$2:D$38^A6659)</f>
        <v>0.8714534809</v>
      </c>
    </row>
    <row r="6660">
      <c r="A6660" s="6">
        <v>6658.0</v>
      </c>
      <c r="B6660" s="17">
        <f t="array" ref="B6660">SUM(1-'Sparkling Model'!D$2:D$38^A6660)</f>
        <v>36.86490137</v>
      </c>
      <c r="C6660" s="8">
        <f t="array" ref="C6660">PRODUCT(1-'Sparkling Model'!D$2:D$38^A6660)</f>
        <v>0.8715170728</v>
      </c>
    </row>
    <row r="6661">
      <c r="A6661" s="6">
        <v>6659.0</v>
      </c>
      <c r="B6661" s="17">
        <f t="array" ref="B6661">SUM(1-'Sparkling Model'!D$2:D$38^A6661)</f>
        <v>36.86497187</v>
      </c>
      <c r="C6661" s="8">
        <f t="array" ref="C6661">PRODUCT(1-'Sparkling Model'!D$2:D$38^A6661)</f>
        <v>0.8715806336</v>
      </c>
    </row>
    <row r="6662">
      <c r="A6662" s="6">
        <v>6660.0</v>
      </c>
      <c r="B6662" s="17">
        <f t="array" ref="B6662">SUM(1-'Sparkling Model'!D$2:D$38^A6662)</f>
        <v>36.86504233</v>
      </c>
      <c r="C6662" s="8">
        <f t="array" ref="C6662">PRODUCT(1-'Sparkling Model'!D$2:D$38^A6662)</f>
        <v>0.8716441634</v>
      </c>
    </row>
    <row r="6663">
      <c r="A6663" s="6">
        <v>6661.0</v>
      </c>
      <c r="B6663" s="17">
        <f t="array" ref="B6663">SUM(1-'Sparkling Model'!D$2:D$38^A6663)</f>
        <v>36.86511275</v>
      </c>
      <c r="C6663" s="8">
        <f t="array" ref="C6663">PRODUCT(1-'Sparkling Model'!D$2:D$38^A6663)</f>
        <v>0.8717076621</v>
      </c>
    </row>
    <row r="6664">
      <c r="A6664" s="6">
        <v>6662.0</v>
      </c>
      <c r="B6664" s="17">
        <f t="array" ref="B6664">SUM(1-'Sparkling Model'!D$2:D$38^A6664)</f>
        <v>36.86518313</v>
      </c>
      <c r="C6664" s="8">
        <f t="array" ref="C6664">PRODUCT(1-'Sparkling Model'!D$2:D$38^A6664)</f>
        <v>0.8717711298</v>
      </c>
    </row>
    <row r="6665">
      <c r="A6665" s="6">
        <v>6663.0</v>
      </c>
      <c r="B6665" s="17">
        <f t="array" ref="B6665">SUM(1-'Sparkling Model'!D$2:D$38^A6665)</f>
        <v>36.86525348</v>
      </c>
      <c r="C6665" s="8">
        <f t="array" ref="C6665">PRODUCT(1-'Sparkling Model'!D$2:D$38^A6665)</f>
        <v>0.8718345665</v>
      </c>
    </row>
    <row r="6666">
      <c r="A6666" s="6">
        <v>6664.0</v>
      </c>
      <c r="B6666" s="17">
        <f t="array" ref="B6666">SUM(1-'Sparkling Model'!D$2:D$38^A6666)</f>
        <v>36.86532379</v>
      </c>
      <c r="C6666" s="8">
        <f t="array" ref="C6666">PRODUCT(1-'Sparkling Model'!D$2:D$38^A6666)</f>
        <v>0.8718979722</v>
      </c>
    </row>
    <row r="6667">
      <c r="A6667" s="6">
        <v>6665.0</v>
      </c>
      <c r="B6667" s="17">
        <f t="array" ref="B6667">SUM(1-'Sparkling Model'!D$2:D$38^A6667)</f>
        <v>36.86539406</v>
      </c>
      <c r="C6667" s="8">
        <f t="array" ref="C6667">PRODUCT(1-'Sparkling Model'!D$2:D$38^A6667)</f>
        <v>0.871961347</v>
      </c>
    </row>
    <row r="6668">
      <c r="A6668" s="6">
        <v>6666.0</v>
      </c>
      <c r="B6668" s="17">
        <f t="array" ref="B6668">SUM(1-'Sparkling Model'!D$2:D$38^A6668)</f>
        <v>36.86546429</v>
      </c>
      <c r="C6668" s="8">
        <f t="array" ref="C6668">PRODUCT(1-'Sparkling Model'!D$2:D$38^A6668)</f>
        <v>0.8720246908</v>
      </c>
    </row>
    <row r="6669">
      <c r="A6669" s="6">
        <v>6667.0</v>
      </c>
      <c r="B6669" s="17">
        <f t="array" ref="B6669">SUM(1-'Sparkling Model'!D$2:D$38^A6669)</f>
        <v>36.86553448</v>
      </c>
      <c r="C6669" s="8">
        <f t="array" ref="C6669">PRODUCT(1-'Sparkling Model'!D$2:D$38^A6669)</f>
        <v>0.8720880036</v>
      </c>
    </row>
    <row r="6670">
      <c r="A6670" s="6">
        <v>6668.0</v>
      </c>
      <c r="B6670" s="17">
        <f t="array" ref="B6670">SUM(1-'Sparkling Model'!D$2:D$38^A6670)</f>
        <v>36.86560463</v>
      </c>
      <c r="C6670" s="8">
        <f t="array" ref="C6670">PRODUCT(1-'Sparkling Model'!D$2:D$38^A6670)</f>
        <v>0.8721512855</v>
      </c>
    </row>
    <row r="6671">
      <c r="A6671" s="6">
        <v>6669.0</v>
      </c>
      <c r="B6671" s="17">
        <f t="array" ref="B6671">SUM(1-'Sparkling Model'!D$2:D$38^A6671)</f>
        <v>36.86567475</v>
      </c>
      <c r="C6671" s="8">
        <f t="array" ref="C6671">PRODUCT(1-'Sparkling Model'!D$2:D$38^A6671)</f>
        <v>0.8722145365</v>
      </c>
    </row>
    <row r="6672">
      <c r="A6672" s="6">
        <v>6670.0</v>
      </c>
      <c r="B6672" s="17">
        <f t="array" ref="B6672">SUM(1-'Sparkling Model'!D$2:D$38^A6672)</f>
        <v>36.86574483</v>
      </c>
      <c r="C6672" s="8">
        <f t="array" ref="C6672">PRODUCT(1-'Sparkling Model'!D$2:D$38^A6672)</f>
        <v>0.8722777565</v>
      </c>
    </row>
    <row r="6673">
      <c r="A6673" s="6">
        <v>6671.0</v>
      </c>
      <c r="B6673" s="17">
        <f t="array" ref="B6673">SUM(1-'Sparkling Model'!D$2:D$38^A6673)</f>
        <v>36.86581487</v>
      </c>
      <c r="C6673" s="8">
        <f t="array" ref="C6673">PRODUCT(1-'Sparkling Model'!D$2:D$38^A6673)</f>
        <v>0.8723409457</v>
      </c>
    </row>
    <row r="6674">
      <c r="A6674" s="6">
        <v>6672.0</v>
      </c>
      <c r="B6674" s="17">
        <f t="array" ref="B6674">SUM(1-'Sparkling Model'!D$2:D$38^A6674)</f>
        <v>36.86588487</v>
      </c>
      <c r="C6674" s="8">
        <f t="array" ref="C6674">PRODUCT(1-'Sparkling Model'!D$2:D$38^A6674)</f>
        <v>0.872404104</v>
      </c>
    </row>
    <row r="6675">
      <c r="A6675" s="6">
        <v>6673.0</v>
      </c>
      <c r="B6675" s="17">
        <f t="array" ref="B6675">SUM(1-'Sparkling Model'!D$2:D$38^A6675)</f>
        <v>36.86595483</v>
      </c>
      <c r="C6675" s="8">
        <f t="array" ref="C6675">PRODUCT(1-'Sparkling Model'!D$2:D$38^A6675)</f>
        <v>0.8724672315</v>
      </c>
    </row>
    <row r="6676">
      <c r="A6676" s="6">
        <v>6674.0</v>
      </c>
      <c r="B6676" s="17">
        <f t="array" ref="B6676">SUM(1-'Sparkling Model'!D$2:D$38^A6676)</f>
        <v>36.86602475</v>
      </c>
      <c r="C6676" s="8">
        <f t="array" ref="C6676">PRODUCT(1-'Sparkling Model'!D$2:D$38^A6676)</f>
        <v>0.8725303281</v>
      </c>
    </row>
    <row r="6677">
      <c r="A6677" s="6">
        <v>6675.0</v>
      </c>
      <c r="B6677" s="17">
        <f t="array" ref="B6677">SUM(1-'Sparkling Model'!D$2:D$38^A6677)</f>
        <v>36.86609464</v>
      </c>
      <c r="C6677" s="8">
        <f t="array" ref="C6677">PRODUCT(1-'Sparkling Model'!D$2:D$38^A6677)</f>
        <v>0.8725933939</v>
      </c>
    </row>
    <row r="6678">
      <c r="A6678" s="6">
        <v>6676.0</v>
      </c>
      <c r="B6678" s="17">
        <f t="array" ref="B6678">SUM(1-'Sparkling Model'!D$2:D$38^A6678)</f>
        <v>36.86616449</v>
      </c>
      <c r="C6678" s="8">
        <f t="array" ref="C6678">PRODUCT(1-'Sparkling Model'!D$2:D$38^A6678)</f>
        <v>0.8726564288</v>
      </c>
    </row>
    <row r="6679">
      <c r="A6679" s="6">
        <v>6677.0</v>
      </c>
      <c r="B6679" s="17">
        <f t="array" ref="B6679">SUM(1-'Sparkling Model'!D$2:D$38^A6679)</f>
        <v>36.8662343</v>
      </c>
      <c r="C6679" s="8">
        <f t="array" ref="C6679">PRODUCT(1-'Sparkling Model'!D$2:D$38^A6679)</f>
        <v>0.872719433</v>
      </c>
    </row>
    <row r="6680">
      <c r="A6680" s="6">
        <v>6678.0</v>
      </c>
      <c r="B6680" s="17">
        <f t="array" ref="B6680">SUM(1-'Sparkling Model'!D$2:D$38^A6680)</f>
        <v>36.86630407</v>
      </c>
      <c r="C6680" s="8">
        <f t="array" ref="C6680">PRODUCT(1-'Sparkling Model'!D$2:D$38^A6680)</f>
        <v>0.8727824064</v>
      </c>
    </row>
    <row r="6681">
      <c r="A6681" s="6">
        <v>6679.0</v>
      </c>
      <c r="B6681" s="17">
        <f t="array" ref="B6681">SUM(1-'Sparkling Model'!D$2:D$38^A6681)</f>
        <v>36.86637381</v>
      </c>
      <c r="C6681" s="8">
        <f t="array" ref="C6681">PRODUCT(1-'Sparkling Model'!D$2:D$38^A6681)</f>
        <v>0.872845349</v>
      </c>
    </row>
    <row r="6682">
      <c r="A6682" s="6">
        <v>6680.0</v>
      </c>
      <c r="B6682" s="17">
        <f t="array" ref="B6682">SUM(1-'Sparkling Model'!D$2:D$38^A6682)</f>
        <v>36.8664435</v>
      </c>
      <c r="C6682" s="8">
        <f t="array" ref="C6682">PRODUCT(1-'Sparkling Model'!D$2:D$38^A6682)</f>
        <v>0.8729082608</v>
      </c>
    </row>
    <row r="6683">
      <c r="A6683" s="6">
        <v>6681.0</v>
      </c>
      <c r="B6683" s="17">
        <f t="array" ref="B6683">SUM(1-'Sparkling Model'!D$2:D$38^A6683)</f>
        <v>36.86651316</v>
      </c>
      <c r="C6683" s="8">
        <f t="array" ref="C6683">PRODUCT(1-'Sparkling Model'!D$2:D$38^A6683)</f>
        <v>0.8729711419</v>
      </c>
    </row>
    <row r="6684">
      <c r="A6684" s="6">
        <v>6682.0</v>
      </c>
      <c r="B6684" s="17">
        <f t="array" ref="B6684">SUM(1-'Sparkling Model'!D$2:D$38^A6684)</f>
        <v>36.86658278</v>
      </c>
      <c r="C6684" s="8">
        <f t="array" ref="C6684">PRODUCT(1-'Sparkling Model'!D$2:D$38^A6684)</f>
        <v>0.8730339923</v>
      </c>
    </row>
    <row r="6685">
      <c r="A6685" s="6">
        <v>6683.0</v>
      </c>
      <c r="B6685" s="17">
        <f t="array" ref="B6685">SUM(1-'Sparkling Model'!D$2:D$38^A6685)</f>
        <v>36.86665236</v>
      </c>
      <c r="C6685" s="8">
        <f t="array" ref="C6685">PRODUCT(1-'Sparkling Model'!D$2:D$38^A6685)</f>
        <v>0.8730968119</v>
      </c>
    </row>
    <row r="6686">
      <c r="A6686" s="6">
        <v>6684.0</v>
      </c>
      <c r="B6686" s="17">
        <f t="array" ref="B6686">SUM(1-'Sparkling Model'!D$2:D$38^A6686)</f>
        <v>36.86672191</v>
      </c>
      <c r="C6686" s="8">
        <f t="array" ref="C6686">PRODUCT(1-'Sparkling Model'!D$2:D$38^A6686)</f>
        <v>0.8731596009</v>
      </c>
    </row>
    <row r="6687">
      <c r="A6687" s="6">
        <v>6685.0</v>
      </c>
      <c r="B6687" s="17">
        <f t="array" ref="B6687">SUM(1-'Sparkling Model'!D$2:D$38^A6687)</f>
        <v>36.86679141</v>
      </c>
      <c r="C6687" s="8">
        <f t="array" ref="C6687">PRODUCT(1-'Sparkling Model'!D$2:D$38^A6687)</f>
        <v>0.8732223591</v>
      </c>
    </row>
    <row r="6688">
      <c r="A6688" s="6">
        <v>6686.0</v>
      </c>
      <c r="B6688" s="17">
        <f t="array" ref="B6688">SUM(1-'Sparkling Model'!D$2:D$38^A6688)</f>
        <v>36.86686088</v>
      </c>
      <c r="C6688" s="8">
        <f t="array" ref="C6688">PRODUCT(1-'Sparkling Model'!D$2:D$38^A6688)</f>
        <v>0.8732850867</v>
      </c>
    </row>
    <row r="6689">
      <c r="A6689" s="6">
        <v>6687.0</v>
      </c>
      <c r="B6689" s="17">
        <f t="array" ref="B6689">SUM(1-'Sparkling Model'!D$2:D$38^A6689)</f>
        <v>36.86693031</v>
      </c>
      <c r="C6689" s="8">
        <f t="array" ref="C6689">PRODUCT(1-'Sparkling Model'!D$2:D$38^A6689)</f>
        <v>0.8733477837</v>
      </c>
    </row>
    <row r="6690">
      <c r="A6690" s="6">
        <v>6688.0</v>
      </c>
      <c r="B6690" s="17">
        <f t="array" ref="B6690">SUM(1-'Sparkling Model'!D$2:D$38^A6690)</f>
        <v>36.86699971</v>
      </c>
      <c r="C6690" s="8">
        <f t="array" ref="C6690">PRODUCT(1-'Sparkling Model'!D$2:D$38^A6690)</f>
        <v>0.87341045</v>
      </c>
    </row>
    <row r="6691">
      <c r="A6691" s="6">
        <v>6689.0</v>
      </c>
      <c r="B6691" s="17">
        <f t="array" ref="B6691">SUM(1-'Sparkling Model'!D$2:D$38^A6691)</f>
        <v>36.86706906</v>
      </c>
      <c r="C6691" s="8">
        <f t="array" ref="C6691">PRODUCT(1-'Sparkling Model'!D$2:D$38^A6691)</f>
        <v>0.8734730856</v>
      </c>
    </row>
    <row r="6692">
      <c r="A6692" s="6">
        <v>6690.0</v>
      </c>
      <c r="B6692" s="17">
        <f t="array" ref="B6692">SUM(1-'Sparkling Model'!D$2:D$38^A6692)</f>
        <v>36.86713838</v>
      </c>
      <c r="C6692" s="8">
        <f t="array" ref="C6692">PRODUCT(1-'Sparkling Model'!D$2:D$38^A6692)</f>
        <v>0.8735356907</v>
      </c>
    </row>
    <row r="6693">
      <c r="A6693" s="6">
        <v>6691.0</v>
      </c>
      <c r="B6693" s="17">
        <f t="array" ref="B6693">SUM(1-'Sparkling Model'!D$2:D$38^A6693)</f>
        <v>36.86720766</v>
      </c>
      <c r="C6693" s="8">
        <f t="array" ref="C6693">PRODUCT(1-'Sparkling Model'!D$2:D$38^A6693)</f>
        <v>0.8735982651</v>
      </c>
    </row>
    <row r="6694">
      <c r="A6694" s="6">
        <v>6692.0</v>
      </c>
      <c r="B6694" s="17">
        <f t="array" ref="B6694">SUM(1-'Sparkling Model'!D$2:D$38^A6694)</f>
        <v>36.8672769</v>
      </c>
      <c r="C6694" s="8">
        <f t="array" ref="C6694">PRODUCT(1-'Sparkling Model'!D$2:D$38^A6694)</f>
        <v>0.873660809</v>
      </c>
    </row>
    <row r="6695">
      <c r="A6695" s="6">
        <v>6693.0</v>
      </c>
      <c r="B6695" s="17">
        <f t="array" ref="B6695">SUM(1-'Sparkling Model'!D$2:D$38^A6695)</f>
        <v>36.86734611</v>
      </c>
      <c r="C6695" s="8">
        <f t="array" ref="C6695">PRODUCT(1-'Sparkling Model'!D$2:D$38^A6695)</f>
        <v>0.8737233223</v>
      </c>
    </row>
    <row r="6696">
      <c r="A6696" s="6">
        <v>6694.0</v>
      </c>
      <c r="B6696" s="17">
        <f t="array" ref="B6696">SUM(1-'Sparkling Model'!D$2:D$38^A6696)</f>
        <v>36.86741527</v>
      </c>
      <c r="C6696" s="8">
        <f t="array" ref="C6696">PRODUCT(1-'Sparkling Model'!D$2:D$38^A6696)</f>
        <v>0.8737858051</v>
      </c>
    </row>
    <row r="6697">
      <c r="A6697" s="6">
        <v>6695.0</v>
      </c>
      <c r="B6697" s="17">
        <f t="array" ref="B6697">SUM(1-'Sparkling Model'!D$2:D$38^A6697)</f>
        <v>36.8674844</v>
      </c>
      <c r="C6697" s="8">
        <f t="array" ref="C6697">PRODUCT(1-'Sparkling Model'!D$2:D$38^A6697)</f>
        <v>0.8738482573</v>
      </c>
    </row>
    <row r="6698">
      <c r="A6698" s="6">
        <v>6696.0</v>
      </c>
      <c r="B6698" s="17">
        <f t="array" ref="B6698">SUM(1-'Sparkling Model'!D$2:D$38^A6698)</f>
        <v>36.86755349</v>
      </c>
      <c r="C6698" s="8">
        <f t="array" ref="C6698">PRODUCT(1-'Sparkling Model'!D$2:D$38^A6698)</f>
        <v>0.8739106789</v>
      </c>
    </row>
    <row r="6699">
      <c r="A6699" s="6">
        <v>6697.0</v>
      </c>
      <c r="B6699" s="17">
        <f t="array" ref="B6699">SUM(1-'Sparkling Model'!D$2:D$38^A6699)</f>
        <v>36.86762254</v>
      </c>
      <c r="C6699" s="8">
        <f t="array" ref="C6699">PRODUCT(1-'Sparkling Model'!D$2:D$38^A6699)</f>
        <v>0.8739730701</v>
      </c>
    </row>
    <row r="6700">
      <c r="A6700" s="6">
        <v>6698.0</v>
      </c>
      <c r="B6700" s="17">
        <f t="array" ref="B6700">SUM(1-'Sparkling Model'!D$2:D$38^A6700)</f>
        <v>36.86769156</v>
      </c>
      <c r="C6700" s="8">
        <f t="array" ref="C6700">PRODUCT(1-'Sparkling Model'!D$2:D$38^A6700)</f>
        <v>0.8740354308</v>
      </c>
    </row>
    <row r="6701">
      <c r="A6701" s="6">
        <v>6699.0</v>
      </c>
      <c r="B6701" s="17">
        <f t="array" ref="B6701">SUM(1-'Sparkling Model'!D$2:D$38^A6701)</f>
        <v>36.86776054</v>
      </c>
      <c r="C6701" s="8">
        <f t="array" ref="C6701">PRODUCT(1-'Sparkling Model'!D$2:D$38^A6701)</f>
        <v>0.8740977609</v>
      </c>
    </row>
    <row r="6702">
      <c r="A6702" s="6">
        <v>6700.0</v>
      </c>
      <c r="B6702" s="17">
        <f t="array" ref="B6702">SUM(1-'Sparkling Model'!D$2:D$38^A6702)</f>
        <v>36.86782948</v>
      </c>
      <c r="C6702" s="8">
        <f t="array" ref="C6702">PRODUCT(1-'Sparkling Model'!D$2:D$38^A6702)</f>
        <v>0.8741600606</v>
      </c>
    </row>
    <row r="6703">
      <c r="A6703" s="6">
        <v>6701.0</v>
      </c>
      <c r="B6703" s="17">
        <f t="array" ref="B6703">SUM(1-'Sparkling Model'!D$2:D$38^A6703)</f>
        <v>36.86789838</v>
      </c>
      <c r="C6703" s="8">
        <f t="array" ref="C6703">PRODUCT(1-'Sparkling Model'!D$2:D$38^A6703)</f>
        <v>0.8742223299</v>
      </c>
    </row>
    <row r="6704">
      <c r="A6704" s="6">
        <v>6702.0</v>
      </c>
      <c r="B6704" s="17">
        <f t="array" ref="B6704">SUM(1-'Sparkling Model'!D$2:D$38^A6704)</f>
        <v>36.86796725</v>
      </c>
      <c r="C6704" s="8">
        <f t="array" ref="C6704">PRODUCT(1-'Sparkling Model'!D$2:D$38^A6704)</f>
        <v>0.8742845687</v>
      </c>
    </row>
    <row r="6705">
      <c r="A6705" s="6">
        <v>6703.0</v>
      </c>
      <c r="B6705" s="17">
        <f t="array" ref="B6705">SUM(1-'Sparkling Model'!D$2:D$38^A6705)</f>
        <v>36.86803608</v>
      </c>
      <c r="C6705" s="8">
        <f t="array" ref="C6705">PRODUCT(1-'Sparkling Model'!D$2:D$38^A6705)</f>
        <v>0.8743467771</v>
      </c>
    </row>
    <row r="6706">
      <c r="A6706" s="6">
        <v>6704.0</v>
      </c>
      <c r="B6706" s="17">
        <f t="array" ref="B6706">SUM(1-'Sparkling Model'!D$2:D$38^A6706)</f>
        <v>36.86810487</v>
      </c>
      <c r="C6706" s="8">
        <f t="array" ref="C6706">PRODUCT(1-'Sparkling Model'!D$2:D$38^A6706)</f>
        <v>0.8744089551</v>
      </c>
    </row>
    <row r="6707">
      <c r="A6707" s="6">
        <v>6705.0</v>
      </c>
      <c r="B6707" s="17">
        <f t="array" ref="B6707">SUM(1-'Sparkling Model'!D$2:D$38^A6707)</f>
        <v>36.86817362</v>
      </c>
      <c r="C6707" s="8">
        <f t="array" ref="C6707">PRODUCT(1-'Sparkling Model'!D$2:D$38^A6707)</f>
        <v>0.8744711027</v>
      </c>
    </row>
    <row r="6708">
      <c r="A6708" s="6">
        <v>6706.0</v>
      </c>
      <c r="B6708" s="17">
        <f t="array" ref="B6708">SUM(1-'Sparkling Model'!D$2:D$38^A6708)</f>
        <v>36.86824233</v>
      </c>
      <c r="C6708" s="8">
        <f t="array" ref="C6708">PRODUCT(1-'Sparkling Model'!D$2:D$38^A6708)</f>
        <v>0.8745332199</v>
      </c>
    </row>
    <row r="6709">
      <c r="A6709" s="6">
        <v>6707.0</v>
      </c>
      <c r="B6709" s="17">
        <f t="array" ref="B6709">SUM(1-'Sparkling Model'!D$2:D$38^A6709)</f>
        <v>36.86831101</v>
      </c>
      <c r="C6709" s="8">
        <f t="array" ref="C6709">PRODUCT(1-'Sparkling Model'!D$2:D$38^A6709)</f>
        <v>0.8745953067</v>
      </c>
    </row>
    <row r="6710">
      <c r="A6710" s="6">
        <v>6708.0</v>
      </c>
      <c r="B6710" s="17">
        <f t="array" ref="B6710">SUM(1-'Sparkling Model'!D$2:D$38^A6710)</f>
        <v>36.86837965</v>
      </c>
      <c r="C6710" s="8">
        <f t="array" ref="C6710">PRODUCT(1-'Sparkling Model'!D$2:D$38^A6710)</f>
        <v>0.8746573632</v>
      </c>
    </row>
    <row r="6711">
      <c r="A6711" s="6">
        <v>6709.0</v>
      </c>
      <c r="B6711" s="17">
        <f t="array" ref="B6711">SUM(1-'Sparkling Model'!D$2:D$38^A6711)</f>
        <v>36.86844826</v>
      </c>
      <c r="C6711" s="8">
        <f t="array" ref="C6711">PRODUCT(1-'Sparkling Model'!D$2:D$38^A6711)</f>
        <v>0.8747193893</v>
      </c>
    </row>
    <row r="6712">
      <c r="A6712" s="6">
        <v>6710.0</v>
      </c>
      <c r="B6712" s="17">
        <f t="array" ref="B6712">SUM(1-'Sparkling Model'!D$2:D$38^A6712)</f>
        <v>36.86851682</v>
      </c>
      <c r="C6712" s="8">
        <f t="array" ref="C6712">PRODUCT(1-'Sparkling Model'!D$2:D$38^A6712)</f>
        <v>0.8747813851</v>
      </c>
    </row>
    <row r="6713">
      <c r="A6713" s="6">
        <v>6711.0</v>
      </c>
      <c r="B6713" s="17">
        <f t="array" ref="B6713">SUM(1-'Sparkling Model'!D$2:D$38^A6713)</f>
        <v>36.86858535</v>
      </c>
      <c r="C6713" s="8">
        <f t="array" ref="C6713">PRODUCT(1-'Sparkling Model'!D$2:D$38^A6713)</f>
        <v>0.8748433506</v>
      </c>
    </row>
    <row r="6714">
      <c r="A6714" s="6">
        <v>6712.0</v>
      </c>
      <c r="B6714" s="17">
        <f t="array" ref="B6714">SUM(1-'Sparkling Model'!D$2:D$38^A6714)</f>
        <v>36.86865384</v>
      </c>
      <c r="C6714" s="8">
        <f t="array" ref="C6714">PRODUCT(1-'Sparkling Model'!D$2:D$38^A6714)</f>
        <v>0.8749052858</v>
      </c>
    </row>
    <row r="6715">
      <c r="A6715" s="6">
        <v>6713.0</v>
      </c>
      <c r="B6715" s="17">
        <f t="array" ref="B6715">SUM(1-'Sparkling Model'!D$2:D$38^A6715)</f>
        <v>36.8687223</v>
      </c>
      <c r="C6715" s="8">
        <f t="array" ref="C6715">PRODUCT(1-'Sparkling Model'!D$2:D$38^A6715)</f>
        <v>0.8749671907</v>
      </c>
    </row>
    <row r="6716">
      <c r="A6716" s="6">
        <v>6714.0</v>
      </c>
      <c r="B6716" s="17">
        <f t="array" ref="B6716">SUM(1-'Sparkling Model'!D$2:D$38^A6716)</f>
        <v>36.86879071</v>
      </c>
      <c r="C6716" s="8">
        <f t="array" ref="C6716">PRODUCT(1-'Sparkling Model'!D$2:D$38^A6716)</f>
        <v>0.8750290653</v>
      </c>
    </row>
    <row r="6717">
      <c r="A6717" s="6">
        <v>6715.0</v>
      </c>
      <c r="B6717" s="17">
        <f t="array" ref="B6717">SUM(1-'Sparkling Model'!D$2:D$38^A6717)</f>
        <v>36.86885909</v>
      </c>
      <c r="C6717" s="8">
        <f t="array" ref="C6717">PRODUCT(1-'Sparkling Model'!D$2:D$38^A6717)</f>
        <v>0.8750909097</v>
      </c>
    </row>
    <row r="6718">
      <c r="A6718" s="6">
        <v>6716.0</v>
      </c>
      <c r="B6718" s="17">
        <f t="array" ref="B6718">SUM(1-'Sparkling Model'!D$2:D$38^A6718)</f>
        <v>36.86892743</v>
      </c>
      <c r="C6718" s="8">
        <f t="array" ref="C6718">PRODUCT(1-'Sparkling Model'!D$2:D$38^A6718)</f>
        <v>0.8751527239</v>
      </c>
    </row>
    <row r="6719">
      <c r="A6719" s="6">
        <v>6717.0</v>
      </c>
      <c r="B6719" s="17">
        <f t="array" ref="B6719">SUM(1-'Sparkling Model'!D$2:D$38^A6719)</f>
        <v>36.86899574</v>
      </c>
      <c r="C6719" s="8">
        <f t="array" ref="C6719">PRODUCT(1-'Sparkling Model'!D$2:D$38^A6719)</f>
        <v>0.8752145078</v>
      </c>
    </row>
    <row r="6720">
      <c r="A6720" s="6">
        <v>6718.0</v>
      </c>
      <c r="B6720" s="17">
        <f t="array" ref="B6720">SUM(1-'Sparkling Model'!D$2:D$38^A6720)</f>
        <v>36.86906401</v>
      </c>
      <c r="C6720" s="8">
        <f t="array" ref="C6720">PRODUCT(1-'Sparkling Model'!D$2:D$38^A6720)</f>
        <v>0.8752762615</v>
      </c>
    </row>
    <row r="6721">
      <c r="A6721" s="6">
        <v>6719.0</v>
      </c>
      <c r="B6721" s="17">
        <f t="array" ref="B6721">SUM(1-'Sparkling Model'!D$2:D$38^A6721)</f>
        <v>36.86913224</v>
      </c>
      <c r="C6721" s="8">
        <f t="array" ref="C6721">PRODUCT(1-'Sparkling Model'!D$2:D$38^A6721)</f>
        <v>0.875337985</v>
      </c>
    </row>
    <row r="6722">
      <c r="A6722" s="6">
        <v>6720.0</v>
      </c>
      <c r="B6722" s="17">
        <f t="array" ref="B6722">SUM(1-'Sparkling Model'!D$2:D$38^A6722)</f>
        <v>36.86920043</v>
      </c>
      <c r="C6722" s="8">
        <f t="array" ref="C6722">PRODUCT(1-'Sparkling Model'!D$2:D$38^A6722)</f>
        <v>0.8753996784</v>
      </c>
    </row>
    <row r="6723">
      <c r="A6723" s="6">
        <v>6721.0</v>
      </c>
      <c r="B6723" s="17">
        <f t="array" ref="B6723">SUM(1-'Sparkling Model'!D$2:D$38^A6723)</f>
        <v>36.86926859</v>
      </c>
      <c r="C6723" s="8">
        <f t="array" ref="C6723">PRODUCT(1-'Sparkling Model'!D$2:D$38^A6723)</f>
        <v>0.8754613415</v>
      </c>
    </row>
    <row r="6724">
      <c r="A6724" s="6">
        <v>6722.0</v>
      </c>
      <c r="B6724" s="17">
        <f t="array" ref="B6724">SUM(1-'Sparkling Model'!D$2:D$38^A6724)</f>
        <v>36.86933671</v>
      </c>
      <c r="C6724" s="8">
        <f t="array" ref="C6724">PRODUCT(1-'Sparkling Model'!D$2:D$38^A6724)</f>
        <v>0.8755229745</v>
      </c>
    </row>
    <row r="6725">
      <c r="A6725" s="6">
        <v>6723.0</v>
      </c>
      <c r="B6725" s="17">
        <f t="array" ref="B6725">SUM(1-'Sparkling Model'!D$2:D$38^A6725)</f>
        <v>36.86940479</v>
      </c>
      <c r="C6725" s="8">
        <f t="array" ref="C6725">PRODUCT(1-'Sparkling Model'!D$2:D$38^A6725)</f>
        <v>0.8755845774</v>
      </c>
    </row>
    <row r="6726">
      <c r="A6726" s="6">
        <v>6724.0</v>
      </c>
      <c r="B6726" s="17">
        <f t="array" ref="B6726">SUM(1-'Sparkling Model'!D$2:D$38^A6726)</f>
        <v>36.86947284</v>
      </c>
      <c r="C6726" s="8">
        <f t="array" ref="C6726">PRODUCT(1-'Sparkling Model'!D$2:D$38^A6726)</f>
        <v>0.8756461501</v>
      </c>
    </row>
    <row r="6727">
      <c r="A6727" s="6">
        <v>6725.0</v>
      </c>
      <c r="B6727" s="17">
        <f t="array" ref="B6727">SUM(1-'Sparkling Model'!D$2:D$38^A6727)</f>
        <v>36.86954084</v>
      </c>
      <c r="C6727" s="8">
        <f t="array" ref="C6727">PRODUCT(1-'Sparkling Model'!D$2:D$38^A6727)</f>
        <v>0.8757076928</v>
      </c>
    </row>
    <row r="6728">
      <c r="A6728" s="6">
        <v>6726.0</v>
      </c>
      <c r="B6728" s="17">
        <f t="array" ref="B6728">SUM(1-'Sparkling Model'!D$2:D$38^A6728)</f>
        <v>36.86960882</v>
      </c>
      <c r="C6728" s="8">
        <f t="array" ref="C6728">PRODUCT(1-'Sparkling Model'!D$2:D$38^A6728)</f>
        <v>0.8757692053</v>
      </c>
    </row>
    <row r="6729">
      <c r="A6729" s="6">
        <v>6727.0</v>
      </c>
      <c r="B6729" s="17">
        <f t="array" ref="B6729">SUM(1-'Sparkling Model'!D$2:D$38^A6729)</f>
        <v>36.86967675</v>
      </c>
      <c r="C6729" s="8">
        <f t="array" ref="C6729">PRODUCT(1-'Sparkling Model'!D$2:D$38^A6729)</f>
        <v>0.8758306877</v>
      </c>
    </row>
    <row r="6730">
      <c r="A6730" s="6">
        <v>6728.0</v>
      </c>
      <c r="B6730" s="17">
        <f t="array" ref="B6730">SUM(1-'Sparkling Model'!D$2:D$38^A6730)</f>
        <v>36.86974465</v>
      </c>
      <c r="C6730" s="8">
        <f t="array" ref="C6730">PRODUCT(1-'Sparkling Model'!D$2:D$38^A6730)</f>
        <v>0.8758921401</v>
      </c>
    </row>
    <row r="6731">
      <c r="A6731" s="6">
        <v>6729.0</v>
      </c>
      <c r="B6731" s="17">
        <f t="array" ref="B6731">SUM(1-'Sparkling Model'!D$2:D$38^A6731)</f>
        <v>36.86981251</v>
      </c>
      <c r="C6731" s="8">
        <f t="array" ref="C6731">PRODUCT(1-'Sparkling Model'!D$2:D$38^A6731)</f>
        <v>0.8759535624</v>
      </c>
    </row>
    <row r="6732">
      <c r="A6732" s="6">
        <v>6730.0</v>
      </c>
      <c r="B6732" s="17">
        <f t="array" ref="B6732">SUM(1-'Sparkling Model'!D$2:D$38^A6732)</f>
        <v>36.86988033</v>
      </c>
      <c r="C6732" s="8">
        <f t="array" ref="C6732">PRODUCT(1-'Sparkling Model'!D$2:D$38^A6732)</f>
        <v>0.8760149547</v>
      </c>
    </row>
    <row r="6733">
      <c r="A6733" s="6">
        <v>6731.0</v>
      </c>
      <c r="B6733" s="17">
        <f t="array" ref="B6733">SUM(1-'Sparkling Model'!D$2:D$38^A6733)</f>
        <v>36.86994812</v>
      </c>
      <c r="C6733" s="8">
        <f t="array" ref="C6733">PRODUCT(1-'Sparkling Model'!D$2:D$38^A6733)</f>
        <v>0.876076317</v>
      </c>
    </row>
    <row r="6734">
      <c r="A6734" s="6">
        <v>6732.0</v>
      </c>
      <c r="B6734" s="17">
        <f t="array" ref="B6734">SUM(1-'Sparkling Model'!D$2:D$38^A6734)</f>
        <v>36.87001587</v>
      </c>
      <c r="C6734" s="8">
        <f t="array" ref="C6734">PRODUCT(1-'Sparkling Model'!D$2:D$38^A6734)</f>
        <v>0.8761376492</v>
      </c>
    </row>
    <row r="6735">
      <c r="A6735" s="6">
        <v>6733.0</v>
      </c>
      <c r="B6735" s="17">
        <f t="array" ref="B6735">SUM(1-'Sparkling Model'!D$2:D$38^A6735)</f>
        <v>36.87008358</v>
      </c>
      <c r="C6735" s="8">
        <f t="array" ref="C6735">PRODUCT(1-'Sparkling Model'!D$2:D$38^A6735)</f>
        <v>0.8761989515</v>
      </c>
    </row>
    <row r="6736">
      <c r="A6736" s="6">
        <v>6734.0</v>
      </c>
      <c r="B6736" s="17">
        <f t="array" ref="B6736">SUM(1-'Sparkling Model'!D$2:D$38^A6736)</f>
        <v>36.87015126</v>
      </c>
      <c r="C6736" s="8">
        <f t="array" ref="C6736">PRODUCT(1-'Sparkling Model'!D$2:D$38^A6736)</f>
        <v>0.8762602237</v>
      </c>
    </row>
    <row r="6737">
      <c r="A6737" s="6">
        <v>6735.0</v>
      </c>
      <c r="B6737" s="17">
        <f t="array" ref="B6737">SUM(1-'Sparkling Model'!D$2:D$38^A6737)</f>
        <v>36.8702189</v>
      </c>
      <c r="C6737" s="8">
        <f t="array" ref="C6737">PRODUCT(1-'Sparkling Model'!D$2:D$38^A6737)</f>
        <v>0.876321466</v>
      </c>
    </row>
    <row r="6738">
      <c r="A6738" s="6">
        <v>6736.0</v>
      </c>
      <c r="B6738" s="17">
        <f t="array" ref="B6738">SUM(1-'Sparkling Model'!D$2:D$38^A6738)</f>
        <v>36.8702865</v>
      </c>
      <c r="C6738" s="8">
        <f t="array" ref="C6738">PRODUCT(1-'Sparkling Model'!D$2:D$38^A6738)</f>
        <v>0.8763826784</v>
      </c>
    </row>
    <row r="6739">
      <c r="A6739" s="6">
        <v>6737.0</v>
      </c>
      <c r="B6739" s="17">
        <f t="array" ref="B6739">SUM(1-'Sparkling Model'!D$2:D$38^A6739)</f>
        <v>36.87035406</v>
      </c>
      <c r="C6739" s="8">
        <f t="array" ref="C6739">PRODUCT(1-'Sparkling Model'!D$2:D$38^A6739)</f>
        <v>0.8764438607</v>
      </c>
    </row>
    <row r="6740">
      <c r="A6740" s="6">
        <v>6738.0</v>
      </c>
      <c r="B6740" s="17">
        <f t="array" ref="B6740">SUM(1-'Sparkling Model'!D$2:D$38^A6740)</f>
        <v>36.87042159</v>
      </c>
      <c r="C6740" s="8">
        <f t="array" ref="C6740">PRODUCT(1-'Sparkling Model'!D$2:D$38^A6740)</f>
        <v>0.8765050132</v>
      </c>
    </row>
    <row r="6741">
      <c r="A6741" s="6">
        <v>6739.0</v>
      </c>
      <c r="B6741" s="17">
        <f t="array" ref="B6741">SUM(1-'Sparkling Model'!D$2:D$38^A6741)</f>
        <v>36.87048908</v>
      </c>
      <c r="C6741" s="8">
        <f t="array" ref="C6741">PRODUCT(1-'Sparkling Model'!D$2:D$38^A6741)</f>
        <v>0.8765661358</v>
      </c>
    </row>
    <row r="6742">
      <c r="A6742" s="6">
        <v>6740.0</v>
      </c>
      <c r="B6742" s="17">
        <f t="array" ref="B6742">SUM(1-'Sparkling Model'!D$2:D$38^A6742)</f>
        <v>36.87055654</v>
      </c>
      <c r="C6742" s="8">
        <f t="array" ref="C6742">PRODUCT(1-'Sparkling Model'!D$2:D$38^A6742)</f>
        <v>0.8766272284</v>
      </c>
    </row>
    <row r="6743">
      <c r="A6743" s="6">
        <v>6741.0</v>
      </c>
      <c r="B6743" s="17">
        <f t="array" ref="B6743">SUM(1-'Sparkling Model'!D$2:D$38^A6743)</f>
        <v>36.87062396</v>
      </c>
      <c r="C6743" s="8">
        <f t="array" ref="C6743">PRODUCT(1-'Sparkling Model'!D$2:D$38^A6743)</f>
        <v>0.8766882912</v>
      </c>
    </row>
    <row r="6744">
      <c r="A6744" s="6">
        <v>6742.0</v>
      </c>
      <c r="B6744" s="17">
        <f t="array" ref="B6744">SUM(1-'Sparkling Model'!D$2:D$38^A6744)</f>
        <v>36.87069134</v>
      </c>
      <c r="C6744" s="8">
        <f t="array" ref="C6744">PRODUCT(1-'Sparkling Model'!D$2:D$38^A6744)</f>
        <v>0.8767493241</v>
      </c>
    </row>
    <row r="6745">
      <c r="A6745" s="6">
        <v>6743.0</v>
      </c>
      <c r="B6745" s="17">
        <f t="array" ref="B6745">SUM(1-'Sparkling Model'!D$2:D$38^A6745)</f>
        <v>36.87075869</v>
      </c>
      <c r="C6745" s="8">
        <f t="array" ref="C6745">PRODUCT(1-'Sparkling Model'!D$2:D$38^A6745)</f>
        <v>0.8768103271</v>
      </c>
    </row>
    <row r="6746">
      <c r="A6746" s="6">
        <v>6744.0</v>
      </c>
      <c r="B6746" s="17">
        <f t="array" ref="B6746">SUM(1-'Sparkling Model'!D$2:D$38^A6746)</f>
        <v>36.870826</v>
      </c>
      <c r="C6746" s="8">
        <f t="array" ref="C6746">PRODUCT(1-'Sparkling Model'!D$2:D$38^A6746)</f>
        <v>0.8768713003</v>
      </c>
    </row>
    <row r="6747">
      <c r="A6747" s="6">
        <v>6745.0</v>
      </c>
      <c r="B6747" s="17">
        <f t="array" ref="B6747">SUM(1-'Sparkling Model'!D$2:D$38^A6747)</f>
        <v>36.87089327</v>
      </c>
      <c r="C6747" s="8">
        <f t="array" ref="C6747">PRODUCT(1-'Sparkling Model'!D$2:D$38^A6747)</f>
        <v>0.8769322437</v>
      </c>
    </row>
    <row r="6748">
      <c r="A6748" s="6">
        <v>6746.0</v>
      </c>
      <c r="B6748" s="17">
        <f t="array" ref="B6748">SUM(1-'Sparkling Model'!D$2:D$38^A6748)</f>
        <v>36.8709605</v>
      </c>
      <c r="C6748" s="8">
        <f t="array" ref="C6748">PRODUCT(1-'Sparkling Model'!D$2:D$38^A6748)</f>
        <v>0.8769931572</v>
      </c>
    </row>
    <row r="6749">
      <c r="A6749" s="6">
        <v>6747.0</v>
      </c>
      <c r="B6749" s="17">
        <f t="array" ref="B6749">SUM(1-'Sparkling Model'!D$2:D$38^A6749)</f>
        <v>36.8710277</v>
      </c>
      <c r="C6749" s="8">
        <f t="array" ref="C6749">PRODUCT(1-'Sparkling Model'!D$2:D$38^A6749)</f>
        <v>0.877054041</v>
      </c>
    </row>
    <row r="6750">
      <c r="A6750" s="6">
        <v>6748.0</v>
      </c>
      <c r="B6750" s="17">
        <f t="array" ref="B6750">SUM(1-'Sparkling Model'!D$2:D$38^A6750)</f>
        <v>36.87109487</v>
      </c>
      <c r="C6750" s="8">
        <f t="array" ref="C6750">PRODUCT(1-'Sparkling Model'!D$2:D$38^A6750)</f>
        <v>0.877114895</v>
      </c>
    </row>
    <row r="6751">
      <c r="A6751" s="6">
        <v>6749.0</v>
      </c>
      <c r="B6751" s="17">
        <f t="array" ref="B6751">SUM(1-'Sparkling Model'!D$2:D$38^A6751)</f>
        <v>36.87116199</v>
      </c>
      <c r="C6751" s="8">
        <f t="array" ref="C6751">PRODUCT(1-'Sparkling Model'!D$2:D$38^A6751)</f>
        <v>0.8771757191</v>
      </c>
    </row>
    <row r="6752">
      <c r="A6752" s="6">
        <v>6750.0</v>
      </c>
      <c r="B6752" s="17">
        <f t="array" ref="B6752">SUM(1-'Sparkling Model'!D$2:D$38^A6752)</f>
        <v>36.87122908</v>
      </c>
      <c r="C6752" s="8">
        <f t="array" ref="C6752">PRODUCT(1-'Sparkling Model'!D$2:D$38^A6752)</f>
        <v>0.8772365136</v>
      </c>
    </row>
    <row r="6753">
      <c r="A6753" s="6">
        <v>6751.0</v>
      </c>
      <c r="B6753" s="17">
        <f t="array" ref="B6753">SUM(1-'Sparkling Model'!D$2:D$38^A6753)</f>
        <v>36.87129613</v>
      </c>
      <c r="C6753" s="8">
        <f t="array" ref="C6753">PRODUCT(1-'Sparkling Model'!D$2:D$38^A6753)</f>
        <v>0.8772972783</v>
      </c>
    </row>
    <row r="6754">
      <c r="A6754" s="6">
        <v>6752.0</v>
      </c>
      <c r="B6754" s="17">
        <f t="array" ref="B6754">SUM(1-'Sparkling Model'!D$2:D$38^A6754)</f>
        <v>36.87136315</v>
      </c>
      <c r="C6754" s="8">
        <f t="array" ref="C6754">PRODUCT(1-'Sparkling Model'!D$2:D$38^A6754)</f>
        <v>0.8773580132</v>
      </c>
    </row>
    <row r="6755">
      <c r="A6755" s="6">
        <v>6753.0</v>
      </c>
      <c r="B6755" s="17">
        <f t="array" ref="B6755">SUM(1-'Sparkling Model'!D$2:D$38^A6755)</f>
        <v>36.87143013</v>
      </c>
      <c r="C6755" s="8">
        <f t="array" ref="C6755">PRODUCT(1-'Sparkling Model'!D$2:D$38^A6755)</f>
        <v>0.8774187185</v>
      </c>
    </row>
    <row r="6756">
      <c r="A6756" s="6">
        <v>6754.0</v>
      </c>
      <c r="B6756" s="17">
        <f t="array" ref="B6756">SUM(1-'Sparkling Model'!D$2:D$38^A6756)</f>
        <v>36.87149708</v>
      </c>
      <c r="C6756" s="8">
        <f t="array" ref="C6756">PRODUCT(1-'Sparkling Model'!D$2:D$38^A6756)</f>
        <v>0.877479394</v>
      </c>
    </row>
    <row r="6757">
      <c r="A6757" s="6">
        <v>6755.0</v>
      </c>
      <c r="B6757" s="17">
        <f t="array" ref="B6757">SUM(1-'Sparkling Model'!D$2:D$38^A6757)</f>
        <v>36.87156398</v>
      </c>
      <c r="C6757" s="8">
        <f t="array" ref="C6757">PRODUCT(1-'Sparkling Model'!D$2:D$38^A6757)</f>
        <v>0.8775400399</v>
      </c>
    </row>
    <row r="6758">
      <c r="A6758" s="6">
        <v>6756.0</v>
      </c>
      <c r="B6758" s="17">
        <f t="array" ref="B6758">SUM(1-'Sparkling Model'!D$2:D$38^A6758)</f>
        <v>36.87163085</v>
      </c>
      <c r="C6758" s="8">
        <f t="array" ref="C6758">PRODUCT(1-'Sparkling Model'!D$2:D$38^A6758)</f>
        <v>0.8776006561</v>
      </c>
    </row>
    <row r="6759">
      <c r="A6759" s="6">
        <v>6757.0</v>
      </c>
      <c r="B6759" s="17">
        <f t="array" ref="B6759">SUM(1-'Sparkling Model'!D$2:D$38^A6759)</f>
        <v>36.87169769</v>
      </c>
      <c r="C6759" s="8">
        <f t="array" ref="C6759">PRODUCT(1-'Sparkling Model'!D$2:D$38^A6759)</f>
        <v>0.8776612426</v>
      </c>
    </row>
    <row r="6760">
      <c r="A6760" s="6">
        <v>6758.0</v>
      </c>
      <c r="B6760" s="17">
        <f t="array" ref="B6760">SUM(1-'Sparkling Model'!D$2:D$38^A6760)</f>
        <v>36.87176449</v>
      </c>
      <c r="C6760" s="8">
        <f t="array" ref="C6760">PRODUCT(1-'Sparkling Model'!D$2:D$38^A6760)</f>
        <v>0.8777217995</v>
      </c>
    </row>
    <row r="6761">
      <c r="A6761" s="6">
        <v>6759.0</v>
      </c>
      <c r="B6761" s="17">
        <f t="array" ref="B6761">SUM(1-'Sparkling Model'!D$2:D$38^A6761)</f>
        <v>36.87183125</v>
      </c>
      <c r="C6761" s="8">
        <f t="array" ref="C6761">PRODUCT(1-'Sparkling Model'!D$2:D$38^A6761)</f>
        <v>0.8777823267</v>
      </c>
    </row>
    <row r="6762">
      <c r="A6762" s="6">
        <v>6760.0</v>
      </c>
      <c r="B6762" s="17">
        <f t="array" ref="B6762">SUM(1-'Sparkling Model'!D$2:D$38^A6762)</f>
        <v>36.87189798</v>
      </c>
      <c r="C6762" s="8">
        <f t="array" ref="C6762">PRODUCT(1-'Sparkling Model'!D$2:D$38^A6762)</f>
        <v>0.8778428243</v>
      </c>
    </row>
    <row r="6763">
      <c r="A6763" s="6">
        <v>6761.0</v>
      </c>
      <c r="B6763" s="17">
        <f t="array" ref="B6763">SUM(1-'Sparkling Model'!D$2:D$38^A6763)</f>
        <v>36.87196467</v>
      </c>
      <c r="C6763" s="8">
        <f t="array" ref="C6763">PRODUCT(1-'Sparkling Model'!D$2:D$38^A6763)</f>
        <v>0.8779032924</v>
      </c>
    </row>
    <row r="6764">
      <c r="A6764" s="6">
        <v>6762.0</v>
      </c>
      <c r="B6764" s="17">
        <f t="array" ref="B6764">SUM(1-'Sparkling Model'!D$2:D$38^A6764)</f>
        <v>36.87203132</v>
      </c>
      <c r="C6764" s="8">
        <f t="array" ref="C6764">PRODUCT(1-'Sparkling Model'!D$2:D$38^A6764)</f>
        <v>0.8779637308</v>
      </c>
    </row>
    <row r="6765">
      <c r="A6765" s="6">
        <v>6763.0</v>
      </c>
      <c r="B6765" s="17">
        <f t="array" ref="B6765">SUM(1-'Sparkling Model'!D$2:D$38^A6765)</f>
        <v>36.87209794</v>
      </c>
      <c r="C6765" s="8">
        <f t="array" ref="C6765">PRODUCT(1-'Sparkling Model'!D$2:D$38^A6765)</f>
        <v>0.8780241396</v>
      </c>
    </row>
    <row r="6766">
      <c r="A6766" s="6">
        <v>6764.0</v>
      </c>
      <c r="B6766" s="17">
        <f t="array" ref="B6766">SUM(1-'Sparkling Model'!D$2:D$38^A6766)</f>
        <v>36.87216452</v>
      </c>
      <c r="C6766" s="8">
        <f t="array" ref="C6766">PRODUCT(1-'Sparkling Model'!D$2:D$38^A6766)</f>
        <v>0.8780845189</v>
      </c>
    </row>
    <row r="6767">
      <c r="A6767" s="6">
        <v>6765.0</v>
      </c>
      <c r="B6767" s="17">
        <f t="array" ref="B6767">SUM(1-'Sparkling Model'!D$2:D$38^A6767)</f>
        <v>36.87223106</v>
      </c>
      <c r="C6767" s="8">
        <f t="array" ref="C6767">PRODUCT(1-'Sparkling Model'!D$2:D$38^A6767)</f>
        <v>0.8781448687</v>
      </c>
    </row>
    <row r="6768">
      <c r="A6768" s="6">
        <v>6766.0</v>
      </c>
      <c r="B6768" s="17">
        <f t="array" ref="B6768">SUM(1-'Sparkling Model'!D$2:D$38^A6768)</f>
        <v>36.87229757</v>
      </c>
      <c r="C6768" s="8">
        <f t="array" ref="C6768">PRODUCT(1-'Sparkling Model'!D$2:D$38^A6768)</f>
        <v>0.8782051889</v>
      </c>
    </row>
    <row r="6769">
      <c r="A6769" s="6">
        <v>6767.0</v>
      </c>
      <c r="B6769" s="17">
        <f t="array" ref="B6769">SUM(1-'Sparkling Model'!D$2:D$38^A6769)</f>
        <v>36.87236404</v>
      </c>
      <c r="C6769" s="8">
        <f t="array" ref="C6769">PRODUCT(1-'Sparkling Model'!D$2:D$38^A6769)</f>
        <v>0.8782654796</v>
      </c>
    </row>
    <row r="6770">
      <c r="A6770" s="6">
        <v>6768.0</v>
      </c>
      <c r="B6770" s="17">
        <f t="array" ref="B6770">SUM(1-'Sparkling Model'!D$2:D$38^A6770)</f>
        <v>36.87243048</v>
      </c>
      <c r="C6770" s="8">
        <f t="array" ref="C6770">PRODUCT(1-'Sparkling Model'!D$2:D$38^A6770)</f>
        <v>0.8783257408</v>
      </c>
    </row>
    <row r="6771">
      <c r="A6771" s="6">
        <v>6769.0</v>
      </c>
      <c r="B6771" s="17">
        <f t="array" ref="B6771">SUM(1-'Sparkling Model'!D$2:D$38^A6771)</f>
        <v>36.87249688</v>
      </c>
      <c r="C6771" s="8">
        <f t="array" ref="C6771">PRODUCT(1-'Sparkling Model'!D$2:D$38^A6771)</f>
        <v>0.8783859725</v>
      </c>
    </row>
    <row r="6772">
      <c r="A6772" s="6">
        <v>6770.0</v>
      </c>
      <c r="B6772" s="17">
        <f t="array" ref="B6772">SUM(1-'Sparkling Model'!D$2:D$38^A6772)</f>
        <v>36.87256325</v>
      </c>
      <c r="C6772" s="8">
        <f t="array" ref="C6772">PRODUCT(1-'Sparkling Model'!D$2:D$38^A6772)</f>
        <v>0.8784461747</v>
      </c>
    </row>
    <row r="6773">
      <c r="A6773" s="6">
        <v>6771.0</v>
      </c>
      <c r="B6773" s="17">
        <f t="array" ref="B6773">SUM(1-'Sparkling Model'!D$2:D$38^A6773)</f>
        <v>36.87262957</v>
      </c>
      <c r="C6773" s="8">
        <f t="array" ref="C6773">PRODUCT(1-'Sparkling Model'!D$2:D$38^A6773)</f>
        <v>0.8785063475</v>
      </c>
    </row>
    <row r="6774">
      <c r="A6774" s="6">
        <v>6772.0</v>
      </c>
      <c r="B6774" s="17">
        <f t="array" ref="B6774">SUM(1-'Sparkling Model'!D$2:D$38^A6774)</f>
        <v>36.87269587</v>
      </c>
      <c r="C6774" s="8">
        <f t="array" ref="C6774">PRODUCT(1-'Sparkling Model'!D$2:D$38^A6774)</f>
        <v>0.8785664908</v>
      </c>
    </row>
    <row r="6775">
      <c r="A6775" s="6">
        <v>6773.0</v>
      </c>
      <c r="B6775" s="17">
        <f t="array" ref="B6775">SUM(1-'Sparkling Model'!D$2:D$38^A6775)</f>
        <v>36.87276212</v>
      </c>
      <c r="C6775" s="8">
        <f t="array" ref="C6775">PRODUCT(1-'Sparkling Model'!D$2:D$38^A6775)</f>
        <v>0.8786266046</v>
      </c>
    </row>
    <row r="6776">
      <c r="A6776" s="6">
        <v>6774.0</v>
      </c>
      <c r="B6776" s="17">
        <f t="array" ref="B6776">SUM(1-'Sparkling Model'!D$2:D$38^A6776)</f>
        <v>36.87282834</v>
      </c>
      <c r="C6776" s="8">
        <f t="array" ref="C6776">PRODUCT(1-'Sparkling Model'!D$2:D$38^A6776)</f>
        <v>0.8786866891</v>
      </c>
    </row>
    <row r="6777">
      <c r="A6777" s="6">
        <v>6775.0</v>
      </c>
      <c r="B6777" s="17">
        <f t="array" ref="B6777">SUM(1-'Sparkling Model'!D$2:D$38^A6777)</f>
        <v>36.87289453</v>
      </c>
      <c r="C6777" s="8">
        <f t="array" ref="C6777">PRODUCT(1-'Sparkling Model'!D$2:D$38^A6777)</f>
        <v>0.8787467441</v>
      </c>
    </row>
    <row r="6778">
      <c r="A6778" s="6">
        <v>6776.0</v>
      </c>
      <c r="B6778" s="17">
        <f t="array" ref="B6778">SUM(1-'Sparkling Model'!D$2:D$38^A6778)</f>
        <v>36.87296068</v>
      </c>
      <c r="C6778" s="8">
        <f t="array" ref="C6778">PRODUCT(1-'Sparkling Model'!D$2:D$38^A6778)</f>
        <v>0.8788067697</v>
      </c>
    </row>
    <row r="6779">
      <c r="A6779" s="6">
        <v>6777.0</v>
      </c>
      <c r="B6779" s="17">
        <f t="array" ref="B6779">SUM(1-'Sparkling Model'!D$2:D$38^A6779)</f>
        <v>36.87302679</v>
      </c>
      <c r="C6779" s="8">
        <f t="array" ref="C6779">PRODUCT(1-'Sparkling Model'!D$2:D$38^A6779)</f>
        <v>0.878866766</v>
      </c>
    </row>
    <row r="6780">
      <c r="A6780" s="6">
        <v>6778.0</v>
      </c>
      <c r="B6780" s="17">
        <f t="array" ref="B6780">SUM(1-'Sparkling Model'!D$2:D$38^A6780)</f>
        <v>36.87309287</v>
      </c>
      <c r="C6780" s="8">
        <f t="array" ref="C6780">PRODUCT(1-'Sparkling Model'!D$2:D$38^A6780)</f>
        <v>0.8789267329</v>
      </c>
    </row>
    <row r="6781">
      <c r="A6781" s="6">
        <v>6779.0</v>
      </c>
      <c r="B6781" s="17">
        <f t="array" ref="B6781">SUM(1-'Sparkling Model'!D$2:D$38^A6781)</f>
        <v>36.87315891</v>
      </c>
      <c r="C6781" s="8">
        <f t="array" ref="C6781">PRODUCT(1-'Sparkling Model'!D$2:D$38^A6781)</f>
        <v>0.8789866705</v>
      </c>
    </row>
    <row r="6782">
      <c r="A6782" s="6">
        <v>6780.0</v>
      </c>
      <c r="B6782" s="17">
        <f t="array" ref="B6782">SUM(1-'Sparkling Model'!D$2:D$38^A6782)</f>
        <v>36.87322491</v>
      </c>
      <c r="C6782" s="8">
        <f t="array" ref="C6782">PRODUCT(1-'Sparkling Model'!D$2:D$38^A6782)</f>
        <v>0.8790465787</v>
      </c>
    </row>
    <row r="6783">
      <c r="A6783" s="6">
        <v>6781.0</v>
      </c>
      <c r="B6783" s="17">
        <f t="array" ref="B6783">SUM(1-'Sparkling Model'!D$2:D$38^A6783)</f>
        <v>36.87329088</v>
      </c>
      <c r="C6783" s="8">
        <f t="array" ref="C6783">PRODUCT(1-'Sparkling Model'!D$2:D$38^A6783)</f>
        <v>0.8791064575</v>
      </c>
    </row>
    <row r="6784">
      <c r="A6784" s="6">
        <v>6782.0</v>
      </c>
      <c r="B6784" s="17">
        <f t="array" ref="B6784">SUM(1-'Sparkling Model'!D$2:D$38^A6784)</f>
        <v>36.87335681</v>
      </c>
      <c r="C6784" s="8">
        <f t="array" ref="C6784">PRODUCT(1-'Sparkling Model'!D$2:D$38^A6784)</f>
        <v>0.8791663071</v>
      </c>
    </row>
    <row r="6785">
      <c r="A6785" s="6">
        <v>6783.0</v>
      </c>
      <c r="B6785" s="17">
        <f t="array" ref="B6785">SUM(1-'Sparkling Model'!D$2:D$38^A6785)</f>
        <v>36.87342271</v>
      </c>
      <c r="C6785" s="8">
        <f t="array" ref="C6785">PRODUCT(1-'Sparkling Model'!D$2:D$38^A6785)</f>
        <v>0.8792261274</v>
      </c>
    </row>
    <row r="6786">
      <c r="A6786" s="6">
        <v>6784.0</v>
      </c>
      <c r="B6786" s="17">
        <f t="array" ref="B6786">SUM(1-'Sparkling Model'!D$2:D$38^A6786)</f>
        <v>36.87348857</v>
      </c>
      <c r="C6786" s="8">
        <f t="array" ref="C6786">PRODUCT(1-'Sparkling Model'!D$2:D$38^A6786)</f>
        <v>0.8792859184</v>
      </c>
    </row>
    <row r="6787">
      <c r="A6787" s="6">
        <v>6785.0</v>
      </c>
      <c r="B6787" s="17">
        <f t="array" ref="B6787">SUM(1-'Sparkling Model'!D$2:D$38^A6787)</f>
        <v>36.8735544</v>
      </c>
      <c r="C6787" s="8">
        <f t="array" ref="C6787">PRODUCT(1-'Sparkling Model'!D$2:D$38^A6787)</f>
        <v>0.8793456801</v>
      </c>
    </row>
    <row r="6788">
      <c r="A6788" s="6">
        <v>6786.0</v>
      </c>
      <c r="B6788" s="17">
        <f t="array" ref="B6788">SUM(1-'Sparkling Model'!D$2:D$38^A6788)</f>
        <v>36.87362019</v>
      </c>
      <c r="C6788" s="8">
        <f t="array" ref="C6788">PRODUCT(1-'Sparkling Model'!D$2:D$38^A6788)</f>
        <v>0.8794054125</v>
      </c>
    </row>
    <row r="6789">
      <c r="A6789" s="6">
        <v>6787.0</v>
      </c>
      <c r="B6789" s="17">
        <f t="array" ref="B6789">SUM(1-'Sparkling Model'!D$2:D$38^A6789)</f>
        <v>36.87368594</v>
      </c>
      <c r="C6789" s="8">
        <f t="array" ref="C6789">PRODUCT(1-'Sparkling Model'!D$2:D$38^A6789)</f>
        <v>0.8794651158</v>
      </c>
    </row>
    <row r="6790">
      <c r="A6790" s="6">
        <v>6788.0</v>
      </c>
      <c r="B6790" s="17">
        <f t="array" ref="B6790">SUM(1-'Sparkling Model'!D$2:D$38^A6790)</f>
        <v>36.87375166</v>
      </c>
      <c r="C6790" s="8">
        <f t="array" ref="C6790">PRODUCT(1-'Sparkling Model'!D$2:D$38^A6790)</f>
        <v>0.8795247898</v>
      </c>
    </row>
    <row r="6791">
      <c r="A6791" s="6">
        <v>6789.0</v>
      </c>
      <c r="B6791" s="17">
        <f t="array" ref="B6791">SUM(1-'Sparkling Model'!D$2:D$38^A6791)</f>
        <v>36.87381735</v>
      </c>
      <c r="C6791" s="8">
        <f t="array" ref="C6791">PRODUCT(1-'Sparkling Model'!D$2:D$38^A6791)</f>
        <v>0.8795844345</v>
      </c>
    </row>
    <row r="6792">
      <c r="A6792" s="6">
        <v>6790.0</v>
      </c>
      <c r="B6792" s="17">
        <f t="array" ref="B6792">SUM(1-'Sparkling Model'!D$2:D$38^A6792)</f>
        <v>36.87388299</v>
      </c>
      <c r="C6792" s="8">
        <f t="array" ref="C6792">PRODUCT(1-'Sparkling Model'!D$2:D$38^A6792)</f>
        <v>0.8796440501</v>
      </c>
    </row>
    <row r="6793">
      <c r="A6793" s="6">
        <v>6791.0</v>
      </c>
      <c r="B6793" s="17">
        <f t="array" ref="B6793">SUM(1-'Sparkling Model'!D$2:D$38^A6793)</f>
        <v>36.87394861</v>
      </c>
      <c r="C6793" s="8">
        <f t="array" ref="C6793">PRODUCT(1-'Sparkling Model'!D$2:D$38^A6793)</f>
        <v>0.8797036365</v>
      </c>
    </row>
    <row r="6794">
      <c r="A6794" s="6">
        <v>6792.0</v>
      </c>
      <c r="B6794" s="17">
        <f t="array" ref="B6794">SUM(1-'Sparkling Model'!D$2:D$38^A6794)</f>
        <v>36.87401418</v>
      </c>
      <c r="C6794" s="8">
        <f t="array" ref="C6794">PRODUCT(1-'Sparkling Model'!D$2:D$38^A6794)</f>
        <v>0.8797631937</v>
      </c>
    </row>
    <row r="6795">
      <c r="A6795" s="6">
        <v>6793.0</v>
      </c>
      <c r="B6795" s="17">
        <f t="array" ref="B6795">SUM(1-'Sparkling Model'!D$2:D$38^A6795)</f>
        <v>36.87407972</v>
      </c>
      <c r="C6795" s="8">
        <f t="array" ref="C6795">PRODUCT(1-'Sparkling Model'!D$2:D$38^A6795)</f>
        <v>0.8798227218</v>
      </c>
    </row>
    <row r="6796">
      <c r="A6796" s="6">
        <v>6794.0</v>
      </c>
      <c r="B6796" s="17">
        <f t="array" ref="B6796">SUM(1-'Sparkling Model'!D$2:D$38^A6796)</f>
        <v>36.87414523</v>
      </c>
      <c r="C6796" s="8">
        <f t="array" ref="C6796">PRODUCT(1-'Sparkling Model'!D$2:D$38^A6796)</f>
        <v>0.8798822207</v>
      </c>
    </row>
    <row r="6797">
      <c r="A6797" s="6">
        <v>6795.0</v>
      </c>
      <c r="B6797" s="17">
        <f t="array" ref="B6797">SUM(1-'Sparkling Model'!D$2:D$38^A6797)</f>
        <v>36.8742107</v>
      </c>
      <c r="C6797" s="8">
        <f t="array" ref="C6797">PRODUCT(1-'Sparkling Model'!D$2:D$38^A6797)</f>
        <v>0.8799416905</v>
      </c>
    </row>
    <row r="6798">
      <c r="A6798" s="6">
        <v>6796.0</v>
      </c>
      <c r="B6798" s="17">
        <f t="array" ref="B6798">SUM(1-'Sparkling Model'!D$2:D$38^A6798)</f>
        <v>36.87427613</v>
      </c>
      <c r="C6798" s="8">
        <f t="array" ref="C6798">PRODUCT(1-'Sparkling Model'!D$2:D$38^A6798)</f>
        <v>0.8800011312</v>
      </c>
    </row>
    <row r="6799">
      <c r="A6799" s="6">
        <v>6797.0</v>
      </c>
      <c r="B6799" s="17">
        <f t="array" ref="B6799">SUM(1-'Sparkling Model'!D$2:D$38^A6799)</f>
        <v>36.87434153</v>
      </c>
      <c r="C6799" s="8">
        <f t="array" ref="C6799">PRODUCT(1-'Sparkling Model'!D$2:D$38^A6799)</f>
        <v>0.8800605428</v>
      </c>
    </row>
    <row r="6800">
      <c r="A6800" s="6">
        <v>6798.0</v>
      </c>
      <c r="B6800" s="17">
        <f t="array" ref="B6800">SUM(1-'Sparkling Model'!D$2:D$38^A6800)</f>
        <v>36.8744069</v>
      </c>
      <c r="C6800" s="8">
        <f t="array" ref="C6800">PRODUCT(1-'Sparkling Model'!D$2:D$38^A6800)</f>
        <v>0.8801199252</v>
      </c>
    </row>
    <row r="6801">
      <c r="A6801" s="6">
        <v>6799.0</v>
      </c>
      <c r="B6801" s="17">
        <f t="array" ref="B6801">SUM(1-'Sparkling Model'!D$2:D$38^A6801)</f>
        <v>36.87447222</v>
      </c>
      <c r="C6801" s="8">
        <f t="array" ref="C6801">PRODUCT(1-'Sparkling Model'!D$2:D$38^A6801)</f>
        <v>0.8801792786</v>
      </c>
    </row>
    <row r="6802">
      <c r="A6802" s="6">
        <v>6800.0</v>
      </c>
      <c r="B6802" s="17">
        <f t="array" ref="B6802">SUM(1-'Sparkling Model'!D$2:D$38^A6802)</f>
        <v>36.87453752</v>
      </c>
      <c r="C6802" s="8">
        <f t="array" ref="C6802">PRODUCT(1-'Sparkling Model'!D$2:D$38^A6802)</f>
        <v>0.880238603</v>
      </c>
    </row>
    <row r="6803">
      <c r="A6803" s="6">
        <v>6801.0</v>
      </c>
      <c r="B6803" s="17">
        <f t="array" ref="B6803">SUM(1-'Sparkling Model'!D$2:D$38^A6803)</f>
        <v>36.87460277</v>
      </c>
      <c r="C6803" s="8">
        <f t="array" ref="C6803">PRODUCT(1-'Sparkling Model'!D$2:D$38^A6803)</f>
        <v>0.8802978983</v>
      </c>
    </row>
    <row r="6804">
      <c r="A6804" s="6">
        <v>6802.0</v>
      </c>
      <c r="B6804" s="17">
        <f t="array" ref="B6804">SUM(1-'Sparkling Model'!D$2:D$38^A6804)</f>
        <v>36.87466799</v>
      </c>
      <c r="C6804" s="8">
        <f t="array" ref="C6804">PRODUCT(1-'Sparkling Model'!D$2:D$38^A6804)</f>
        <v>0.8803571645</v>
      </c>
    </row>
    <row r="6805">
      <c r="A6805" s="6">
        <v>6803.0</v>
      </c>
      <c r="B6805" s="17">
        <f t="array" ref="B6805">SUM(1-'Sparkling Model'!D$2:D$38^A6805)</f>
        <v>36.87473318</v>
      </c>
      <c r="C6805" s="8">
        <f t="array" ref="C6805">PRODUCT(1-'Sparkling Model'!D$2:D$38^A6805)</f>
        <v>0.8804164018</v>
      </c>
    </row>
    <row r="6806">
      <c r="A6806" s="6">
        <v>6804.0</v>
      </c>
      <c r="B6806" s="17">
        <f t="array" ref="B6806">SUM(1-'Sparkling Model'!D$2:D$38^A6806)</f>
        <v>36.87479833</v>
      </c>
      <c r="C6806" s="8">
        <f t="array" ref="C6806">PRODUCT(1-'Sparkling Model'!D$2:D$38^A6806)</f>
        <v>0.88047561</v>
      </c>
    </row>
    <row r="6807">
      <c r="A6807" s="6">
        <v>6805.0</v>
      </c>
      <c r="B6807" s="17">
        <f t="array" ref="B6807">SUM(1-'Sparkling Model'!D$2:D$38^A6807)</f>
        <v>36.87486345</v>
      </c>
      <c r="C6807" s="8">
        <f t="array" ref="C6807">PRODUCT(1-'Sparkling Model'!D$2:D$38^A6807)</f>
        <v>0.8805347892</v>
      </c>
    </row>
    <row r="6808">
      <c r="A6808" s="6">
        <v>6806.0</v>
      </c>
      <c r="B6808" s="17">
        <f t="array" ref="B6808">SUM(1-'Sparkling Model'!D$2:D$38^A6808)</f>
        <v>36.87492853</v>
      </c>
      <c r="C6808" s="8">
        <f t="array" ref="C6808">PRODUCT(1-'Sparkling Model'!D$2:D$38^A6808)</f>
        <v>0.8805939395</v>
      </c>
    </row>
    <row r="6809">
      <c r="A6809" s="6">
        <v>6807.0</v>
      </c>
      <c r="B6809" s="17">
        <f t="array" ref="B6809">SUM(1-'Sparkling Model'!D$2:D$38^A6809)</f>
        <v>36.87499357</v>
      </c>
      <c r="C6809" s="8">
        <f t="array" ref="C6809">PRODUCT(1-'Sparkling Model'!D$2:D$38^A6809)</f>
        <v>0.8806530608</v>
      </c>
    </row>
    <row r="6810">
      <c r="A6810" s="6">
        <v>6808.0</v>
      </c>
      <c r="B6810" s="17">
        <f t="array" ref="B6810">SUM(1-'Sparkling Model'!D$2:D$38^A6810)</f>
        <v>36.87505858</v>
      </c>
      <c r="C6810" s="8">
        <f t="array" ref="C6810">PRODUCT(1-'Sparkling Model'!D$2:D$38^A6810)</f>
        <v>0.8807121531</v>
      </c>
    </row>
    <row r="6811">
      <c r="A6811" s="6">
        <v>6809.0</v>
      </c>
      <c r="B6811" s="17">
        <f t="array" ref="B6811">SUM(1-'Sparkling Model'!D$2:D$38^A6811)</f>
        <v>36.87512356</v>
      </c>
      <c r="C6811" s="8">
        <f t="array" ref="C6811">PRODUCT(1-'Sparkling Model'!D$2:D$38^A6811)</f>
        <v>0.8807712165</v>
      </c>
    </row>
    <row r="6812">
      <c r="A6812" s="6">
        <v>6810.0</v>
      </c>
      <c r="B6812" s="17">
        <f t="array" ref="B6812">SUM(1-'Sparkling Model'!D$2:D$38^A6812)</f>
        <v>36.8751885</v>
      </c>
      <c r="C6812" s="8">
        <f t="array" ref="C6812">PRODUCT(1-'Sparkling Model'!D$2:D$38^A6812)</f>
        <v>0.880830251</v>
      </c>
    </row>
    <row r="6813">
      <c r="A6813" s="6">
        <v>6811.0</v>
      </c>
      <c r="B6813" s="17">
        <f t="array" ref="B6813">SUM(1-'Sparkling Model'!D$2:D$38^A6813)</f>
        <v>36.8752534</v>
      </c>
      <c r="C6813" s="8">
        <f t="array" ref="C6813">PRODUCT(1-'Sparkling Model'!D$2:D$38^A6813)</f>
        <v>0.8808892566</v>
      </c>
    </row>
    <row r="6814">
      <c r="A6814" s="6">
        <v>6812.0</v>
      </c>
      <c r="B6814" s="17">
        <f t="array" ref="B6814">SUM(1-'Sparkling Model'!D$2:D$38^A6814)</f>
        <v>36.87531827</v>
      </c>
      <c r="C6814" s="8">
        <f t="array" ref="C6814">PRODUCT(1-'Sparkling Model'!D$2:D$38^A6814)</f>
        <v>0.8809482332</v>
      </c>
    </row>
    <row r="6815">
      <c r="A6815" s="6">
        <v>6813.0</v>
      </c>
      <c r="B6815" s="17">
        <f t="array" ref="B6815">SUM(1-'Sparkling Model'!D$2:D$38^A6815)</f>
        <v>36.8753831</v>
      </c>
      <c r="C6815" s="8">
        <f t="array" ref="C6815">PRODUCT(1-'Sparkling Model'!D$2:D$38^A6815)</f>
        <v>0.881007181</v>
      </c>
    </row>
    <row r="6816">
      <c r="A6816" s="6">
        <v>6814.0</v>
      </c>
      <c r="B6816" s="17">
        <f t="array" ref="B6816">SUM(1-'Sparkling Model'!D$2:D$38^A6816)</f>
        <v>36.8754479</v>
      </c>
      <c r="C6816" s="8">
        <f t="array" ref="C6816">PRODUCT(1-'Sparkling Model'!D$2:D$38^A6816)</f>
        <v>0.8810660999</v>
      </c>
    </row>
    <row r="6817">
      <c r="A6817" s="6">
        <v>6815.0</v>
      </c>
      <c r="B6817" s="17">
        <f t="array" ref="B6817">SUM(1-'Sparkling Model'!D$2:D$38^A6817)</f>
        <v>36.87551266</v>
      </c>
      <c r="C6817" s="8">
        <f t="array" ref="C6817">PRODUCT(1-'Sparkling Model'!D$2:D$38^A6817)</f>
        <v>0.88112499</v>
      </c>
    </row>
    <row r="6818">
      <c r="A6818" s="6">
        <v>6816.0</v>
      </c>
      <c r="B6818" s="17">
        <f t="array" ref="B6818">SUM(1-'Sparkling Model'!D$2:D$38^A6818)</f>
        <v>36.87557739</v>
      </c>
      <c r="C6818" s="8">
        <f t="array" ref="C6818">PRODUCT(1-'Sparkling Model'!D$2:D$38^A6818)</f>
        <v>0.8811838512</v>
      </c>
    </row>
    <row r="6819">
      <c r="A6819" s="6">
        <v>6817.0</v>
      </c>
      <c r="B6819" s="17">
        <f t="array" ref="B6819">SUM(1-'Sparkling Model'!D$2:D$38^A6819)</f>
        <v>36.87564209</v>
      </c>
      <c r="C6819" s="8">
        <f t="array" ref="C6819">PRODUCT(1-'Sparkling Model'!D$2:D$38^A6819)</f>
        <v>0.8812426836</v>
      </c>
    </row>
    <row r="6820">
      <c r="A6820" s="6">
        <v>6818.0</v>
      </c>
      <c r="B6820" s="17">
        <f t="array" ref="B6820">SUM(1-'Sparkling Model'!D$2:D$38^A6820)</f>
        <v>36.87570674</v>
      </c>
      <c r="C6820" s="8">
        <f t="array" ref="C6820">PRODUCT(1-'Sparkling Model'!D$2:D$38^A6820)</f>
        <v>0.8813014872</v>
      </c>
    </row>
    <row r="6821">
      <c r="A6821" s="6">
        <v>6819.0</v>
      </c>
      <c r="B6821" s="17">
        <f t="array" ref="B6821">SUM(1-'Sparkling Model'!D$2:D$38^A6821)</f>
        <v>36.87577137</v>
      </c>
      <c r="C6821" s="8">
        <f t="array" ref="C6821">PRODUCT(1-'Sparkling Model'!D$2:D$38^A6821)</f>
        <v>0.8813602619</v>
      </c>
    </row>
    <row r="6822">
      <c r="A6822" s="6">
        <v>6820.0</v>
      </c>
      <c r="B6822" s="17">
        <f t="array" ref="B6822">SUM(1-'Sparkling Model'!D$2:D$38^A6822)</f>
        <v>36.87583596</v>
      </c>
      <c r="C6822" s="8">
        <f t="array" ref="C6822">PRODUCT(1-'Sparkling Model'!D$2:D$38^A6822)</f>
        <v>0.8814190079</v>
      </c>
    </row>
    <row r="6823">
      <c r="A6823" s="6">
        <v>6821.0</v>
      </c>
      <c r="B6823" s="17">
        <f t="array" ref="B6823">SUM(1-'Sparkling Model'!D$2:D$38^A6823)</f>
        <v>36.87590051</v>
      </c>
      <c r="C6823" s="8">
        <f t="array" ref="C6823">PRODUCT(1-'Sparkling Model'!D$2:D$38^A6823)</f>
        <v>0.8814777251</v>
      </c>
    </row>
    <row r="6824">
      <c r="A6824" s="6">
        <v>6822.0</v>
      </c>
      <c r="B6824" s="17">
        <f t="array" ref="B6824">SUM(1-'Sparkling Model'!D$2:D$38^A6824)</f>
        <v>36.87596503</v>
      </c>
      <c r="C6824" s="8">
        <f t="array" ref="C6824">PRODUCT(1-'Sparkling Model'!D$2:D$38^A6824)</f>
        <v>0.8815364136</v>
      </c>
    </row>
    <row r="6825">
      <c r="A6825" s="6">
        <v>6823.0</v>
      </c>
      <c r="B6825" s="17">
        <f t="array" ref="B6825">SUM(1-'Sparkling Model'!D$2:D$38^A6825)</f>
        <v>36.87602951</v>
      </c>
      <c r="C6825" s="8">
        <f t="array" ref="C6825">PRODUCT(1-'Sparkling Model'!D$2:D$38^A6825)</f>
        <v>0.8815950733</v>
      </c>
    </row>
    <row r="6826">
      <c r="A6826" s="6">
        <v>6824.0</v>
      </c>
      <c r="B6826" s="17">
        <f t="array" ref="B6826">SUM(1-'Sparkling Model'!D$2:D$38^A6826)</f>
        <v>36.87609396</v>
      </c>
      <c r="C6826" s="8">
        <f t="array" ref="C6826">PRODUCT(1-'Sparkling Model'!D$2:D$38^A6826)</f>
        <v>0.8816537043</v>
      </c>
    </row>
    <row r="6827">
      <c r="A6827" s="6">
        <v>6825.0</v>
      </c>
      <c r="B6827" s="17">
        <f t="array" ref="B6827">SUM(1-'Sparkling Model'!D$2:D$38^A6827)</f>
        <v>36.87615837</v>
      </c>
      <c r="C6827" s="8">
        <f t="array" ref="C6827">PRODUCT(1-'Sparkling Model'!D$2:D$38^A6827)</f>
        <v>0.8817123065</v>
      </c>
    </row>
    <row r="6828">
      <c r="A6828" s="6">
        <v>6826.0</v>
      </c>
      <c r="B6828" s="17">
        <f t="array" ref="B6828">SUM(1-'Sparkling Model'!D$2:D$38^A6828)</f>
        <v>36.87622275</v>
      </c>
      <c r="C6828" s="8">
        <f t="array" ref="C6828">PRODUCT(1-'Sparkling Model'!D$2:D$38^A6828)</f>
        <v>0.8817708801</v>
      </c>
    </row>
    <row r="6829">
      <c r="A6829" s="6">
        <v>6827.0</v>
      </c>
      <c r="B6829" s="17">
        <f t="array" ref="B6829">SUM(1-'Sparkling Model'!D$2:D$38^A6829)</f>
        <v>36.87628709</v>
      </c>
      <c r="C6829" s="8">
        <f t="array" ref="C6829">PRODUCT(1-'Sparkling Model'!D$2:D$38^A6829)</f>
        <v>0.8818294249</v>
      </c>
    </row>
    <row r="6830">
      <c r="A6830" s="6">
        <v>6828.0</v>
      </c>
      <c r="B6830" s="17">
        <f t="array" ref="B6830">SUM(1-'Sparkling Model'!D$2:D$38^A6830)</f>
        <v>36.8763514</v>
      </c>
      <c r="C6830" s="8">
        <f t="array" ref="C6830">PRODUCT(1-'Sparkling Model'!D$2:D$38^A6830)</f>
        <v>0.8818879411</v>
      </c>
    </row>
    <row r="6831">
      <c r="A6831" s="6">
        <v>6829.0</v>
      </c>
      <c r="B6831" s="17">
        <f t="array" ref="B6831">SUM(1-'Sparkling Model'!D$2:D$38^A6831)</f>
        <v>36.87641568</v>
      </c>
      <c r="C6831" s="8">
        <f t="array" ref="C6831">PRODUCT(1-'Sparkling Model'!D$2:D$38^A6831)</f>
        <v>0.8819464286</v>
      </c>
    </row>
    <row r="6832">
      <c r="A6832" s="6">
        <v>6830.0</v>
      </c>
      <c r="B6832" s="17">
        <f t="array" ref="B6832">SUM(1-'Sparkling Model'!D$2:D$38^A6832)</f>
        <v>36.87647992</v>
      </c>
      <c r="C6832" s="8">
        <f t="array" ref="C6832">PRODUCT(1-'Sparkling Model'!D$2:D$38^A6832)</f>
        <v>0.8820048875</v>
      </c>
    </row>
    <row r="6833">
      <c r="A6833" s="6">
        <v>6831.0</v>
      </c>
      <c r="B6833" s="17">
        <f t="array" ref="B6833">SUM(1-'Sparkling Model'!D$2:D$38^A6833)</f>
        <v>36.87654412</v>
      </c>
      <c r="C6833" s="8">
        <f t="array" ref="C6833">PRODUCT(1-'Sparkling Model'!D$2:D$38^A6833)</f>
        <v>0.8820633177</v>
      </c>
    </row>
    <row r="6834">
      <c r="A6834" s="6">
        <v>6832.0</v>
      </c>
      <c r="B6834" s="17">
        <f t="array" ref="B6834">SUM(1-'Sparkling Model'!D$2:D$38^A6834)</f>
        <v>36.87660829</v>
      </c>
      <c r="C6834" s="8">
        <f t="array" ref="C6834">PRODUCT(1-'Sparkling Model'!D$2:D$38^A6834)</f>
        <v>0.8821217193</v>
      </c>
    </row>
    <row r="6835">
      <c r="A6835" s="6">
        <v>6833.0</v>
      </c>
      <c r="B6835" s="17">
        <f t="array" ref="B6835">SUM(1-'Sparkling Model'!D$2:D$38^A6835)</f>
        <v>36.87667242</v>
      </c>
      <c r="C6835" s="8">
        <f t="array" ref="C6835">PRODUCT(1-'Sparkling Model'!D$2:D$38^A6835)</f>
        <v>0.8821800923</v>
      </c>
    </row>
    <row r="6836">
      <c r="A6836" s="6">
        <v>6834.0</v>
      </c>
      <c r="B6836" s="17">
        <f t="array" ref="B6836">SUM(1-'Sparkling Model'!D$2:D$38^A6836)</f>
        <v>36.87673653</v>
      </c>
      <c r="C6836" s="8">
        <f t="array" ref="C6836">PRODUCT(1-'Sparkling Model'!D$2:D$38^A6836)</f>
        <v>0.8822384367</v>
      </c>
    </row>
    <row r="6837">
      <c r="A6837" s="6">
        <v>6835.0</v>
      </c>
      <c r="B6837" s="17">
        <f t="array" ref="B6837">SUM(1-'Sparkling Model'!D$2:D$38^A6837)</f>
        <v>36.87680059</v>
      </c>
      <c r="C6837" s="8">
        <f t="array" ref="C6837">PRODUCT(1-'Sparkling Model'!D$2:D$38^A6837)</f>
        <v>0.8822967525</v>
      </c>
    </row>
    <row r="6838">
      <c r="A6838" s="6">
        <v>6836.0</v>
      </c>
      <c r="B6838" s="17">
        <f t="array" ref="B6838">SUM(1-'Sparkling Model'!D$2:D$38^A6838)</f>
        <v>36.87686462</v>
      </c>
      <c r="C6838" s="8">
        <f t="array" ref="C6838">PRODUCT(1-'Sparkling Model'!D$2:D$38^A6838)</f>
        <v>0.8823550397</v>
      </c>
    </row>
    <row r="6839">
      <c r="A6839" s="6">
        <v>6837.0</v>
      </c>
      <c r="B6839" s="17">
        <f t="array" ref="B6839">SUM(1-'Sparkling Model'!D$2:D$38^A6839)</f>
        <v>36.87692862</v>
      </c>
      <c r="C6839" s="8">
        <f t="array" ref="C6839">PRODUCT(1-'Sparkling Model'!D$2:D$38^A6839)</f>
        <v>0.8824132984</v>
      </c>
    </row>
    <row r="6840">
      <c r="A6840" s="6">
        <v>6838.0</v>
      </c>
      <c r="B6840" s="17">
        <f t="array" ref="B6840">SUM(1-'Sparkling Model'!D$2:D$38^A6840)</f>
        <v>36.87699258</v>
      </c>
      <c r="C6840" s="8">
        <f t="array" ref="C6840">PRODUCT(1-'Sparkling Model'!D$2:D$38^A6840)</f>
        <v>0.8824715285</v>
      </c>
    </row>
    <row r="6841">
      <c r="A6841" s="6">
        <v>6839.0</v>
      </c>
      <c r="B6841" s="17">
        <f t="array" ref="B6841">SUM(1-'Sparkling Model'!D$2:D$38^A6841)</f>
        <v>36.87705651</v>
      </c>
      <c r="C6841" s="8">
        <f t="array" ref="C6841">PRODUCT(1-'Sparkling Model'!D$2:D$38^A6841)</f>
        <v>0.8825297301</v>
      </c>
    </row>
    <row r="6842">
      <c r="A6842" s="6">
        <v>6840.0</v>
      </c>
      <c r="B6842" s="17">
        <f t="array" ref="B6842">SUM(1-'Sparkling Model'!D$2:D$38^A6842)</f>
        <v>36.8771204</v>
      </c>
      <c r="C6842" s="8">
        <f t="array" ref="C6842">PRODUCT(1-'Sparkling Model'!D$2:D$38^A6842)</f>
        <v>0.8825879032</v>
      </c>
    </row>
    <row r="6843">
      <c r="A6843" s="6">
        <v>6841.0</v>
      </c>
      <c r="B6843" s="17">
        <f t="array" ref="B6843">SUM(1-'Sparkling Model'!D$2:D$38^A6843)</f>
        <v>36.87718425</v>
      </c>
      <c r="C6843" s="8">
        <f t="array" ref="C6843">PRODUCT(1-'Sparkling Model'!D$2:D$38^A6843)</f>
        <v>0.8826460478</v>
      </c>
    </row>
    <row r="6844">
      <c r="A6844" s="6">
        <v>6842.0</v>
      </c>
      <c r="B6844" s="17">
        <f t="array" ref="B6844">SUM(1-'Sparkling Model'!D$2:D$38^A6844)</f>
        <v>36.87724808</v>
      </c>
      <c r="C6844" s="8">
        <f t="array" ref="C6844">PRODUCT(1-'Sparkling Model'!D$2:D$38^A6844)</f>
        <v>0.8827041639</v>
      </c>
    </row>
    <row r="6845">
      <c r="A6845" s="6">
        <v>6843.0</v>
      </c>
      <c r="B6845" s="17">
        <f t="array" ref="B6845">SUM(1-'Sparkling Model'!D$2:D$38^A6845)</f>
        <v>36.87731187</v>
      </c>
      <c r="C6845" s="8">
        <f t="array" ref="C6845">PRODUCT(1-'Sparkling Model'!D$2:D$38^A6845)</f>
        <v>0.8827622515</v>
      </c>
    </row>
    <row r="6846">
      <c r="A6846" s="6">
        <v>6844.0</v>
      </c>
      <c r="B6846" s="17">
        <f t="array" ref="B6846">SUM(1-'Sparkling Model'!D$2:D$38^A6846)</f>
        <v>36.87737562</v>
      </c>
      <c r="C6846" s="8">
        <f t="array" ref="C6846">PRODUCT(1-'Sparkling Model'!D$2:D$38^A6846)</f>
        <v>0.8828203107</v>
      </c>
    </row>
    <row r="6847">
      <c r="A6847" s="6">
        <v>6845.0</v>
      </c>
      <c r="B6847" s="17">
        <f t="array" ref="B6847">SUM(1-'Sparkling Model'!D$2:D$38^A6847)</f>
        <v>36.87743934</v>
      </c>
      <c r="C6847" s="8">
        <f t="array" ref="C6847">PRODUCT(1-'Sparkling Model'!D$2:D$38^A6847)</f>
        <v>0.8828783414</v>
      </c>
    </row>
    <row r="6848">
      <c r="A6848" s="6">
        <v>6846.0</v>
      </c>
      <c r="B6848" s="17">
        <f t="array" ref="B6848">SUM(1-'Sparkling Model'!D$2:D$38^A6848)</f>
        <v>36.87750302</v>
      </c>
      <c r="C6848" s="8">
        <f t="array" ref="C6848">PRODUCT(1-'Sparkling Model'!D$2:D$38^A6848)</f>
        <v>0.8829363437</v>
      </c>
    </row>
    <row r="6849">
      <c r="A6849" s="6">
        <v>6847.0</v>
      </c>
      <c r="B6849" s="17">
        <f t="array" ref="B6849">SUM(1-'Sparkling Model'!D$2:D$38^A6849)</f>
        <v>36.87756667</v>
      </c>
      <c r="C6849" s="8">
        <f t="array" ref="C6849">PRODUCT(1-'Sparkling Model'!D$2:D$38^A6849)</f>
        <v>0.8829943176</v>
      </c>
    </row>
    <row r="6850">
      <c r="A6850" s="6">
        <v>6848.0</v>
      </c>
      <c r="B6850" s="17">
        <f t="array" ref="B6850">SUM(1-'Sparkling Model'!D$2:D$38^A6850)</f>
        <v>36.87763029</v>
      </c>
      <c r="C6850" s="8">
        <f t="array" ref="C6850">PRODUCT(1-'Sparkling Model'!D$2:D$38^A6850)</f>
        <v>0.883052263</v>
      </c>
    </row>
    <row r="6851">
      <c r="A6851" s="6">
        <v>6849.0</v>
      </c>
      <c r="B6851" s="17">
        <f t="array" ref="B6851">SUM(1-'Sparkling Model'!D$2:D$38^A6851)</f>
        <v>36.87769387</v>
      </c>
      <c r="C6851" s="8">
        <f t="array" ref="C6851">PRODUCT(1-'Sparkling Model'!D$2:D$38^A6851)</f>
        <v>0.8831101801</v>
      </c>
    </row>
    <row r="6852">
      <c r="A6852" s="6">
        <v>6850.0</v>
      </c>
      <c r="B6852" s="17">
        <f t="array" ref="B6852">SUM(1-'Sparkling Model'!D$2:D$38^A6852)</f>
        <v>36.87775742</v>
      </c>
      <c r="C6852" s="8">
        <f t="array" ref="C6852">PRODUCT(1-'Sparkling Model'!D$2:D$38^A6852)</f>
        <v>0.8831680688</v>
      </c>
    </row>
    <row r="6853">
      <c r="A6853" s="6">
        <v>6851.0</v>
      </c>
      <c r="B6853" s="17">
        <f t="array" ref="B6853">SUM(1-'Sparkling Model'!D$2:D$38^A6853)</f>
        <v>36.87782093</v>
      </c>
      <c r="C6853" s="8">
        <f t="array" ref="C6853">PRODUCT(1-'Sparkling Model'!D$2:D$38^A6853)</f>
        <v>0.8832259291</v>
      </c>
    </row>
    <row r="6854">
      <c r="A6854" s="6">
        <v>6852.0</v>
      </c>
      <c r="B6854" s="17">
        <f t="array" ref="B6854">SUM(1-'Sparkling Model'!D$2:D$38^A6854)</f>
        <v>36.87788441</v>
      </c>
      <c r="C6854" s="8">
        <f t="array" ref="C6854">PRODUCT(1-'Sparkling Model'!D$2:D$38^A6854)</f>
        <v>0.883283761</v>
      </c>
    </row>
    <row r="6855">
      <c r="A6855" s="6">
        <v>6853.0</v>
      </c>
      <c r="B6855" s="17">
        <f t="array" ref="B6855">SUM(1-'Sparkling Model'!D$2:D$38^A6855)</f>
        <v>36.87794785</v>
      </c>
      <c r="C6855" s="8">
        <f t="array" ref="C6855">PRODUCT(1-'Sparkling Model'!D$2:D$38^A6855)</f>
        <v>0.8833415646</v>
      </c>
    </row>
    <row r="6856">
      <c r="A6856" s="6">
        <v>6854.0</v>
      </c>
      <c r="B6856" s="17">
        <f t="array" ref="B6856">SUM(1-'Sparkling Model'!D$2:D$38^A6856)</f>
        <v>36.87801126</v>
      </c>
      <c r="C6856" s="8">
        <f t="array" ref="C6856">PRODUCT(1-'Sparkling Model'!D$2:D$38^A6856)</f>
        <v>0.8833993399</v>
      </c>
    </row>
    <row r="6857">
      <c r="A6857" s="6">
        <v>6855.0</v>
      </c>
      <c r="B6857" s="17">
        <f t="array" ref="B6857">SUM(1-'Sparkling Model'!D$2:D$38^A6857)</f>
        <v>36.87807464</v>
      </c>
      <c r="C6857" s="8">
        <f t="array" ref="C6857">PRODUCT(1-'Sparkling Model'!D$2:D$38^A6857)</f>
        <v>0.8834570869</v>
      </c>
    </row>
    <row r="6858">
      <c r="A6858" s="6">
        <v>6856.0</v>
      </c>
      <c r="B6858" s="17">
        <f t="array" ref="B6858">SUM(1-'Sparkling Model'!D$2:D$38^A6858)</f>
        <v>36.87813798</v>
      </c>
      <c r="C6858" s="8">
        <f t="array" ref="C6858">PRODUCT(1-'Sparkling Model'!D$2:D$38^A6858)</f>
        <v>0.8835148056</v>
      </c>
    </row>
    <row r="6859">
      <c r="A6859" s="6">
        <v>6857.0</v>
      </c>
      <c r="B6859" s="17">
        <f t="array" ref="B6859">SUM(1-'Sparkling Model'!D$2:D$38^A6859)</f>
        <v>36.87820129</v>
      </c>
      <c r="C6859" s="8">
        <f t="array" ref="C6859">PRODUCT(1-'Sparkling Model'!D$2:D$38^A6859)</f>
        <v>0.883572496</v>
      </c>
    </row>
    <row r="6860">
      <c r="A6860" s="6">
        <v>6858.0</v>
      </c>
      <c r="B6860" s="17">
        <f t="array" ref="B6860">SUM(1-'Sparkling Model'!D$2:D$38^A6860)</f>
        <v>36.87826456</v>
      </c>
      <c r="C6860" s="8">
        <f t="array" ref="C6860">PRODUCT(1-'Sparkling Model'!D$2:D$38^A6860)</f>
        <v>0.8836301581</v>
      </c>
    </row>
    <row r="6861">
      <c r="A6861" s="6">
        <v>6859.0</v>
      </c>
      <c r="B6861" s="17">
        <f t="array" ref="B6861">SUM(1-'Sparkling Model'!D$2:D$38^A6861)</f>
        <v>36.8783278</v>
      </c>
      <c r="C6861" s="8">
        <f t="array" ref="C6861">PRODUCT(1-'Sparkling Model'!D$2:D$38^A6861)</f>
        <v>0.883687792</v>
      </c>
    </row>
    <row r="6862">
      <c r="A6862" s="6">
        <v>6860.0</v>
      </c>
      <c r="B6862" s="17">
        <f t="array" ref="B6862">SUM(1-'Sparkling Model'!D$2:D$38^A6862)</f>
        <v>36.878391</v>
      </c>
      <c r="C6862" s="8">
        <f t="array" ref="C6862">PRODUCT(1-'Sparkling Model'!D$2:D$38^A6862)</f>
        <v>0.8837453976</v>
      </c>
    </row>
    <row r="6863">
      <c r="A6863" s="6">
        <v>6861.0</v>
      </c>
      <c r="B6863" s="17">
        <f t="array" ref="B6863">SUM(1-'Sparkling Model'!D$2:D$38^A6863)</f>
        <v>36.87845417</v>
      </c>
      <c r="C6863" s="8">
        <f t="array" ref="C6863">PRODUCT(1-'Sparkling Model'!D$2:D$38^A6863)</f>
        <v>0.883802975</v>
      </c>
    </row>
    <row r="6864">
      <c r="A6864" s="6">
        <v>6862.0</v>
      </c>
      <c r="B6864" s="17">
        <f t="array" ref="B6864">SUM(1-'Sparkling Model'!D$2:D$38^A6864)</f>
        <v>36.87851731</v>
      </c>
      <c r="C6864" s="8">
        <f t="array" ref="C6864">PRODUCT(1-'Sparkling Model'!D$2:D$38^A6864)</f>
        <v>0.8838605241</v>
      </c>
    </row>
    <row r="6865">
      <c r="A6865" s="6">
        <v>6863.0</v>
      </c>
      <c r="B6865" s="17">
        <f t="array" ref="B6865">SUM(1-'Sparkling Model'!D$2:D$38^A6865)</f>
        <v>36.87858041</v>
      </c>
      <c r="C6865" s="8">
        <f t="array" ref="C6865">PRODUCT(1-'Sparkling Model'!D$2:D$38^A6865)</f>
        <v>0.8839180451</v>
      </c>
    </row>
    <row r="6866">
      <c r="A6866" s="6">
        <v>6864.0</v>
      </c>
      <c r="B6866" s="17">
        <f t="array" ref="B6866">SUM(1-'Sparkling Model'!D$2:D$38^A6866)</f>
        <v>36.87864348</v>
      </c>
      <c r="C6866" s="8">
        <f t="array" ref="C6866">PRODUCT(1-'Sparkling Model'!D$2:D$38^A6866)</f>
        <v>0.8839755379</v>
      </c>
    </row>
    <row r="6867">
      <c r="A6867" s="6">
        <v>6865.0</v>
      </c>
      <c r="B6867" s="17">
        <f t="array" ref="B6867">SUM(1-'Sparkling Model'!D$2:D$38^A6867)</f>
        <v>36.87870651</v>
      </c>
      <c r="C6867" s="8">
        <f t="array" ref="C6867">PRODUCT(1-'Sparkling Model'!D$2:D$38^A6867)</f>
        <v>0.8840330024</v>
      </c>
    </row>
    <row r="6868">
      <c r="A6868" s="6">
        <v>6866.0</v>
      </c>
      <c r="B6868" s="17">
        <f t="array" ref="B6868">SUM(1-'Sparkling Model'!D$2:D$38^A6868)</f>
        <v>36.87876951</v>
      </c>
      <c r="C6868" s="8">
        <f t="array" ref="C6868">PRODUCT(1-'Sparkling Model'!D$2:D$38^A6868)</f>
        <v>0.8840904389</v>
      </c>
    </row>
    <row r="6869">
      <c r="A6869" s="6">
        <v>6867.0</v>
      </c>
      <c r="B6869" s="17">
        <f t="array" ref="B6869">SUM(1-'Sparkling Model'!D$2:D$38^A6869)</f>
        <v>36.87883247</v>
      </c>
      <c r="C6869" s="8">
        <f t="array" ref="C6869">PRODUCT(1-'Sparkling Model'!D$2:D$38^A6869)</f>
        <v>0.8841478471</v>
      </c>
    </row>
    <row r="6870">
      <c r="A6870" s="6">
        <v>6868.0</v>
      </c>
      <c r="B6870" s="17">
        <f t="array" ref="B6870">SUM(1-'Sparkling Model'!D$2:D$38^A6870)</f>
        <v>36.8788954</v>
      </c>
      <c r="C6870" s="8">
        <f t="array" ref="C6870">PRODUCT(1-'Sparkling Model'!D$2:D$38^A6870)</f>
        <v>0.8842052273</v>
      </c>
    </row>
    <row r="6871">
      <c r="A6871" s="6">
        <v>6869.0</v>
      </c>
      <c r="B6871" s="17">
        <f t="array" ref="B6871">SUM(1-'Sparkling Model'!D$2:D$38^A6871)</f>
        <v>36.8789583</v>
      </c>
      <c r="C6871" s="8">
        <f t="array" ref="C6871">PRODUCT(1-'Sparkling Model'!D$2:D$38^A6871)</f>
        <v>0.8842625793</v>
      </c>
    </row>
    <row r="6872">
      <c r="A6872" s="6">
        <v>6870.0</v>
      </c>
      <c r="B6872" s="17">
        <f t="array" ref="B6872">SUM(1-'Sparkling Model'!D$2:D$38^A6872)</f>
        <v>36.87902117</v>
      </c>
      <c r="C6872" s="8">
        <f t="array" ref="C6872">PRODUCT(1-'Sparkling Model'!D$2:D$38^A6872)</f>
        <v>0.8843199032</v>
      </c>
    </row>
    <row r="6873">
      <c r="A6873" s="6">
        <v>6871.0</v>
      </c>
      <c r="B6873" s="17">
        <f t="array" ref="B6873">SUM(1-'Sparkling Model'!D$2:D$38^A6873)</f>
        <v>36.87908399</v>
      </c>
      <c r="C6873" s="8">
        <f t="array" ref="C6873">PRODUCT(1-'Sparkling Model'!D$2:D$38^A6873)</f>
        <v>0.8843771989</v>
      </c>
    </row>
    <row r="6874">
      <c r="A6874" s="6">
        <v>6872.0</v>
      </c>
      <c r="B6874" s="17">
        <f t="array" ref="B6874">SUM(1-'Sparkling Model'!D$2:D$38^A6874)</f>
        <v>36.87914679</v>
      </c>
      <c r="C6874" s="8">
        <f t="array" ref="C6874">PRODUCT(1-'Sparkling Model'!D$2:D$38^A6874)</f>
        <v>0.8844344667</v>
      </c>
    </row>
    <row r="6875">
      <c r="A6875" s="6">
        <v>6873.0</v>
      </c>
      <c r="B6875" s="17">
        <f t="array" ref="B6875">SUM(1-'Sparkling Model'!D$2:D$38^A6875)</f>
        <v>36.87920955</v>
      </c>
      <c r="C6875" s="8">
        <f t="array" ref="C6875">PRODUCT(1-'Sparkling Model'!D$2:D$38^A6875)</f>
        <v>0.8844917063</v>
      </c>
    </row>
    <row r="6876">
      <c r="A6876" s="6">
        <v>6874.0</v>
      </c>
      <c r="B6876" s="17">
        <f t="array" ref="B6876">SUM(1-'Sparkling Model'!D$2:D$38^A6876)</f>
        <v>36.87927228</v>
      </c>
      <c r="C6876" s="8">
        <f t="array" ref="C6876">PRODUCT(1-'Sparkling Model'!D$2:D$38^A6876)</f>
        <v>0.8845489179</v>
      </c>
    </row>
    <row r="6877">
      <c r="A6877" s="6">
        <v>6875.0</v>
      </c>
      <c r="B6877" s="17">
        <f t="array" ref="B6877">SUM(1-'Sparkling Model'!D$2:D$38^A6877)</f>
        <v>36.87933497</v>
      </c>
      <c r="C6877" s="8">
        <f t="array" ref="C6877">PRODUCT(1-'Sparkling Model'!D$2:D$38^A6877)</f>
        <v>0.8846061014</v>
      </c>
    </row>
    <row r="6878">
      <c r="A6878" s="6">
        <v>6876.0</v>
      </c>
      <c r="B6878" s="17">
        <f t="array" ref="B6878">SUM(1-'Sparkling Model'!D$2:D$38^A6878)</f>
        <v>36.87939763</v>
      </c>
      <c r="C6878" s="8">
        <f t="array" ref="C6878">PRODUCT(1-'Sparkling Model'!D$2:D$38^A6878)</f>
        <v>0.8846632569</v>
      </c>
    </row>
    <row r="6879">
      <c r="A6879" s="6">
        <v>6877.0</v>
      </c>
      <c r="B6879" s="17">
        <f t="array" ref="B6879">SUM(1-'Sparkling Model'!D$2:D$38^A6879)</f>
        <v>36.87946026</v>
      </c>
      <c r="C6879" s="8">
        <f t="array" ref="C6879">PRODUCT(1-'Sparkling Model'!D$2:D$38^A6879)</f>
        <v>0.8847203844</v>
      </c>
    </row>
    <row r="6880">
      <c r="A6880" s="6">
        <v>6878.0</v>
      </c>
      <c r="B6880" s="17">
        <f t="array" ref="B6880">SUM(1-'Sparkling Model'!D$2:D$38^A6880)</f>
        <v>36.87952285</v>
      </c>
      <c r="C6880" s="8">
        <f t="array" ref="C6880">PRODUCT(1-'Sparkling Model'!D$2:D$38^A6880)</f>
        <v>0.8847774839</v>
      </c>
    </row>
    <row r="6881">
      <c r="A6881" s="6">
        <v>6879.0</v>
      </c>
      <c r="B6881" s="17">
        <f t="array" ref="B6881">SUM(1-'Sparkling Model'!D$2:D$38^A6881)</f>
        <v>36.87958541</v>
      </c>
      <c r="C6881" s="8">
        <f t="array" ref="C6881">PRODUCT(1-'Sparkling Model'!D$2:D$38^A6881)</f>
        <v>0.8848345553</v>
      </c>
    </row>
    <row r="6882">
      <c r="A6882" s="6">
        <v>6880.0</v>
      </c>
      <c r="B6882" s="17">
        <f t="array" ref="B6882">SUM(1-'Sparkling Model'!D$2:D$38^A6882)</f>
        <v>36.87964793</v>
      </c>
      <c r="C6882" s="8">
        <f t="array" ref="C6882">PRODUCT(1-'Sparkling Model'!D$2:D$38^A6882)</f>
        <v>0.8848915988</v>
      </c>
    </row>
    <row r="6883">
      <c r="A6883" s="6">
        <v>6881.0</v>
      </c>
      <c r="B6883" s="17">
        <f t="array" ref="B6883">SUM(1-'Sparkling Model'!D$2:D$38^A6883)</f>
        <v>36.87971042</v>
      </c>
      <c r="C6883" s="8">
        <f t="array" ref="C6883">PRODUCT(1-'Sparkling Model'!D$2:D$38^A6883)</f>
        <v>0.8849486144</v>
      </c>
    </row>
    <row r="6884">
      <c r="A6884" s="6">
        <v>6882.0</v>
      </c>
      <c r="B6884" s="17">
        <f t="array" ref="B6884">SUM(1-'Sparkling Model'!D$2:D$38^A6884)</f>
        <v>36.87977288</v>
      </c>
      <c r="C6884" s="8">
        <f t="array" ref="C6884">PRODUCT(1-'Sparkling Model'!D$2:D$38^A6884)</f>
        <v>0.885005602</v>
      </c>
    </row>
    <row r="6885">
      <c r="A6885" s="6">
        <v>6883.0</v>
      </c>
      <c r="B6885" s="17">
        <f t="array" ref="B6885">SUM(1-'Sparkling Model'!D$2:D$38^A6885)</f>
        <v>36.8798353</v>
      </c>
      <c r="C6885" s="8">
        <f t="array" ref="C6885">PRODUCT(1-'Sparkling Model'!D$2:D$38^A6885)</f>
        <v>0.8850625616</v>
      </c>
    </row>
    <row r="6886">
      <c r="A6886" s="6">
        <v>6884.0</v>
      </c>
      <c r="B6886" s="17">
        <f t="array" ref="B6886">SUM(1-'Sparkling Model'!D$2:D$38^A6886)</f>
        <v>36.87989769</v>
      </c>
      <c r="C6886" s="8">
        <f t="array" ref="C6886">PRODUCT(1-'Sparkling Model'!D$2:D$38^A6886)</f>
        <v>0.8851194933</v>
      </c>
    </row>
    <row r="6887">
      <c r="A6887" s="6">
        <v>6885.0</v>
      </c>
      <c r="B6887" s="17">
        <f t="array" ref="B6887">SUM(1-'Sparkling Model'!D$2:D$38^A6887)</f>
        <v>36.87996004</v>
      </c>
      <c r="C6887" s="8">
        <f t="array" ref="C6887">PRODUCT(1-'Sparkling Model'!D$2:D$38^A6887)</f>
        <v>0.8851763972</v>
      </c>
    </row>
    <row r="6888">
      <c r="A6888" s="6">
        <v>6886.0</v>
      </c>
      <c r="B6888" s="17">
        <f t="array" ref="B6888">SUM(1-'Sparkling Model'!D$2:D$38^A6888)</f>
        <v>36.88002236</v>
      </c>
      <c r="C6888" s="8">
        <f t="array" ref="C6888">PRODUCT(1-'Sparkling Model'!D$2:D$38^A6888)</f>
        <v>0.8852332731</v>
      </c>
    </row>
    <row r="6889">
      <c r="A6889" s="6">
        <v>6887.0</v>
      </c>
      <c r="B6889" s="17">
        <f t="array" ref="B6889">SUM(1-'Sparkling Model'!D$2:D$38^A6889)</f>
        <v>36.88008465</v>
      </c>
      <c r="C6889" s="8">
        <f t="array" ref="C6889">PRODUCT(1-'Sparkling Model'!D$2:D$38^A6889)</f>
        <v>0.8852901211</v>
      </c>
    </row>
    <row r="6890">
      <c r="A6890" s="6">
        <v>6888.0</v>
      </c>
      <c r="B6890" s="17">
        <f t="array" ref="B6890">SUM(1-'Sparkling Model'!D$2:D$38^A6890)</f>
        <v>36.88014691</v>
      </c>
      <c r="C6890" s="8">
        <f t="array" ref="C6890">PRODUCT(1-'Sparkling Model'!D$2:D$38^A6890)</f>
        <v>0.8853469413</v>
      </c>
    </row>
    <row r="6891">
      <c r="A6891" s="6">
        <v>6889.0</v>
      </c>
      <c r="B6891" s="17">
        <f t="array" ref="B6891">SUM(1-'Sparkling Model'!D$2:D$38^A6891)</f>
        <v>36.88020913</v>
      </c>
      <c r="C6891" s="8">
        <f t="array" ref="C6891">PRODUCT(1-'Sparkling Model'!D$2:D$38^A6891)</f>
        <v>0.8854037335</v>
      </c>
    </row>
    <row r="6892">
      <c r="A6892" s="6">
        <v>6890.0</v>
      </c>
      <c r="B6892" s="17">
        <f t="array" ref="B6892">SUM(1-'Sparkling Model'!D$2:D$38^A6892)</f>
        <v>36.88027131</v>
      </c>
      <c r="C6892" s="8">
        <f t="array" ref="C6892">PRODUCT(1-'Sparkling Model'!D$2:D$38^A6892)</f>
        <v>0.885460498</v>
      </c>
    </row>
    <row r="6893">
      <c r="A6893" s="6">
        <v>6891.0</v>
      </c>
      <c r="B6893" s="17">
        <f t="array" ref="B6893">SUM(1-'Sparkling Model'!D$2:D$38^A6893)</f>
        <v>36.88033347</v>
      </c>
      <c r="C6893" s="8">
        <f t="array" ref="C6893">PRODUCT(1-'Sparkling Model'!D$2:D$38^A6893)</f>
        <v>0.8855172346</v>
      </c>
    </row>
    <row r="6894">
      <c r="A6894" s="6">
        <v>6892.0</v>
      </c>
      <c r="B6894" s="17">
        <f t="array" ref="B6894">SUM(1-'Sparkling Model'!D$2:D$38^A6894)</f>
        <v>36.88039559</v>
      </c>
      <c r="C6894" s="8">
        <f t="array" ref="C6894">PRODUCT(1-'Sparkling Model'!D$2:D$38^A6894)</f>
        <v>0.8855739434</v>
      </c>
    </row>
    <row r="6895">
      <c r="A6895" s="6">
        <v>6893.0</v>
      </c>
      <c r="B6895" s="17">
        <f t="array" ref="B6895">SUM(1-'Sparkling Model'!D$2:D$38^A6895)</f>
        <v>36.88045767</v>
      </c>
      <c r="C6895" s="8">
        <f t="array" ref="C6895">PRODUCT(1-'Sparkling Model'!D$2:D$38^A6895)</f>
        <v>0.8856306244</v>
      </c>
    </row>
    <row r="6896">
      <c r="A6896" s="6">
        <v>6894.0</v>
      </c>
      <c r="B6896" s="17">
        <f t="array" ref="B6896">SUM(1-'Sparkling Model'!D$2:D$38^A6896)</f>
        <v>36.88051973</v>
      </c>
      <c r="C6896" s="8">
        <f t="array" ref="C6896">PRODUCT(1-'Sparkling Model'!D$2:D$38^A6896)</f>
        <v>0.8856872776</v>
      </c>
    </row>
    <row r="6897">
      <c r="A6897" s="6">
        <v>6895.0</v>
      </c>
      <c r="B6897" s="17">
        <f t="array" ref="B6897">SUM(1-'Sparkling Model'!D$2:D$38^A6897)</f>
        <v>36.88058175</v>
      </c>
      <c r="C6897" s="8">
        <f t="array" ref="C6897">PRODUCT(1-'Sparkling Model'!D$2:D$38^A6897)</f>
        <v>0.885743903</v>
      </c>
    </row>
    <row r="6898">
      <c r="A6898" s="6">
        <v>6896.0</v>
      </c>
      <c r="B6898" s="17">
        <f t="array" ref="B6898">SUM(1-'Sparkling Model'!D$2:D$38^A6898)</f>
        <v>36.88064373</v>
      </c>
      <c r="C6898" s="8">
        <f t="array" ref="C6898">PRODUCT(1-'Sparkling Model'!D$2:D$38^A6898)</f>
        <v>0.8858005007</v>
      </c>
    </row>
    <row r="6899">
      <c r="A6899" s="6">
        <v>6897.0</v>
      </c>
      <c r="B6899" s="17">
        <f t="array" ref="B6899">SUM(1-'Sparkling Model'!D$2:D$38^A6899)</f>
        <v>36.88070568</v>
      </c>
      <c r="C6899" s="8">
        <f t="array" ref="C6899">PRODUCT(1-'Sparkling Model'!D$2:D$38^A6899)</f>
        <v>0.8858570706</v>
      </c>
    </row>
    <row r="6900">
      <c r="A6900" s="6">
        <v>6898.0</v>
      </c>
      <c r="B6900" s="17">
        <f t="array" ref="B6900">SUM(1-'Sparkling Model'!D$2:D$38^A6900)</f>
        <v>36.8807676</v>
      </c>
      <c r="C6900" s="8">
        <f t="array" ref="C6900">PRODUCT(1-'Sparkling Model'!D$2:D$38^A6900)</f>
        <v>0.8859136127</v>
      </c>
    </row>
    <row r="6901">
      <c r="A6901" s="6">
        <v>6899.0</v>
      </c>
      <c r="B6901" s="17">
        <f t="array" ref="B6901">SUM(1-'Sparkling Model'!D$2:D$38^A6901)</f>
        <v>36.88082949</v>
      </c>
      <c r="C6901" s="8">
        <f t="array" ref="C6901">PRODUCT(1-'Sparkling Model'!D$2:D$38^A6901)</f>
        <v>0.8859701272</v>
      </c>
    </row>
    <row r="6902">
      <c r="A6902" s="6">
        <v>6900.0</v>
      </c>
      <c r="B6902" s="17">
        <f t="array" ref="B6902">SUM(1-'Sparkling Model'!D$2:D$38^A6902)</f>
        <v>36.88089134</v>
      </c>
      <c r="C6902" s="8">
        <f t="array" ref="C6902">PRODUCT(1-'Sparkling Model'!D$2:D$38^A6902)</f>
        <v>0.8860266139</v>
      </c>
    </row>
    <row r="6903">
      <c r="A6903" s="6">
        <v>6901.0</v>
      </c>
      <c r="B6903" s="17">
        <f t="array" ref="B6903">SUM(1-'Sparkling Model'!D$2:D$38^A6903)</f>
        <v>36.88095316</v>
      </c>
      <c r="C6903" s="8">
        <f t="array" ref="C6903">PRODUCT(1-'Sparkling Model'!D$2:D$38^A6903)</f>
        <v>0.8860830729</v>
      </c>
    </row>
    <row r="6904">
      <c r="A6904" s="6">
        <v>6902.0</v>
      </c>
      <c r="B6904" s="17">
        <f t="array" ref="B6904">SUM(1-'Sparkling Model'!D$2:D$38^A6904)</f>
        <v>36.88101494</v>
      </c>
      <c r="C6904" s="8">
        <f t="array" ref="C6904">PRODUCT(1-'Sparkling Model'!D$2:D$38^A6904)</f>
        <v>0.8861395042</v>
      </c>
    </row>
    <row r="6905">
      <c r="A6905" s="6">
        <v>6903.0</v>
      </c>
      <c r="B6905" s="17">
        <f t="array" ref="B6905">SUM(1-'Sparkling Model'!D$2:D$38^A6905)</f>
        <v>36.8810767</v>
      </c>
      <c r="C6905" s="8">
        <f t="array" ref="C6905">PRODUCT(1-'Sparkling Model'!D$2:D$38^A6905)</f>
        <v>0.8861959079</v>
      </c>
    </row>
    <row r="6906">
      <c r="A6906" s="6">
        <v>6904.0</v>
      </c>
      <c r="B6906" s="17">
        <f t="array" ref="B6906">SUM(1-'Sparkling Model'!D$2:D$38^A6906)</f>
        <v>36.88113841</v>
      </c>
      <c r="C6906" s="8">
        <f t="array" ref="C6906">PRODUCT(1-'Sparkling Model'!D$2:D$38^A6906)</f>
        <v>0.8862522839</v>
      </c>
    </row>
    <row r="6907">
      <c r="A6907" s="6">
        <v>6905.0</v>
      </c>
      <c r="B6907" s="17">
        <f t="array" ref="B6907">SUM(1-'Sparkling Model'!D$2:D$38^A6907)</f>
        <v>36.8812001</v>
      </c>
      <c r="C6907" s="8">
        <f t="array" ref="C6907">PRODUCT(1-'Sparkling Model'!D$2:D$38^A6907)</f>
        <v>0.8863086322</v>
      </c>
    </row>
    <row r="6908">
      <c r="A6908" s="6">
        <v>6906.0</v>
      </c>
      <c r="B6908" s="17">
        <f t="array" ref="B6908">SUM(1-'Sparkling Model'!D$2:D$38^A6908)</f>
        <v>36.88126175</v>
      </c>
      <c r="C6908" s="8">
        <f t="array" ref="C6908">PRODUCT(1-'Sparkling Model'!D$2:D$38^A6908)</f>
        <v>0.8863649529</v>
      </c>
    </row>
    <row r="6909">
      <c r="A6909" s="6">
        <v>6907.0</v>
      </c>
      <c r="B6909" s="17">
        <f t="array" ref="B6909">SUM(1-'Sparkling Model'!D$2:D$38^A6909)</f>
        <v>36.88132337</v>
      </c>
      <c r="C6909" s="8">
        <f t="array" ref="C6909">PRODUCT(1-'Sparkling Model'!D$2:D$38^A6909)</f>
        <v>0.886421246</v>
      </c>
    </row>
    <row r="6910">
      <c r="A6910" s="6">
        <v>6908.0</v>
      </c>
      <c r="B6910" s="17">
        <f t="array" ref="B6910">SUM(1-'Sparkling Model'!D$2:D$38^A6910)</f>
        <v>36.88138495</v>
      </c>
      <c r="C6910" s="8">
        <f t="array" ref="C6910">PRODUCT(1-'Sparkling Model'!D$2:D$38^A6910)</f>
        <v>0.8864775115</v>
      </c>
    </row>
    <row r="6911">
      <c r="A6911" s="6">
        <v>6909.0</v>
      </c>
      <c r="B6911" s="17">
        <f t="array" ref="B6911">SUM(1-'Sparkling Model'!D$2:D$38^A6911)</f>
        <v>36.88144651</v>
      </c>
      <c r="C6911" s="8">
        <f t="array" ref="C6911">PRODUCT(1-'Sparkling Model'!D$2:D$38^A6911)</f>
        <v>0.8865337494</v>
      </c>
    </row>
    <row r="6912">
      <c r="A6912" s="6">
        <v>6910.0</v>
      </c>
      <c r="B6912" s="17">
        <f t="array" ref="B6912">SUM(1-'Sparkling Model'!D$2:D$38^A6912)</f>
        <v>36.88150802</v>
      </c>
      <c r="C6912" s="8">
        <f t="array" ref="C6912">PRODUCT(1-'Sparkling Model'!D$2:D$38^A6912)</f>
        <v>0.8865899597</v>
      </c>
    </row>
    <row r="6913">
      <c r="A6913" s="6">
        <v>6911.0</v>
      </c>
      <c r="B6913" s="17">
        <f t="array" ref="B6913">SUM(1-'Sparkling Model'!D$2:D$38^A6913)</f>
        <v>36.88156951</v>
      </c>
      <c r="C6913" s="8">
        <f t="array" ref="C6913">PRODUCT(1-'Sparkling Model'!D$2:D$38^A6913)</f>
        <v>0.8866461425</v>
      </c>
    </row>
    <row r="6914">
      <c r="A6914" s="6">
        <v>6912.0</v>
      </c>
      <c r="B6914" s="17">
        <f t="array" ref="B6914">SUM(1-'Sparkling Model'!D$2:D$38^A6914)</f>
        <v>36.88163096</v>
      </c>
      <c r="C6914" s="8">
        <f t="array" ref="C6914">PRODUCT(1-'Sparkling Model'!D$2:D$38^A6914)</f>
        <v>0.8867022976</v>
      </c>
    </row>
    <row r="6915">
      <c r="A6915" s="6">
        <v>6913.0</v>
      </c>
      <c r="B6915" s="17">
        <f t="array" ref="B6915">SUM(1-'Sparkling Model'!D$2:D$38^A6915)</f>
        <v>36.88169238</v>
      </c>
      <c r="C6915" s="8">
        <f t="array" ref="C6915">PRODUCT(1-'Sparkling Model'!D$2:D$38^A6915)</f>
        <v>0.8867584253</v>
      </c>
    </row>
    <row r="6916">
      <c r="A6916" s="6">
        <v>6914.0</v>
      </c>
      <c r="B6916" s="17">
        <f t="array" ref="B6916">SUM(1-'Sparkling Model'!D$2:D$38^A6916)</f>
        <v>36.88175377</v>
      </c>
      <c r="C6916" s="8">
        <f t="array" ref="C6916">PRODUCT(1-'Sparkling Model'!D$2:D$38^A6916)</f>
        <v>0.8868145254</v>
      </c>
    </row>
    <row r="6917">
      <c r="A6917" s="6">
        <v>6915.0</v>
      </c>
      <c r="B6917" s="17">
        <f t="array" ref="B6917">SUM(1-'Sparkling Model'!D$2:D$38^A6917)</f>
        <v>36.88181512</v>
      </c>
      <c r="C6917" s="8">
        <f t="array" ref="C6917">PRODUCT(1-'Sparkling Model'!D$2:D$38^A6917)</f>
        <v>0.886870598</v>
      </c>
    </row>
    <row r="6918">
      <c r="A6918" s="6">
        <v>6916.0</v>
      </c>
      <c r="B6918" s="17">
        <f t="array" ref="B6918">SUM(1-'Sparkling Model'!D$2:D$38^A6918)</f>
        <v>36.88187644</v>
      </c>
      <c r="C6918" s="8">
        <f t="array" ref="C6918">PRODUCT(1-'Sparkling Model'!D$2:D$38^A6918)</f>
        <v>0.8869266431</v>
      </c>
    </row>
    <row r="6919">
      <c r="A6919" s="6">
        <v>6917.0</v>
      </c>
      <c r="B6919" s="17">
        <f t="array" ref="B6919">SUM(1-'Sparkling Model'!D$2:D$38^A6919)</f>
        <v>36.88193773</v>
      </c>
      <c r="C6919" s="8">
        <f t="array" ref="C6919">PRODUCT(1-'Sparkling Model'!D$2:D$38^A6919)</f>
        <v>0.8869826607</v>
      </c>
    </row>
    <row r="6920">
      <c r="A6920" s="6">
        <v>6918.0</v>
      </c>
      <c r="B6920" s="17">
        <f t="array" ref="B6920">SUM(1-'Sparkling Model'!D$2:D$38^A6920)</f>
        <v>36.88199898</v>
      </c>
      <c r="C6920" s="8">
        <f t="array" ref="C6920">PRODUCT(1-'Sparkling Model'!D$2:D$38^A6920)</f>
        <v>0.8870386508</v>
      </c>
    </row>
    <row r="6921">
      <c r="A6921" s="6">
        <v>6919.0</v>
      </c>
      <c r="B6921" s="17">
        <f t="array" ref="B6921">SUM(1-'Sparkling Model'!D$2:D$38^A6921)</f>
        <v>36.8820602</v>
      </c>
      <c r="C6921" s="8">
        <f t="array" ref="C6921">PRODUCT(1-'Sparkling Model'!D$2:D$38^A6921)</f>
        <v>0.8870946135</v>
      </c>
    </row>
    <row r="6922">
      <c r="A6922" s="6">
        <v>6920.0</v>
      </c>
      <c r="B6922" s="17">
        <f t="array" ref="B6922">SUM(1-'Sparkling Model'!D$2:D$38^A6922)</f>
        <v>36.88212139</v>
      </c>
      <c r="C6922" s="8">
        <f t="array" ref="C6922">PRODUCT(1-'Sparkling Model'!D$2:D$38^A6922)</f>
        <v>0.8871505487</v>
      </c>
    </row>
    <row r="6923">
      <c r="A6923" s="6">
        <v>6921.0</v>
      </c>
      <c r="B6923" s="17">
        <f t="array" ref="B6923">SUM(1-'Sparkling Model'!D$2:D$38^A6923)</f>
        <v>36.88218254</v>
      </c>
      <c r="C6923" s="8">
        <f t="array" ref="C6923">PRODUCT(1-'Sparkling Model'!D$2:D$38^A6923)</f>
        <v>0.8872064564</v>
      </c>
    </row>
    <row r="6924">
      <c r="A6924" s="6">
        <v>6922.0</v>
      </c>
      <c r="B6924" s="17">
        <f t="array" ref="B6924">SUM(1-'Sparkling Model'!D$2:D$38^A6924)</f>
        <v>36.88224366</v>
      </c>
      <c r="C6924" s="8">
        <f t="array" ref="C6924">PRODUCT(1-'Sparkling Model'!D$2:D$38^A6924)</f>
        <v>0.8872623368</v>
      </c>
    </row>
    <row r="6925">
      <c r="A6925" s="6">
        <v>6923.0</v>
      </c>
      <c r="B6925" s="17">
        <f t="array" ref="B6925">SUM(1-'Sparkling Model'!D$2:D$38^A6925)</f>
        <v>36.88230475</v>
      </c>
      <c r="C6925" s="8">
        <f t="array" ref="C6925">PRODUCT(1-'Sparkling Model'!D$2:D$38^A6925)</f>
        <v>0.8873181897</v>
      </c>
    </row>
    <row r="6926">
      <c r="A6926" s="6">
        <v>6924.0</v>
      </c>
      <c r="B6926" s="17">
        <f t="array" ref="B6926">SUM(1-'Sparkling Model'!D$2:D$38^A6926)</f>
        <v>36.88236581</v>
      </c>
      <c r="C6926" s="8">
        <f t="array" ref="C6926">PRODUCT(1-'Sparkling Model'!D$2:D$38^A6926)</f>
        <v>0.8873740152</v>
      </c>
    </row>
    <row r="6927">
      <c r="A6927" s="6">
        <v>6925.0</v>
      </c>
      <c r="B6927" s="17">
        <f t="array" ref="B6927">SUM(1-'Sparkling Model'!D$2:D$38^A6927)</f>
        <v>36.88242683</v>
      </c>
      <c r="C6927" s="8">
        <f t="array" ref="C6927">PRODUCT(1-'Sparkling Model'!D$2:D$38^A6927)</f>
        <v>0.8874298134</v>
      </c>
    </row>
    <row r="6928">
      <c r="A6928" s="6">
        <v>6926.0</v>
      </c>
      <c r="B6928" s="17">
        <f t="array" ref="B6928">SUM(1-'Sparkling Model'!D$2:D$38^A6928)</f>
        <v>36.88248782</v>
      </c>
      <c r="C6928" s="8">
        <f t="array" ref="C6928">PRODUCT(1-'Sparkling Model'!D$2:D$38^A6928)</f>
        <v>0.8874855842</v>
      </c>
    </row>
    <row r="6929">
      <c r="A6929" s="6">
        <v>6927.0</v>
      </c>
      <c r="B6929" s="17">
        <f t="array" ref="B6929">SUM(1-'Sparkling Model'!D$2:D$38^A6929)</f>
        <v>36.88254878</v>
      </c>
      <c r="C6929" s="8">
        <f t="array" ref="C6929">PRODUCT(1-'Sparkling Model'!D$2:D$38^A6929)</f>
        <v>0.8875413276</v>
      </c>
    </row>
    <row r="6930">
      <c r="A6930" s="6">
        <v>6928.0</v>
      </c>
      <c r="B6930" s="17">
        <f t="array" ref="B6930">SUM(1-'Sparkling Model'!D$2:D$38^A6930)</f>
        <v>36.8826097</v>
      </c>
      <c r="C6930" s="8">
        <f t="array" ref="C6930">PRODUCT(1-'Sparkling Model'!D$2:D$38^A6930)</f>
        <v>0.8875970437</v>
      </c>
    </row>
    <row r="6931">
      <c r="A6931" s="6">
        <v>6929.0</v>
      </c>
      <c r="B6931" s="17">
        <f t="array" ref="B6931">SUM(1-'Sparkling Model'!D$2:D$38^A6931)</f>
        <v>36.88267059</v>
      </c>
      <c r="C6931" s="8">
        <f t="array" ref="C6931">PRODUCT(1-'Sparkling Model'!D$2:D$38^A6931)</f>
        <v>0.8876527324</v>
      </c>
    </row>
    <row r="6932">
      <c r="A6932" s="6">
        <v>6930.0</v>
      </c>
      <c r="B6932" s="17">
        <f t="array" ref="B6932">SUM(1-'Sparkling Model'!D$2:D$38^A6932)</f>
        <v>36.88273145</v>
      </c>
      <c r="C6932" s="8">
        <f t="array" ref="C6932">PRODUCT(1-'Sparkling Model'!D$2:D$38^A6932)</f>
        <v>0.8877083938</v>
      </c>
    </row>
    <row r="6933">
      <c r="A6933" s="6">
        <v>6931.0</v>
      </c>
      <c r="B6933" s="17">
        <f t="array" ref="B6933">SUM(1-'Sparkling Model'!D$2:D$38^A6933)</f>
        <v>36.88279228</v>
      </c>
      <c r="C6933" s="8">
        <f t="array" ref="C6933">PRODUCT(1-'Sparkling Model'!D$2:D$38^A6933)</f>
        <v>0.8877640279</v>
      </c>
    </row>
    <row r="6934">
      <c r="A6934" s="6">
        <v>6932.0</v>
      </c>
      <c r="B6934" s="17">
        <f t="array" ref="B6934">SUM(1-'Sparkling Model'!D$2:D$38^A6934)</f>
        <v>36.88285307</v>
      </c>
      <c r="C6934" s="8">
        <f t="array" ref="C6934">PRODUCT(1-'Sparkling Model'!D$2:D$38^A6934)</f>
        <v>0.8878196347</v>
      </c>
    </row>
    <row r="6935">
      <c r="A6935" s="6">
        <v>6933.0</v>
      </c>
      <c r="B6935" s="17">
        <f t="array" ref="B6935">SUM(1-'Sparkling Model'!D$2:D$38^A6935)</f>
        <v>36.88291383</v>
      </c>
      <c r="C6935" s="8">
        <f t="array" ref="C6935">PRODUCT(1-'Sparkling Model'!D$2:D$38^A6935)</f>
        <v>0.8878752143</v>
      </c>
    </row>
    <row r="6936">
      <c r="A6936" s="6">
        <v>6934.0</v>
      </c>
      <c r="B6936" s="17">
        <f t="array" ref="B6936">SUM(1-'Sparkling Model'!D$2:D$38^A6936)</f>
        <v>36.88297456</v>
      </c>
      <c r="C6936" s="8">
        <f t="array" ref="C6936">PRODUCT(1-'Sparkling Model'!D$2:D$38^A6936)</f>
        <v>0.8879307665</v>
      </c>
    </row>
    <row r="6937">
      <c r="A6937" s="6">
        <v>6935.0</v>
      </c>
      <c r="B6937" s="17">
        <f t="array" ref="B6937">SUM(1-'Sparkling Model'!D$2:D$38^A6937)</f>
        <v>36.88303525</v>
      </c>
      <c r="C6937" s="8">
        <f t="array" ref="C6937">PRODUCT(1-'Sparkling Model'!D$2:D$38^A6937)</f>
        <v>0.8879862915</v>
      </c>
    </row>
    <row r="6938">
      <c r="A6938" s="6">
        <v>6936.0</v>
      </c>
      <c r="B6938" s="17">
        <f t="array" ref="B6938">SUM(1-'Sparkling Model'!D$2:D$38^A6938)</f>
        <v>36.88309591</v>
      </c>
      <c r="C6938" s="8">
        <f t="array" ref="C6938">PRODUCT(1-'Sparkling Model'!D$2:D$38^A6938)</f>
        <v>0.8880417893</v>
      </c>
    </row>
    <row r="6939">
      <c r="A6939" s="6">
        <v>6937.0</v>
      </c>
      <c r="B6939" s="17">
        <f t="array" ref="B6939">SUM(1-'Sparkling Model'!D$2:D$38^A6939)</f>
        <v>36.88315654</v>
      </c>
      <c r="C6939" s="8">
        <f t="array" ref="C6939">PRODUCT(1-'Sparkling Model'!D$2:D$38^A6939)</f>
        <v>0.8880972598</v>
      </c>
    </row>
    <row r="6940">
      <c r="A6940" s="6">
        <v>6938.0</v>
      </c>
      <c r="B6940" s="17">
        <f t="array" ref="B6940">SUM(1-'Sparkling Model'!D$2:D$38^A6940)</f>
        <v>36.88321714</v>
      </c>
      <c r="C6940" s="8">
        <f t="array" ref="C6940">PRODUCT(1-'Sparkling Model'!D$2:D$38^A6940)</f>
        <v>0.8881527032</v>
      </c>
    </row>
    <row r="6941">
      <c r="A6941" s="6">
        <v>6939.0</v>
      </c>
      <c r="B6941" s="17">
        <f t="array" ref="B6941">SUM(1-'Sparkling Model'!D$2:D$38^A6941)</f>
        <v>36.8832777</v>
      </c>
      <c r="C6941" s="8">
        <f t="array" ref="C6941">PRODUCT(1-'Sparkling Model'!D$2:D$38^A6941)</f>
        <v>0.8882081193</v>
      </c>
    </row>
    <row r="6942">
      <c r="A6942" s="6">
        <v>6940.0</v>
      </c>
      <c r="B6942" s="17">
        <f t="array" ref="B6942">SUM(1-'Sparkling Model'!D$2:D$38^A6942)</f>
        <v>36.88333823</v>
      </c>
      <c r="C6942" s="8">
        <f t="array" ref="C6942">PRODUCT(1-'Sparkling Model'!D$2:D$38^A6942)</f>
        <v>0.8882635082</v>
      </c>
    </row>
    <row r="6943">
      <c r="A6943" s="6">
        <v>6941.0</v>
      </c>
      <c r="B6943" s="17">
        <f t="array" ref="B6943">SUM(1-'Sparkling Model'!D$2:D$38^A6943)</f>
        <v>36.88339873</v>
      </c>
      <c r="C6943" s="8">
        <f t="array" ref="C6943">PRODUCT(1-'Sparkling Model'!D$2:D$38^A6943)</f>
        <v>0.88831887</v>
      </c>
    </row>
    <row r="6944">
      <c r="A6944" s="6">
        <v>6942.0</v>
      </c>
      <c r="B6944" s="17">
        <f t="array" ref="B6944">SUM(1-'Sparkling Model'!D$2:D$38^A6944)</f>
        <v>36.88345919</v>
      </c>
      <c r="C6944" s="8">
        <f t="array" ref="C6944">PRODUCT(1-'Sparkling Model'!D$2:D$38^A6944)</f>
        <v>0.8883742046</v>
      </c>
    </row>
    <row r="6945">
      <c r="A6945" s="6">
        <v>6943.0</v>
      </c>
      <c r="B6945" s="17">
        <f t="array" ref="B6945">SUM(1-'Sparkling Model'!D$2:D$38^A6945)</f>
        <v>36.88351963</v>
      </c>
      <c r="C6945" s="8">
        <f t="array" ref="C6945">PRODUCT(1-'Sparkling Model'!D$2:D$38^A6945)</f>
        <v>0.888429512</v>
      </c>
    </row>
    <row r="6946">
      <c r="A6946" s="6">
        <v>6944.0</v>
      </c>
      <c r="B6946" s="17">
        <f t="array" ref="B6946">SUM(1-'Sparkling Model'!D$2:D$38^A6946)</f>
        <v>36.88358003</v>
      </c>
      <c r="C6946" s="8">
        <f t="array" ref="C6946">PRODUCT(1-'Sparkling Model'!D$2:D$38^A6946)</f>
        <v>0.8884847923</v>
      </c>
    </row>
    <row r="6947">
      <c r="A6947" s="6">
        <v>6945.0</v>
      </c>
      <c r="B6947" s="17">
        <f t="array" ref="B6947">SUM(1-'Sparkling Model'!D$2:D$38^A6947)</f>
        <v>36.8836404</v>
      </c>
      <c r="C6947" s="8">
        <f t="array" ref="C6947">PRODUCT(1-'Sparkling Model'!D$2:D$38^A6947)</f>
        <v>0.8885400454</v>
      </c>
    </row>
    <row r="6948">
      <c r="A6948" s="6">
        <v>6946.0</v>
      </c>
      <c r="B6948" s="17">
        <f t="array" ref="B6948">SUM(1-'Sparkling Model'!D$2:D$38^A6948)</f>
        <v>36.88370073</v>
      </c>
      <c r="C6948" s="8">
        <f t="array" ref="C6948">PRODUCT(1-'Sparkling Model'!D$2:D$38^A6948)</f>
        <v>0.8885952715</v>
      </c>
    </row>
    <row r="6949">
      <c r="A6949" s="6">
        <v>6947.0</v>
      </c>
      <c r="B6949" s="17">
        <f t="array" ref="B6949">SUM(1-'Sparkling Model'!D$2:D$38^A6949)</f>
        <v>36.88376103</v>
      </c>
      <c r="C6949" s="8">
        <f t="array" ref="C6949">PRODUCT(1-'Sparkling Model'!D$2:D$38^A6949)</f>
        <v>0.8886504705</v>
      </c>
    </row>
    <row r="6950">
      <c r="A6950" s="6">
        <v>6948.0</v>
      </c>
      <c r="B6950" s="17">
        <f t="array" ref="B6950">SUM(1-'Sparkling Model'!D$2:D$38^A6950)</f>
        <v>36.8838213</v>
      </c>
      <c r="C6950" s="8">
        <f t="array" ref="C6950">PRODUCT(1-'Sparkling Model'!D$2:D$38^A6950)</f>
        <v>0.8887056423</v>
      </c>
    </row>
    <row r="6951">
      <c r="A6951" s="6">
        <v>6949.0</v>
      </c>
      <c r="B6951" s="17">
        <f t="array" ref="B6951">SUM(1-'Sparkling Model'!D$2:D$38^A6951)</f>
        <v>36.88388154</v>
      </c>
      <c r="C6951" s="8">
        <f t="array" ref="C6951">PRODUCT(1-'Sparkling Model'!D$2:D$38^A6951)</f>
        <v>0.8887607871</v>
      </c>
    </row>
    <row r="6952">
      <c r="A6952" s="6">
        <v>6950.0</v>
      </c>
      <c r="B6952" s="17">
        <f t="array" ref="B6952">SUM(1-'Sparkling Model'!D$2:D$38^A6952)</f>
        <v>36.88394175</v>
      </c>
      <c r="C6952" s="8">
        <f t="array" ref="C6952">PRODUCT(1-'Sparkling Model'!D$2:D$38^A6952)</f>
        <v>0.8888159049</v>
      </c>
    </row>
    <row r="6953">
      <c r="A6953" s="6">
        <v>6951.0</v>
      </c>
      <c r="B6953" s="17">
        <f t="array" ref="B6953">SUM(1-'Sparkling Model'!D$2:D$38^A6953)</f>
        <v>36.88400192</v>
      </c>
      <c r="C6953" s="8">
        <f t="array" ref="C6953">PRODUCT(1-'Sparkling Model'!D$2:D$38^A6953)</f>
        <v>0.8888709955</v>
      </c>
    </row>
    <row r="6954">
      <c r="A6954" s="6">
        <v>6952.0</v>
      </c>
      <c r="B6954" s="17">
        <f t="array" ref="B6954">SUM(1-'Sparkling Model'!D$2:D$38^A6954)</f>
        <v>36.88406206</v>
      </c>
      <c r="C6954" s="8">
        <f t="array" ref="C6954">PRODUCT(1-'Sparkling Model'!D$2:D$38^A6954)</f>
        <v>0.8889260592</v>
      </c>
    </row>
    <row r="6955">
      <c r="A6955" s="6">
        <v>6953.0</v>
      </c>
      <c r="B6955" s="17">
        <f t="array" ref="B6955">SUM(1-'Sparkling Model'!D$2:D$38^A6955)</f>
        <v>36.88412217</v>
      </c>
      <c r="C6955" s="8">
        <f t="array" ref="C6955">PRODUCT(1-'Sparkling Model'!D$2:D$38^A6955)</f>
        <v>0.8889810958</v>
      </c>
    </row>
    <row r="6956">
      <c r="A6956" s="6">
        <v>6954.0</v>
      </c>
      <c r="B6956" s="17">
        <f t="array" ref="B6956">SUM(1-'Sparkling Model'!D$2:D$38^A6956)</f>
        <v>36.88418224</v>
      </c>
      <c r="C6956" s="8">
        <f t="array" ref="C6956">PRODUCT(1-'Sparkling Model'!D$2:D$38^A6956)</f>
        <v>0.8890361054</v>
      </c>
    </row>
    <row r="6957">
      <c r="A6957" s="6">
        <v>6955.0</v>
      </c>
      <c r="B6957" s="17">
        <f t="array" ref="B6957">SUM(1-'Sparkling Model'!D$2:D$38^A6957)</f>
        <v>36.88424229</v>
      </c>
      <c r="C6957" s="8">
        <f t="array" ref="C6957">PRODUCT(1-'Sparkling Model'!D$2:D$38^A6957)</f>
        <v>0.8890910881</v>
      </c>
    </row>
    <row r="6958">
      <c r="A6958" s="6">
        <v>6956.0</v>
      </c>
      <c r="B6958" s="17">
        <f t="array" ref="B6958">SUM(1-'Sparkling Model'!D$2:D$38^A6958)</f>
        <v>36.8843023</v>
      </c>
      <c r="C6958" s="8">
        <f t="array" ref="C6958">PRODUCT(1-'Sparkling Model'!D$2:D$38^A6958)</f>
        <v>0.8891460437</v>
      </c>
    </row>
    <row r="6959">
      <c r="A6959" s="6">
        <v>6957.0</v>
      </c>
      <c r="B6959" s="17">
        <f t="array" ref="B6959">SUM(1-'Sparkling Model'!D$2:D$38^A6959)</f>
        <v>36.88436228</v>
      </c>
      <c r="C6959" s="8">
        <f t="array" ref="C6959">PRODUCT(1-'Sparkling Model'!D$2:D$38^A6959)</f>
        <v>0.8892009724</v>
      </c>
    </row>
    <row r="6960">
      <c r="A6960" s="6">
        <v>6958.0</v>
      </c>
      <c r="B6960" s="17">
        <f t="array" ref="B6960">SUM(1-'Sparkling Model'!D$2:D$38^A6960)</f>
        <v>36.88442222</v>
      </c>
      <c r="C6960" s="8">
        <f t="array" ref="C6960">PRODUCT(1-'Sparkling Model'!D$2:D$38^A6960)</f>
        <v>0.8892558741</v>
      </c>
    </row>
    <row r="6961">
      <c r="A6961" s="6">
        <v>6959.0</v>
      </c>
      <c r="B6961" s="17">
        <f t="array" ref="B6961">SUM(1-'Sparkling Model'!D$2:D$38^A6961)</f>
        <v>36.88448214</v>
      </c>
      <c r="C6961" s="8">
        <f t="array" ref="C6961">PRODUCT(1-'Sparkling Model'!D$2:D$38^A6961)</f>
        <v>0.8893107488</v>
      </c>
    </row>
    <row r="6962">
      <c r="A6962" s="6">
        <v>6960.0</v>
      </c>
      <c r="B6962" s="17">
        <f t="array" ref="B6962">SUM(1-'Sparkling Model'!D$2:D$38^A6962)</f>
        <v>36.88454202</v>
      </c>
      <c r="C6962" s="8">
        <f t="array" ref="C6962">PRODUCT(1-'Sparkling Model'!D$2:D$38^A6962)</f>
        <v>0.8893655967</v>
      </c>
    </row>
    <row r="6963">
      <c r="A6963" s="6">
        <v>6961.0</v>
      </c>
      <c r="B6963" s="17">
        <f t="array" ref="B6963">SUM(1-'Sparkling Model'!D$2:D$38^A6963)</f>
        <v>36.88460187</v>
      </c>
      <c r="C6963" s="8">
        <f t="array" ref="C6963">PRODUCT(1-'Sparkling Model'!D$2:D$38^A6963)</f>
        <v>0.8894204176</v>
      </c>
    </row>
    <row r="6964">
      <c r="A6964" s="6">
        <v>6962.0</v>
      </c>
      <c r="B6964" s="17">
        <f t="array" ref="B6964">SUM(1-'Sparkling Model'!D$2:D$38^A6964)</f>
        <v>36.88466168</v>
      </c>
      <c r="C6964" s="8">
        <f t="array" ref="C6964">PRODUCT(1-'Sparkling Model'!D$2:D$38^A6964)</f>
        <v>0.8894752116</v>
      </c>
    </row>
    <row r="6965">
      <c r="A6965" s="6">
        <v>6963.0</v>
      </c>
      <c r="B6965" s="17">
        <f t="array" ref="B6965">SUM(1-'Sparkling Model'!D$2:D$38^A6965)</f>
        <v>36.88472147</v>
      </c>
      <c r="C6965" s="8">
        <f t="array" ref="C6965">PRODUCT(1-'Sparkling Model'!D$2:D$38^A6965)</f>
        <v>0.8895299787</v>
      </c>
    </row>
    <row r="6966">
      <c r="A6966" s="6">
        <v>6964.0</v>
      </c>
      <c r="B6966" s="17">
        <f t="array" ref="B6966">SUM(1-'Sparkling Model'!D$2:D$38^A6966)</f>
        <v>36.88478122</v>
      </c>
      <c r="C6966" s="8">
        <f t="array" ref="C6966">PRODUCT(1-'Sparkling Model'!D$2:D$38^A6966)</f>
        <v>0.8895847189</v>
      </c>
    </row>
    <row r="6967">
      <c r="A6967" s="6">
        <v>6965.0</v>
      </c>
      <c r="B6967" s="17">
        <f t="array" ref="B6967">SUM(1-'Sparkling Model'!D$2:D$38^A6967)</f>
        <v>36.88484094</v>
      </c>
      <c r="C6967" s="8">
        <f t="array" ref="C6967">PRODUCT(1-'Sparkling Model'!D$2:D$38^A6967)</f>
        <v>0.8896394323</v>
      </c>
    </row>
    <row r="6968">
      <c r="A6968" s="6">
        <v>6966.0</v>
      </c>
      <c r="B6968" s="17">
        <f t="array" ref="B6968">SUM(1-'Sparkling Model'!D$2:D$38^A6968)</f>
        <v>36.88490063</v>
      </c>
      <c r="C6968" s="8">
        <f t="array" ref="C6968">PRODUCT(1-'Sparkling Model'!D$2:D$38^A6968)</f>
        <v>0.8896941188</v>
      </c>
    </row>
    <row r="6969">
      <c r="A6969" s="6">
        <v>6967.0</v>
      </c>
      <c r="B6969" s="17">
        <f t="array" ref="B6969">SUM(1-'Sparkling Model'!D$2:D$38^A6969)</f>
        <v>36.88496029</v>
      </c>
      <c r="C6969" s="8">
        <f t="array" ref="C6969">PRODUCT(1-'Sparkling Model'!D$2:D$38^A6969)</f>
        <v>0.8897487785</v>
      </c>
    </row>
    <row r="6970">
      <c r="A6970" s="6">
        <v>6968.0</v>
      </c>
      <c r="B6970" s="17">
        <f t="array" ref="B6970">SUM(1-'Sparkling Model'!D$2:D$38^A6970)</f>
        <v>36.88501991</v>
      </c>
      <c r="C6970" s="8">
        <f t="array" ref="C6970">PRODUCT(1-'Sparkling Model'!D$2:D$38^A6970)</f>
        <v>0.8898034113</v>
      </c>
    </row>
    <row r="6971">
      <c r="A6971" s="6">
        <v>6969.0</v>
      </c>
      <c r="B6971" s="17">
        <f t="array" ref="B6971">SUM(1-'Sparkling Model'!D$2:D$38^A6971)</f>
        <v>36.8850795</v>
      </c>
      <c r="C6971" s="8">
        <f t="array" ref="C6971">PRODUCT(1-'Sparkling Model'!D$2:D$38^A6971)</f>
        <v>0.8898580173</v>
      </c>
    </row>
    <row r="6972">
      <c r="A6972" s="6">
        <v>6970.0</v>
      </c>
      <c r="B6972" s="17">
        <f t="array" ref="B6972">SUM(1-'Sparkling Model'!D$2:D$38^A6972)</f>
        <v>36.88513906</v>
      </c>
      <c r="C6972" s="8">
        <f t="array" ref="C6972">PRODUCT(1-'Sparkling Model'!D$2:D$38^A6972)</f>
        <v>0.8899125965</v>
      </c>
    </row>
    <row r="6973">
      <c r="A6973" s="6">
        <v>6971.0</v>
      </c>
      <c r="B6973" s="17">
        <f t="array" ref="B6973">SUM(1-'Sparkling Model'!D$2:D$38^A6973)</f>
        <v>36.88519859</v>
      </c>
      <c r="C6973" s="8">
        <f t="array" ref="C6973">PRODUCT(1-'Sparkling Model'!D$2:D$38^A6973)</f>
        <v>0.889967149</v>
      </c>
    </row>
    <row r="6974">
      <c r="A6974" s="6">
        <v>6972.0</v>
      </c>
      <c r="B6974" s="17">
        <f t="array" ref="B6974">SUM(1-'Sparkling Model'!D$2:D$38^A6974)</f>
        <v>36.88525809</v>
      </c>
      <c r="C6974" s="8">
        <f t="array" ref="C6974">PRODUCT(1-'Sparkling Model'!D$2:D$38^A6974)</f>
        <v>0.8900216746</v>
      </c>
    </row>
    <row r="6975">
      <c r="A6975" s="6">
        <v>6973.0</v>
      </c>
      <c r="B6975" s="17">
        <f t="array" ref="B6975">SUM(1-'Sparkling Model'!D$2:D$38^A6975)</f>
        <v>36.88531755</v>
      </c>
      <c r="C6975" s="8">
        <f t="array" ref="C6975">PRODUCT(1-'Sparkling Model'!D$2:D$38^A6975)</f>
        <v>0.8900761735</v>
      </c>
    </row>
    <row r="6976">
      <c r="A6976" s="6">
        <v>6974.0</v>
      </c>
      <c r="B6976" s="17">
        <f t="array" ref="B6976">SUM(1-'Sparkling Model'!D$2:D$38^A6976)</f>
        <v>36.88537698</v>
      </c>
      <c r="C6976" s="8">
        <f t="array" ref="C6976">PRODUCT(1-'Sparkling Model'!D$2:D$38^A6976)</f>
        <v>0.8901306456</v>
      </c>
    </row>
    <row r="6977">
      <c r="A6977" s="6">
        <v>6975.0</v>
      </c>
      <c r="B6977" s="17">
        <f t="array" ref="B6977">SUM(1-'Sparkling Model'!D$2:D$38^A6977)</f>
        <v>36.88543638</v>
      </c>
      <c r="C6977" s="8">
        <f t="array" ref="C6977">PRODUCT(1-'Sparkling Model'!D$2:D$38^A6977)</f>
        <v>0.890185091</v>
      </c>
    </row>
    <row r="6978">
      <c r="A6978" s="6">
        <v>6976.0</v>
      </c>
      <c r="B6978" s="17">
        <f t="array" ref="B6978">SUM(1-'Sparkling Model'!D$2:D$38^A6978)</f>
        <v>36.88549575</v>
      </c>
      <c r="C6978" s="8">
        <f t="array" ref="C6978">PRODUCT(1-'Sparkling Model'!D$2:D$38^A6978)</f>
        <v>0.8902395096</v>
      </c>
    </row>
    <row r="6979">
      <c r="A6979" s="6">
        <v>6977.0</v>
      </c>
      <c r="B6979" s="17">
        <f t="array" ref="B6979">SUM(1-'Sparkling Model'!D$2:D$38^A6979)</f>
        <v>36.88555508</v>
      </c>
      <c r="C6979" s="8">
        <f t="array" ref="C6979">PRODUCT(1-'Sparkling Model'!D$2:D$38^A6979)</f>
        <v>0.8902939016</v>
      </c>
    </row>
    <row r="6980">
      <c r="A6980" s="6">
        <v>6978.0</v>
      </c>
      <c r="B6980" s="17">
        <f t="array" ref="B6980">SUM(1-'Sparkling Model'!D$2:D$38^A6980)</f>
        <v>36.88561439</v>
      </c>
      <c r="C6980" s="8">
        <f t="array" ref="C6980">PRODUCT(1-'Sparkling Model'!D$2:D$38^A6980)</f>
        <v>0.8903482668</v>
      </c>
    </row>
    <row r="6981">
      <c r="A6981" s="6">
        <v>6979.0</v>
      </c>
      <c r="B6981" s="17">
        <f t="array" ref="B6981">SUM(1-'Sparkling Model'!D$2:D$38^A6981)</f>
        <v>36.88567366</v>
      </c>
      <c r="C6981" s="8">
        <f t="array" ref="C6981">PRODUCT(1-'Sparkling Model'!D$2:D$38^A6981)</f>
        <v>0.8904026054</v>
      </c>
    </row>
    <row r="6982">
      <c r="A6982" s="6">
        <v>6980.0</v>
      </c>
      <c r="B6982" s="17">
        <f t="array" ref="B6982">SUM(1-'Sparkling Model'!D$2:D$38^A6982)</f>
        <v>36.8857329</v>
      </c>
      <c r="C6982" s="8">
        <f t="array" ref="C6982">PRODUCT(1-'Sparkling Model'!D$2:D$38^A6982)</f>
        <v>0.8904569173</v>
      </c>
    </row>
    <row r="6983">
      <c r="A6983" s="6">
        <v>6981.0</v>
      </c>
      <c r="B6983" s="17">
        <f t="array" ref="B6983">SUM(1-'Sparkling Model'!D$2:D$38^A6983)</f>
        <v>36.88579211</v>
      </c>
      <c r="C6983" s="8">
        <f t="array" ref="C6983">PRODUCT(1-'Sparkling Model'!D$2:D$38^A6983)</f>
        <v>0.8905112025</v>
      </c>
    </row>
    <row r="6984">
      <c r="A6984" s="6">
        <v>6982.0</v>
      </c>
      <c r="B6984" s="17">
        <f t="array" ref="B6984">SUM(1-'Sparkling Model'!D$2:D$38^A6984)</f>
        <v>36.88585128</v>
      </c>
      <c r="C6984" s="8">
        <f t="array" ref="C6984">PRODUCT(1-'Sparkling Model'!D$2:D$38^A6984)</f>
        <v>0.890565461</v>
      </c>
    </row>
    <row r="6985">
      <c r="A6985" s="6">
        <v>6983.0</v>
      </c>
      <c r="B6985" s="17">
        <f t="array" ref="B6985">SUM(1-'Sparkling Model'!D$2:D$38^A6985)</f>
        <v>36.88591043</v>
      </c>
      <c r="C6985" s="8">
        <f t="array" ref="C6985">PRODUCT(1-'Sparkling Model'!D$2:D$38^A6985)</f>
        <v>0.8906196929</v>
      </c>
    </row>
    <row r="6986">
      <c r="A6986" s="6">
        <v>6984.0</v>
      </c>
      <c r="B6986" s="17">
        <f t="array" ref="B6986">SUM(1-'Sparkling Model'!D$2:D$38^A6986)</f>
        <v>36.88596954</v>
      </c>
      <c r="C6986" s="8">
        <f t="array" ref="C6986">PRODUCT(1-'Sparkling Model'!D$2:D$38^A6986)</f>
        <v>0.8906738982</v>
      </c>
    </row>
    <row r="6987">
      <c r="A6987" s="6">
        <v>6985.0</v>
      </c>
      <c r="B6987" s="17">
        <f t="array" ref="B6987">SUM(1-'Sparkling Model'!D$2:D$38^A6987)</f>
        <v>36.88602862</v>
      </c>
      <c r="C6987" s="8">
        <f t="array" ref="C6987">PRODUCT(1-'Sparkling Model'!D$2:D$38^A6987)</f>
        <v>0.8907280769</v>
      </c>
    </row>
    <row r="6988">
      <c r="A6988" s="6">
        <v>6986.0</v>
      </c>
      <c r="B6988" s="17">
        <f t="array" ref="B6988">SUM(1-'Sparkling Model'!D$2:D$38^A6988)</f>
        <v>36.88608767</v>
      </c>
      <c r="C6988" s="8">
        <f t="array" ref="C6988">PRODUCT(1-'Sparkling Model'!D$2:D$38^A6988)</f>
        <v>0.890782229</v>
      </c>
    </row>
    <row r="6989">
      <c r="A6989" s="6">
        <v>6987.0</v>
      </c>
      <c r="B6989" s="17">
        <f t="array" ref="B6989">SUM(1-'Sparkling Model'!D$2:D$38^A6989)</f>
        <v>36.88614669</v>
      </c>
      <c r="C6989" s="8">
        <f t="array" ref="C6989">PRODUCT(1-'Sparkling Model'!D$2:D$38^A6989)</f>
        <v>0.8908363545</v>
      </c>
    </row>
    <row r="6990">
      <c r="A6990" s="6">
        <v>6988.0</v>
      </c>
      <c r="B6990" s="17">
        <f t="array" ref="B6990">SUM(1-'Sparkling Model'!D$2:D$38^A6990)</f>
        <v>36.88620567</v>
      </c>
      <c r="C6990" s="8">
        <f t="array" ref="C6990">PRODUCT(1-'Sparkling Model'!D$2:D$38^A6990)</f>
        <v>0.8908904534</v>
      </c>
    </row>
    <row r="6991">
      <c r="A6991" s="6">
        <v>6989.0</v>
      </c>
      <c r="B6991" s="17">
        <f t="array" ref="B6991">SUM(1-'Sparkling Model'!D$2:D$38^A6991)</f>
        <v>36.88626463</v>
      </c>
      <c r="C6991" s="8">
        <f t="array" ref="C6991">PRODUCT(1-'Sparkling Model'!D$2:D$38^A6991)</f>
        <v>0.8909445258</v>
      </c>
    </row>
    <row r="6992">
      <c r="A6992" s="6">
        <v>6990.0</v>
      </c>
      <c r="B6992" s="17">
        <f t="array" ref="B6992">SUM(1-'Sparkling Model'!D$2:D$38^A6992)</f>
        <v>36.88632355</v>
      </c>
      <c r="C6992" s="8">
        <f t="array" ref="C6992">PRODUCT(1-'Sparkling Model'!D$2:D$38^A6992)</f>
        <v>0.8909985716</v>
      </c>
    </row>
    <row r="6993">
      <c r="A6993" s="6">
        <v>6991.0</v>
      </c>
      <c r="B6993" s="17">
        <f t="array" ref="B6993">SUM(1-'Sparkling Model'!D$2:D$38^A6993)</f>
        <v>36.88638244</v>
      </c>
      <c r="C6993" s="8">
        <f t="array" ref="C6993">PRODUCT(1-'Sparkling Model'!D$2:D$38^A6993)</f>
        <v>0.8910525909</v>
      </c>
    </row>
    <row r="6994">
      <c r="A6994" s="6">
        <v>6992.0</v>
      </c>
      <c r="B6994" s="17">
        <f t="array" ref="B6994">SUM(1-'Sparkling Model'!D$2:D$38^A6994)</f>
        <v>36.8864413</v>
      </c>
      <c r="C6994" s="8">
        <f t="array" ref="C6994">PRODUCT(1-'Sparkling Model'!D$2:D$38^A6994)</f>
        <v>0.8911065836</v>
      </c>
    </row>
    <row r="6995">
      <c r="A6995" s="6">
        <v>6993.0</v>
      </c>
      <c r="B6995" s="17">
        <f t="array" ref="B6995">SUM(1-'Sparkling Model'!D$2:D$38^A6995)</f>
        <v>36.88650012</v>
      </c>
      <c r="C6995" s="8">
        <f t="array" ref="C6995">PRODUCT(1-'Sparkling Model'!D$2:D$38^A6995)</f>
        <v>0.8911605499</v>
      </c>
    </row>
    <row r="6996">
      <c r="A6996" s="6">
        <v>6994.0</v>
      </c>
      <c r="B6996" s="17">
        <f t="array" ref="B6996">SUM(1-'Sparkling Model'!D$2:D$38^A6996)</f>
        <v>36.88655892</v>
      </c>
      <c r="C6996" s="8">
        <f t="array" ref="C6996">PRODUCT(1-'Sparkling Model'!D$2:D$38^A6996)</f>
        <v>0.8912144896</v>
      </c>
    </row>
    <row r="6997">
      <c r="A6997" s="6">
        <v>6995.0</v>
      </c>
      <c r="B6997" s="17">
        <f t="array" ref="B6997">SUM(1-'Sparkling Model'!D$2:D$38^A6997)</f>
        <v>36.88661768</v>
      </c>
      <c r="C6997" s="8">
        <f t="array" ref="C6997">PRODUCT(1-'Sparkling Model'!D$2:D$38^A6997)</f>
        <v>0.8912684029</v>
      </c>
    </row>
    <row r="6998">
      <c r="A6998" s="6">
        <v>6996.0</v>
      </c>
      <c r="B6998" s="17">
        <f t="array" ref="B6998">SUM(1-'Sparkling Model'!D$2:D$38^A6998)</f>
        <v>36.88667641</v>
      </c>
      <c r="C6998" s="8">
        <f t="array" ref="C6998">PRODUCT(1-'Sparkling Model'!D$2:D$38^A6998)</f>
        <v>0.8913222896</v>
      </c>
    </row>
    <row r="6999">
      <c r="A6999" s="6">
        <v>6997.0</v>
      </c>
      <c r="B6999" s="17">
        <f t="array" ref="B6999">SUM(1-'Sparkling Model'!D$2:D$38^A6999)</f>
        <v>36.88673511</v>
      </c>
      <c r="C6999" s="8">
        <f t="array" ref="C6999">PRODUCT(1-'Sparkling Model'!D$2:D$38^A6999)</f>
        <v>0.89137615</v>
      </c>
    </row>
    <row r="7000">
      <c r="A7000" s="6">
        <v>6998.0</v>
      </c>
      <c r="B7000" s="17">
        <f t="array" ref="B7000">SUM(1-'Sparkling Model'!D$2:D$38^A7000)</f>
        <v>36.88679378</v>
      </c>
      <c r="C7000" s="8">
        <f t="array" ref="C7000">PRODUCT(1-'Sparkling Model'!D$2:D$38^A7000)</f>
        <v>0.8914299838</v>
      </c>
    </row>
    <row r="7001">
      <c r="A7001" s="6">
        <v>6999.0</v>
      </c>
      <c r="B7001" s="17">
        <f t="array" ref="B7001">SUM(1-'Sparkling Model'!D$2:D$38^A7001)</f>
        <v>36.88685242</v>
      </c>
      <c r="C7001" s="8">
        <f t="array" ref="C7001">PRODUCT(1-'Sparkling Model'!D$2:D$38^A7001)</f>
        <v>0.8914837913</v>
      </c>
    </row>
    <row r="7002">
      <c r="A7002" s="6">
        <v>7000.0</v>
      </c>
      <c r="B7002" s="17">
        <f t="array" ref="B7002">SUM(1-'Sparkling Model'!D$2:D$38^A7002)</f>
        <v>36.88691102</v>
      </c>
      <c r="C7002" s="8">
        <f t="array" ref="C7002">PRODUCT(1-'Sparkling Model'!D$2:D$38^A7002)</f>
        <v>0.8915375723</v>
      </c>
    </row>
    <row r="7003">
      <c r="A7003" s="6">
        <v>7001.0</v>
      </c>
      <c r="B7003" s="17">
        <f t="array" ref="B7003">SUM(1-'Sparkling Model'!D$2:D$38^A7003)</f>
        <v>36.8869696</v>
      </c>
      <c r="C7003" s="8">
        <f t="array" ref="C7003">PRODUCT(1-'Sparkling Model'!D$2:D$38^A7003)</f>
        <v>0.8915913269</v>
      </c>
    </row>
    <row r="7004">
      <c r="A7004" s="6">
        <v>7002.0</v>
      </c>
      <c r="B7004" s="17">
        <f t="array" ref="B7004">SUM(1-'Sparkling Model'!D$2:D$38^A7004)</f>
        <v>36.88702814</v>
      </c>
      <c r="C7004" s="8">
        <f t="array" ref="C7004">PRODUCT(1-'Sparkling Model'!D$2:D$38^A7004)</f>
        <v>0.8916450551</v>
      </c>
    </row>
    <row r="7005">
      <c r="A7005" s="6">
        <v>7003.0</v>
      </c>
      <c r="B7005" s="17">
        <f t="array" ref="B7005">SUM(1-'Sparkling Model'!D$2:D$38^A7005)</f>
        <v>36.88708665</v>
      </c>
      <c r="C7005" s="8">
        <f t="array" ref="C7005">PRODUCT(1-'Sparkling Model'!D$2:D$38^A7005)</f>
        <v>0.8916987569</v>
      </c>
    </row>
    <row r="7006">
      <c r="A7006" s="6">
        <v>7004.0</v>
      </c>
      <c r="B7006" s="17">
        <f t="array" ref="B7006">SUM(1-'Sparkling Model'!D$2:D$38^A7006)</f>
        <v>36.88714513</v>
      </c>
      <c r="C7006" s="8">
        <f t="array" ref="C7006">PRODUCT(1-'Sparkling Model'!D$2:D$38^A7006)</f>
        <v>0.8917524324</v>
      </c>
    </row>
    <row r="7007">
      <c r="A7007" s="6">
        <v>7005.0</v>
      </c>
      <c r="B7007" s="17">
        <f t="array" ref="B7007">SUM(1-'Sparkling Model'!D$2:D$38^A7007)</f>
        <v>36.88720358</v>
      </c>
      <c r="C7007" s="8">
        <f t="array" ref="C7007">PRODUCT(1-'Sparkling Model'!D$2:D$38^A7007)</f>
        <v>0.8918060814</v>
      </c>
    </row>
    <row r="7008">
      <c r="A7008" s="6">
        <v>7006.0</v>
      </c>
      <c r="B7008" s="17">
        <f t="array" ref="B7008">SUM(1-'Sparkling Model'!D$2:D$38^A7008)</f>
        <v>36.887262</v>
      </c>
      <c r="C7008" s="8">
        <f t="array" ref="C7008">PRODUCT(1-'Sparkling Model'!D$2:D$38^A7008)</f>
        <v>0.8918597042</v>
      </c>
    </row>
    <row r="7009">
      <c r="A7009" s="6">
        <v>7007.0</v>
      </c>
      <c r="B7009" s="17">
        <f t="array" ref="B7009">SUM(1-'Sparkling Model'!D$2:D$38^A7009)</f>
        <v>36.88732038</v>
      </c>
      <c r="C7009" s="8">
        <f t="array" ref="C7009">PRODUCT(1-'Sparkling Model'!D$2:D$38^A7009)</f>
        <v>0.8919133006</v>
      </c>
    </row>
    <row r="7010">
      <c r="A7010" s="6">
        <v>7008.0</v>
      </c>
      <c r="B7010" s="17">
        <f t="array" ref="B7010">SUM(1-'Sparkling Model'!D$2:D$38^A7010)</f>
        <v>36.88737874</v>
      </c>
      <c r="C7010" s="8">
        <f t="array" ref="C7010">PRODUCT(1-'Sparkling Model'!D$2:D$38^A7010)</f>
        <v>0.8919668707</v>
      </c>
    </row>
    <row r="7011">
      <c r="A7011" s="6">
        <v>7009.0</v>
      </c>
      <c r="B7011" s="17">
        <f t="array" ref="B7011">SUM(1-'Sparkling Model'!D$2:D$38^A7011)</f>
        <v>36.88743706</v>
      </c>
      <c r="C7011" s="8">
        <f t="array" ref="C7011">PRODUCT(1-'Sparkling Model'!D$2:D$38^A7011)</f>
        <v>0.8920204144</v>
      </c>
    </row>
    <row r="7012">
      <c r="A7012" s="6">
        <v>7010.0</v>
      </c>
      <c r="B7012" s="17">
        <f t="array" ref="B7012">SUM(1-'Sparkling Model'!D$2:D$38^A7012)</f>
        <v>36.88749535</v>
      </c>
      <c r="C7012" s="8">
        <f t="array" ref="C7012">PRODUCT(1-'Sparkling Model'!D$2:D$38^A7012)</f>
        <v>0.8920739319</v>
      </c>
    </row>
    <row r="7013">
      <c r="A7013" s="6">
        <v>7011.0</v>
      </c>
      <c r="B7013" s="17">
        <f t="array" ref="B7013">SUM(1-'Sparkling Model'!D$2:D$38^A7013)</f>
        <v>36.88755361</v>
      </c>
      <c r="C7013" s="8">
        <f t="array" ref="C7013">PRODUCT(1-'Sparkling Model'!D$2:D$38^A7013)</f>
        <v>0.8921274231</v>
      </c>
    </row>
    <row r="7014">
      <c r="A7014" s="6">
        <v>7012.0</v>
      </c>
      <c r="B7014" s="17">
        <f t="array" ref="B7014">SUM(1-'Sparkling Model'!D$2:D$38^A7014)</f>
        <v>36.88761184</v>
      </c>
      <c r="C7014" s="8">
        <f t="array" ref="C7014">PRODUCT(1-'Sparkling Model'!D$2:D$38^A7014)</f>
        <v>0.892180888</v>
      </c>
    </row>
    <row r="7015">
      <c r="A7015" s="6">
        <v>7013.0</v>
      </c>
      <c r="B7015" s="17">
        <f t="array" ref="B7015">SUM(1-'Sparkling Model'!D$2:D$38^A7015)</f>
        <v>36.88767004</v>
      </c>
      <c r="C7015" s="8">
        <f t="array" ref="C7015">PRODUCT(1-'Sparkling Model'!D$2:D$38^A7015)</f>
        <v>0.8922343267</v>
      </c>
    </row>
    <row r="7016">
      <c r="A7016" s="6">
        <v>7014.0</v>
      </c>
      <c r="B7016" s="17">
        <f t="array" ref="B7016">SUM(1-'Sparkling Model'!D$2:D$38^A7016)</f>
        <v>36.8877282</v>
      </c>
      <c r="C7016" s="8">
        <f t="array" ref="C7016">PRODUCT(1-'Sparkling Model'!D$2:D$38^A7016)</f>
        <v>0.8922877391</v>
      </c>
    </row>
    <row r="7017">
      <c r="A7017" s="6">
        <v>7015.0</v>
      </c>
      <c r="B7017" s="17">
        <f t="array" ref="B7017">SUM(1-'Sparkling Model'!D$2:D$38^A7017)</f>
        <v>36.88778634</v>
      </c>
      <c r="C7017" s="8">
        <f t="array" ref="C7017">PRODUCT(1-'Sparkling Model'!D$2:D$38^A7017)</f>
        <v>0.8923411253</v>
      </c>
    </row>
    <row r="7018">
      <c r="A7018" s="6">
        <v>7016.0</v>
      </c>
      <c r="B7018" s="17">
        <f t="array" ref="B7018">SUM(1-'Sparkling Model'!D$2:D$38^A7018)</f>
        <v>36.88784444</v>
      </c>
      <c r="C7018" s="8">
        <f t="array" ref="C7018">PRODUCT(1-'Sparkling Model'!D$2:D$38^A7018)</f>
        <v>0.8923944853</v>
      </c>
    </row>
    <row r="7019">
      <c r="A7019" s="6">
        <v>7017.0</v>
      </c>
      <c r="B7019" s="17">
        <f t="array" ref="B7019">SUM(1-'Sparkling Model'!D$2:D$38^A7019)</f>
        <v>36.88790251</v>
      </c>
      <c r="C7019" s="8">
        <f t="array" ref="C7019">PRODUCT(1-'Sparkling Model'!D$2:D$38^A7019)</f>
        <v>0.892447819</v>
      </c>
    </row>
    <row r="7020">
      <c r="A7020" s="6">
        <v>7018.0</v>
      </c>
      <c r="B7020" s="17">
        <f t="array" ref="B7020">SUM(1-'Sparkling Model'!D$2:D$38^A7020)</f>
        <v>36.88796055</v>
      </c>
      <c r="C7020" s="8">
        <f t="array" ref="C7020">PRODUCT(1-'Sparkling Model'!D$2:D$38^A7020)</f>
        <v>0.8925011266</v>
      </c>
    </row>
    <row r="7021">
      <c r="A7021" s="6">
        <v>7019.0</v>
      </c>
      <c r="B7021" s="17">
        <f t="array" ref="B7021">SUM(1-'Sparkling Model'!D$2:D$38^A7021)</f>
        <v>36.88801856</v>
      </c>
      <c r="C7021" s="8">
        <f t="array" ref="C7021">PRODUCT(1-'Sparkling Model'!D$2:D$38^A7021)</f>
        <v>0.8925544079</v>
      </c>
    </row>
    <row r="7022">
      <c r="A7022" s="6">
        <v>7020.0</v>
      </c>
      <c r="B7022" s="17">
        <f t="array" ref="B7022">SUM(1-'Sparkling Model'!D$2:D$38^A7022)</f>
        <v>36.88807654</v>
      </c>
      <c r="C7022" s="8">
        <f t="array" ref="C7022">PRODUCT(1-'Sparkling Model'!D$2:D$38^A7022)</f>
        <v>0.8926076632</v>
      </c>
    </row>
    <row r="7023">
      <c r="A7023" s="6">
        <v>7021.0</v>
      </c>
      <c r="B7023" s="17">
        <f t="array" ref="B7023">SUM(1-'Sparkling Model'!D$2:D$38^A7023)</f>
        <v>36.88813449</v>
      </c>
      <c r="C7023" s="8">
        <f t="array" ref="C7023">PRODUCT(1-'Sparkling Model'!D$2:D$38^A7023)</f>
        <v>0.8926608922</v>
      </c>
    </row>
    <row r="7024">
      <c r="A7024" s="6">
        <v>7022.0</v>
      </c>
      <c r="B7024" s="17">
        <f t="array" ref="B7024">SUM(1-'Sparkling Model'!D$2:D$38^A7024)</f>
        <v>36.8881924</v>
      </c>
      <c r="C7024" s="8">
        <f t="array" ref="C7024">PRODUCT(1-'Sparkling Model'!D$2:D$38^A7024)</f>
        <v>0.8927140951</v>
      </c>
    </row>
    <row r="7025">
      <c r="A7025" s="6">
        <v>7023.0</v>
      </c>
      <c r="B7025" s="17">
        <f t="array" ref="B7025">SUM(1-'Sparkling Model'!D$2:D$38^A7025)</f>
        <v>36.88825029</v>
      </c>
      <c r="C7025" s="8">
        <f t="array" ref="C7025">PRODUCT(1-'Sparkling Model'!D$2:D$38^A7025)</f>
        <v>0.8927672719</v>
      </c>
    </row>
    <row r="7026">
      <c r="A7026" s="6">
        <v>7024.0</v>
      </c>
      <c r="B7026" s="17">
        <f t="array" ref="B7026">SUM(1-'Sparkling Model'!D$2:D$38^A7026)</f>
        <v>36.88830814</v>
      </c>
      <c r="C7026" s="8">
        <f t="array" ref="C7026">PRODUCT(1-'Sparkling Model'!D$2:D$38^A7026)</f>
        <v>0.8928204225</v>
      </c>
    </row>
    <row r="7027">
      <c r="A7027" s="6">
        <v>7025.0</v>
      </c>
      <c r="B7027" s="17">
        <f t="array" ref="B7027">SUM(1-'Sparkling Model'!D$2:D$38^A7027)</f>
        <v>36.88836597</v>
      </c>
      <c r="C7027" s="8">
        <f t="array" ref="C7027">PRODUCT(1-'Sparkling Model'!D$2:D$38^A7027)</f>
        <v>0.892873547</v>
      </c>
    </row>
    <row r="7028">
      <c r="A7028" s="6">
        <v>7026.0</v>
      </c>
      <c r="B7028" s="17">
        <f t="array" ref="B7028">SUM(1-'Sparkling Model'!D$2:D$38^A7028)</f>
        <v>36.88842376</v>
      </c>
      <c r="C7028" s="8">
        <f t="array" ref="C7028">PRODUCT(1-'Sparkling Model'!D$2:D$38^A7028)</f>
        <v>0.8929266455</v>
      </c>
    </row>
    <row r="7029">
      <c r="A7029" s="6">
        <v>7027.0</v>
      </c>
      <c r="B7029" s="17">
        <f t="array" ref="B7029">SUM(1-'Sparkling Model'!D$2:D$38^A7029)</f>
        <v>36.88848152</v>
      </c>
      <c r="C7029" s="8">
        <f t="array" ref="C7029">PRODUCT(1-'Sparkling Model'!D$2:D$38^A7029)</f>
        <v>0.8929797178</v>
      </c>
    </row>
    <row r="7030">
      <c r="A7030" s="6">
        <v>7028.0</v>
      </c>
      <c r="B7030" s="17">
        <f t="array" ref="B7030">SUM(1-'Sparkling Model'!D$2:D$38^A7030)</f>
        <v>36.88853925</v>
      </c>
      <c r="C7030" s="8">
        <f t="array" ref="C7030">PRODUCT(1-'Sparkling Model'!D$2:D$38^A7030)</f>
        <v>0.8930327641</v>
      </c>
    </row>
    <row r="7031">
      <c r="A7031" s="6">
        <v>7029.0</v>
      </c>
      <c r="B7031" s="17">
        <f t="array" ref="B7031">SUM(1-'Sparkling Model'!D$2:D$38^A7031)</f>
        <v>36.88859695</v>
      </c>
      <c r="C7031" s="8">
        <f t="array" ref="C7031">PRODUCT(1-'Sparkling Model'!D$2:D$38^A7031)</f>
        <v>0.8930857843</v>
      </c>
    </row>
    <row r="7032">
      <c r="A7032" s="6">
        <v>7030.0</v>
      </c>
      <c r="B7032" s="17">
        <f t="array" ref="B7032">SUM(1-'Sparkling Model'!D$2:D$38^A7032)</f>
        <v>36.88865461</v>
      </c>
      <c r="C7032" s="8">
        <f t="array" ref="C7032">PRODUCT(1-'Sparkling Model'!D$2:D$38^A7032)</f>
        <v>0.8931387785</v>
      </c>
    </row>
    <row r="7033">
      <c r="A7033" s="6">
        <v>7031.0</v>
      </c>
      <c r="B7033" s="17">
        <f t="array" ref="B7033">SUM(1-'Sparkling Model'!D$2:D$38^A7033)</f>
        <v>36.88871225</v>
      </c>
      <c r="C7033" s="8">
        <f t="array" ref="C7033">PRODUCT(1-'Sparkling Model'!D$2:D$38^A7033)</f>
        <v>0.8931917466</v>
      </c>
    </row>
    <row r="7034">
      <c r="A7034" s="6">
        <v>7032.0</v>
      </c>
      <c r="B7034" s="17">
        <f t="array" ref="B7034">SUM(1-'Sparkling Model'!D$2:D$38^A7034)</f>
        <v>36.88876986</v>
      </c>
      <c r="C7034" s="8">
        <f t="array" ref="C7034">PRODUCT(1-'Sparkling Model'!D$2:D$38^A7034)</f>
        <v>0.8932446887</v>
      </c>
    </row>
    <row r="7035">
      <c r="A7035" s="6">
        <v>7033.0</v>
      </c>
      <c r="B7035" s="17">
        <f t="array" ref="B7035">SUM(1-'Sparkling Model'!D$2:D$38^A7035)</f>
        <v>36.88882743</v>
      </c>
      <c r="C7035" s="8">
        <f t="array" ref="C7035">PRODUCT(1-'Sparkling Model'!D$2:D$38^A7035)</f>
        <v>0.8932976049</v>
      </c>
    </row>
    <row r="7036">
      <c r="A7036" s="6">
        <v>7034.0</v>
      </c>
      <c r="B7036" s="17">
        <f t="array" ref="B7036">SUM(1-'Sparkling Model'!D$2:D$38^A7036)</f>
        <v>36.88888498</v>
      </c>
      <c r="C7036" s="8">
        <f t="array" ref="C7036">PRODUCT(1-'Sparkling Model'!D$2:D$38^A7036)</f>
        <v>0.893350495</v>
      </c>
    </row>
    <row r="7037">
      <c r="A7037" s="6">
        <v>7035.0</v>
      </c>
      <c r="B7037" s="17">
        <f t="array" ref="B7037">SUM(1-'Sparkling Model'!D$2:D$38^A7037)</f>
        <v>36.88894249</v>
      </c>
      <c r="C7037" s="8">
        <f t="array" ref="C7037">PRODUCT(1-'Sparkling Model'!D$2:D$38^A7037)</f>
        <v>0.8934033591</v>
      </c>
    </row>
    <row r="7038">
      <c r="A7038" s="6">
        <v>7036.0</v>
      </c>
      <c r="B7038" s="17">
        <f t="array" ref="B7038">SUM(1-'Sparkling Model'!D$2:D$38^A7038)</f>
        <v>36.88899997</v>
      </c>
      <c r="C7038" s="8">
        <f t="array" ref="C7038">PRODUCT(1-'Sparkling Model'!D$2:D$38^A7038)</f>
        <v>0.8934561973</v>
      </c>
    </row>
    <row r="7039">
      <c r="A7039" s="6">
        <v>7037.0</v>
      </c>
      <c r="B7039" s="17">
        <f t="array" ref="B7039">SUM(1-'Sparkling Model'!D$2:D$38^A7039)</f>
        <v>36.88905742</v>
      </c>
      <c r="C7039" s="8">
        <f t="array" ref="C7039">PRODUCT(1-'Sparkling Model'!D$2:D$38^A7039)</f>
        <v>0.8935090095</v>
      </c>
    </row>
    <row r="7040">
      <c r="A7040" s="6">
        <v>7038.0</v>
      </c>
      <c r="B7040" s="17">
        <f t="array" ref="B7040">SUM(1-'Sparkling Model'!D$2:D$38^A7040)</f>
        <v>36.88911484</v>
      </c>
      <c r="C7040" s="8">
        <f t="array" ref="C7040">PRODUCT(1-'Sparkling Model'!D$2:D$38^A7040)</f>
        <v>0.8935617957</v>
      </c>
    </row>
    <row r="7041">
      <c r="A7041" s="6">
        <v>7039.0</v>
      </c>
      <c r="B7041" s="17">
        <f t="array" ref="B7041">SUM(1-'Sparkling Model'!D$2:D$38^A7041)</f>
        <v>36.88917223</v>
      </c>
      <c r="C7041" s="8">
        <f t="array" ref="C7041">PRODUCT(1-'Sparkling Model'!D$2:D$38^A7041)</f>
        <v>0.893614556</v>
      </c>
    </row>
    <row r="7042">
      <c r="A7042" s="6">
        <v>7040.0</v>
      </c>
      <c r="B7042" s="17">
        <f t="array" ref="B7042">SUM(1-'Sparkling Model'!D$2:D$38^A7042)</f>
        <v>36.88922959</v>
      </c>
      <c r="C7042" s="8">
        <f t="array" ref="C7042">PRODUCT(1-'Sparkling Model'!D$2:D$38^A7042)</f>
        <v>0.8936672904</v>
      </c>
    </row>
    <row r="7043">
      <c r="A7043" s="6">
        <v>7041.0</v>
      </c>
      <c r="B7043" s="17">
        <f t="array" ref="B7043">SUM(1-'Sparkling Model'!D$2:D$38^A7043)</f>
        <v>36.88928692</v>
      </c>
      <c r="C7043" s="8">
        <f t="array" ref="C7043">PRODUCT(1-'Sparkling Model'!D$2:D$38^A7043)</f>
        <v>0.8937199989</v>
      </c>
    </row>
    <row r="7044">
      <c r="A7044" s="6">
        <v>7042.0</v>
      </c>
      <c r="B7044" s="17">
        <f t="array" ref="B7044">SUM(1-'Sparkling Model'!D$2:D$38^A7044)</f>
        <v>36.88934422</v>
      </c>
      <c r="C7044" s="8">
        <f t="array" ref="C7044">PRODUCT(1-'Sparkling Model'!D$2:D$38^A7044)</f>
        <v>0.8937726815</v>
      </c>
    </row>
    <row r="7045">
      <c r="A7045" s="6">
        <v>7043.0</v>
      </c>
      <c r="B7045" s="17">
        <f t="array" ref="B7045">SUM(1-'Sparkling Model'!D$2:D$38^A7045)</f>
        <v>36.88940148</v>
      </c>
      <c r="C7045" s="8">
        <f t="array" ref="C7045">PRODUCT(1-'Sparkling Model'!D$2:D$38^A7045)</f>
        <v>0.8938253382</v>
      </c>
    </row>
    <row r="7046">
      <c r="A7046" s="6">
        <v>7044.0</v>
      </c>
      <c r="B7046" s="17">
        <f t="array" ref="B7046">SUM(1-'Sparkling Model'!D$2:D$38^A7046)</f>
        <v>36.88945872</v>
      </c>
      <c r="C7046" s="8">
        <f t="array" ref="C7046">PRODUCT(1-'Sparkling Model'!D$2:D$38^A7046)</f>
        <v>0.893877969</v>
      </c>
    </row>
    <row r="7047">
      <c r="A7047" s="6">
        <v>7045.0</v>
      </c>
      <c r="B7047" s="17">
        <f t="array" ref="B7047">SUM(1-'Sparkling Model'!D$2:D$38^A7047)</f>
        <v>36.88951592</v>
      </c>
      <c r="C7047" s="8">
        <f t="array" ref="C7047">PRODUCT(1-'Sparkling Model'!D$2:D$38^A7047)</f>
        <v>0.893930574</v>
      </c>
    </row>
    <row r="7048">
      <c r="A7048" s="6">
        <v>7046.0</v>
      </c>
      <c r="B7048" s="17">
        <f t="array" ref="B7048">SUM(1-'Sparkling Model'!D$2:D$38^A7048)</f>
        <v>36.8895731</v>
      </c>
      <c r="C7048" s="8">
        <f t="array" ref="C7048">PRODUCT(1-'Sparkling Model'!D$2:D$38^A7048)</f>
        <v>0.8939831531</v>
      </c>
    </row>
    <row r="7049">
      <c r="A7049" s="6">
        <v>7047.0</v>
      </c>
      <c r="B7049" s="17">
        <f t="array" ref="B7049">SUM(1-'Sparkling Model'!D$2:D$38^A7049)</f>
        <v>36.88963024</v>
      </c>
      <c r="C7049" s="8">
        <f t="array" ref="C7049">PRODUCT(1-'Sparkling Model'!D$2:D$38^A7049)</f>
        <v>0.8940357064</v>
      </c>
    </row>
    <row r="7050">
      <c r="A7050" s="6">
        <v>7048.0</v>
      </c>
      <c r="B7050" s="17">
        <f t="array" ref="B7050">SUM(1-'Sparkling Model'!D$2:D$38^A7050)</f>
        <v>36.88968735</v>
      </c>
      <c r="C7050" s="8">
        <f t="array" ref="C7050">PRODUCT(1-'Sparkling Model'!D$2:D$38^A7050)</f>
        <v>0.8940882339</v>
      </c>
    </row>
    <row r="7051">
      <c r="A7051" s="6">
        <v>7049.0</v>
      </c>
      <c r="B7051" s="17">
        <f t="array" ref="B7051">SUM(1-'Sparkling Model'!D$2:D$38^A7051)</f>
        <v>36.88974443</v>
      </c>
      <c r="C7051" s="8">
        <f t="array" ref="C7051">PRODUCT(1-'Sparkling Model'!D$2:D$38^A7051)</f>
        <v>0.8941407355</v>
      </c>
    </row>
    <row r="7052">
      <c r="A7052" s="6">
        <v>7050.0</v>
      </c>
      <c r="B7052" s="17">
        <f t="array" ref="B7052">SUM(1-'Sparkling Model'!D$2:D$38^A7052)</f>
        <v>36.88980149</v>
      </c>
      <c r="C7052" s="8">
        <f t="array" ref="C7052">PRODUCT(1-'Sparkling Model'!D$2:D$38^A7052)</f>
        <v>0.8941932114</v>
      </c>
    </row>
    <row r="7053">
      <c r="A7053" s="6">
        <v>7051.0</v>
      </c>
      <c r="B7053" s="17">
        <f t="array" ref="B7053">SUM(1-'Sparkling Model'!D$2:D$38^A7053)</f>
        <v>36.88985851</v>
      </c>
      <c r="C7053" s="8">
        <f t="array" ref="C7053">PRODUCT(1-'Sparkling Model'!D$2:D$38^A7053)</f>
        <v>0.8942456614</v>
      </c>
    </row>
    <row r="7054">
      <c r="A7054" s="6">
        <v>7052.0</v>
      </c>
      <c r="B7054" s="17">
        <f t="array" ref="B7054">SUM(1-'Sparkling Model'!D$2:D$38^A7054)</f>
        <v>36.8899155</v>
      </c>
      <c r="C7054" s="8">
        <f t="array" ref="C7054">PRODUCT(1-'Sparkling Model'!D$2:D$38^A7054)</f>
        <v>0.8942980857</v>
      </c>
    </row>
    <row r="7055">
      <c r="A7055" s="6">
        <v>7053.0</v>
      </c>
      <c r="B7055" s="17">
        <f t="array" ref="B7055">SUM(1-'Sparkling Model'!D$2:D$38^A7055)</f>
        <v>36.88997246</v>
      </c>
      <c r="C7055" s="8">
        <f t="array" ref="C7055">PRODUCT(1-'Sparkling Model'!D$2:D$38^A7055)</f>
        <v>0.8943504843</v>
      </c>
    </row>
    <row r="7056">
      <c r="A7056" s="6">
        <v>7054.0</v>
      </c>
      <c r="B7056" s="17">
        <f t="array" ref="B7056">SUM(1-'Sparkling Model'!D$2:D$38^A7056)</f>
        <v>36.89002939</v>
      </c>
      <c r="C7056" s="8">
        <f t="array" ref="C7056">PRODUCT(1-'Sparkling Model'!D$2:D$38^A7056)</f>
        <v>0.894402857</v>
      </c>
    </row>
    <row r="7057">
      <c r="A7057" s="6">
        <v>7055.0</v>
      </c>
      <c r="B7057" s="17">
        <f t="array" ref="B7057">SUM(1-'Sparkling Model'!D$2:D$38^A7057)</f>
        <v>36.89008628</v>
      </c>
      <c r="C7057" s="8">
        <f t="array" ref="C7057">PRODUCT(1-'Sparkling Model'!D$2:D$38^A7057)</f>
        <v>0.8944552041</v>
      </c>
    </row>
    <row r="7058">
      <c r="A7058" s="6">
        <v>7056.0</v>
      </c>
      <c r="B7058" s="17">
        <f t="array" ref="B7058">SUM(1-'Sparkling Model'!D$2:D$38^A7058)</f>
        <v>36.89014315</v>
      </c>
      <c r="C7058" s="8">
        <f t="array" ref="C7058">PRODUCT(1-'Sparkling Model'!D$2:D$38^A7058)</f>
        <v>0.8945075254</v>
      </c>
    </row>
    <row r="7059">
      <c r="A7059" s="6">
        <v>7057.0</v>
      </c>
      <c r="B7059" s="17">
        <f t="array" ref="B7059">SUM(1-'Sparkling Model'!D$2:D$38^A7059)</f>
        <v>36.89019999</v>
      </c>
      <c r="C7059" s="8">
        <f t="array" ref="C7059">PRODUCT(1-'Sparkling Model'!D$2:D$38^A7059)</f>
        <v>0.894559821</v>
      </c>
    </row>
    <row r="7060">
      <c r="A7060" s="6">
        <v>7058.0</v>
      </c>
      <c r="B7060" s="17">
        <f t="array" ref="B7060">SUM(1-'Sparkling Model'!D$2:D$38^A7060)</f>
        <v>36.8902568</v>
      </c>
      <c r="C7060" s="8">
        <f t="array" ref="C7060">PRODUCT(1-'Sparkling Model'!D$2:D$38^A7060)</f>
        <v>0.8946120909</v>
      </c>
    </row>
    <row r="7061">
      <c r="A7061" s="6">
        <v>7059.0</v>
      </c>
      <c r="B7061" s="17">
        <f t="array" ref="B7061">SUM(1-'Sparkling Model'!D$2:D$38^A7061)</f>
        <v>36.89031357</v>
      </c>
      <c r="C7061" s="8">
        <f t="array" ref="C7061">PRODUCT(1-'Sparkling Model'!D$2:D$38^A7061)</f>
        <v>0.8946643352</v>
      </c>
    </row>
    <row r="7062">
      <c r="A7062" s="6">
        <v>7060.0</v>
      </c>
      <c r="B7062" s="17">
        <f t="array" ref="B7062">SUM(1-'Sparkling Model'!D$2:D$38^A7062)</f>
        <v>36.89037032</v>
      </c>
      <c r="C7062" s="8">
        <f t="array" ref="C7062">PRODUCT(1-'Sparkling Model'!D$2:D$38^A7062)</f>
        <v>0.8947165537</v>
      </c>
    </row>
    <row r="7063">
      <c r="A7063" s="6">
        <v>7061.0</v>
      </c>
      <c r="B7063" s="17">
        <f t="array" ref="B7063">SUM(1-'Sparkling Model'!D$2:D$38^A7063)</f>
        <v>36.89042703</v>
      </c>
      <c r="C7063" s="8">
        <f t="array" ref="C7063">PRODUCT(1-'Sparkling Model'!D$2:D$38^A7063)</f>
        <v>0.8947687466</v>
      </c>
    </row>
    <row r="7064">
      <c r="A7064" s="6">
        <v>7062.0</v>
      </c>
      <c r="B7064" s="17">
        <f t="array" ref="B7064">SUM(1-'Sparkling Model'!D$2:D$38^A7064)</f>
        <v>36.89048372</v>
      </c>
      <c r="C7064" s="8">
        <f t="array" ref="C7064">PRODUCT(1-'Sparkling Model'!D$2:D$38^A7064)</f>
        <v>0.8948209138</v>
      </c>
    </row>
    <row r="7065">
      <c r="A7065" s="6">
        <v>7063.0</v>
      </c>
      <c r="B7065" s="17">
        <f t="array" ref="B7065">SUM(1-'Sparkling Model'!D$2:D$38^A7065)</f>
        <v>36.89054037</v>
      </c>
      <c r="C7065" s="8">
        <f t="array" ref="C7065">PRODUCT(1-'Sparkling Model'!D$2:D$38^A7065)</f>
        <v>0.8948730554</v>
      </c>
    </row>
    <row r="7066">
      <c r="A7066" s="6">
        <v>7064.0</v>
      </c>
      <c r="B7066" s="17">
        <f t="array" ref="B7066">SUM(1-'Sparkling Model'!D$2:D$38^A7066)</f>
        <v>36.890597</v>
      </c>
      <c r="C7066" s="8">
        <f t="array" ref="C7066">PRODUCT(1-'Sparkling Model'!D$2:D$38^A7066)</f>
        <v>0.8949251714</v>
      </c>
    </row>
    <row r="7067">
      <c r="A7067" s="6">
        <v>7065.0</v>
      </c>
      <c r="B7067" s="17">
        <f t="array" ref="B7067">SUM(1-'Sparkling Model'!D$2:D$38^A7067)</f>
        <v>36.89065359</v>
      </c>
      <c r="C7067" s="8">
        <f t="array" ref="C7067">PRODUCT(1-'Sparkling Model'!D$2:D$38^A7067)</f>
        <v>0.8949772617</v>
      </c>
    </row>
    <row r="7068">
      <c r="A7068" s="6">
        <v>7066.0</v>
      </c>
      <c r="B7068" s="17">
        <f t="array" ref="B7068">SUM(1-'Sparkling Model'!D$2:D$38^A7068)</f>
        <v>36.89071015</v>
      </c>
      <c r="C7068" s="8">
        <f t="array" ref="C7068">PRODUCT(1-'Sparkling Model'!D$2:D$38^A7068)</f>
        <v>0.8950293265</v>
      </c>
    </row>
    <row r="7069">
      <c r="A7069" s="6">
        <v>7067.0</v>
      </c>
      <c r="B7069" s="17">
        <f t="array" ref="B7069">SUM(1-'Sparkling Model'!D$2:D$38^A7069)</f>
        <v>36.89076669</v>
      </c>
      <c r="C7069" s="8">
        <f t="array" ref="C7069">PRODUCT(1-'Sparkling Model'!D$2:D$38^A7069)</f>
        <v>0.8950813657</v>
      </c>
    </row>
    <row r="7070">
      <c r="A7070" s="6">
        <v>7068.0</v>
      </c>
      <c r="B7070" s="17">
        <f t="array" ref="B7070">SUM(1-'Sparkling Model'!D$2:D$38^A7070)</f>
        <v>36.89082319</v>
      </c>
      <c r="C7070" s="8">
        <f t="array" ref="C7070">PRODUCT(1-'Sparkling Model'!D$2:D$38^A7070)</f>
        <v>0.8951333793</v>
      </c>
    </row>
    <row r="7071">
      <c r="A7071" s="6">
        <v>7069.0</v>
      </c>
      <c r="B7071" s="17">
        <f t="array" ref="B7071">SUM(1-'Sparkling Model'!D$2:D$38^A7071)</f>
        <v>36.89087966</v>
      </c>
      <c r="C7071" s="8">
        <f t="array" ref="C7071">PRODUCT(1-'Sparkling Model'!D$2:D$38^A7071)</f>
        <v>0.8951853673</v>
      </c>
    </row>
    <row r="7072">
      <c r="A7072" s="6">
        <v>7070.0</v>
      </c>
      <c r="B7072" s="17">
        <f t="array" ref="B7072">SUM(1-'Sparkling Model'!D$2:D$38^A7072)</f>
        <v>36.8909361</v>
      </c>
      <c r="C7072" s="8">
        <f t="array" ref="C7072">PRODUCT(1-'Sparkling Model'!D$2:D$38^A7072)</f>
        <v>0.8952373298</v>
      </c>
    </row>
    <row r="7073">
      <c r="A7073" s="6">
        <v>7071.0</v>
      </c>
      <c r="B7073" s="17">
        <f t="array" ref="B7073">SUM(1-'Sparkling Model'!D$2:D$38^A7073)</f>
        <v>36.89099252</v>
      </c>
      <c r="C7073" s="8">
        <f t="array" ref="C7073">PRODUCT(1-'Sparkling Model'!D$2:D$38^A7073)</f>
        <v>0.8952892667</v>
      </c>
    </row>
    <row r="7074">
      <c r="A7074" s="6">
        <v>7072.0</v>
      </c>
      <c r="B7074" s="17">
        <f t="array" ref="B7074">SUM(1-'Sparkling Model'!D$2:D$38^A7074)</f>
        <v>36.8910489</v>
      </c>
      <c r="C7074" s="8">
        <f t="array" ref="C7074">PRODUCT(1-'Sparkling Model'!D$2:D$38^A7074)</f>
        <v>0.8953411781</v>
      </c>
    </row>
    <row r="7075">
      <c r="A7075" s="6">
        <v>7073.0</v>
      </c>
      <c r="B7075" s="17">
        <f t="array" ref="B7075">SUM(1-'Sparkling Model'!D$2:D$38^A7075)</f>
        <v>36.89110525</v>
      </c>
      <c r="C7075" s="8">
        <f t="array" ref="C7075">PRODUCT(1-'Sparkling Model'!D$2:D$38^A7075)</f>
        <v>0.895393064</v>
      </c>
    </row>
    <row r="7076">
      <c r="A7076" s="6">
        <v>7074.0</v>
      </c>
      <c r="B7076" s="17">
        <f t="array" ref="B7076">SUM(1-'Sparkling Model'!D$2:D$38^A7076)</f>
        <v>36.89116157</v>
      </c>
      <c r="C7076" s="8">
        <f t="array" ref="C7076">PRODUCT(1-'Sparkling Model'!D$2:D$38^A7076)</f>
        <v>0.8954449244</v>
      </c>
    </row>
    <row r="7077">
      <c r="A7077" s="6">
        <v>7075.0</v>
      </c>
      <c r="B7077" s="17">
        <f t="array" ref="B7077">SUM(1-'Sparkling Model'!D$2:D$38^A7077)</f>
        <v>36.89121786</v>
      </c>
      <c r="C7077" s="8">
        <f t="array" ref="C7077">PRODUCT(1-'Sparkling Model'!D$2:D$38^A7077)</f>
        <v>0.8954967593</v>
      </c>
    </row>
    <row r="7078">
      <c r="A7078" s="6">
        <v>7076.0</v>
      </c>
      <c r="B7078" s="17">
        <f t="array" ref="B7078">SUM(1-'Sparkling Model'!D$2:D$38^A7078)</f>
        <v>36.89127412</v>
      </c>
      <c r="C7078" s="8">
        <f t="array" ref="C7078">PRODUCT(1-'Sparkling Model'!D$2:D$38^A7078)</f>
        <v>0.8955485687</v>
      </c>
    </row>
    <row r="7079">
      <c r="A7079" s="6">
        <v>7077.0</v>
      </c>
      <c r="B7079" s="17">
        <f t="array" ref="B7079">SUM(1-'Sparkling Model'!D$2:D$38^A7079)</f>
        <v>36.89133035</v>
      </c>
      <c r="C7079" s="8">
        <f t="array" ref="C7079">PRODUCT(1-'Sparkling Model'!D$2:D$38^A7079)</f>
        <v>0.8956003526</v>
      </c>
    </row>
    <row r="7080">
      <c r="A7080" s="6">
        <v>7078.0</v>
      </c>
      <c r="B7080" s="17">
        <f t="array" ref="B7080">SUM(1-'Sparkling Model'!D$2:D$38^A7080)</f>
        <v>36.89138655</v>
      </c>
      <c r="C7080" s="8">
        <f t="array" ref="C7080">PRODUCT(1-'Sparkling Model'!D$2:D$38^A7080)</f>
        <v>0.8956521111</v>
      </c>
    </row>
    <row r="7081">
      <c r="A7081" s="6">
        <v>7079.0</v>
      </c>
      <c r="B7081" s="17">
        <f t="array" ref="B7081">SUM(1-'Sparkling Model'!D$2:D$38^A7081)</f>
        <v>36.89144272</v>
      </c>
      <c r="C7081" s="8">
        <f t="array" ref="C7081">PRODUCT(1-'Sparkling Model'!D$2:D$38^A7081)</f>
        <v>0.8957038442</v>
      </c>
    </row>
    <row r="7082">
      <c r="A7082" s="6">
        <v>7080.0</v>
      </c>
      <c r="B7082" s="17">
        <f t="array" ref="B7082">SUM(1-'Sparkling Model'!D$2:D$38^A7082)</f>
        <v>36.89149886</v>
      </c>
      <c r="C7082" s="8">
        <f t="array" ref="C7082">PRODUCT(1-'Sparkling Model'!D$2:D$38^A7082)</f>
        <v>0.8957555518</v>
      </c>
    </row>
    <row r="7083">
      <c r="A7083" s="6">
        <v>7081.0</v>
      </c>
      <c r="B7083" s="17">
        <f t="array" ref="B7083">SUM(1-'Sparkling Model'!D$2:D$38^A7083)</f>
        <v>36.89155497</v>
      </c>
      <c r="C7083" s="8">
        <f t="array" ref="C7083">PRODUCT(1-'Sparkling Model'!D$2:D$38^A7083)</f>
        <v>0.895807234</v>
      </c>
    </row>
    <row r="7084">
      <c r="A7084" s="6">
        <v>7082.0</v>
      </c>
      <c r="B7084" s="17">
        <f t="array" ref="B7084">SUM(1-'Sparkling Model'!D$2:D$38^A7084)</f>
        <v>36.89161105</v>
      </c>
      <c r="C7084" s="8">
        <f t="array" ref="C7084">PRODUCT(1-'Sparkling Model'!D$2:D$38^A7084)</f>
        <v>0.8958588908</v>
      </c>
    </row>
    <row r="7085">
      <c r="A7085" s="6">
        <v>7083.0</v>
      </c>
      <c r="B7085" s="17">
        <f t="array" ref="B7085">SUM(1-'Sparkling Model'!D$2:D$38^A7085)</f>
        <v>36.8916671</v>
      </c>
      <c r="C7085" s="8">
        <f t="array" ref="C7085">PRODUCT(1-'Sparkling Model'!D$2:D$38^A7085)</f>
        <v>0.8959105222</v>
      </c>
    </row>
    <row r="7086">
      <c r="A7086" s="6">
        <v>7084.0</v>
      </c>
      <c r="B7086" s="17">
        <f t="array" ref="B7086">SUM(1-'Sparkling Model'!D$2:D$38^A7086)</f>
        <v>36.89172312</v>
      </c>
      <c r="C7086" s="8">
        <f t="array" ref="C7086">PRODUCT(1-'Sparkling Model'!D$2:D$38^A7086)</f>
        <v>0.8959621282</v>
      </c>
    </row>
    <row r="7087">
      <c r="A7087" s="6">
        <v>7085.0</v>
      </c>
      <c r="B7087" s="17">
        <f t="array" ref="B7087">SUM(1-'Sparkling Model'!D$2:D$38^A7087)</f>
        <v>36.89177911</v>
      </c>
      <c r="C7087" s="8">
        <f t="array" ref="C7087">PRODUCT(1-'Sparkling Model'!D$2:D$38^A7087)</f>
        <v>0.8960137089</v>
      </c>
    </row>
    <row r="7088">
      <c r="A7088" s="6">
        <v>7086.0</v>
      </c>
      <c r="B7088" s="17">
        <f t="array" ref="B7088">SUM(1-'Sparkling Model'!D$2:D$38^A7088)</f>
        <v>36.89183507</v>
      </c>
      <c r="C7088" s="8">
        <f t="array" ref="C7088">PRODUCT(1-'Sparkling Model'!D$2:D$38^A7088)</f>
        <v>0.8960652641</v>
      </c>
    </row>
    <row r="7089">
      <c r="A7089" s="6">
        <v>7087.0</v>
      </c>
      <c r="B7089" s="17">
        <f t="array" ref="B7089">SUM(1-'Sparkling Model'!D$2:D$38^A7089)</f>
        <v>36.891891</v>
      </c>
      <c r="C7089" s="8">
        <f t="array" ref="C7089">PRODUCT(1-'Sparkling Model'!D$2:D$38^A7089)</f>
        <v>0.8961167941</v>
      </c>
    </row>
    <row r="7090">
      <c r="A7090" s="6">
        <v>7088.0</v>
      </c>
      <c r="B7090" s="17">
        <f t="array" ref="B7090">SUM(1-'Sparkling Model'!D$2:D$38^A7090)</f>
        <v>36.8919469</v>
      </c>
      <c r="C7090" s="8">
        <f t="array" ref="C7090">PRODUCT(1-'Sparkling Model'!D$2:D$38^A7090)</f>
        <v>0.8961682987</v>
      </c>
    </row>
    <row r="7091">
      <c r="A7091" s="6">
        <v>7089.0</v>
      </c>
      <c r="B7091" s="17">
        <f t="array" ref="B7091">SUM(1-'Sparkling Model'!D$2:D$38^A7091)</f>
        <v>36.89200277</v>
      </c>
      <c r="C7091" s="8">
        <f t="array" ref="C7091">PRODUCT(1-'Sparkling Model'!D$2:D$38^A7091)</f>
        <v>0.896219778</v>
      </c>
    </row>
    <row r="7092">
      <c r="A7092" s="6">
        <v>7090.0</v>
      </c>
      <c r="B7092" s="17">
        <f t="array" ref="B7092">SUM(1-'Sparkling Model'!D$2:D$38^A7092)</f>
        <v>36.89205861</v>
      </c>
      <c r="C7092" s="8">
        <f t="array" ref="C7092">PRODUCT(1-'Sparkling Model'!D$2:D$38^A7092)</f>
        <v>0.896271232</v>
      </c>
    </row>
    <row r="7093">
      <c r="A7093" s="6">
        <v>7091.0</v>
      </c>
      <c r="B7093" s="17">
        <f t="array" ref="B7093">SUM(1-'Sparkling Model'!D$2:D$38^A7093)</f>
        <v>36.89211442</v>
      </c>
      <c r="C7093" s="8">
        <f t="array" ref="C7093">PRODUCT(1-'Sparkling Model'!D$2:D$38^A7093)</f>
        <v>0.8963226607</v>
      </c>
    </row>
    <row r="7094">
      <c r="A7094" s="6">
        <v>7092.0</v>
      </c>
      <c r="B7094" s="17">
        <f t="array" ref="B7094">SUM(1-'Sparkling Model'!D$2:D$38^A7094)</f>
        <v>36.8921702</v>
      </c>
      <c r="C7094" s="8">
        <f t="array" ref="C7094">PRODUCT(1-'Sparkling Model'!D$2:D$38^A7094)</f>
        <v>0.8963740641</v>
      </c>
    </row>
    <row r="7095">
      <c r="A7095" s="6">
        <v>7093.0</v>
      </c>
      <c r="B7095" s="17">
        <f t="array" ref="B7095">SUM(1-'Sparkling Model'!D$2:D$38^A7095)</f>
        <v>36.89222595</v>
      </c>
      <c r="C7095" s="8">
        <f t="array" ref="C7095">PRODUCT(1-'Sparkling Model'!D$2:D$38^A7095)</f>
        <v>0.8964254422</v>
      </c>
    </row>
    <row r="7096">
      <c r="A7096" s="6">
        <v>7094.0</v>
      </c>
      <c r="B7096" s="17">
        <f t="array" ref="B7096">SUM(1-'Sparkling Model'!D$2:D$38^A7096)</f>
        <v>36.89228167</v>
      </c>
      <c r="C7096" s="8">
        <f t="array" ref="C7096">PRODUCT(1-'Sparkling Model'!D$2:D$38^A7096)</f>
        <v>0.8964767951</v>
      </c>
    </row>
    <row r="7097">
      <c r="A7097" s="6">
        <v>7095.0</v>
      </c>
      <c r="B7097" s="17">
        <f t="array" ref="B7097">SUM(1-'Sparkling Model'!D$2:D$38^A7097)</f>
        <v>36.89233736</v>
      </c>
      <c r="C7097" s="8">
        <f t="array" ref="C7097">PRODUCT(1-'Sparkling Model'!D$2:D$38^A7097)</f>
        <v>0.8965281227</v>
      </c>
    </row>
    <row r="7098">
      <c r="A7098" s="6">
        <v>7096.0</v>
      </c>
      <c r="B7098" s="17">
        <f t="array" ref="B7098">SUM(1-'Sparkling Model'!D$2:D$38^A7098)</f>
        <v>36.89239302</v>
      </c>
      <c r="C7098" s="8">
        <f t="array" ref="C7098">PRODUCT(1-'Sparkling Model'!D$2:D$38^A7098)</f>
        <v>0.8965794251</v>
      </c>
    </row>
    <row r="7099">
      <c r="A7099" s="6">
        <v>7097.0</v>
      </c>
      <c r="B7099" s="17">
        <f t="array" ref="B7099">SUM(1-'Sparkling Model'!D$2:D$38^A7099)</f>
        <v>36.89244865</v>
      </c>
      <c r="C7099" s="8">
        <f t="array" ref="C7099">PRODUCT(1-'Sparkling Model'!D$2:D$38^A7099)</f>
        <v>0.8966307023</v>
      </c>
    </row>
    <row r="7100">
      <c r="A7100" s="6">
        <v>7098.0</v>
      </c>
      <c r="B7100" s="17">
        <f t="array" ref="B7100">SUM(1-'Sparkling Model'!D$2:D$38^A7100)</f>
        <v>36.89250425</v>
      </c>
      <c r="C7100" s="8">
        <f t="array" ref="C7100">PRODUCT(1-'Sparkling Model'!D$2:D$38^A7100)</f>
        <v>0.8966819542</v>
      </c>
    </row>
    <row r="7101">
      <c r="A7101" s="6">
        <v>7099.0</v>
      </c>
      <c r="B7101" s="17">
        <f t="array" ref="B7101">SUM(1-'Sparkling Model'!D$2:D$38^A7101)</f>
        <v>36.89255982</v>
      </c>
      <c r="C7101" s="8">
        <f t="array" ref="C7101">PRODUCT(1-'Sparkling Model'!D$2:D$38^A7101)</f>
        <v>0.896733181</v>
      </c>
    </row>
    <row r="7102">
      <c r="A7102" s="6">
        <v>7100.0</v>
      </c>
      <c r="B7102" s="17">
        <f t="array" ref="B7102">SUM(1-'Sparkling Model'!D$2:D$38^A7102)</f>
        <v>36.89261537</v>
      </c>
      <c r="C7102" s="8">
        <f t="array" ref="C7102">PRODUCT(1-'Sparkling Model'!D$2:D$38^A7102)</f>
        <v>0.8967843825</v>
      </c>
    </row>
    <row r="7103">
      <c r="A7103" s="6">
        <v>7101.0</v>
      </c>
      <c r="B7103" s="17">
        <f t="array" ref="B7103">SUM(1-'Sparkling Model'!D$2:D$38^A7103)</f>
        <v>36.89267088</v>
      </c>
      <c r="C7103" s="8">
        <f t="array" ref="C7103">PRODUCT(1-'Sparkling Model'!D$2:D$38^A7103)</f>
        <v>0.8968355589</v>
      </c>
    </row>
    <row r="7104">
      <c r="A7104" s="6">
        <v>7102.0</v>
      </c>
      <c r="B7104" s="17">
        <f t="array" ref="B7104">SUM(1-'Sparkling Model'!D$2:D$38^A7104)</f>
        <v>36.89272636</v>
      </c>
      <c r="C7104" s="8">
        <f t="array" ref="C7104">PRODUCT(1-'Sparkling Model'!D$2:D$38^A7104)</f>
        <v>0.8968867102</v>
      </c>
    </row>
    <row r="7105">
      <c r="A7105" s="6">
        <v>7103.0</v>
      </c>
      <c r="B7105" s="17">
        <f t="array" ref="B7105">SUM(1-'Sparkling Model'!D$2:D$38^A7105)</f>
        <v>36.89278181</v>
      </c>
      <c r="C7105" s="8">
        <f t="array" ref="C7105">PRODUCT(1-'Sparkling Model'!D$2:D$38^A7105)</f>
        <v>0.8969378362</v>
      </c>
    </row>
    <row r="7106">
      <c r="A7106" s="6">
        <v>7104.0</v>
      </c>
      <c r="B7106" s="17">
        <f t="array" ref="B7106">SUM(1-'Sparkling Model'!D$2:D$38^A7106)</f>
        <v>36.89283723</v>
      </c>
      <c r="C7106" s="8">
        <f t="array" ref="C7106">PRODUCT(1-'Sparkling Model'!D$2:D$38^A7106)</f>
        <v>0.8969889372</v>
      </c>
    </row>
    <row r="7107">
      <c r="A7107" s="6">
        <v>7105.0</v>
      </c>
      <c r="B7107" s="17">
        <f t="array" ref="B7107">SUM(1-'Sparkling Model'!D$2:D$38^A7107)</f>
        <v>36.89289262</v>
      </c>
      <c r="C7107" s="8">
        <f t="array" ref="C7107">PRODUCT(1-'Sparkling Model'!D$2:D$38^A7107)</f>
        <v>0.897040013</v>
      </c>
    </row>
    <row r="7108">
      <c r="A7108" s="6">
        <v>7106.0</v>
      </c>
      <c r="B7108" s="17">
        <f t="array" ref="B7108">SUM(1-'Sparkling Model'!D$2:D$38^A7108)</f>
        <v>36.89294799</v>
      </c>
      <c r="C7108" s="8">
        <f t="array" ref="C7108">PRODUCT(1-'Sparkling Model'!D$2:D$38^A7108)</f>
        <v>0.8970910637</v>
      </c>
    </row>
    <row r="7109">
      <c r="A7109" s="6">
        <v>7107.0</v>
      </c>
      <c r="B7109" s="17">
        <f t="array" ref="B7109">SUM(1-'Sparkling Model'!D$2:D$38^A7109)</f>
        <v>36.89300332</v>
      </c>
      <c r="C7109" s="8">
        <f t="array" ref="C7109">PRODUCT(1-'Sparkling Model'!D$2:D$38^A7109)</f>
        <v>0.8971420893</v>
      </c>
    </row>
    <row r="7110">
      <c r="A7110" s="6">
        <v>7108.0</v>
      </c>
      <c r="B7110" s="17">
        <f t="array" ref="B7110">SUM(1-'Sparkling Model'!D$2:D$38^A7110)</f>
        <v>36.89305862</v>
      </c>
      <c r="C7110" s="8">
        <f t="array" ref="C7110">PRODUCT(1-'Sparkling Model'!D$2:D$38^A7110)</f>
        <v>0.8971930898</v>
      </c>
    </row>
    <row r="7111">
      <c r="A7111" s="6">
        <v>7109.0</v>
      </c>
      <c r="B7111" s="17">
        <f t="array" ref="B7111">SUM(1-'Sparkling Model'!D$2:D$38^A7111)</f>
        <v>36.8931139</v>
      </c>
      <c r="C7111" s="8">
        <f t="array" ref="C7111">PRODUCT(1-'Sparkling Model'!D$2:D$38^A7111)</f>
        <v>0.8972440652</v>
      </c>
    </row>
    <row r="7112">
      <c r="A7112" s="6">
        <v>7110.0</v>
      </c>
      <c r="B7112" s="17">
        <f t="array" ref="B7112">SUM(1-'Sparkling Model'!D$2:D$38^A7112)</f>
        <v>36.89316914</v>
      </c>
      <c r="C7112" s="8">
        <f t="array" ref="C7112">PRODUCT(1-'Sparkling Model'!D$2:D$38^A7112)</f>
        <v>0.8972950155</v>
      </c>
    </row>
    <row r="7113">
      <c r="A7113" s="6">
        <v>7111.0</v>
      </c>
      <c r="B7113" s="17">
        <f t="array" ref="B7113">SUM(1-'Sparkling Model'!D$2:D$38^A7113)</f>
        <v>36.89322436</v>
      </c>
      <c r="C7113" s="8">
        <f t="array" ref="C7113">PRODUCT(1-'Sparkling Model'!D$2:D$38^A7113)</f>
        <v>0.8973459408</v>
      </c>
    </row>
    <row r="7114">
      <c r="A7114" s="6">
        <v>7112.0</v>
      </c>
      <c r="B7114" s="17">
        <f t="array" ref="B7114">SUM(1-'Sparkling Model'!D$2:D$38^A7114)</f>
        <v>36.89327954</v>
      </c>
      <c r="C7114" s="8">
        <f t="array" ref="C7114">PRODUCT(1-'Sparkling Model'!D$2:D$38^A7114)</f>
        <v>0.8973968411</v>
      </c>
    </row>
    <row r="7115">
      <c r="A7115" s="6">
        <v>7113.0</v>
      </c>
      <c r="B7115" s="17">
        <f t="array" ref="B7115">SUM(1-'Sparkling Model'!D$2:D$38^A7115)</f>
        <v>36.8933347</v>
      </c>
      <c r="C7115" s="8">
        <f t="array" ref="C7115">PRODUCT(1-'Sparkling Model'!D$2:D$38^A7115)</f>
        <v>0.8974477163</v>
      </c>
    </row>
    <row r="7116">
      <c r="A7116" s="6">
        <v>7114.0</v>
      </c>
      <c r="B7116" s="17">
        <f t="array" ref="B7116">SUM(1-'Sparkling Model'!D$2:D$38^A7116)</f>
        <v>36.89338982</v>
      </c>
      <c r="C7116" s="8">
        <f t="array" ref="C7116">PRODUCT(1-'Sparkling Model'!D$2:D$38^A7116)</f>
        <v>0.8974985665</v>
      </c>
    </row>
    <row r="7117">
      <c r="A7117" s="6">
        <v>7115.0</v>
      </c>
      <c r="B7117" s="17">
        <f t="array" ref="B7117">SUM(1-'Sparkling Model'!D$2:D$38^A7117)</f>
        <v>36.89344492</v>
      </c>
      <c r="C7117" s="8">
        <f t="array" ref="C7117">PRODUCT(1-'Sparkling Model'!D$2:D$38^A7117)</f>
        <v>0.8975493917</v>
      </c>
    </row>
    <row r="7118">
      <c r="A7118" s="6">
        <v>7116.0</v>
      </c>
      <c r="B7118" s="17">
        <f t="array" ref="B7118">SUM(1-'Sparkling Model'!D$2:D$38^A7118)</f>
        <v>36.89349999</v>
      </c>
      <c r="C7118" s="8">
        <f t="array" ref="C7118">PRODUCT(1-'Sparkling Model'!D$2:D$38^A7118)</f>
        <v>0.8976001919</v>
      </c>
    </row>
    <row r="7119">
      <c r="A7119" s="6">
        <v>7117.0</v>
      </c>
      <c r="B7119" s="17">
        <f t="array" ref="B7119">SUM(1-'Sparkling Model'!D$2:D$38^A7119)</f>
        <v>36.89355503</v>
      </c>
      <c r="C7119" s="8">
        <f t="array" ref="C7119">PRODUCT(1-'Sparkling Model'!D$2:D$38^A7119)</f>
        <v>0.8976509671</v>
      </c>
    </row>
    <row r="7120">
      <c r="A7120" s="6">
        <v>7118.0</v>
      </c>
      <c r="B7120" s="17">
        <f t="array" ref="B7120">SUM(1-'Sparkling Model'!D$2:D$38^A7120)</f>
        <v>36.89361003</v>
      </c>
      <c r="C7120" s="8">
        <f t="array" ref="C7120">PRODUCT(1-'Sparkling Model'!D$2:D$38^A7120)</f>
        <v>0.8977017174</v>
      </c>
    </row>
    <row r="7121">
      <c r="A7121" s="6">
        <v>7119.0</v>
      </c>
      <c r="B7121" s="17">
        <f t="array" ref="B7121">SUM(1-'Sparkling Model'!D$2:D$38^A7121)</f>
        <v>36.89366501</v>
      </c>
      <c r="C7121" s="8">
        <f t="array" ref="C7121">PRODUCT(1-'Sparkling Model'!D$2:D$38^A7121)</f>
        <v>0.8977524427</v>
      </c>
    </row>
    <row r="7122">
      <c r="A7122" s="6">
        <v>7120.0</v>
      </c>
      <c r="B7122" s="17">
        <f t="array" ref="B7122">SUM(1-'Sparkling Model'!D$2:D$38^A7122)</f>
        <v>36.89371996</v>
      </c>
      <c r="C7122" s="8">
        <f t="array" ref="C7122">PRODUCT(1-'Sparkling Model'!D$2:D$38^A7122)</f>
        <v>0.897803143</v>
      </c>
    </row>
    <row r="7123">
      <c r="A7123" s="6">
        <v>7121.0</v>
      </c>
      <c r="B7123" s="17">
        <f t="array" ref="B7123">SUM(1-'Sparkling Model'!D$2:D$38^A7123)</f>
        <v>36.89377488</v>
      </c>
      <c r="C7123" s="8">
        <f t="array" ref="C7123">PRODUCT(1-'Sparkling Model'!D$2:D$38^A7123)</f>
        <v>0.8978538184</v>
      </c>
    </row>
    <row r="7124">
      <c r="A7124" s="6">
        <v>7122.0</v>
      </c>
      <c r="B7124" s="17">
        <f t="array" ref="B7124">SUM(1-'Sparkling Model'!D$2:D$38^A7124)</f>
        <v>36.89382977</v>
      </c>
      <c r="C7124" s="8">
        <f t="array" ref="C7124">PRODUCT(1-'Sparkling Model'!D$2:D$38^A7124)</f>
        <v>0.8979044689</v>
      </c>
    </row>
    <row r="7125">
      <c r="A7125" s="6">
        <v>7123.0</v>
      </c>
      <c r="B7125" s="17">
        <f t="array" ref="B7125">SUM(1-'Sparkling Model'!D$2:D$38^A7125)</f>
        <v>36.89388463</v>
      </c>
      <c r="C7125" s="8">
        <f t="array" ref="C7125">PRODUCT(1-'Sparkling Model'!D$2:D$38^A7125)</f>
        <v>0.8979550945</v>
      </c>
    </row>
    <row r="7126">
      <c r="A7126" s="6">
        <v>7124.0</v>
      </c>
      <c r="B7126" s="17">
        <f t="array" ref="B7126">SUM(1-'Sparkling Model'!D$2:D$38^A7126)</f>
        <v>36.89393946</v>
      </c>
      <c r="C7126" s="8">
        <f t="array" ref="C7126">PRODUCT(1-'Sparkling Model'!D$2:D$38^A7126)</f>
        <v>0.8980056952</v>
      </c>
    </row>
    <row r="7127">
      <c r="A7127" s="6">
        <v>7125.0</v>
      </c>
      <c r="B7127" s="17">
        <f t="array" ref="B7127">SUM(1-'Sparkling Model'!D$2:D$38^A7127)</f>
        <v>36.89399427</v>
      </c>
      <c r="C7127" s="8">
        <f t="array" ref="C7127">PRODUCT(1-'Sparkling Model'!D$2:D$38^A7127)</f>
        <v>0.8980562709</v>
      </c>
    </row>
    <row r="7128">
      <c r="A7128" s="6">
        <v>7126.0</v>
      </c>
      <c r="B7128" s="17">
        <f t="array" ref="B7128">SUM(1-'Sparkling Model'!D$2:D$38^A7128)</f>
        <v>36.89404904</v>
      </c>
      <c r="C7128" s="8">
        <f t="array" ref="C7128">PRODUCT(1-'Sparkling Model'!D$2:D$38^A7128)</f>
        <v>0.8981068218</v>
      </c>
    </row>
    <row r="7129">
      <c r="A7129" s="6">
        <v>7127.0</v>
      </c>
      <c r="B7129" s="17">
        <f t="array" ref="B7129">SUM(1-'Sparkling Model'!D$2:D$38^A7129)</f>
        <v>36.89410378</v>
      </c>
      <c r="C7129" s="8">
        <f t="array" ref="C7129">PRODUCT(1-'Sparkling Model'!D$2:D$38^A7129)</f>
        <v>0.8981573479</v>
      </c>
    </row>
    <row r="7130">
      <c r="A7130" s="6">
        <v>7128.0</v>
      </c>
      <c r="B7130" s="17">
        <f t="array" ref="B7130">SUM(1-'Sparkling Model'!D$2:D$38^A7130)</f>
        <v>36.8941585</v>
      </c>
      <c r="C7130" s="8">
        <f t="array" ref="C7130">PRODUCT(1-'Sparkling Model'!D$2:D$38^A7130)</f>
        <v>0.8982078491</v>
      </c>
    </row>
    <row r="7131">
      <c r="A7131" s="6">
        <v>7129.0</v>
      </c>
      <c r="B7131" s="17">
        <f t="array" ref="B7131">SUM(1-'Sparkling Model'!D$2:D$38^A7131)</f>
        <v>36.89421318</v>
      </c>
      <c r="C7131" s="8">
        <f t="array" ref="C7131">PRODUCT(1-'Sparkling Model'!D$2:D$38^A7131)</f>
        <v>0.8982583254</v>
      </c>
    </row>
    <row r="7132">
      <c r="A7132" s="6">
        <v>7130.0</v>
      </c>
      <c r="B7132" s="17">
        <f t="array" ref="B7132">SUM(1-'Sparkling Model'!D$2:D$38^A7132)</f>
        <v>36.89426784</v>
      </c>
      <c r="C7132" s="8">
        <f t="array" ref="C7132">PRODUCT(1-'Sparkling Model'!D$2:D$38^A7132)</f>
        <v>0.898308777</v>
      </c>
    </row>
    <row r="7133">
      <c r="A7133" s="6">
        <v>7131.0</v>
      </c>
      <c r="B7133" s="17">
        <f t="array" ref="B7133">SUM(1-'Sparkling Model'!D$2:D$38^A7133)</f>
        <v>36.89432246</v>
      </c>
      <c r="C7133" s="8">
        <f t="array" ref="C7133">PRODUCT(1-'Sparkling Model'!D$2:D$38^A7133)</f>
        <v>0.8983592037</v>
      </c>
    </row>
    <row r="7134">
      <c r="A7134" s="6">
        <v>7132.0</v>
      </c>
      <c r="B7134" s="17">
        <f t="array" ref="B7134">SUM(1-'Sparkling Model'!D$2:D$38^A7134)</f>
        <v>36.89437706</v>
      </c>
      <c r="C7134" s="8">
        <f t="array" ref="C7134">PRODUCT(1-'Sparkling Model'!D$2:D$38^A7134)</f>
        <v>0.8984096056</v>
      </c>
    </row>
    <row r="7135">
      <c r="A7135" s="6">
        <v>7133.0</v>
      </c>
      <c r="B7135" s="17">
        <f t="array" ref="B7135">SUM(1-'Sparkling Model'!D$2:D$38^A7135)</f>
        <v>36.89443163</v>
      </c>
      <c r="C7135" s="8">
        <f t="array" ref="C7135">PRODUCT(1-'Sparkling Model'!D$2:D$38^A7135)</f>
        <v>0.8984599827</v>
      </c>
    </row>
    <row r="7136">
      <c r="A7136" s="6">
        <v>7134.0</v>
      </c>
      <c r="B7136" s="17">
        <f t="array" ref="B7136">SUM(1-'Sparkling Model'!D$2:D$38^A7136)</f>
        <v>36.89448617</v>
      </c>
      <c r="C7136" s="8">
        <f t="array" ref="C7136">PRODUCT(1-'Sparkling Model'!D$2:D$38^A7136)</f>
        <v>0.898510335</v>
      </c>
    </row>
    <row r="7137">
      <c r="A7137" s="6">
        <v>7135.0</v>
      </c>
      <c r="B7137" s="17">
        <f t="array" ref="B7137">SUM(1-'Sparkling Model'!D$2:D$38^A7137)</f>
        <v>36.89454068</v>
      </c>
      <c r="C7137" s="8">
        <f t="array" ref="C7137">PRODUCT(1-'Sparkling Model'!D$2:D$38^A7137)</f>
        <v>0.8985606626</v>
      </c>
    </row>
    <row r="7138">
      <c r="A7138" s="6">
        <v>7136.0</v>
      </c>
      <c r="B7138" s="17">
        <f t="array" ref="B7138">SUM(1-'Sparkling Model'!D$2:D$38^A7138)</f>
        <v>36.89459516</v>
      </c>
      <c r="C7138" s="8">
        <f t="array" ref="C7138">PRODUCT(1-'Sparkling Model'!D$2:D$38^A7138)</f>
        <v>0.8986109654</v>
      </c>
    </row>
    <row r="7139">
      <c r="A7139" s="6">
        <v>7137.0</v>
      </c>
      <c r="B7139" s="17">
        <f t="array" ref="B7139">SUM(1-'Sparkling Model'!D$2:D$38^A7139)</f>
        <v>36.89464961</v>
      </c>
      <c r="C7139" s="8">
        <f t="array" ref="C7139">PRODUCT(1-'Sparkling Model'!D$2:D$38^A7139)</f>
        <v>0.8986612435</v>
      </c>
    </row>
    <row r="7140">
      <c r="A7140" s="6">
        <v>7138.0</v>
      </c>
      <c r="B7140" s="17">
        <f t="array" ref="B7140">SUM(1-'Sparkling Model'!D$2:D$38^A7140)</f>
        <v>36.89470403</v>
      </c>
      <c r="C7140" s="8">
        <f t="array" ref="C7140">PRODUCT(1-'Sparkling Model'!D$2:D$38^A7140)</f>
        <v>0.8987114968</v>
      </c>
    </row>
    <row r="7141">
      <c r="A7141" s="6">
        <v>7139.0</v>
      </c>
      <c r="B7141" s="17">
        <f t="array" ref="B7141">SUM(1-'Sparkling Model'!D$2:D$38^A7141)</f>
        <v>36.89475842</v>
      </c>
      <c r="C7141" s="8">
        <f t="array" ref="C7141">PRODUCT(1-'Sparkling Model'!D$2:D$38^A7141)</f>
        <v>0.8987617254</v>
      </c>
    </row>
    <row r="7142">
      <c r="A7142" s="6">
        <v>7140.0</v>
      </c>
      <c r="B7142" s="17">
        <f t="array" ref="B7142">SUM(1-'Sparkling Model'!D$2:D$38^A7142)</f>
        <v>36.89481279</v>
      </c>
      <c r="C7142" s="8">
        <f t="array" ref="C7142">PRODUCT(1-'Sparkling Model'!D$2:D$38^A7142)</f>
        <v>0.8988119294</v>
      </c>
    </row>
    <row r="7143">
      <c r="A7143" s="6">
        <v>7141.0</v>
      </c>
      <c r="B7143" s="17">
        <f t="array" ref="B7143">SUM(1-'Sparkling Model'!D$2:D$38^A7143)</f>
        <v>36.89486712</v>
      </c>
      <c r="C7143" s="8">
        <f t="array" ref="C7143">PRODUCT(1-'Sparkling Model'!D$2:D$38^A7143)</f>
        <v>0.8988621086</v>
      </c>
    </row>
    <row r="7144">
      <c r="A7144" s="6">
        <v>7142.0</v>
      </c>
      <c r="B7144" s="17">
        <f t="array" ref="B7144">SUM(1-'Sparkling Model'!D$2:D$38^A7144)</f>
        <v>36.89492143</v>
      </c>
      <c r="C7144" s="8">
        <f t="array" ref="C7144">PRODUCT(1-'Sparkling Model'!D$2:D$38^A7144)</f>
        <v>0.8989122631</v>
      </c>
    </row>
    <row r="7145">
      <c r="A7145" s="6">
        <v>7143.0</v>
      </c>
      <c r="B7145" s="17">
        <f t="array" ref="B7145">SUM(1-'Sparkling Model'!D$2:D$38^A7145)</f>
        <v>36.8949757</v>
      </c>
      <c r="C7145" s="8">
        <f t="array" ref="C7145">PRODUCT(1-'Sparkling Model'!D$2:D$38^A7145)</f>
        <v>0.8989623929</v>
      </c>
    </row>
    <row r="7146">
      <c r="A7146" s="6">
        <v>7144.0</v>
      </c>
      <c r="B7146" s="17">
        <f t="array" ref="B7146">SUM(1-'Sparkling Model'!D$2:D$38^A7146)</f>
        <v>36.89502995</v>
      </c>
      <c r="C7146" s="8">
        <f t="array" ref="C7146">PRODUCT(1-'Sparkling Model'!D$2:D$38^A7146)</f>
        <v>0.8990124981</v>
      </c>
    </row>
    <row r="7147">
      <c r="A7147" s="6">
        <v>7145.0</v>
      </c>
      <c r="B7147" s="17">
        <f t="array" ref="B7147">SUM(1-'Sparkling Model'!D$2:D$38^A7147)</f>
        <v>36.89508417</v>
      </c>
      <c r="C7147" s="8">
        <f t="array" ref="C7147">PRODUCT(1-'Sparkling Model'!D$2:D$38^A7147)</f>
        <v>0.8990625787</v>
      </c>
    </row>
    <row r="7148">
      <c r="A7148" s="6">
        <v>7146.0</v>
      </c>
      <c r="B7148" s="17">
        <f t="array" ref="B7148">SUM(1-'Sparkling Model'!D$2:D$38^A7148)</f>
        <v>36.89513836</v>
      </c>
      <c r="C7148" s="8">
        <f t="array" ref="C7148">PRODUCT(1-'Sparkling Model'!D$2:D$38^A7148)</f>
        <v>0.8991126346</v>
      </c>
    </row>
    <row r="7149">
      <c r="A7149" s="6">
        <v>7147.0</v>
      </c>
      <c r="B7149" s="17">
        <f t="array" ref="B7149">SUM(1-'Sparkling Model'!D$2:D$38^A7149)</f>
        <v>36.89519252</v>
      </c>
      <c r="C7149" s="8">
        <f t="array" ref="C7149">PRODUCT(1-'Sparkling Model'!D$2:D$38^A7149)</f>
        <v>0.8991626658</v>
      </c>
    </row>
    <row r="7150">
      <c r="A7150" s="6">
        <v>7148.0</v>
      </c>
      <c r="B7150" s="17">
        <f t="array" ref="B7150">SUM(1-'Sparkling Model'!D$2:D$38^A7150)</f>
        <v>36.89524665</v>
      </c>
      <c r="C7150" s="8">
        <f t="array" ref="C7150">PRODUCT(1-'Sparkling Model'!D$2:D$38^A7150)</f>
        <v>0.8992126725</v>
      </c>
    </row>
    <row r="7151">
      <c r="A7151" s="6">
        <v>7149.0</v>
      </c>
      <c r="B7151" s="17">
        <f t="array" ref="B7151">SUM(1-'Sparkling Model'!D$2:D$38^A7151)</f>
        <v>36.89530075</v>
      </c>
      <c r="C7151" s="8">
        <f t="array" ref="C7151">PRODUCT(1-'Sparkling Model'!D$2:D$38^A7151)</f>
        <v>0.8992626546</v>
      </c>
    </row>
    <row r="7152">
      <c r="A7152" s="6">
        <v>7150.0</v>
      </c>
      <c r="B7152" s="17">
        <f t="array" ref="B7152">SUM(1-'Sparkling Model'!D$2:D$38^A7152)</f>
        <v>36.89535483</v>
      </c>
      <c r="C7152" s="8">
        <f t="array" ref="C7152">PRODUCT(1-'Sparkling Model'!D$2:D$38^A7152)</f>
        <v>0.899312612</v>
      </c>
    </row>
    <row r="7153">
      <c r="A7153" s="6">
        <v>7151.0</v>
      </c>
      <c r="B7153" s="17">
        <f t="array" ref="B7153">SUM(1-'Sparkling Model'!D$2:D$38^A7153)</f>
        <v>36.89540887</v>
      </c>
      <c r="C7153" s="8">
        <f t="array" ref="C7153">PRODUCT(1-'Sparkling Model'!D$2:D$38^A7153)</f>
        <v>0.8993625449</v>
      </c>
    </row>
    <row r="7154">
      <c r="A7154" s="6">
        <v>7152.0</v>
      </c>
      <c r="B7154" s="17">
        <f t="array" ref="B7154">SUM(1-'Sparkling Model'!D$2:D$38^A7154)</f>
        <v>36.89546289</v>
      </c>
      <c r="C7154" s="8">
        <f t="array" ref="C7154">PRODUCT(1-'Sparkling Model'!D$2:D$38^A7154)</f>
        <v>0.8994124533</v>
      </c>
    </row>
    <row r="7155">
      <c r="A7155" s="6">
        <v>7153.0</v>
      </c>
      <c r="B7155" s="17">
        <f t="array" ref="B7155">SUM(1-'Sparkling Model'!D$2:D$38^A7155)</f>
        <v>36.89551688</v>
      </c>
      <c r="C7155" s="8">
        <f t="array" ref="C7155">PRODUCT(1-'Sparkling Model'!D$2:D$38^A7155)</f>
        <v>0.899462337</v>
      </c>
    </row>
    <row r="7156">
      <c r="A7156" s="6">
        <v>7154.0</v>
      </c>
      <c r="B7156" s="17">
        <f t="array" ref="B7156">SUM(1-'Sparkling Model'!D$2:D$38^A7156)</f>
        <v>36.89557083</v>
      </c>
      <c r="C7156" s="8">
        <f t="array" ref="C7156">PRODUCT(1-'Sparkling Model'!D$2:D$38^A7156)</f>
        <v>0.8995121963</v>
      </c>
    </row>
    <row r="7157">
      <c r="A7157" s="6">
        <v>7155.0</v>
      </c>
      <c r="B7157" s="17">
        <f t="array" ref="B7157">SUM(1-'Sparkling Model'!D$2:D$38^A7157)</f>
        <v>36.89562476</v>
      </c>
      <c r="C7157" s="8">
        <f t="array" ref="C7157">PRODUCT(1-'Sparkling Model'!D$2:D$38^A7157)</f>
        <v>0.8995620309</v>
      </c>
    </row>
    <row r="7158">
      <c r="A7158" s="6">
        <v>7156.0</v>
      </c>
      <c r="B7158" s="17">
        <f t="array" ref="B7158">SUM(1-'Sparkling Model'!D$2:D$38^A7158)</f>
        <v>36.89567866</v>
      </c>
      <c r="C7158" s="8">
        <f t="array" ref="C7158">PRODUCT(1-'Sparkling Model'!D$2:D$38^A7158)</f>
        <v>0.8996118411</v>
      </c>
    </row>
    <row r="7159">
      <c r="A7159" s="6">
        <v>7157.0</v>
      </c>
      <c r="B7159" s="17">
        <f t="array" ref="B7159">SUM(1-'Sparkling Model'!D$2:D$38^A7159)</f>
        <v>36.89573253</v>
      </c>
      <c r="C7159" s="8">
        <f t="array" ref="C7159">PRODUCT(1-'Sparkling Model'!D$2:D$38^A7159)</f>
        <v>0.8996616268</v>
      </c>
    </row>
    <row r="7160">
      <c r="A7160" s="6">
        <v>7158.0</v>
      </c>
      <c r="B7160" s="17">
        <f t="array" ref="B7160">SUM(1-'Sparkling Model'!D$2:D$38^A7160)</f>
        <v>36.89578638</v>
      </c>
      <c r="C7160" s="8">
        <f t="array" ref="C7160">PRODUCT(1-'Sparkling Model'!D$2:D$38^A7160)</f>
        <v>0.899711388</v>
      </c>
    </row>
    <row r="7161">
      <c r="A7161" s="6">
        <v>7159.0</v>
      </c>
      <c r="B7161" s="17">
        <f t="array" ref="B7161">SUM(1-'Sparkling Model'!D$2:D$38^A7161)</f>
        <v>36.89584019</v>
      </c>
      <c r="C7161" s="8">
        <f t="array" ref="C7161">PRODUCT(1-'Sparkling Model'!D$2:D$38^A7161)</f>
        <v>0.8997611246</v>
      </c>
    </row>
    <row r="7162">
      <c r="A7162" s="6">
        <v>7160.0</v>
      </c>
      <c r="B7162" s="17">
        <f t="array" ref="B7162">SUM(1-'Sparkling Model'!D$2:D$38^A7162)</f>
        <v>36.89589398</v>
      </c>
      <c r="C7162" s="8">
        <f t="array" ref="C7162">PRODUCT(1-'Sparkling Model'!D$2:D$38^A7162)</f>
        <v>0.8998108369</v>
      </c>
    </row>
    <row r="7163">
      <c r="A7163" s="6">
        <v>7161.0</v>
      </c>
      <c r="B7163" s="17">
        <f t="array" ref="B7163">SUM(1-'Sparkling Model'!D$2:D$38^A7163)</f>
        <v>36.89594773</v>
      </c>
      <c r="C7163" s="8">
        <f t="array" ref="C7163">PRODUCT(1-'Sparkling Model'!D$2:D$38^A7163)</f>
        <v>0.8998605246</v>
      </c>
    </row>
    <row r="7164">
      <c r="A7164" s="6">
        <v>7162.0</v>
      </c>
      <c r="B7164" s="17">
        <f t="array" ref="B7164">SUM(1-'Sparkling Model'!D$2:D$38^A7164)</f>
        <v>36.89600146</v>
      </c>
      <c r="C7164" s="8">
        <f t="array" ref="C7164">PRODUCT(1-'Sparkling Model'!D$2:D$38^A7164)</f>
        <v>0.8999101879</v>
      </c>
    </row>
    <row r="7165">
      <c r="A7165" s="6">
        <v>7163.0</v>
      </c>
      <c r="B7165" s="17">
        <f t="array" ref="B7165">SUM(1-'Sparkling Model'!D$2:D$38^A7165)</f>
        <v>36.89605516</v>
      </c>
      <c r="C7165" s="8">
        <f t="array" ref="C7165">PRODUCT(1-'Sparkling Model'!D$2:D$38^A7165)</f>
        <v>0.8999598268</v>
      </c>
    </row>
    <row r="7166">
      <c r="A7166" s="6">
        <v>7164.0</v>
      </c>
      <c r="B7166" s="17">
        <f t="array" ref="B7166">SUM(1-'Sparkling Model'!D$2:D$38^A7166)</f>
        <v>36.89610883</v>
      </c>
      <c r="C7166" s="8">
        <f t="array" ref="C7166">PRODUCT(1-'Sparkling Model'!D$2:D$38^A7166)</f>
        <v>0.9000094412</v>
      </c>
    </row>
    <row r="7167">
      <c r="A7167" s="6">
        <v>7165.0</v>
      </c>
      <c r="B7167" s="17">
        <f t="array" ref="B7167">SUM(1-'Sparkling Model'!D$2:D$38^A7167)</f>
        <v>36.89616247</v>
      </c>
      <c r="C7167" s="8">
        <f t="array" ref="C7167">PRODUCT(1-'Sparkling Model'!D$2:D$38^A7167)</f>
        <v>0.9000590313</v>
      </c>
    </row>
    <row r="7168">
      <c r="A7168" s="6">
        <v>7166.0</v>
      </c>
      <c r="B7168" s="17">
        <f t="array" ref="B7168">SUM(1-'Sparkling Model'!D$2:D$38^A7168)</f>
        <v>36.89621608</v>
      </c>
      <c r="C7168" s="8">
        <f t="array" ref="C7168">PRODUCT(1-'Sparkling Model'!D$2:D$38^A7168)</f>
        <v>0.9001085969</v>
      </c>
    </row>
    <row r="7169">
      <c r="A7169" s="6">
        <v>7167.0</v>
      </c>
      <c r="B7169" s="17">
        <f t="array" ref="B7169">SUM(1-'Sparkling Model'!D$2:D$38^A7169)</f>
        <v>36.89626967</v>
      </c>
      <c r="C7169" s="8">
        <f t="array" ref="C7169">PRODUCT(1-'Sparkling Model'!D$2:D$38^A7169)</f>
        <v>0.9001581381</v>
      </c>
    </row>
    <row r="7170">
      <c r="A7170" s="6">
        <v>7168.0</v>
      </c>
      <c r="B7170" s="17">
        <f t="array" ref="B7170">SUM(1-'Sparkling Model'!D$2:D$38^A7170)</f>
        <v>36.89632322</v>
      </c>
      <c r="C7170" s="8">
        <f t="array" ref="C7170">PRODUCT(1-'Sparkling Model'!D$2:D$38^A7170)</f>
        <v>0.900207655</v>
      </c>
    </row>
    <row r="7171">
      <c r="A7171" s="6">
        <v>7169.0</v>
      </c>
      <c r="B7171" s="17">
        <f t="array" ref="B7171">SUM(1-'Sparkling Model'!D$2:D$38^A7171)</f>
        <v>36.89637675</v>
      </c>
      <c r="C7171" s="8">
        <f t="array" ref="C7171">PRODUCT(1-'Sparkling Model'!D$2:D$38^A7171)</f>
        <v>0.9002571475</v>
      </c>
    </row>
    <row r="7172">
      <c r="A7172" s="6">
        <v>7170.0</v>
      </c>
      <c r="B7172" s="17">
        <f t="array" ref="B7172">SUM(1-'Sparkling Model'!D$2:D$38^A7172)</f>
        <v>36.89643025</v>
      </c>
      <c r="C7172" s="8">
        <f t="array" ref="C7172">PRODUCT(1-'Sparkling Model'!D$2:D$38^A7172)</f>
        <v>0.9003066156</v>
      </c>
    </row>
    <row r="7173">
      <c r="A7173" s="6">
        <v>7171.0</v>
      </c>
      <c r="B7173" s="17">
        <f t="array" ref="B7173">SUM(1-'Sparkling Model'!D$2:D$38^A7173)</f>
        <v>36.89648372</v>
      </c>
      <c r="C7173" s="8">
        <f t="array" ref="C7173">PRODUCT(1-'Sparkling Model'!D$2:D$38^A7173)</f>
        <v>0.9003560594</v>
      </c>
    </row>
    <row r="7174">
      <c r="A7174" s="6">
        <v>7172.0</v>
      </c>
      <c r="B7174" s="17">
        <f t="array" ref="B7174">SUM(1-'Sparkling Model'!D$2:D$38^A7174)</f>
        <v>36.89653716</v>
      </c>
      <c r="C7174" s="8">
        <f t="array" ref="C7174">PRODUCT(1-'Sparkling Model'!D$2:D$38^A7174)</f>
        <v>0.9004054789</v>
      </c>
    </row>
    <row r="7175">
      <c r="A7175" s="6">
        <v>7173.0</v>
      </c>
      <c r="B7175" s="17">
        <f t="array" ref="B7175">SUM(1-'Sparkling Model'!D$2:D$38^A7175)</f>
        <v>36.89659057</v>
      </c>
      <c r="C7175" s="8">
        <f t="array" ref="C7175">PRODUCT(1-'Sparkling Model'!D$2:D$38^A7175)</f>
        <v>0.900454874</v>
      </c>
    </row>
    <row r="7176">
      <c r="A7176" s="6">
        <v>7174.0</v>
      </c>
      <c r="B7176" s="17">
        <f t="array" ref="B7176">SUM(1-'Sparkling Model'!D$2:D$38^A7176)</f>
        <v>36.89664396</v>
      </c>
      <c r="C7176" s="8">
        <f t="array" ref="C7176">PRODUCT(1-'Sparkling Model'!D$2:D$38^A7176)</f>
        <v>0.9005042448</v>
      </c>
    </row>
    <row r="7177">
      <c r="A7177" s="6">
        <v>7175.0</v>
      </c>
      <c r="B7177" s="17">
        <f t="array" ref="B7177">SUM(1-'Sparkling Model'!D$2:D$38^A7177)</f>
        <v>36.89669731</v>
      </c>
      <c r="C7177" s="8">
        <f t="array" ref="C7177">PRODUCT(1-'Sparkling Model'!D$2:D$38^A7177)</f>
        <v>0.9005535914</v>
      </c>
    </row>
    <row r="7178">
      <c r="A7178" s="6">
        <v>7176.0</v>
      </c>
      <c r="B7178" s="17">
        <f t="array" ref="B7178">SUM(1-'Sparkling Model'!D$2:D$38^A7178)</f>
        <v>36.89675064</v>
      </c>
      <c r="C7178" s="8">
        <f t="array" ref="C7178">PRODUCT(1-'Sparkling Model'!D$2:D$38^A7178)</f>
        <v>0.9006029136</v>
      </c>
    </row>
    <row r="7179">
      <c r="A7179" s="6">
        <v>7177.0</v>
      </c>
      <c r="B7179" s="17">
        <f t="array" ref="B7179">SUM(1-'Sparkling Model'!D$2:D$38^A7179)</f>
        <v>36.89680394</v>
      </c>
      <c r="C7179" s="8">
        <f t="array" ref="C7179">PRODUCT(1-'Sparkling Model'!D$2:D$38^A7179)</f>
        <v>0.9006522116</v>
      </c>
    </row>
    <row r="7180">
      <c r="A7180" s="6">
        <v>7178.0</v>
      </c>
      <c r="B7180" s="17">
        <f t="array" ref="B7180">SUM(1-'Sparkling Model'!D$2:D$38^A7180)</f>
        <v>36.89685721</v>
      </c>
      <c r="C7180" s="8">
        <f t="array" ref="C7180">PRODUCT(1-'Sparkling Model'!D$2:D$38^A7180)</f>
        <v>0.9007014853</v>
      </c>
    </row>
    <row r="7181">
      <c r="A7181" s="6">
        <v>7179.0</v>
      </c>
      <c r="B7181" s="17">
        <f t="array" ref="B7181">SUM(1-'Sparkling Model'!D$2:D$38^A7181)</f>
        <v>36.89691045</v>
      </c>
      <c r="C7181" s="8">
        <f t="array" ref="C7181">PRODUCT(1-'Sparkling Model'!D$2:D$38^A7181)</f>
        <v>0.9007507348</v>
      </c>
    </row>
    <row r="7182">
      <c r="A7182" s="6">
        <v>7180.0</v>
      </c>
      <c r="B7182" s="17">
        <f t="array" ref="B7182">SUM(1-'Sparkling Model'!D$2:D$38^A7182)</f>
        <v>36.89696366</v>
      </c>
      <c r="C7182" s="8">
        <f t="array" ref="C7182">PRODUCT(1-'Sparkling Model'!D$2:D$38^A7182)</f>
        <v>0.90079996</v>
      </c>
    </row>
    <row r="7183">
      <c r="A7183" s="6">
        <v>7181.0</v>
      </c>
      <c r="B7183" s="17">
        <f t="array" ref="B7183">SUM(1-'Sparkling Model'!D$2:D$38^A7183)</f>
        <v>36.89701685</v>
      </c>
      <c r="C7183" s="8">
        <f t="array" ref="C7183">PRODUCT(1-'Sparkling Model'!D$2:D$38^A7183)</f>
        <v>0.900849161</v>
      </c>
    </row>
    <row r="7184">
      <c r="A7184" s="6">
        <v>7182.0</v>
      </c>
      <c r="B7184" s="17">
        <f t="array" ref="B7184">SUM(1-'Sparkling Model'!D$2:D$38^A7184)</f>
        <v>36.89707</v>
      </c>
      <c r="C7184" s="8">
        <f t="array" ref="C7184">PRODUCT(1-'Sparkling Model'!D$2:D$38^A7184)</f>
        <v>0.9008983378</v>
      </c>
    </row>
    <row r="7185">
      <c r="A7185" s="6">
        <v>7183.0</v>
      </c>
      <c r="B7185" s="17">
        <f t="array" ref="B7185">SUM(1-'Sparkling Model'!D$2:D$38^A7185)</f>
        <v>36.89712313</v>
      </c>
      <c r="C7185" s="8">
        <f t="array" ref="C7185">PRODUCT(1-'Sparkling Model'!D$2:D$38^A7185)</f>
        <v>0.9009474904</v>
      </c>
    </row>
    <row r="7186">
      <c r="A7186" s="6">
        <v>7184.0</v>
      </c>
      <c r="B7186" s="17">
        <f t="array" ref="B7186">SUM(1-'Sparkling Model'!D$2:D$38^A7186)</f>
        <v>36.89717623</v>
      </c>
      <c r="C7186" s="8">
        <f t="array" ref="C7186">PRODUCT(1-'Sparkling Model'!D$2:D$38^A7186)</f>
        <v>0.9009966188</v>
      </c>
    </row>
    <row r="7187">
      <c r="A7187" s="6">
        <v>7185.0</v>
      </c>
      <c r="B7187" s="17">
        <f t="array" ref="B7187">SUM(1-'Sparkling Model'!D$2:D$38^A7187)</f>
        <v>36.8972293</v>
      </c>
      <c r="C7187" s="8">
        <f t="array" ref="C7187">PRODUCT(1-'Sparkling Model'!D$2:D$38^A7187)</f>
        <v>0.901045723</v>
      </c>
    </row>
    <row r="7188">
      <c r="A7188" s="6">
        <v>7186.0</v>
      </c>
      <c r="B7188" s="17">
        <f t="array" ref="B7188">SUM(1-'Sparkling Model'!D$2:D$38^A7188)</f>
        <v>36.89728234</v>
      </c>
      <c r="C7188" s="8">
        <f t="array" ref="C7188">PRODUCT(1-'Sparkling Model'!D$2:D$38^A7188)</f>
        <v>0.901094803</v>
      </c>
    </row>
    <row r="7189">
      <c r="A7189" s="6">
        <v>7187.0</v>
      </c>
      <c r="B7189" s="17">
        <f t="array" ref="B7189">SUM(1-'Sparkling Model'!D$2:D$38^A7189)</f>
        <v>36.89733536</v>
      </c>
      <c r="C7189" s="8">
        <f t="array" ref="C7189">PRODUCT(1-'Sparkling Model'!D$2:D$38^A7189)</f>
        <v>0.9011438589</v>
      </c>
    </row>
    <row r="7190">
      <c r="A7190" s="6">
        <v>7188.0</v>
      </c>
      <c r="B7190" s="17">
        <f t="array" ref="B7190">SUM(1-'Sparkling Model'!D$2:D$38^A7190)</f>
        <v>36.89738834</v>
      </c>
      <c r="C7190" s="8">
        <f t="array" ref="C7190">PRODUCT(1-'Sparkling Model'!D$2:D$38^A7190)</f>
        <v>0.9011928906</v>
      </c>
    </row>
    <row r="7191">
      <c r="A7191" s="6">
        <v>7189.0</v>
      </c>
      <c r="B7191" s="17">
        <f t="array" ref="B7191">SUM(1-'Sparkling Model'!D$2:D$38^A7191)</f>
        <v>36.8974413</v>
      </c>
      <c r="C7191" s="8">
        <f t="array" ref="C7191">PRODUCT(1-'Sparkling Model'!D$2:D$38^A7191)</f>
        <v>0.9012418982</v>
      </c>
    </row>
    <row r="7192">
      <c r="A7192" s="6">
        <v>7190.0</v>
      </c>
      <c r="B7192" s="17">
        <f t="array" ref="B7192">SUM(1-'Sparkling Model'!D$2:D$38^A7192)</f>
        <v>36.89749423</v>
      </c>
      <c r="C7192" s="8">
        <f t="array" ref="C7192">PRODUCT(1-'Sparkling Model'!D$2:D$38^A7192)</f>
        <v>0.9012908817</v>
      </c>
    </row>
    <row r="7193">
      <c r="A7193" s="6">
        <v>7191.0</v>
      </c>
      <c r="B7193" s="17">
        <f t="array" ref="B7193">SUM(1-'Sparkling Model'!D$2:D$38^A7193)</f>
        <v>36.89754713</v>
      </c>
      <c r="C7193" s="8">
        <f t="array" ref="C7193">PRODUCT(1-'Sparkling Model'!D$2:D$38^A7193)</f>
        <v>0.9013398411</v>
      </c>
    </row>
    <row r="7194">
      <c r="A7194" s="6">
        <v>7192.0</v>
      </c>
      <c r="B7194" s="17">
        <f t="array" ref="B7194">SUM(1-'Sparkling Model'!D$2:D$38^A7194)</f>
        <v>36.8976</v>
      </c>
      <c r="C7194" s="8">
        <f t="array" ref="C7194">PRODUCT(1-'Sparkling Model'!D$2:D$38^A7194)</f>
        <v>0.9013887764</v>
      </c>
    </row>
    <row r="7195">
      <c r="A7195" s="6">
        <v>7193.0</v>
      </c>
      <c r="B7195" s="17">
        <f t="array" ref="B7195">SUM(1-'Sparkling Model'!D$2:D$38^A7195)</f>
        <v>36.89765285</v>
      </c>
      <c r="C7195" s="8">
        <f t="array" ref="C7195">PRODUCT(1-'Sparkling Model'!D$2:D$38^A7195)</f>
        <v>0.9014376875</v>
      </c>
    </row>
    <row r="7196">
      <c r="A7196" s="6">
        <v>7194.0</v>
      </c>
      <c r="B7196" s="17">
        <f t="array" ref="B7196">SUM(1-'Sparkling Model'!D$2:D$38^A7196)</f>
        <v>36.89770567</v>
      </c>
      <c r="C7196" s="8">
        <f t="array" ref="C7196">PRODUCT(1-'Sparkling Model'!D$2:D$38^A7196)</f>
        <v>0.9014865747</v>
      </c>
    </row>
    <row r="7197">
      <c r="A7197" s="6">
        <v>7195.0</v>
      </c>
      <c r="B7197" s="17">
        <f t="array" ref="B7197">SUM(1-'Sparkling Model'!D$2:D$38^A7197)</f>
        <v>36.89775845</v>
      </c>
      <c r="C7197" s="8">
        <f t="array" ref="C7197">PRODUCT(1-'Sparkling Model'!D$2:D$38^A7197)</f>
        <v>0.9015354377</v>
      </c>
    </row>
    <row r="7198">
      <c r="A7198" s="6">
        <v>7196.0</v>
      </c>
      <c r="B7198" s="17">
        <f t="array" ref="B7198">SUM(1-'Sparkling Model'!D$2:D$38^A7198)</f>
        <v>36.89781121</v>
      </c>
      <c r="C7198" s="8">
        <f t="array" ref="C7198">PRODUCT(1-'Sparkling Model'!D$2:D$38^A7198)</f>
        <v>0.9015842767</v>
      </c>
    </row>
    <row r="7199">
      <c r="A7199" s="6">
        <v>7197.0</v>
      </c>
      <c r="B7199" s="17">
        <f t="array" ref="B7199">SUM(1-'Sparkling Model'!D$2:D$38^A7199)</f>
        <v>36.89786395</v>
      </c>
      <c r="C7199" s="8">
        <f t="array" ref="C7199">PRODUCT(1-'Sparkling Model'!D$2:D$38^A7199)</f>
        <v>0.9016330916</v>
      </c>
    </row>
    <row r="7200">
      <c r="A7200" s="6">
        <v>7198.0</v>
      </c>
      <c r="B7200" s="17">
        <f t="array" ref="B7200">SUM(1-'Sparkling Model'!D$2:D$38^A7200)</f>
        <v>36.89791665</v>
      </c>
      <c r="C7200" s="8">
        <f t="array" ref="C7200">PRODUCT(1-'Sparkling Model'!D$2:D$38^A7200)</f>
        <v>0.9016818826</v>
      </c>
    </row>
    <row r="7201">
      <c r="A7201" s="6">
        <v>7199.0</v>
      </c>
      <c r="B7201" s="17">
        <f t="array" ref="B7201">SUM(1-'Sparkling Model'!D$2:D$38^A7201)</f>
        <v>36.89796932</v>
      </c>
      <c r="C7201" s="8">
        <f t="array" ref="C7201">PRODUCT(1-'Sparkling Model'!D$2:D$38^A7201)</f>
        <v>0.9017306495</v>
      </c>
    </row>
    <row r="7202">
      <c r="A7202" s="6">
        <v>7200.0</v>
      </c>
      <c r="B7202" s="17">
        <f t="array" ref="B7202">SUM(1-'Sparkling Model'!D$2:D$38^A7202)</f>
        <v>36.89802197</v>
      </c>
      <c r="C7202" s="8">
        <f t="array" ref="C7202">PRODUCT(1-'Sparkling Model'!D$2:D$38^A7202)</f>
        <v>0.9017793924</v>
      </c>
    </row>
    <row r="7203">
      <c r="A7203" s="6">
        <v>7201.0</v>
      </c>
      <c r="B7203" s="17">
        <f t="array" ref="B7203">SUM(1-'Sparkling Model'!D$2:D$38^A7203)</f>
        <v>36.89807459</v>
      </c>
      <c r="C7203" s="8">
        <f t="array" ref="C7203">PRODUCT(1-'Sparkling Model'!D$2:D$38^A7203)</f>
        <v>0.9018281113</v>
      </c>
    </row>
    <row r="7204">
      <c r="A7204" s="6">
        <v>7202.0</v>
      </c>
      <c r="B7204" s="17">
        <f t="array" ref="B7204">SUM(1-'Sparkling Model'!D$2:D$38^A7204)</f>
        <v>36.89812718</v>
      </c>
      <c r="C7204" s="8">
        <f t="array" ref="C7204">PRODUCT(1-'Sparkling Model'!D$2:D$38^A7204)</f>
        <v>0.9018768062</v>
      </c>
    </row>
    <row r="7205">
      <c r="A7205" s="6">
        <v>7203.0</v>
      </c>
      <c r="B7205" s="17">
        <f t="array" ref="B7205">SUM(1-'Sparkling Model'!D$2:D$38^A7205)</f>
        <v>36.89817975</v>
      </c>
      <c r="C7205" s="8">
        <f t="array" ref="C7205">PRODUCT(1-'Sparkling Model'!D$2:D$38^A7205)</f>
        <v>0.9019254771</v>
      </c>
    </row>
    <row r="7206">
      <c r="A7206" s="6">
        <v>7204.0</v>
      </c>
      <c r="B7206" s="17">
        <f t="array" ref="B7206">SUM(1-'Sparkling Model'!D$2:D$38^A7206)</f>
        <v>36.89823228</v>
      </c>
      <c r="C7206" s="8">
        <f t="array" ref="C7206">PRODUCT(1-'Sparkling Model'!D$2:D$38^A7206)</f>
        <v>0.9019741241</v>
      </c>
    </row>
    <row r="7207">
      <c r="A7207" s="6">
        <v>7205.0</v>
      </c>
      <c r="B7207" s="17">
        <f t="array" ref="B7207">SUM(1-'Sparkling Model'!D$2:D$38^A7207)</f>
        <v>36.89828479</v>
      </c>
      <c r="C7207" s="8">
        <f t="array" ref="C7207">PRODUCT(1-'Sparkling Model'!D$2:D$38^A7207)</f>
        <v>0.9020227472</v>
      </c>
    </row>
    <row r="7208">
      <c r="A7208" s="6">
        <v>7206.0</v>
      </c>
      <c r="B7208" s="17">
        <f t="array" ref="B7208">SUM(1-'Sparkling Model'!D$2:D$38^A7208)</f>
        <v>36.89833727</v>
      </c>
      <c r="C7208" s="8">
        <f t="array" ref="C7208">PRODUCT(1-'Sparkling Model'!D$2:D$38^A7208)</f>
        <v>0.9020713463</v>
      </c>
    </row>
    <row r="7209">
      <c r="A7209" s="6">
        <v>7207.0</v>
      </c>
      <c r="B7209" s="17">
        <f t="array" ref="B7209">SUM(1-'Sparkling Model'!D$2:D$38^A7209)</f>
        <v>36.89838972</v>
      </c>
      <c r="C7209" s="8">
        <f t="array" ref="C7209">PRODUCT(1-'Sparkling Model'!D$2:D$38^A7209)</f>
        <v>0.9021199215</v>
      </c>
    </row>
    <row r="7210">
      <c r="A7210" s="6">
        <v>7208.0</v>
      </c>
      <c r="B7210" s="17">
        <f t="array" ref="B7210">SUM(1-'Sparkling Model'!D$2:D$38^A7210)</f>
        <v>36.89844214</v>
      </c>
      <c r="C7210" s="8">
        <f t="array" ref="C7210">PRODUCT(1-'Sparkling Model'!D$2:D$38^A7210)</f>
        <v>0.9021684727</v>
      </c>
    </row>
    <row r="7211">
      <c r="A7211" s="6">
        <v>7209.0</v>
      </c>
      <c r="B7211" s="17">
        <f t="array" ref="B7211">SUM(1-'Sparkling Model'!D$2:D$38^A7211)</f>
        <v>36.89849453</v>
      </c>
      <c r="C7211" s="8">
        <f t="array" ref="C7211">PRODUCT(1-'Sparkling Model'!D$2:D$38^A7211)</f>
        <v>0.9022170001</v>
      </c>
    </row>
    <row r="7212">
      <c r="A7212" s="6">
        <v>7210.0</v>
      </c>
      <c r="B7212" s="17">
        <f t="array" ref="B7212">SUM(1-'Sparkling Model'!D$2:D$38^A7212)</f>
        <v>36.8985469</v>
      </c>
      <c r="C7212" s="8">
        <f t="array" ref="C7212">PRODUCT(1-'Sparkling Model'!D$2:D$38^A7212)</f>
        <v>0.9022655036</v>
      </c>
    </row>
    <row r="7213">
      <c r="A7213" s="6">
        <v>7211.0</v>
      </c>
      <c r="B7213" s="17">
        <f t="array" ref="B7213">SUM(1-'Sparkling Model'!D$2:D$38^A7213)</f>
        <v>36.89859924</v>
      </c>
      <c r="C7213" s="8">
        <f t="array" ref="C7213">PRODUCT(1-'Sparkling Model'!D$2:D$38^A7213)</f>
        <v>0.9023139831</v>
      </c>
    </row>
    <row r="7214">
      <c r="A7214" s="6">
        <v>7212.0</v>
      </c>
      <c r="B7214" s="17">
        <f t="array" ref="B7214">SUM(1-'Sparkling Model'!D$2:D$38^A7214)</f>
        <v>36.89865155</v>
      </c>
      <c r="C7214" s="8">
        <f t="array" ref="C7214">PRODUCT(1-'Sparkling Model'!D$2:D$38^A7214)</f>
        <v>0.9023624389</v>
      </c>
    </row>
    <row r="7215">
      <c r="A7215" s="6">
        <v>7213.0</v>
      </c>
      <c r="B7215" s="17">
        <f t="array" ref="B7215">SUM(1-'Sparkling Model'!D$2:D$38^A7215)</f>
        <v>36.89870384</v>
      </c>
      <c r="C7215" s="8">
        <f t="array" ref="C7215">PRODUCT(1-'Sparkling Model'!D$2:D$38^A7215)</f>
        <v>0.9024108707</v>
      </c>
    </row>
    <row r="7216">
      <c r="A7216" s="6">
        <v>7214.0</v>
      </c>
      <c r="B7216" s="17">
        <f t="array" ref="B7216">SUM(1-'Sparkling Model'!D$2:D$38^A7216)</f>
        <v>36.89875609</v>
      </c>
      <c r="C7216" s="8">
        <f t="array" ref="C7216">PRODUCT(1-'Sparkling Model'!D$2:D$38^A7216)</f>
        <v>0.9024592788</v>
      </c>
    </row>
    <row r="7217">
      <c r="A7217" s="6">
        <v>7215.0</v>
      </c>
      <c r="B7217" s="17">
        <f t="array" ref="B7217">SUM(1-'Sparkling Model'!D$2:D$38^A7217)</f>
        <v>36.89880832</v>
      </c>
      <c r="C7217" s="8">
        <f t="array" ref="C7217">PRODUCT(1-'Sparkling Model'!D$2:D$38^A7217)</f>
        <v>0.9025076629</v>
      </c>
    </row>
    <row r="7218">
      <c r="A7218" s="6">
        <v>7216.0</v>
      </c>
      <c r="B7218" s="17">
        <f t="array" ref="B7218">SUM(1-'Sparkling Model'!D$2:D$38^A7218)</f>
        <v>36.89886052</v>
      </c>
      <c r="C7218" s="8">
        <f t="array" ref="C7218">PRODUCT(1-'Sparkling Model'!D$2:D$38^A7218)</f>
        <v>0.9025560233</v>
      </c>
    </row>
    <row r="7219">
      <c r="A7219" s="6">
        <v>7217.0</v>
      </c>
      <c r="B7219" s="17">
        <f t="array" ref="B7219">SUM(1-'Sparkling Model'!D$2:D$38^A7219)</f>
        <v>36.89891269</v>
      </c>
      <c r="C7219" s="8">
        <f t="array" ref="C7219">PRODUCT(1-'Sparkling Model'!D$2:D$38^A7219)</f>
        <v>0.9026043599</v>
      </c>
    </row>
    <row r="7220">
      <c r="A7220" s="6">
        <v>7218.0</v>
      </c>
      <c r="B7220" s="17">
        <f t="array" ref="B7220">SUM(1-'Sparkling Model'!D$2:D$38^A7220)</f>
        <v>36.89896483</v>
      </c>
      <c r="C7220" s="8">
        <f t="array" ref="C7220">PRODUCT(1-'Sparkling Model'!D$2:D$38^A7220)</f>
        <v>0.9026526726</v>
      </c>
    </row>
    <row r="7221">
      <c r="A7221" s="6">
        <v>7219.0</v>
      </c>
      <c r="B7221" s="17">
        <f t="array" ref="B7221">SUM(1-'Sparkling Model'!D$2:D$38^A7221)</f>
        <v>36.89901695</v>
      </c>
      <c r="C7221" s="8">
        <f t="array" ref="C7221">PRODUCT(1-'Sparkling Model'!D$2:D$38^A7221)</f>
        <v>0.9027009616</v>
      </c>
    </row>
    <row r="7222">
      <c r="A7222" s="6">
        <v>7220.0</v>
      </c>
      <c r="B7222" s="17">
        <f t="array" ref="B7222">SUM(1-'Sparkling Model'!D$2:D$38^A7222)</f>
        <v>36.89906904</v>
      </c>
      <c r="C7222" s="8">
        <f t="array" ref="C7222">PRODUCT(1-'Sparkling Model'!D$2:D$38^A7222)</f>
        <v>0.9027492268</v>
      </c>
    </row>
    <row r="7223">
      <c r="A7223" s="6">
        <v>7221.0</v>
      </c>
      <c r="B7223" s="17">
        <f t="array" ref="B7223">SUM(1-'Sparkling Model'!D$2:D$38^A7223)</f>
        <v>36.8991211</v>
      </c>
      <c r="C7223" s="8">
        <f t="array" ref="C7223">PRODUCT(1-'Sparkling Model'!D$2:D$38^A7223)</f>
        <v>0.9027974682</v>
      </c>
    </row>
    <row r="7224">
      <c r="A7224" s="6">
        <v>7222.0</v>
      </c>
      <c r="B7224" s="17">
        <f t="array" ref="B7224">SUM(1-'Sparkling Model'!D$2:D$38^A7224)</f>
        <v>36.89917313</v>
      </c>
      <c r="C7224" s="8">
        <f t="array" ref="C7224">PRODUCT(1-'Sparkling Model'!D$2:D$38^A7224)</f>
        <v>0.9028456859</v>
      </c>
    </row>
    <row r="7225">
      <c r="A7225" s="6">
        <v>7223.0</v>
      </c>
      <c r="B7225" s="17">
        <f t="array" ref="B7225">SUM(1-'Sparkling Model'!D$2:D$38^A7225)</f>
        <v>36.89922513</v>
      </c>
      <c r="C7225" s="8">
        <f t="array" ref="C7225">PRODUCT(1-'Sparkling Model'!D$2:D$38^A7225)</f>
        <v>0.9028938798</v>
      </c>
    </row>
    <row r="7226">
      <c r="A7226" s="6">
        <v>7224.0</v>
      </c>
      <c r="B7226" s="17">
        <f t="array" ref="B7226">SUM(1-'Sparkling Model'!D$2:D$38^A7226)</f>
        <v>36.89927711</v>
      </c>
      <c r="C7226" s="8">
        <f t="array" ref="C7226">PRODUCT(1-'Sparkling Model'!D$2:D$38^A7226)</f>
        <v>0.90294205</v>
      </c>
    </row>
    <row r="7227">
      <c r="A7227" s="6">
        <v>7225.0</v>
      </c>
      <c r="B7227" s="17">
        <f t="array" ref="B7227">SUM(1-'Sparkling Model'!D$2:D$38^A7227)</f>
        <v>36.89932906</v>
      </c>
      <c r="C7227" s="8">
        <f t="array" ref="C7227">PRODUCT(1-'Sparkling Model'!D$2:D$38^A7227)</f>
        <v>0.9029901965</v>
      </c>
    </row>
    <row r="7228">
      <c r="A7228" s="6">
        <v>7226.0</v>
      </c>
      <c r="B7228" s="17">
        <f t="array" ref="B7228">SUM(1-'Sparkling Model'!D$2:D$38^A7228)</f>
        <v>36.89938098</v>
      </c>
      <c r="C7228" s="8">
        <f t="array" ref="C7228">PRODUCT(1-'Sparkling Model'!D$2:D$38^A7228)</f>
        <v>0.9030383192</v>
      </c>
    </row>
    <row r="7229">
      <c r="A7229" s="6">
        <v>7227.0</v>
      </c>
      <c r="B7229" s="17">
        <f t="array" ref="B7229">SUM(1-'Sparkling Model'!D$2:D$38^A7229)</f>
        <v>36.89943288</v>
      </c>
      <c r="C7229" s="8">
        <f t="array" ref="C7229">PRODUCT(1-'Sparkling Model'!D$2:D$38^A7229)</f>
        <v>0.9030864183</v>
      </c>
    </row>
    <row r="7230">
      <c r="A7230" s="6">
        <v>7228.0</v>
      </c>
      <c r="B7230" s="17">
        <f t="array" ref="B7230">SUM(1-'Sparkling Model'!D$2:D$38^A7230)</f>
        <v>36.89948474</v>
      </c>
      <c r="C7230" s="8">
        <f t="array" ref="C7230">PRODUCT(1-'Sparkling Model'!D$2:D$38^A7230)</f>
        <v>0.9031344937</v>
      </c>
    </row>
    <row r="7231">
      <c r="A7231" s="6">
        <v>7229.0</v>
      </c>
      <c r="B7231" s="17">
        <f t="array" ref="B7231">SUM(1-'Sparkling Model'!D$2:D$38^A7231)</f>
        <v>36.89953658</v>
      </c>
      <c r="C7231" s="8">
        <f t="array" ref="C7231">PRODUCT(1-'Sparkling Model'!D$2:D$38^A7231)</f>
        <v>0.9031825454</v>
      </c>
    </row>
    <row r="7232">
      <c r="A7232" s="6">
        <v>7230.0</v>
      </c>
      <c r="B7232" s="17">
        <f t="array" ref="B7232">SUM(1-'Sparkling Model'!D$2:D$38^A7232)</f>
        <v>36.89958839</v>
      </c>
      <c r="C7232" s="8">
        <f t="array" ref="C7232">PRODUCT(1-'Sparkling Model'!D$2:D$38^A7232)</f>
        <v>0.9032305735</v>
      </c>
    </row>
    <row r="7233">
      <c r="A7233" s="6">
        <v>7231.0</v>
      </c>
      <c r="B7233" s="17">
        <f t="array" ref="B7233">SUM(1-'Sparkling Model'!D$2:D$38^A7233)</f>
        <v>36.89964018</v>
      </c>
      <c r="C7233" s="8">
        <f t="array" ref="C7233">PRODUCT(1-'Sparkling Model'!D$2:D$38^A7233)</f>
        <v>0.9032785779</v>
      </c>
    </row>
    <row r="7234">
      <c r="A7234" s="6">
        <v>7232.0</v>
      </c>
      <c r="B7234" s="17">
        <f t="array" ref="B7234">SUM(1-'Sparkling Model'!D$2:D$38^A7234)</f>
        <v>36.89969193</v>
      </c>
      <c r="C7234" s="8">
        <f t="array" ref="C7234">PRODUCT(1-'Sparkling Model'!D$2:D$38^A7234)</f>
        <v>0.9033265587</v>
      </c>
    </row>
    <row r="7235">
      <c r="A7235" s="6">
        <v>7233.0</v>
      </c>
      <c r="B7235" s="17">
        <f t="array" ref="B7235">SUM(1-'Sparkling Model'!D$2:D$38^A7235)</f>
        <v>36.89974366</v>
      </c>
      <c r="C7235" s="8">
        <f t="array" ref="C7235">PRODUCT(1-'Sparkling Model'!D$2:D$38^A7235)</f>
        <v>0.9033745158</v>
      </c>
    </row>
    <row r="7236">
      <c r="A7236" s="6">
        <v>7234.0</v>
      </c>
      <c r="B7236" s="17">
        <f t="array" ref="B7236">SUM(1-'Sparkling Model'!D$2:D$38^A7236)</f>
        <v>36.89979536</v>
      </c>
      <c r="C7236" s="8">
        <f t="array" ref="C7236">PRODUCT(1-'Sparkling Model'!D$2:D$38^A7236)</f>
        <v>0.9034224493</v>
      </c>
    </row>
    <row r="7237">
      <c r="A7237" s="6">
        <v>7235.0</v>
      </c>
      <c r="B7237" s="17">
        <f t="array" ref="B7237">SUM(1-'Sparkling Model'!D$2:D$38^A7237)</f>
        <v>36.89984703</v>
      </c>
      <c r="C7237" s="8">
        <f t="array" ref="C7237">PRODUCT(1-'Sparkling Model'!D$2:D$38^A7237)</f>
        <v>0.9034703592</v>
      </c>
    </row>
    <row r="7238">
      <c r="A7238" s="6">
        <v>7236.0</v>
      </c>
      <c r="B7238" s="17">
        <f t="array" ref="B7238">SUM(1-'Sparkling Model'!D$2:D$38^A7238)</f>
        <v>36.89989868</v>
      </c>
      <c r="C7238" s="8">
        <f t="array" ref="C7238">PRODUCT(1-'Sparkling Model'!D$2:D$38^A7238)</f>
        <v>0.9035182455</v>
      </c>
    </row>
    <row r="7239">
      <c r="A7239" s="6">
        <v>7237.0</v>
      </c>
      <c r="B7239" s="17">
        <f t="array" ref="B7239">SUM(1-'Sparkling Model'!D$2:D$38^A7239)</f>
        <v>36.8999503</v>
      </c>
      <c r="C7239" s="8">
        <f t="array" ref="C7239">PRODUCT(1-'Sparkling Model'!D$2:D$38^A7239)</f>
        <v>0.9035661083</v>
      </c>
    </row>
    <row r="7240">
      <c r="A7240" s="6">
        <v>7238.0</v>
      </c>
      <c r="B7240" s="17">
        <f t="array" ref="B7240">SUM(1-'Sparkling Model'!D$2:D$38^A7240)</f>
        <v>36.90000189</v>
      </c>
      <c r="C7240" s="8">
        <f t="array" ref="C7240">PRODUCT(1-'Sparkling Model'!D$2:D$38^A7240)</f>
        <v>0.9036139474</v>
      </c>
    </row>
    <row r="7241">
      <c r="A7241" s="6">
        <v>7239.0</v>
      </c>
      <c r="B7241" s="17">
        <f t="array" ref="B7241">SUM(1-'Sparkling Model'!D$2:D$38^A7241)</f>
        <v>36.90005345</v>
      </c>
      <c r="C7241" s="8">
        <f t="array" ref="C7241">PRODUCT(1-'Sparkling Model'!D$2:D$38^A7241)</f>
        <v>0.9036617631</v>
      </c>
    </row>
    <row r="7242">
      <c r="A7242" s="6">
        <v>7240.0</v>
      </c>
      <c r="B7242" s="17">
        <f t="array" ref="B7242">SUM(1-'Sparkling Model'!D$2:D$38^A7242)</f>
        <v>36.90010498</v>
      </c>
      <c r="C7242" s="8">
        <f t="array" ref="C7242">PRODUCT(1-'Sparkling Model'!D$2:D$38^A7242)</f>
        <v>0.9037095551</v>
      </c>
    </row>
    <row r="7243">
      <c r="A7243" s="6">
        <v>7241.0</v>
      </c>
      <c r="B7243" s="17">
        <f t="array" ref="B7243">SUM(1-'Sparkling Model'!D$2:D$38^A7243)</f>
        <v>36.90015649</v>
      </c>
      <c r="C7243" s="8">
        <f t="array" ref="C7243">PRODUCT(1-'Sparkling Model'!D$2:D$38^A7243)</f>
        <v>0.9037573236</v>
      </c>
    </row>
    <row r="7244">
      <c r="A7244" s="6">
        <v>7242.0</v>
      </c>
      <c r="B7244" s="17">
        <f t="array" ref="B7244">SUM(1-'Sparkling Model'!D$2:D$38^A7244)</f>
        <v>36.90020797</v>
      </c>
      <c r="C7244" s="8">
        <f t="array" ref="C7244">PRODUCT(1-'Sparkling Model'!D$2:D$38^A7244)</f>
        <v>0.9038050686</v>
      </c>
    </row>
    <row r="7245">
      <c r="A7245" s="6">
        <v>7243.0</v>
      </c>
      <c r="B7245" s="17">
        <f t="array" ref="B7245">SUM(1-'Sparkling Model'!D$2:D$38^A7245)</f>
        <v>36.90025942</v>
      </c>
      <c r="C7245" s="8">
        <f t="array" ref="C7245">PRODUCT(1-'Sparkling Model'!D$2:D$38^A7245)</f>
        <v>0.9038527901</v>
      </c>
    </row>
    <row r="7246">
      <c r="A7246" s="6">
        <v>7244.0</v>
      </c>
      <c r="B7246" s="17">
        <f t="array" ref="B7246">SUM(1-'Sparkling Model'!D$2:D$38^A7246)</f>
        <v>36.90031085</v>
      </c>
      <c r="C7246" s="8">
        <f t="array" ref="C7246">PRODUCT(1-'Sparkling Model'!D$2:D$38^A7246)</f>
        <v>0.9039004881</v>
      </c>
    </row>
    <row r="7247">
      <c r="A7247" s="6">
        <v>7245.0</v>
      </c>
      <c r="B7247" s="17">
        <f t="array" ref="B7247">SUM(1-'Sparkling Model'!D$2:D$38^A7247)</f>
        <v>36.90036225</v>
      </c>
      <c r="C7247" s="8">
        <f t="array" ref="C7247">PRODUCT(1-'Sparkling Model'!D$2:D$38^A7247)</f>
        <v>0.9039481626</v>
      </c>
    </row>
    <row r="7248">
      <c r="A7248" s="6">
        <v>7246.0</v>
      </c>
      <c r="B7248" s="17">
        <f t="array" ref="B7248">SUM(1-'Sparkling Model'!D$2:D$38^A7248)</f>
        <v>36.90041362</v>
      </c>
      <c r="C7248" s="8">
        <f t="array" ref="C7248">PRODUCT(1-'Sparkling Model'!D$2:D$38^A7248)</f>
        <v>0.9039958136</v>
      </c>
    </row>
    <row r="7249">
      <c r="A7249" s="6">
        <v>7247.0</v>
      </c>
      <c r="B7249" s="17">
        <f t="array" ref="B7249">SUM(1-'Sparkling Model'!D$2:D$38^A7249)</f>
        <v>36.90046496</v>
      </c>
      <c r="C7249" s="8">
        <f t="array" ref="C7249">PRODUCT(1-'Sparkling Model'!D$2:D$38^A7249)</f>
        <v>0.9040434411</v>
      </c>
    </row>
    <row r="7250">
      <c r="A7250" s="6">
        <v>7248.0</v>
      </c>
      <c r="B7250" s="17">
        <f t="array" ref="B7250">SUM(1-'Sparkling Model'!D$2:D$38^A7250)</f>
        <v>36.90051628</v>
      </c>
      <c r="C7250" s="8">
        <f t="array" ref="C7250">PRODUCT(1-'Sparkling Model'!D$2:D$38^A7250)</f>
        <v>0.9040910452</v>
      </c>
    </row>
    <row r="7251">
      <c r="A7251" s="6">
        <v>7249.0</v>
      </c>
      <c r="B7251" s="17">
        <f t="array" ref="B7251">SUM(1-'Sparkling Model'!D$2:D$38^A7251)</f>
        <v>36.90056757</v>
      </c>
      <c r="C7251" s="8">
        <f t="array" ref="C7251">PRODUCT(1-'Sparkling Model'!D$2:D$38^A7251)</f>
        <v>0.9041386258</v>
      </c>
    </row>
    <row r="7252">
      <c r="A7252" s="6">
        <v>7250.0</v>
      </c>
      <c r="B7252" s="17">
        <f t="array" ref="B7252">SUM(1-'Sparkling Model'!D$2:D$38^A7252)</f>
        <v>36.90061883</v>
      </c>
      <c r="C7252" s="8">
        <f t="array" ref="C7252">PRODUCT(1-'Sparkling Model'!D$2:D$38^A7252)</f>
        <v>0.904186183</v>
      </c>
    </row>
    <row r="7253">
      <c r="A7253" s="6">
        <v>7251.0</v>
      </c>
      <c r="B7253" s="17">
        <f t="array" ref="B7253">SUM(1-'Sparkling Model'!D$2:D$38^A7253)</f>
        <v>36.90067006</v>
      </c>
      <c r="C7253" s="8">
        <f t="array" ref="C7253">PRODUCT(1-'Sparkling Model'!D$2:D$38^A7253)</f>
        <v>0.9042337168</v>
      </c>
    </row>
    <row r="7254">
      <c r="A7254" s="6">
        <v>7252.0</v>
      </c>
      <c r="B7254" s="17">
        <f t="array" ref="B7254">SUM(1-'Sparkling Model'!D$2:D$38^A7254)</f>
        <v>36.90072127</v>
      </c>
      <c r="C7254" s="8">
        <f t="array" ref="C7254">PRODUCT(1-'Sparkling Model'!D$2:D$38^A7254)</f>
        <v>0.9042812272</v>
      </c>
    </row>
    <row r="7255">
      <c r="A7255" s="6">
        <v>7253.0</v>
      </c>
      <c r="B7255" s="17">
        <f t="array" ref="B7255">SUM(1-'Sparkling Model'!D$2:D$38^A7255)</f>
        <v>36.90077245</v>
      </c>
      <c r="C7255" s="8">
        <f t="array" ref="C7255">PRODUCT(1-'Sparkling Model'!D$2:D$38^A7255)</f>
        <v>0.9043287141</v>
      </c>
    </row>
    <row r="7256">
      <c r="A7256" s="6">
        <v>7254.0</v>
      </c>
      <c r="B7256" s="17">
        <f t="array" ref="B7256">SUM(1-'Sparkling Model'!D$2:D$38^A7256)</f>
        <v>36.9008236</v>
      </c>
      <c r="C7256" s="8">
        <f t="array" ref="C7256">PRODUCT(1-'Sparkling Model'!D$2:D$38^A7256)</f>
        <v>0.9043761777</v>
      </c>
    </row>
    <row r="7257">
      <c r="A7257" s="6">
        <v>7255.0</v>
      </c>
      <c r="B7257" s="17">
        <f t="array" ref="B7257">SUM(1-'Sparkling Model'!D$2:D$38^A7257)</f>
        <v>36.90087472</v>
      </c>
      <c r="C7257" s="8">
        <f t="array" ref="C7257">PRODUCT(1-'Sparkling Model'!D$2:D$38^A7257)</f>
        <v>0.9044236179</v>
      </c>
    </row>
    <row r="7258">
      <c r="A7258" s="6">
        <v>7256.0</v>
      </c>
      <c r="B7258" s="17">
        <f t="array" ref="B7258">SUM(1-'Sparkling Model'!D$2:D$38^A7258)</f>
        <v>36.90092582</v>
      </c>
      <c r="C7258" s="8">
        <f t="array" ref="C7258">PRODUCT(1-'Sparkling Model'!D$2:D$38^A7258)</f>
        <v>0.9044710347</v>
      </c>
    </row>
    <row r="7259">
      <c r="A7259" s="6">
        <v>7257.0</v>
      </c>
      <c r="B7259" s="17">
        <f t="array" ref="B7259">SUM(1-'Sparkling Model'!D$2:D$38^A7259)</f>
        <v>36.90097689</v>
      </c>
      <c r="C7259" s="8">
        <f t="array" ref="C7259">PRODUCT(1-'Sparkling Model'!D$2:D$38^A7259)</f>
        <v>0.9045184282</v>
      </c>
    </row>
    <row r="7260">
      <c r="A7260" s="6">
        <v>7258.0</v>
      </c>
      <c r="B7260" s="17">
        <f t="array" ref="B7260">SUM(1-'Sparkling Model'!D$2:D$38^A7260)</f>
        <v>36.90102793</v>
      </c>
      <c r="C7260" s="8">
        <f t="array" ref="C7260">PRODUCT(1-'Sparkling Model'!D$2:D$38^A7260)</f>
        <v>0.9045657983</v>
      </c>
    </row>
    <row r="7261">
      <c r="A7261" s="6">
        <v>7259.0</v>
      </c>
      <c r="B7261" s="17">
        <f t="array" ref="B7261">SUM(1-'Sparkling Model'!D$2:D$38^A7261)</f>
        <v>36.90107895</v>
      </c>
      <c r="C7261" s="8">
        <f t="array" ref="C7261">PRODUCT(1-'Sparkling Model'!D$2:D$38^A7261)</f>
        <v>0.9046131451</v>
      </c>
    </row>
    <row r="7262">
      <c r="A7262" s="6">
        <v>7260.0</v>
      </c>
      <c r="B7262" s="17">
        <f t="array" ref="B7262">SUM(1-'Sparkling Model'!D$2:D$38^A7262)</f>
        <v>36.90112994</v>
      </c>
      <c r="C7262" s="8">
        <f t="array" ref="C7262">PRODUCT(1-'Sparkling Model'!D$2:D$38^A7262)</f>
        <v>0.9046604685</v>
      </c>
    </row>
    <row r="7263">
      <c r="A7263" s="6">
        <v>7261.0</v>
      </c>
      <c r="B7263" s="17">
        <f t="array" ref="B7263">SUM(1-'Sparkling Model'!D$2:D$38^A7263)</f>
        <v>36.9011809</v>
      </c>
      <c r="C7263" s="8">
        <f t="array" ref="C7263">PRODUCT(1-'Sparkling Model'!D$2:D$38^A7263)</f>
        <v>0.9047077687</v>
      </c>
    </row>
    <row r="7264">
      <c r="A7264" s="6">
        <v>7262.0</v>
      </c>
      <c r="B7264" s="17">
        <f t="array" ref="B7264">SUM(1-'Sparkling Model'!D$2:D$38^A7264)</f>
        <v>36.90123183</v>
      </c>
      <c r="C7264" s="8">
        <f t="array" ref="C7264">PRODUCT(1-'Sparkling Model'!D$2:D$38^A7264)</f>
        <v>0.9047550455</v>
      </c>
    </row>
    <row r="7265">
      <c r="A7265" s="6">
        <v>7263.0</v>
      </c>
      <c r="B7265" s="17">
        <f t="array" ref="B7265">SUM(1-'Sparkling Model'!D$2:D$38^A7265)</f>
        <v>36.90128274</v>
      </c>
      <c r="C7265" s="8">
        <f t="array" ref="C7265">PRODUCT(1-'Sparkling Model'!D$2:D$38^A7265)</f>
        <v>0.9048022991</v>
      </c>
    </row>
    <row r="7266">
      <c r="A7266" s="6">
        <v>7264.0</v>
      </c>
      <c r="B7266" s="17">
        <f t="array" ref="B7266">SUM(1-'Sparkling Model'!D$2:D$38^A7266)</f>
        <v>36.90133362</v>
      </c>
      <c r="C7266" s="8">
        <f t="array" ref="C7266">PRODUCT(1-'Sparkling Model'!D$2:D$38^A7266)</f>
        <v>0.9048495294</v>
      </c>
    </row>
    <row r="7267">
      <c r="A7267" s="6">
        <v>7265.0</v>
      </c>
      <c r="B7267" s="17">
        <f t="array" ref="B7267">SUM(1-'Sparkling Model'!D$2:D$38^A7267)</f>
        <v>36.90138447</v>
      </c>
      <c r="C7267" s="8">
        <f t="array" ref="C7267">PRODUCT(1-'Sparkling Model'!D$2:D$38^A7267)</f>
        <v>0.9048967364</v>
      </c>
    </row>
    <row r="7268">
      <c r="A7268" s="6">
        <v>7266.0</v>
      </c>
      <c r="B7268" s="17">
        <f t="array" ref="B7268">SUM(1-'Sparkling Model'!D$2:D$38^A7268)</f>
        <v>36.9014353</v>
      </c>
      <c r="C7268" s="8">
        <f t="array" ref="C7268">PRODUCT(1-'Sparkling Model'!D$2:D$38^A7268)</f>
        <v>0.9049439202</v>
      </c>
    </row>
    <row r="7269">
      <c r="A7269" s="6">
        <v>7267.0</v>
      </c>
      <c r="B7269" s="17">
        <f t="array" ref="B7269">SUM(1-'Sparkling Model'!D$2:D$38^A7269)</f>
        <v>36.9014861</v>
      </c>
      <c r="C7269" s="8">
        <f t="array" ref="C7269">PRODUCT(1-'Sparkling Model'!D$2:D$38^A7269)</f>
        <v>0.9049910807</v>
      </c>
    </row>
    <row r="7270">
      <c r="A7270" s="6">
        <v>7268.0</v>
      </c>
      <c r="B7270" s="17">
        <f t="array" ref="B7270">SUM(1-'Sparkling Model'!D$2:D$38^A7270)</f>
        <v>36.90153687</v>
      </c>
      <c r="C7270" s="8">
        <f t="array" ref="C7270">PRODUCT(1-'Sparkling Model'!D$2:D$38^A7270)</f>
        <v>0.905038218</v>
      </c>
    </row>
    <row r="7271">
      <c r="A7271" s="6">
        <v>7269.0</v>
      </c>
      <c r="B7271" s="17">
        <f t="array" ref="B7271">SUM(1-'Sparkling Model'!D$2:D$38^A7271)</f>
        <v>36.90158761</v>
      </c>
      <c r="C7271" s="8">
        <f t="array" ref="C7271">PRODUCT(1-'Sparkling Model'!D$2:D$38^A7271)</f>
        <v>0.905085332</v>
      </c>
    </row>
    <row r="7272">
      <c r="A7272" s="6">
        <v>7270.0</v>
      </c>
      <c r="B7272" s="17">
        <f t="array" ref="B7272">SUM(1-'Sparkling Model'!D$2:D$38^A7272)</f>
        <v>36.90163833</v>
      </c>
      <c r="C7272" s="8">
        <f t="array" ref="C7272">PRODUCT(1-'Sparkling Model'!D$2:D$38^A7272)</f>
        <v>0.9051324229</v>
      </c>
    </row>
    <row r="7273">
      <c r="A7273" s="6">
        <v>7271.0</v>
      </c>
      <c r="B7273" s="17">
        <f t="array" ref="B7273">SUM(1-'Sparkling Model'!D$2:D$38^A7273)</f>
        <v>36.90168902</v>
      </c>
      <c r="C7273" s="8">
        <f t="array" ref="C7273">PRODUCT(1-'Sparkling Model'!D$2:D$38^A7273)</f>
        <v>0.9051794905</v>
      </c>
    </row>
    <row r="7274">
      <c r="A7274" s="6">
        <v>7272.0</v>
      </c>
      <c r="B7274" s="17">
        <f t="array" ref="B7274">SUM(1-'Sparkling Model'!D$2:D$38^A7274)</f>
        <v>36.90173968</v>
      </c>
      <c r="C7274" s="8">
        <f t="array" ref="C7274">PRODUCT(1-'Sparkling Model'!D$2:D$38^A7274)</f>
        <v>0.905226535</v>
      </c>
    </row>
    <row r="7275">
      <c r="A7275" s="6">
        <v>7273.0</v>
      </c>
      <c r="B7275" s="17">
        <f t="array" ref="B7275">SUM(1-'Sparkling Model'!D$2:D$38^A7275)</f>
        <v>36.90179032</v>
      </c>
      <c r="C7275" s="8">
        <f t="array" ref="C7275">PRODUCT(1-'Sparkling Model'!D$2:D$38^A7275)</f>
        <v>0.9052735563</v>
      </c>
    </row>
    <row r="7276">
      <c r="A7276" s="6">
        <v>7274.0</v>
      </c>
      <c r="B7276" s="17">
        <f t="array" ref="B7276">SUM(1-'Sparkling Model'!D$2:D$38^A7276)</f>
        <v>36.90184093</v>
      </c>
      <c r="C7276" s="8">
        <f t="array" ref="C7276">PRODUCT(1-'Sparkling Model'!D$2:D$38^A7276)</f>
        <v>0.9053205544</v>
      </c>
    </row>
    <row r="7277">
      <c r="A7277" s="6">
        <v>7275.0</v>
      </c>
      <c r="B7277" s="17">
        <f t="array" ref="B7277">SUM(1-'Sparkling Model'!D$2:D$38^A7277)</f>
        <v>36.90189151</v>
      </c>
      <c r="C7277" s="8">
        <f t="array" ref="C7277">PRODUCT(1-'Sparkling Model'!D$2:D$38^A7277)</f>
        <v>0.9053675294</v>
      </c>
    </row>
    <row r="7278">
      <c r="A7278" s="6">
        <v>7276.0</v>
      </c>
      <c r="B7278" s="17">
        <f t="array" ref="B7278">SUM(1-'Sparkling Model'!D$2:D$38^A7278)</f>
        <v>36.90194207</v>
      </c>
      <c r="C7278" s="8">
        <f t="array" ref="C7278">PRODUCT(1-'Sparkling Model'!D$2:D$38^A7278)</f>
        <v>0.9054144812</v>
      </c>
    </row>
    <row r="7279">
      <c r="A7279" s="6">
        <v>7277.0</v>
      </c>
      <c r="B7279" s="17">
        <f t="array" ref="B7279">SUM(1-'Sparkling Model'!D$2:D$38^A7279)</f>
        <v>36.9019926</v>
      </c>
      <c r="C7279" s="8">
        <f t="array" ref="C7279">PRODUCT(1-'Sparkling Model'!D$2:D$38^A7279)</f>
        <v>0.9054614099</v>
      </c>
    </row>
    <row r="7280">
      <c r="A7280" s="6">
        <v>7278.0</v>
      </c>
      <c r="B7280" s="17">
        <f t="array" ref="B7280">SUM(1-'Sparkling Model'!D$2:D$38^A7280)</f>
        <v>36.9020431</v>
      </c>
      <c r="C7280" s="8">
        <f t="array" ref="C7280">PRODUCT(1-'Sparkling Model'!D$2:D$38^A7280)</f>
        <v>0.9055083155</v>
      </c>
    </row>
    <row r="7281">
      <c r="A7281" s="6">
        <v>7279.0</v>
      </c>
      <c r="B7281" s="17">
        <f t="array" ref="B7281">SUM(1-'Sparkling Model'!D$2:D$38^A7281)</f>
        <v>36.90209357</v>
      </c>
      <c r="C7281" s="8">
        <f t="array" ref="C7281">PRODUCT(1-'Sparkling Model'!D$2:D$38^A7281)</f>
        <v>0.905555198</v>
      </c>
    </row>
    <row r="7282">
      <c r="A7282" s="6">
        <v>7280.0</v>
      </c>
      <c r="B7282" s="17">
        <f t="array" ref="B7282">SUM(1-'Sparkling Model'!D$2:D$38^A7282)</f>
        <v>36.90214402</v>
      </c>
      <c r="C7282" s="8">
        <f t="array" ref="C7282">PRODUCT(1-'Sparkling Model'!D$2:D$38^A7282)</f>
        <v>0.9056020573</v>
      </c>
    </row>
    <row r="7283">
      <c r="A7283" s="6">
        <v>7281.0</v>
      </c>
      <c r="B7283" s="17">
        <f t="array" ref="B7283">SUM(1-'Sparkling Model'!D$2:D$38^A7283)</f>
        <v>36.90219444</v>
      </c>
      <c r="C7283" s="8">
        <f t="array" ref="C7283">PRODUCT(1-'Sparkling Model'!D$2:D$38^A7283)</f>
        <v>0.9056488936</v>
      </c>
    </row>
    <row r="7284">
      <c r="A7284" s="6">
        <v>7282.0</v>
      </c>
      <c r="B7284" s="17">
        <f t="array" ref="B7284">SUM(1-'Sparkling Model'!D$2:D$38^A7284)</f>
        <v>36.90224484</v>
      </c>
      <c r="C7284" s="8">
        <f t="array" ref="C7284">PRODUCT(1-'Sparkling Model'!D$2:D$38^A7284)</f>
        <v>0.9056957068</v>
      </c>
    </row>
    <row r="7285">
      <c r="A7285" s="6">
        <v>7283.0</v>
      </c>
      <c r="B7285" s="17">
        <f t="array" ref="B7285">SUM(1-'Sparkling Model'!D$2:D$38^A7285)</f>
        <v>36.90229521</v>
      </c>
      <c r="C7285" s="8">
        <f t="array" ref="C7285">PRODUCT(1-'Sparkling Model'!D$2:D$38^A7285)</f>
        <v>0.9057424969</v>
      </c>
    </row>
    <row r="7286">
      <c r="A7286" s="6">
        <v>7284.0</v>
      </c>
      <c r="B7286" s="17">
        <f t="array" ref="B7286">SUM(1-'Sparkling Model'!D$2:D$38^A7286)</f>
        <v>36.90234555</v>
      </c>
      <c r="C7286" s="8">
        <f t="array" ref="C7286">PRODUCT(1-'Sparkling Model'!D$2:D$38^A7286)</f>
        <v>0.905789264</v>
      </c>
    </row>
    <row r="7287">
      <c r="A7287" s="6">
        <v>7285.0</v>
      </c>
      <c r="B7287" s="17">
        <f t="array" ref="B7287">SUM(1-'Sparkling Model'!D$2:D$38^A7287)</f>
        <v>36.90239586</v>
      </c>
      <c r="C7287" s="8">
        <f t="array" ref="C7287">PRODUCT(1-'Sparkling Model'!D$2:D$38^A7287)</f>
        <v>0.905836008</v>
      </c>
    </row>
    <row r="7288">
      <c r="A7288" s="6">
        <v>7286.0</v>
      </c>
      <c r="B7288" s="17">
        <f t="array" ref="B7288">SUM(1-'Sparkling Model'!D$2:D$38^A7288)</f>
        <v>36.90244615</v>
      </c>
      <c r="C7288" s="8">
        <f t="array" ref="C7288">PRODUCT(1-'Sparkling Model'!D$2:D$38^A7288)</f>
        <v>0.9058827291</v>
      </c>
    </row>
    <row r="7289">
      <c r="A7289" s="6">
        <v>7287.0</v>
      </c>
      <c r="B7289" s="17">
        <f t="array" ref="B7289">SUM(1-'Sparkling Model'!D$2:D$38^A7289)</f>
        <v>36.90249641</v>
      </c>
      <c r="C7289" s="8">
        <f t="array" ref="C7289">PRODUCT(1-'Sparkling Model'!D$2:D$38^A7289)</f>
        <v>0.905929427</v>
      </c>
    </row>
    <row r="7290">
      <c r="A7290" s="6">
        <v>7288.0</v>
      </c>
      <c r="B7290" s="17">
        <f t="array" ref="B7290">SUM(1-'Sparkling Model'!D$2:D$38^A7290)</f>
        <v>36.90254664</v>
      </c>
      <c r="C7290" s="8">
        <f t="array" ref="C7290">PRODUCT(1-'Sparkling Model'!D$2:D$38^A7290)</f>
        <v>0.905976102</v>
      </c>
    </row>
    <row r="7291">
      <c r="A7291" s="6">
        <v>7289.0</v>
      </c>
      <c r="B7291" s="17">
        <f t="array" ref="B7291">SUM(1-'Sparkling Model'!D$2:D$38^A7291)</f>
        <v>36.90259685</v>
      </c>
      <c r="C7291" s="8">
        <f t="array" ref="C7291">PRODUCT(1-'Sparkling Model'!D$2:D$38^A7291)</f>
        <v>0.906022754</v>
      </c>
    </row>
    <row r="7292">
      <c r="A7292" s="6">
        <v>7290.0</v>
      </c>
      <c r="B7292" s="17">
        <f t="array" ref="B7292">SUM(1-'Sparkling Model'!D$2:D$38^A7292)</f>
        <v>36.90264703</v>
      </c>
      <c r="C7292" s="8">
        <f t="array" ref="C7292">PRODUCT(1-'Sparkling Model'!D$2:D$38^A7292)</f>
        <v>0.906069383</v>
      </c>
    </row>
    <row r="7293">
      <c r="A7293" s="6">
        <v>7291.0</v>
      </c>
      <c r="B7293" s="17">
        <f t="array" ref="B7293">SUM(1-'Sparkling Model'!D$2:D$38^A7293)</f>
        <v>36.90269718</v>
      </c>
      <c r="C7293" s="8">
        <f t="array" ref="C7293">PRODUCT(1-'Sparkling Model'!D$2:D$38^A7293)</f>
        <v>0.906115989</v>
      </c>
    </row>
    <row r="7294">
      <c r="A7294" s="6">
        <v>7292.0</v>
      </c>
      <c r="B7294" s="17">
        <f t="array" ref="B7294">SUM(1-'Sparkling Model'!D$2:D$38^A7294)</f>
        <v>36.90274731</v>
      </c>
      <c r="C7294" s="8">
        <f t="array" ref="C7294">PRODUCT(1-'Sparkling Model'!D$2:D$38^A7294)</f>
        <v>0.906162572</v>
      </c>
    </row>
    <row r="7295">
      <c r="A7295" s="6">
        <v>7293.0</v>
      </c>
      <c r="B7295" s="17">
        <f t="array" ref="B7295">SUM(1-'Sparkling Model'!D$2:D$38^A7295)</f>
        <v>36.90279741</v>
      </c>
      <c r="C7295" s="8">
        <f t="array" ref="C7295">PRODUCT(1-'Sparkling Model'!D$2:D$38^A7295)</f>
        <v>0.9062091321</v>
      </c>
    </row>
    <row r="7296">
      <c r="A7296" s="6">
        <v>7294.0</v>
      </c>
      <c r="B7296" s="17">
        <f t="array" ref="B7296">SUM(1-'Sparkling Model'!D$2:D$38^A7296)</f>
        <v>36.90284748</v>
      </c>
      <c r="C7296" s="8">
        <f t="array" ref="C7296">PRODUCT(1-'Sparkling Model'!D$2:D$38^A7296)</f>
        <v>0.9062556693</v>
      </c>
    </row>
    <row r="7297">
      <c r="A7297" s="6">
        <v>7295.0</v>
      </c>
      <c r="B7297" s="17">
        <f t="array" ref="B7297">SUM(1-'Sparkling Model'!D$2:D$38^A7297)</f>
        <v>36.90289753</v>
      </c>
      <c r="C7297" s="8">
        <f t="array" ref="C7297">PRODUCT(1-'Sparkling Model'!D$2:D$38^A7297)</f>
        <v>0.9063021835</v>
      </c>
    </row>
    <row r="7298">
      <c r="A7298" s="6">
        <v>7296.0</v>
      </c>
      <c r="B7298" s="17">
        <f t="array" ref="B7298">SUM(1-'Sparkling Model'!D$2:D$38^A7298)</f>
        <v>36.90294755</v>
      </c>
      <c r="C7298" s="8">
        <f t="array" ref="C7298">PRODUCT(1-'Sparkling Model'!D$2:D$38^A7298)</f>
        <v>0.9063486748</v>
      </c>
    </row>
    <row r="7299">
      <c r="A7299" s="6">
        <v>7297.0</v>
      </c>
      <c r="B7299" s="17">
        <f t="array" ref="B7299">SUM(1-'Sparkling Model'!D$2:D$38^A7299)</f>
        <v>36.90299754</v>
      </c>
      <c r="C7299" s="8">
        <f t="array" ref="C7299">PRODUCT(1-'Sparkling Model'!D$2:D$38^A7299)</f>
        <v>0.9063951432</v>
      </c>
    </row>
    <row r="7300">
      <c r="A7300" s="6">
        <v>7298.0</v>
      </c>
      <c r="B7300" s="17">
        <f t="array" ref="B7300">SUM(1-'Sparkling Model'!D$2:D$38^A7300)</f>
        <v>36.90304751</v>
      </c>
      <c r="C7300" s="8">
        <f t="array" ref="C7300">PRODUCT(1-'Sparkling Model'!D$2:D$38^A7300)</f>
        <v>0.9064415886</v>
      </c>
    </row>
    <row r="7301">
      <c r="A7301" s="6">
        <v>7299.0</v>
      </c>
      <c r="B7301" s="17">
        <f t="array" ref="B7301">SUM(1-'Sparkling Model'!D$2:D$38^A7301)</f>
        <v>36.90309745</v>
      </c>
      <c r="C7301" s="8">
        <f t="array" ref="C7301">PRODUCT(1-'Sparkling Model'!D$2:D$38^A7301)</f>
        <v>0.9064880112</v>
      </c>
    </row>
    <row r="7302">
      <c r="A7302" s="6">
        <v>7300.0</v>
      </c>
      <c r="B7302" s="17">
        <f t="array" ref="B7302">SUM(1-'Sparkling Model'!D$2:D$38^A7302)</f>
        <v>36.90314736</v>
      </c>
      <c r="C7302" s="8">
        <f t="array" ref="C7302">PRODUCT(1-'Sparkling Model'!D$2:D$38^A7302)</f>
        <v>0.906534411</v>
      </c>
    </row>
    <row r="7303">
      <c r="A7303" s="6">
        <v>7301.0</v>
      </c>
      <c r="B7303" s="17">
        <f t="array" ref="B7303">SUM(1-'Sparkling Model'!D$2:D$38^A7303)</f>
        <v>36.90319725</v>
      </c>
      <c r="C7303" s="8">
        <f t="array" ref="C7303">PRODUCT(1-'Sparkling Model'!D$2:D$38^A7303)</f>
        <v>0.9065807878</v>
      </c>
    </row>
    <row r="7304">
      <c r="A7304" s="6">
        <v>7302.0</v>
      </c>
      <c r="B7304" s="17">
        <f t="array" ref="B7304">SUM(1-'Sparkling Model'!D$2:D$38^A7304)</f>
        <v>36.90324711</v>
      </c>
      <c r="C7304" s="8">
        <f t="array" ref="C7304">PRODUCT(1-'Sparkling Model'!D$2:D$38^A7304)</f>
        <v>0.9066271418</v>
      </c>
    </row>
    <row r="7305">
      <c r="A7305" s="6">
        <v>7303.0</v>
      </c>
      <c r="B7305" s="17">
        <f t="array" ref="B7305">SUM(1-'Sparkling Model'!D$2:D$38^A7305)</f>
        <v>36.90329694</v>
      </c>
      <c r="C7305" s="8">
        <f t="array" ref="C7305">PRODUCT(1-'Sparkling Model'!D$2:D$38^A7305)</f>
        <v>0.906673473</v>
      </c>
    </row>
    <row r="7306">
      <c r="A7306" s="6">
        <v>7304.0</v>
      </c>
      <c r="B7306" s="17">
        <f t="array" ref="B7306">SUM(1-'Sparkling Model'!D$2:D$38^A7306)</f>
        <v>36.90334675</v>
      </c>
      <c r="C7306" s="8">
        <f t="array" ref="C7306">PRODUCT(1-'Sparkling Model'!D$2:D$38^A7306)</f>
        <v>0.9067197813</v>
      </c>
    </row>
    <row r="7307">
      <c r="A7307" s="6">
        <v>7305.0</v>
      </c>
      <c r="B7307" s="17">
        <f t="array" ref="B7307">SUM(1-'Sparkling Model'!D$2:D$38^A7307)</f>
        <v>36.90339653</v>
      </c>
      <c r="C7307" s="8">
        <f t="array" ref="C7307">PRODUCT(1-'Sparkling Model'!D$2:D$38^A7307)</f>
        <v>0.9067660668</v>
      </c>
    </row>
    <row r="7308">
      <c r="A7308" s="6">
        <v>7306.0</v>
      </c>
      <c r="B7308" s="17">
        <f t="array" ref="B7308">SUM(1-'Sparkling Model'!D$2:D$38^A7308)</f>
        <v>36.90344628</v>
      </c>
      <c r="C7308" s="8">
        <f t="array" ref="C7308">PRODUCT(1-'Sparkling Model'!D$2:D$38^A7308)</f>
        <v>0.9068123295</v>
      </c>
    </row>
    <row r="7309">
      <c r="A7309" s="6">
        <v>7307.0</v>
      </c>
      <c r="B7309" s="17">
        <f t="array" ref="B7309">SUM(1-'Sparkling Model'!D$2:D$38^A7309)</f>
        <v>36.90349601</v>
      </c>
      <c r="C7309" s="8">
        <f t="array" ref="C7309">PRODUCT(1-'Sparkling Model'!D$2:D$38^A7309)</f>
        <v>0.9068585694</v>
      </c>
    </row>
    <row r="7310">
      <c r="A7310" s="6">
        <v>7308.0</v>
      </c>
      <c r="B7310" s="17">
        <f t="array" ref="B7310">SUM(1-'Sparkling Model'!D$2:D$38^A7310)</f>
        <v>36.90354571</v>
      </c>
      <c r="C7310" s="8">
        <f t="array" ref="C7310">PRODUCT(1-'Sparkling Model'!D$2:D$38^A7310)</f>
        <v>0.9069047865</v>
      </c>
    </row>
    <row r="7311">
      <c r="A7311" s="6">
        <v>7309.0</v>
      </c>
      <c r="B7311" s="17">
        <f t="array" ref="B7311">SUM(1-'Sparkling Model'!D$2:D$38^A7311)</f>
        <v>36.90359539</v>
      </c>
      <c r="C7311" s="8">
        <f t="array" ref="C7311">PRODUCT(1-'Sparkling Model'!D$2:D$38^A7311)</f>
        <v>0.9069509808</v>
      </c>
    </row>
    <row r="7312">
      <c r="A7312" s="6">
        <v>7310.0</v>
      </c>
      <c r="B7312" s="17">
        <f t="array" ref="B7312">SUM(1-'Sparkling Model'!D$2:D$38^A7312)</f>
        <v>36.90364504</v>
      </c>
      <c r="C7312" s="8">
        <f t="array" ref="C7312">PRODUCT(1-'Sparkling Model'!D$2:D$38^A7312)</f>
        <v>0.9069971523</v>
      </c>
    </row>
    <row r="7313">
      <c r="A7313" s="6">
        <v>7311.0</v>
      </c>
      <c r="B7313" s="17">
        <f t="array" ref="B7313">SUM(1-'Sparkling Model'!D$2:D$38^A7313)</f>
        <v>36.90369466</v>
      </c>
      <c r="C7313" s="8">
        <f t="array" ref="C7313">PRODUCT(1-'Sparkling Model'!D$2:D$38^A7313)</f>
        <v>0.9070433011</v>
      </c>
    </row>
    <row r="7314">
      <c r="A7314" s="6">
        <v>7312.0</v>
      </c>
      <c r="B7314" s="17">
        <f t="array" ref="B7314">SUM(1-'Sparkling Model'!D$2:D$38^A7314)</f>
        <v>36.90374426</v>
      </c>
      <c r="C7314" s="8">
        <f t="array" ref="C7314">PRODUCT(1-'Sparkling Model'!D$2:D$38^A7314)</f>
        <v>0.9070894272</v>
      </c>
    </row>
    <row r="7315">
      <c r="A7315" s="6">
        <v>7313.0</v>
      </c>
      <c r="B7315" s="17">
        <f t="array" ref="B7315">SUM(1-'Sparkling Model'!D$2:D$38^A7315)</f>
        <v>36.90379383</v>
      </c>
      <c r="C7315" s="8">
        <f t="array" ref="C7315">PRODUCT(1-'Sparkling Model'!D$2:D$38^A7315)</f>
        <v>0.9071355305</v>
      </c>
    </row>
    <row r="7316">
      <c r="A7316" s="6">
        <v>7314.0</v>
      </c>
      <c r="B7316" s="17">
        <f t="array" ref="B7316">SUM(1-'Sparkling Model'!D$2:D$38^A7316)</f>
        <v>36.90384337</v>
      </c>
      <c r="C7316" s="8">
        <f t="array" ref="C7316">PRODUCT(1-'Sparkling Model'!D$2:D$38^A7316)</f>
        <v>0.9071816111</v>
      </c>
    </row>
    <row r="7317">
      <c r="A7317" s="6">
        <v>7315.0</v>
      </c>
      <c r="B7317" s="17">
        <f t="array" ref="B7317">SUM(1-'Sparkling Model'!D$2:D$38^A7317)</f>
        <v>36.90389288</v>
      </c>
      <c r="C7317" s="8">
        <f t="array" ref="C7317">PRODUCT(1-'Sparkling Model'!D$2:D$38^A7317)</f>
        <v>0.907227669</v>
      </c>
    </row>
    <row r="7318">
      <c r="A7318" s="6">
        <v>7316.0</v>
      </c>
      <c r="B7318" s="17">
        <f t="array" ref="B7318">SUM(1-'Sparkling Model'!D$2:D$38^A7318)</f>
        <v>36.90394238</v>
      </c>
      <c r="C7318" s="8">
        <f t="array" ref="C7318">PRODUCT(1-'Sparkling Model'!D$2:D$38^A7318)</f>
        <v>0.9072737042</v>
      </c>
    </row>
    <row r="7319">
      <c r="A7319" s="6">
        <v>7317.0</v>
      </c>
      <c r="B7319" s="17">
        <f t="array" ref="B7319">SUM(1-'Sparkling Model'!D$2:D$38^A7319)</f>
        <v>36.90399184</v>
      </c>
      <c r="C7319" s="8">
        <f t="array" ref="C7319">PRODUCT(1-'Sparkling Model'!D$2:D$38^A7319)</f>
        <v>0.9073197167</v>
      </c>
    </row>
    <row r="7320">
      <c r="A7320" s="6">
        <v>7318.0</v>
      </c>
      <c r="B7320" s="17">
        <f t="array" ref="B7320">SUM(1-'Sparkling Model'!D$2:D$38^A7320)</f>
        <v>36.90404128</v>
      </c>
      <c r="C7320" s="8">
        <f t="array" ref="C7320">PRODUCT(1-'Sparkling Model'!D$2:D$38^A7320)</f>
        <v>0.9073657065</v>
      </c>
    </row>
    <row r="7321">
      <c r="A7321" s="6">
        <v>7319.0</v>
      </c>
      <c r="B7321" s="17">
        <f t="array" ref="B7321">SUM(1-'Sparkling Model'!D$2:D$38^A7321)</f>
        <v>36.90409069</v>
      </c>
      <c r="C7321" s="8">
        <f t="array" ref="C7321">PRODUCT(1-'Sparkling Model'!D$2:D$38^A7321)</f>
        <v>0.9074116736</v>
      </c>
    </row>
    <row r="7322">
      <c r="A7322" s="6">
        <v>7320.0</v>
      </c>
      <c r="B7322" s="17">
        <f t="array" ref="B7322">SUM(1-'Sparkling Model'!D$2:D$38^A7322)</f>
        <v>36.90414007</v>
      </c>
      <c r="C7322" s="8">
        <f t="array" ref="C7322">PRODUCT(1-'Sparkling Model'!D$2:D$38^A7322)</f>
        <v>0.9074576181</v>
      </c>
    </row>
    <row r="7323">
      <c r="A7323" s="6">
        <v>7321.0</v>
      </c>
      <c r="B7323" s="17">
        <f t="array" ref="B7323">SUM(1-'Sparkling Model'!D$2:D$38^A7323)</f>
        <v>36.90418943</v>
      </c>
      <c r="C7323" s="8">
        <f t="array" ref="C7323">PRODUCT(1-'Sparkling Model'!D$2:D$38^A7323)</f>
        <v>0.90750354</v>
      </c>
    </row>
    <row r="7324">
      <c r="A7324" s="6">
        <v>7322.0</v>
      </c>
      <c r="B7324" s="17">
        <f t="array" ref="B7324">SUM(1-'Sparkling Model'!D$2:D$38^A7324)</f>
        <v>36.90423876</v>
      </c>
      <c r="C7324" s="8">
        <f t="array" ref="C7324">PRODUCT(1-'Sparkling Model'!D$2:D$38^A7324)</f>
        <v>0.9075494392</v>
      </c>
    </row>
    <row r="7325">
      <c r="A7325" s="6">
        <v>7323.0</v>
      </c>
      <c r="B7325" s="17">
        <f t="array" ref="B7325">SUM(1-'Sparkling Model'!D$2:D$38^A7325)</f>
        <v>36.90428807</v>
      </c>
      <c r="C7325" s="8">
        <f t="array" ref="C7325">PRODUCT(1-'Sparkling Model'!D$2:D$38^A7325)</f>
        <v>0.9075953158</v>
      </c>
    </row>
    <row r="7326">
      <c r="A7326" s="6">
        <v>7324.0</v>
      </c>
      <c r="B7326" s="17">
        <f t="array" ref="B7326">SUM(1-'Sparkling Model'!D$2:D$38^A7326)</f>
        <v>36.90433735</v>
      </c>
      <c r="C7326" s="8">
        <f t="array" ref="C7326">PRODUCT(1-'Sparkling Model'!D$2:D$38^A7326)</f>
        <v>0.9076411697</v>
      </c>
    </row>
    <row r="7327">
      <c r="A7327" s="6">
        <v>7325.0</v>
      </c>
      <c r="B7327" s="17">
        <f t="array" ref="B7327">SUM(1-'Sparkling Model'!D$2:D$38^A7327)</f>
        <v>36.90438661</v>
      </c>
      <c r="C7327" s="8">
        <f t="array" ref="C7327">PRODUCT(1-'Sparkling Model'!D$2:D$38^A7327)</f>
        <v>0.9076870011</v>
      </c>
    </row>
    <row r="7328">
      <c r="A7328" s="6">
        <v>7326.0</v>
      </c>
      <c r="B7328" s="17">
        <f t="array" ref="B7328">SUM(1-'Sparkling Model'!D$2:D$38^A7328)</f>
        <v>36.90443583</v>
      </c>
      <c r="C7328" s="8">
        <f t="array" ref="C7328">PRODUCT(1-'Sparkling Model'!D$2:D$38^A7328)</f>
        <v>0.9077328099</v>
      </c>
    </row>
    <row r="7329">
      <c r="A7329" s="6">
        <v>7327.0</v>
      </c>
      <c r="B7329" s="17">
        <f t="array" ref="B7329">SUM(1-'Sparkling Model'!D$2:D$38^A7329)</f>
        <v>36.90448503</v>
      </c>
      <c r="C7329" s="8">
        <f t="array" ref="C7329">PRODUCT(1-'Sparkling Model'!D$2:D$38^A7329)</f>
        <v>0.9077785961</v>
      </c>
    </row>
    <row r="7330">
      <c r="A7330" s="6">
        <v>7328.0</v>
      </c>
      <c r="B7330" s="17">
        <f t="array" ref="B7330">SUM(1-'Sparkling Model'!D$2:D$38^A7330)</f>
        <v>36.90453421</v>
      </c>
      <c r="C7330" s="8">
        <f t="array" ref="C7330">PRODUCT(1-'Sparkling Model'!D$2:D$38^A7330)</f>
        <v>0.9078243597</v>
      </c>
    </row>
    <row r="7331">
      <c r="A7331" s="6">
        <v>7329.0</v>
      </c>
      <c r="B7331" s="17">
        <f t="array" ref="B7331">SUM(1-'Sparkling Model'!D$2:D$38^A7331)</f>
        <v>36.90458336</v>
      </c>
      <c r="C7331" s="8">
        <f t="array" ref="C7331">PRODUCT(1-'Sparkling Model'!D$2:D$38^A7331)</f>
        <v>0.9078701007</v>
      </c>
    </row>
    <row r="7332">
      <c r="A7332" s="6">
        <v>7330.0</v>
      </c>
      <c r="B7332" s="17">
        <f t="array" ref="B7332">SUM(1-'Sparkling Model'!D$2:D$38^A7332)</f>
        <v>36.90463248</v>
      </c>
      <c r="C7332" s="8">
        <f t="array" ref="C7332">PRODUCT(1-'Sparkling Model'!D$2:D$38^A7332)</f>
        <v>0.9079158193</v>
      </c>
    </row>
    <row r="7333">
      <c r="A7333" s="6">
        <v>7331.0</v>
      </c>
      <c r="B7333" s="17">
        <f t="array" ref="B7333">SUM(1-'Sparkling Model'!D$2:D$38^A7333)</f>
        <v>36.90468158</v>
      </c>
      <c r="C7333" s="8">
        <f t="array" ref="C7333">PRODUCT(1-'Sparkling Model'!D$2:D$38^A7333)</f>
        <v>0.9079615152</v>
      </c>
    </row>
    <row r="7334">
      <c r="A7334" s="6">
        <v>7332.0</v>
      </c>
      <c r="B7334" s="17">
        <f t="array" ref="B7334">SUM(1-'Sparkling Model'!D$2:D$38^A7334)</f>
        <v>36.90473065</v>
      </c>
      <c r="C7334" s="8">
        <f t="array" ref="C7334">PRODUCT(1-'Sparkling Model'!D$2:D$38^A7334)</f>
        <v>0.9080071887</v>
      </c>
    </row>
    <row r="7335">
      <c r="A7335" s="6">
        <v>7333.0</v>
      </c>
      <c r="B7335" s="17">
        <f t="array" ref="B7335">SUM(1-'Sparkling Model'!D$2:D$38^A7335)</f>
        <v>36.9047797</v>
      </c>
      <c r="C7335" s="8">
        <f t="array" ref="C7335">PRODUCT(1-'Sparkling Model'!D$2:D$38^A7335)</f>
        <v>0.9080528396</v>
      </c>
    </row>
    <row r="7336">
      <c r="A7336" s="6">
        <v>7334.0</v>
      </c>
      <c r="B7336" s="17">
        <f t="array" ref="B7336">SUM(1-'Sparkling Model'!D$2:D$38^A7336)</f>
        <v>36.90482871</v>
      </c>
      <c r="C7336" s="8">
        <f t="array" ref="C7336">PRODUCT(1-'Sparkling Model'!D$2:D$38^A7336)</f>
        <v>0.9080984681</v>
      </c>
    </row>
    <row r="7337">
      <c r="A7337" s="6">
        <v>7335.0</v>
      </c>
      <c r="B7337" s="17">
        <f t="array" ref="B7337">SUM(1-'Sparkling Model'!D$2:D$38^A7337)</f>
        <v>36.90487771</v>
      </c>
      <c r="C7337" s="8">
        <f t="array" ref="C7337">PRODUCT(1-'Sparkling Model'!D$2:D$38^A7337)</f>
        <v>0.908144074</v>
      </c>
    </row>
    <row r="7338">
      <c r="A7338" s="6">
        <v>7336.0</v>
      </c>
      <c r="B7338" s="17">
        <f t="array" ref="B7338">SUM(1-'Sparkling Model'!D$2:D$38^A7338)</f>
        <v>36.90492667</v>
      </c>
      <c r="C7338" s="8">
        <f t="array" ref="C7338">PRODUCT(1-'Sparkling Model'!D$2:D$38^A7338)</f>
        <v>0.9081896575</v>
      </c>
    </row>
    <row r="7339">
      <c r="A7339" s="6">
        <v>7337.0</v>
      </c>
      <c r="B7339" s="17">
        <f t="array" ref="B7339">SUM(1-'Sparkling Model'!D$2:D$38^A7339)</f>
        <v>36.90497561</v>
      </c>
      <c r="C7339" s="8">
        <f t="array" ref="C7339">PRODUCT(1-'Sparkling Model'!D$2:D$38^A7339)</f>
        <v>0.9082352184</v>
      </c>
    </row>
    <row r="7340">
      <c r="A7340" s="6">
        <v>7338.0</v>
      </c>
      <c r="B7340" s="17">
        <f t="array" ref="B7340">SUM(1-'Sparkling Model'!D$2:D$38^A7340)</f>
        <v>36.90502453</v>
      </c>
      <c r="C7340" s="8">
        <f t="array" ref="C7340">PRODUCT(1-'Sparkling Model'!D$2:D$38^A7340)</f>
        <v>0.908280757</v>
      </c>
    </row>
    <row r="7341">
      <c r="A7341" s="6">
        <v>7339.0</v>
      </c>
      <c r="B7341" s="17">
        <f t="array" ref="B7341">SUM(1-'Sparkling Model'!D$2:D$38^A7341)</f>
        <v>36.90507342</v>
      </c>
      <c r="C7341" s="8">
        <f t="array" ref="C7341">PRODUCT(1-'Sparkling Model'!D$2:D$38^A7341)</f>
        <v>0.908326273</v>
      </c>
    </row>
    <row r="7342">
      <c r="A7342" s="6">
        <v>7340.0</v>
      </c>
      <c r="B7342" s="17">
        <f t="array" ref="B7342">SUM(1-'Sparkling Model'!D$2:D$38^A7342)</f>
        <v>36.90512228</v>
      </c>
      <c r="C7342" s="8">
        <f t="array" ref="C7342">PRODUCT(1-'Sparkling Model'!D$2:D$38^A7342)</f>
        <v>0.9083717667</v>
      </c>
    </row>
    <row r="7343">
      <c r="A7343" s="6">
        <v>7341.0</v>
      </c>
      <c r="B7343" s="17">
        <f t="array" ref="B7343">SUM(1-'Sparkling Model'!D$2:D$38^A7343)</f>
        <v>36.90517112</v>
      </c>
      <c r="C7343" s="8">
        <f t="array" ref="C7343">PRODUCT(1-'Sparkling Model'!D$2:D$38^A7343)</f>
        <v>0.9084172379</v>
      </c>
    </row>
    <row r="7344">
      <c r="A7344" s="6">
        <v>7342.0</v>
      </c>
      <c r="B7344" s="17">
        <f t="array" ref="B7344">SUM(1-'Sparkling Model'!D$2:D$38^A7344)</f>
        <v>36.90521993</v>
      </c>
      <c r="C7344" s="8">
        <f t="array" ref="C7344">PRODUCT(1-'Sparkling Model'!D$2:D$38^A7344)</f>
        <v>0.9084626867</v>
      </c>
    </row>
    <row r="7345">
      <c r="A7345" s="6">
        <v>7343.0</v>
      </c>
      <c r="B7345" s="17">
        <f t="array" ref="B7345">SUM(1-'Sparkling Model'!D$2:D$38^A7345)</f>
        <v>36.90526871</v>
      </c>
      <c r="C7345" s="8">
        <f t="array" ref="C7345">PRODUCT(1-'Sparkling Model'!D$2:D$38^A7345)</f>
        <v>0.908508113</v>
      </c>
    </row>
    <row r="7346">
      <c r="A7346" s="6">
        <v>7344.0</v>
      </c>
      <c r="B7346" s="17">
        <f t="array" ref="B7346">SUM(1-'Sparkling Model'!D$2:D$38^A7346)</f>
        <v>36.90531747</v>
      </c>
      <c r="C7346" s="8">
        <f t="array" ref="C7346">PRODUCT(1-'Sparkling Model'!D$2:D$38^A7346)</f>
        <v>0.908553517</v>
      </c>
    </row>
    <row r="7347">
      <c r="A7347" s="6">
        <v>7345.0</v>
      </c>
      <c r="B7347" s="17">
        <f t="array" ref="B7347">SUM(1-'Sparkling Model'!D$2:D$38^A7347)</f>
        <v>36.9053662</v>
      </c>
      <c r="C7347" s="8">
        <f t="array" ref="C7347">PRODUCT(1-'Sparkling Model'!D$2:D$38^A7347)</f>
        <v>0.9085988986</v>
      </c>
    </row>
    <row r="7348">
      <c r="A7348" s="6">
        <v>7346.0</v>
      </c>
      <c r="B7348" s="17">
        <f t="array" ref="B7348">SUM(1-'Sparkling Model'!D$2:D$38^A7348)</f>
        <v>36.90541491</v>
      </c>
      <c r="C7348" s="8">
        <f t="array" ref="C7348">PRODUCT(1-'Sparkling Model'!D$2:D$38^A7348)</f>
        <v>0.9086442579</v>
      </c>
    </row>
    <row r="7349">
      <c r="A7349" s="6">
        <v>7347.0</v>
      </c>
      <c r="B7349" s="17">
        <f t="array" ref="B7349">SUM(1-'Sparkling Model'!D$2:D$38^A7349)</f>
        <v>36.90546359</v>
      </c>
      <c r="C7349" s="8">
        <f t="array" ref="C7349">PRODUCT(1-'Sparkling Model'!D$2:D$38^A7349)</f>
        <v>0.9086895947</v>
      </c>
    </row>
    <row r="7350">
      <c r="A7350" s="6">
        <v>7348.0</v>
      </c>
      <c r="B7350" s="17">
        <f t="array" ref="B7350">SUM(1-'Sparkling Model'!D$2:D$38^A7350)</f>
        <v>36.90551225</v>
      </c>
      <c r="C7350" s="8">
        <f t="array" ref="C7350">PRODUCT(1-'Sparkling Model'!D$2:D$38^A7350)</f>
        <v>0.9087349092</v>
      </c>
    </row>
    <row r="7351">
      <c r="A7351" s="6">
        <v>7349.0</v>
      </c>
      <c r="B7351" s="17">
        <f t="array" ref="B7351">SUM(1-'Sparkling Model'!D$2:D$38^A7351)</f>
        <v>36.90556088</v>
      </c>
      <c r="C7351" s="8">
        <f t="array" ref="C7351">PRODUCT(1-'Sparkling Model'!D$2:D$38^A7351)</f>
        <v>0.9087802014</v>
      </c>
    </row>
    <row r="7352">
      <c r="A7352" s="6">
        <v>7350.0</v>
      </c>
      <c r="B7352" s="17">
        <f t="array" ref="B7352">SUM(1-'Sparkling Model'!D$2:D$38^A7352)</f>
        <v>36.90560948</v>
      </c>
      <c r="C7352" s="8">
        <f t="array" ref="C7352">PRODUCT(1-'Sparkling Model'!D$2:D$38^A7352)</f>
        <v>0.9088254712</v>
      </c>
    </row>
    <row r="7353">
      <c r="A7353" s="6">
        <v>7351.0</v>
      </c>
      <c r="B7353" s="17">
        <f t="array" ref="B7353">SUM(1-'Sparkling Model'!D$2:D$38^A7353)</f>
        <v>36.90565806</v>
      </c>
      <c r="C7353" s="8">
        <f t="array" ref="C7353">PRODUCT(1-'Sparkling Model'!D$2:D$38^A7353)</f>
        <v>0.9088707187</v>
      </c>
    </row>
    <row r="7354">
      <c r="A7354" s="6">
        <v>7352.0</v>
      </c>
      <c r="B7354" s="17">
        <f t="array" ref="B7354">SUM(1-'Sparkling Model'!D$2:D$38^A7354)</f>
        <v>36.90570661</v>
      </c>
      <c r="C7354" s="8">
        <f t="array" ref="C7354">PRODUCT(1-'Sparkling Model'!D$2:D$38^A7354)</f>
        <v>0.9089159439</v>
      </c>
    </row>
    <row r="7355">
      <c r="A7355" s="6">
        <v>7353.0</v>
      </c>
      <c r="B7355" s="17">
        <f t="array" ref="B7355">SUM(1-'Sparkling Model'!D$2:D$38^A7355)</f>
        <v>36.90575514</v>
      </c>
      <c r="C7355" s="8">
        <f t="array" ref="C7355">PRODUCT(1-'Sparkling Model'!D$2:D$38^A7355)</f>
        <v>0.9089611468</v>
      </c>
    </row>
    <row r="7356">
      <c r="A7356" s="6">
        <v>7354.0</v>
      </c>
      <c r="B7356" s="17">
        <f t="array" ref="B7356">SUM(1-'Sparkling Model'!D$2:D$38^A7356)</f>
        <v>36.90580364</v>
      </c>
      <c r="C7356" s="8">
        <f t="array" ref="C7356">PRODUCT(1-'Sparkling Model'!D$2:D$38^A7356)</f>
        <v>0.9090063275</v>
      </c>
    </row>
    <row r="7357">
      <c r="A7357" s="6">
        <v>7355.0</v>
      </c>
      <c r="B7357" s="17">
        <f t="array" ref="B7357">SUM(1-'Sparkling Model'!D$2:D$38^A7357)</f>
        <v>36.90585211</v>
      </c>
      <c r="C7357" s="8">
        <f t="array" ref="C7357">PRODUCT(1-'Sparkling Model'!D$2:D$38^A7357)</f>
        <v>0.9090514858</v>
      </c>
    </row>
    <row r="7358">
      <c r="A7358" s="6">
        <v>7356.0</v>
      </c>
      <c r="B7358" s="17">
        <f t="array" ref="B7358">SUM(1-'Sparkling Model'!D$2:D$38^A7358)</f>
        <v>36.90590056</v>
      </c>
      <c r="C7358" s="8">
        <f t="array" ref="C7358">PRODUCT(1-'Sparkling Model'!D$2:D$38^A7358)</f>
        <v>0.9090966219</v>
      </c>
    </row>
    <row r="7359">
      <c r="A7359" s="6">
        <v>7357.0</v>
      </c>
      <c r="B7359" s="17">
        <f t="array" ref="B7359">SUM(1-'Sparkling Model'!D$2:D$38^A7359)</f>
        <v>36.90594898</v>
      </c>
      <c r="C7359" s="8">
        <f t="array" ref="C7359">PRODUCT(1-'Sparkling Model'!D$2:D$38^A7359)</f>
        <v>0.9091417357</v>
      </c>
    </row>
    <row r="7360">
      <c r="A7360" s="6">
        <v>7358.0</v>
      </c>
      <c r="B7360" s="17">
        <f t="array" ref="B7360">SUM(1-'Sparkling Model'!D$2:D$38^A7360)</f>
        <v>36.90599738</v>
      </c>
      <c r="C7360" s="8">
        <f t="array" ref="C7360">PRODUCT(1-'Sparkling Model'!D$2:D$38^A7360)</f>
        <v>0.9091868273</v>
      </c>
    </row>
    <row r="7361">
      <c r="A7361" s="6">
        <v>7359.0</v>
      </c>
      <c r="B7361" s="17">
        <f t="array" ref="B7361">SUM(1-'Sparkling Model'!D$2:D$38^A7361)</f>
        <v>36.90604575</v>
      </c>
      <c r="C7361" s="8">
        <f t="array" ref="C7361">PRODUCT(1-'Sparkling Model'!D$2:D$38^A7361)</f>
        <v>0.9092318966</v>
      </c>
    </row>
    <row r="7362">
      <c r="A7362" s="6">
        <v>7360.0</v>
      </c>
      <c r="B7362" s="17">
        <f t="array" ref="B7362">SUM(1-'Sparkling Model'!D$2:D$38^A7362)</f>
        <v>36.9060941</v>
      </c>
      <c r="C7362" s="8">
        <f t="array" ref="C7362">PRODUCT(1-'Sparkling Model'!D$2:D$38^A7362)</f>
        <v>0.9092769437</v>
      </c>
    </row>
    <row r="7363">
      <c r="A7363" s="6">
        <v>7361.0</v>
      </c>
      <c r="B7363" s="17">
        <f t="array" ref="B7363">SUM(1-'Sparkling Model'!D$2:D$38^A7363)</f>
        <v>36.90614242</v>
      </c>
      <c r="C7363" s="8">
        <f t="array" ref="C7363">PRODUCT(1-'Sparkling Model'!D$2:D$38^A7363)</f>
        <v>0.9093219686</v>
      </c>
    </row>
    <row r="7364">
      <c r="A7364" s="6">
        <v>7362.0</v>
      </c>
      <c r="B7364" s="17">
        <f t="array" ref="B7364">SUM(1-'Sparkling Model'!D$2:D$38^A7364)</f>
        <v>36.90619071</v>
      </c>
      <c r="C7364" s="8">
        <f t="array" ref="C7364">PRODUCT(1-'Sparkling Model'!D$2:D$38^A7364)</f>
        <v>0.9093669713</v>
      </c>
    </row>
    <row r="7365">
      <c r="A7365" s="6">
        <v>7363.0</v>
      </c>
      <c r="B7365" s="17">
        <f t="array" ref="B7365">SUM(1-'Sparkling Model'!D$2:D$38^A7365)</f>
        <v>36.90623898</v>
      </c>
      <c r="C7365" s="8">
        <f t="array" ref="C7365">PRODUCT(1-'Sparkling Model'!D$2:D$38^A7365)</f>
        <v>0.9094119518</v>
      </c>
    </row>
    <row r="7366">
      <c r="A7366" s="6">
        <v>7364.0</v>
      </c>
      <c r="B7366" s="17">
        <f t="array" ref="B7366">SUM(1-'Sparkling Model'!D$2:D$38^A7366)</f>
        <v>36.90628723</v>
      </c>
      <c r="C7366" s="8">
        <f t="array" ref="C7366">PRODUCT(1-'Sparkling Model'!D$2:D$38^A7366)</f>
        <v>0.9094569101</v>
      </c>
    </row>
    <row r="7367">
      <c r="A7367" s="6">
        <v>7365.0</v>
      </c>
      <c r="B7367" s="17">
        <f t="array" ref="B7367">SUM(1-'Sparkling Model'!D$2:D$38^A7367)</f>
        <v>36.90633544</v>
      </c>
      <c r="C7367" s="8">
        <f t="array" ref="C7367">PRODUCT(1-'Sparkling Model'!D$2:D$38^A7367)</f>
        <v>0.9095018463</v>
      </c>
    </row>
    <row r="7368">
      <c r="A7368" s="6">
        <v>7366.0</v>
      </c>
      <c r="B7368" s="17">
        <f t="array" ref="B7368">SUM(1-'Sparkling Model'!D$2:D$38^A7368)</f>
        <v>36.90638363</v>
      </c>
      <c r="C7368" s="8">
        <f t="array" ref="C7368">PRODUCT(1-'Sparkling Model'!D$2:D$38^A7368)</f>
        <v>0.9095467603</v>
      </c>
    </row>
    <row r="7369">
      <c r="A7369" s="6">
        <v>7367.0</v>
      </c>
      <c r="B7369" s="17">
        <f t="array" ref="B7369">SUM(1-'Sparkling Model'!D$2:D$38^A7369)</f>
        <v>36.9064318</v>
      </c>
      <c r="C7369" s="8">
        <f t="array" ref="C7369">PRODUCT(1-'Sparkling Model'!D$2:D$38^A7369)</f>
        <v>0.9095916521</v>
      </c>
    </row>
    <row r="7370">
      <c r="A7370" s="6">
        <v>7368.0</v>
      </c>
      <c r="B7370" s="17">
        <f t="array" ref="B7370">SUM(1-'Sparkling Model'!D$2:D$38^A7370)</f>
        <v>36.90647994</v>
      </c>
      <c r="C7370" s="8">
        <f t="array" ref="C7370">PRODUCT(1-'Sparkling Model'!D$2:D$38^A7370)</f>
        <v>0.9096365218</v>
      </c>
    </row>
    <row r="7371">
      <c r="A7371" s="6">
        <v>7369.0</v>
      </c>
      <c r="B7371" s="17">
        <f t="array" ref="B7371">SUM(1-'Sparkling Model'!D$2:D$38^A7371)</f>
        <v>36.90652806</v>
      </c>
      <c r="C7371" s="8">
        <f t="array" ref="C7371">PRODUCT(1-'Sparkling Model'!D$2:D$38^A7371)</f>
        <v>0.9096813694</v>
      </c>
    </row>
    <row r="7372">
      <c r="A7372" s="6">
        <v>7370.0</v>
      </c>
      <c r="B7372" s="17">
        <f t="array" ref="B7372">SUM(1-'Sparkling Model'!D$2:D$38^A7372)</f>
        <v>36.90657615</v>
      </c>
      <c r="C7372" s="8">
        <f t="array" ref="C7372">PRODUCT(1-'Sparkling Model'!D$2:D$38^A7372)</f>
        <v>0.9097261949</v>
      </c>
    </row>
    <row r="7373">
      <c r="A7373" s="6">
        <v>7371.0</v>
      </c>
      <c r="B7373" s="17">
        <f t="array" ref="B7373">SUM(1-'Sparkling Model'!D$2:D$38^A7373)</f>
        <v>36.90662421</v>
      </c>
      <c r="C7373" s="8">
        <f t="array" ref="C7373">PRODUCT(1-'Sparkling Model'!D$2:D$38^A7373)</f>
        <v>0.9097709982</v>
      </c>
    </row>
    <row r="7374">
      <c r="A7374" s="6">
        <v>7372.0</v>
      </c>
      <c r="B7374" s="17">
        <f t="array" ref="B7374">SUM(1-'Sparkling Model'!D$2:D$38^A7374)</f>
        <v>36.90667225</v>
      </c>
      <c r="C7374" s="8">
        <f t="array" ref="C7374">PRODUCT(1-'Sparkling Model'!D$2:D$38^A7374)</f>
        <v>0.9098157795</v>
      </c>
    </row>
    <row r="7375">
      <c r="A7375" s="6">
        <v>7373.0</v>
      </c>
      <c r="B7375" s="17">
        <f t="array" ref="B7375">SUM(1-'Sparkling Model'!D$2:D$38^A7375)</f>
        <v>36.90672026</v>
      </c>
      <c r="C7375" s="8">
        <f t="array" ref="C7375">PRODUCT(1-'Sparkling Model'!D$2:D$38^A7375)</f>
        <v>0.9098605387</v>
      </c>
    </row>
    <row r="7376">
      <c r="A7376" s="6">
        <v>7374.0</v>
      </c>
      <c r="B7376" s="17">
        <f t="array" ref="B7376">SUM(1-'Sparkling Model'!D$2:D$38^A7376)</f>
        <v>36.90676825</v>
      </c>
      <c r="C7376" s="8">
        <f t="array" ref="C7376">PRODUCT(1-'Sparkling Model'!D$2:D$38^A7376)</f>
        <v>0.9099052758</v>
      </c>
    </row>
    <row r="7377">
      <c r="A7377" s="6">
        <v>7375.0</v>
      </c>
      <c r="B7377" s="17">
        <f t="array" ref="B7377">SUM(1-'Sparkling Model'!D$2:D$38^A7377)</f>
        <v>36.90681621</v>
      </c>
      <c r="C7377" s="8">
        <f t="array" ref="C7377">PRODUCT(1-'Sparkling Model'!D$2:D$38^A7377)</f>
        <v>0.9099499908</v>
      </c>
    </row>
    <row r="7378">
      <c r="A7378" s="6">
        <v>7376.0</v>
      </c>
      <c r="B7378" s="17">
        <f t="array" ref="B7378">SUM(1-'Sparkling Model'!D$2:D$38^A7378)</f>
        <v>36.90686415</v>
      </c>
      <c r="C7378" s="8">
        <f t="array" ref="C7378">PRODUCT(1-'Sparkling Model'!D$2:D$38^A7378)</f>
        <v>0.9099946838</v>
      </c>
    </row>
    <row r="7379">
      <c r="A7379" s="6">
        <v>7377.0</v>
      </c>
      <c r="B7379" s="17">
        <f t="array" ref="B7379">SUM(1-'Sparkling Model'!D$2:D$38^A7379)</f>
        <v>36.90691206</v>
      </c>
      <c r="C7379" s="8">
        <f t="array" ref="C7379">PRODUCT(1-'Sparkling Model'!D$2:D$38^A7379)</f>
        <v>0.9100393548</v>
      </c>
    </row>
    <row r="7380">
      <c r="A7380" s="6">
        <v>7378.0</v>
      </c>
      <c r="B7380" s="17">
        <f t="array" ref="B7380">SUM(1-'Sparkling Model'!D$2:D$38^A7380)</f>
        <v>36.90695995</v>
      </c>
      <c r="C7380" s="8">
        <f t="array" ref="C7380">PRODUCT(1-'Sparkling Model'!D$2:D$38^A7380)</f>
        <v>0.9100840037</v>
      </c>
    </row>
    <row r="7381">
      <c r="A7381" s="6">
        <v>7379.0</v>
      </c>
      <c r="B7381" s="17">
        <f t="array" ref="B7381">SUM(1-'Sparkling Model'!D$2:D$38^A7381)</f>
        <v>36.90700781</v>
      </c>
      <c r="C7381" s="8">
        <f t="array" ref="C7381">PRODUCT(1-'Sparkling Model'!D$2:D$38^A7381)</f>
        <v>0.9101286306</v>
      </c>
    </row>
    <row r="7382">
      <c r="A7382" s="6">
        <v>7380.0</v>
      </c>
      <c r="B7382" s="17">
        <f t="array" ref="B7382">SUM(1-'Sparkling Model'!D$2:D$38^A7382)</f>
        <v>36.90705564</v>
      </c>
      <c r="C7382" s="8">
        <f t="array" ref="C7382">PRODUCT(1-'Sparkling Model'!D$2:D$38^A7382)</f>
        <v>0.9101732355</v>
      </c>
    </row>
    <row r="7383">
      <c r="A7383" s="6">
        <v>7381.0</v>
      </c>
      <c r="B7383" s="17">
        <f t="array" ref="B7383">SUM(1-'Sparkling Model'!D$2:D$38^A7383)</f>
        <v>36.90710345</v>
      </c>
      <c r="C7383" s="8">
        <f t="array" ref="C7383">PRODUCT(1-'Sparkling Model'!D$2:D$38^A7383)</f>
        <v>0.9102178184</v>
      </c>
    </row>
    <row r="7384">
      <c r="A7384" s="6">
        <v>7382.0</v>
      </c>
      <c r="B7384" s="17">
        <f t="array" ref="B7384">SUM(1-'Sparkling Model'!D$2:D$38^A7384)</f>
        <v>36.90715124</v>
      </c>
      <c r="C7384" s="8">
        <f t="array" ref="C7384">PRODUCT(1-'Sparkling Model'!D$2:D$38^A7384)</f>
        <v>0.9102623793</v>
      </c>
    </row>
    <row r="7385">
      <c r="A7385" s="6">
        <v>7383.0</v>
      </c>
      <c r="B7385" s="17">
        <f t="array" ref="B7385">SUM(1-'Sparkling Model'!D$2:D$38^A7385)</f>
        <v>36.907199</v>
      </c>
      <c r="C7385" s="8">
        <f t="array" ref="C7385">PRODUCT(1-'Sparkling Model'!D$2:D$38^A7385)</f>
        <v>0.9103069182</v>
      </c>
    </row>
    <row r="7386">
      <c r="A7386" s="6">
        <v>7384.0</v>
      </c>
      <c r="B7386" s="17">
        <f t="array" ref="B7386">SUM(1-'Sparkling Model'!D$2:D$38^A7386)</f>
        <v>36.90724673</v>
      </c>
      <c r="C7386" s="8">
        <f t="array" ref="C7386">PRODUCT(1-'Sparkling Model'!D$2:D$38^A7386)</f>
        <v>0.9103514352</v>
      </c>
    </row>
    <row r="7387">
      <c r="A7387" s="6">
        <v>7385.0</v>
      </c>
      <c r="B7387" s="17">
        <f t="array" ref="B7387">SUM(1-'Sparkling Model'!D$2:D$38^A7387)</f>
        <v>36.90729444</v>
      </c>
      <c r="C7387" s="8">
        <f t="array" ref="C7387">PRODUCT(1-'Sparkling Model'!D$2:D$38^A7387)</f>
        <v>0.9103959302</v>
      </c>
    </row>
    <row r="7388">
      <c r="A7388" s="6">
        <v>7386.0</v>
      </c>
      <c r="B7388" s="17">
        <f t="array" ref="B7388">SUM(1-'Sparkling Model'!D$2:D$38^A7388)</f>
        <v>36.90734212</v>
      </c>
      <c r="C7388" s="8">
        <f t="array" ref="C7388">PRODUCT(1-'Sparkling Model'!D$2:D$38^A7388)</f>
        <v>0.9104404032</v>
      </c>
    </row>
    <row r="7389">
      <c r="A7389" s="6">
        <v>7387.0</v>
      </c>
      <c r="B7389" s="17">
        <f t="array" ref="B7389">SUM(1-'Sparkling Model'!D$2:D$38^A7389)</f>
        <v>36.90738978</v>
      </c>
      <c r="C7389" s="8">
        <f t="array" ref="C7389">PRODUCT(1-'Sparkling Model'!D$2:D$38^A7389)</f>
        <v>0.9104848543</v>
      </c>
    </row>
    <row r="7390">
      <c r="A7390" s="6">
        <v>7388.0</v>
      </c>
      <c r="B7390" s="17">
        <f t="array" ref="B7390">SUM(1-'Sparkling Model'!D$2:D$38^A7390)</f>
        <v>36.90743741</v>
      </c>
      <c r="C7390" s="8">
        <f t="array" ref="C7390">PRODUCT(1-'Sparkling Model'!D$2:D$38^A7390)</f>
        <v>0.9105292835</v>
      </c>
    </row>
    <row r="7391">
      <c r="A7391" s="6">
        <v>7389.0</v>
      </c>
      <c r="B7391" s="17">
        <f t="array" ref="B7391">SUM(1-'Sparkling Model'!D$2:D$38^A7391)</f>
        <v>36.90748502</v>
      </c>
      <c r="C7391" s="8">
        <f t="array" ref="C7391">PRODUCT(1-'Sparkling Model'!D$2:D$38^A7391)</f>
        <v>0.9105736908</v>
      </c>
    </row>
    <row r="7392">
      <c r="A7392" s="6">
        <v>7390.0</v>
      </c>
      <c r="B7392" s="17">
        <f t="array" ref="B7392">SUM(1-'Sparkling Model'!D$2:D$38^A7392)</f>
        <v>36.9075326</v>
      </c>
      <c r="C7392" s="8">
        <f t="array" ref="C7392">PRODUCT(1-'Sparkling Model'!D$2:D$38^A7392)</f>
        <v>0.9106180762</v>
      </c>
    </row>
    <row r="7393">
      <c r="A7393" s="6">
        <v>7391.0</v>
      </c>
      <c r="B7393" s="17">
        <f t="array" ref="B7393">SUM(1-'Sparkling Model'!D$2:D$38^A7393)</f>
        <v>36.90758016</v>
      </c>
      <c r="C7393" s="8">
        <f t="array" ref="C7393">PRODUCT(1-'Sparkling Model'!D$2:D$38^A7393)</f>
        <v>0.9106624396</v>
      </c>
    </row>
    <row r="7394">
      <c r="A7394" s="6">
        <v>7392.0</v>
      </c>
      <c r="B7394" s="17">
        <f t="array" ref="B7394">SUM(1-'Sparkling Model'!D$2:D$38^A7394)</f>
        <v>36.90762769</v>
      </c>
      <c r="C7394" s="8">
        <f t="array" ref="C7394">PRODUCT(1-'Sparkling Model'!D$2:D$38^A7394)</f>
        <v>0.9107067812</v>
      </c>
    </row>
    <row r="7395">
      <c r="A7395" s="6">
        <v>7393.0</v>
      </c>
      <c r="B7395" s="17">
        <f t="array" ref="B7395">SUM(1-'Sparkling Model'!D$2:D$38^A7395)</f>
        <v>36.90767519</v>
      </c>
      <c r="C7395" s="8">
        <f t="array" ref="C7395">PRODUCT(1-'Sparkling Model'!D$2:D$38^A7395)</f>
        <v>0.910751101</v>
      </c>
    </row>
    <row r="7396">
      <c r="A7396" s="6">
        <v>7394.0</v>
      </c>
      <c r="B7396" s="17">
        <f t="array" ref="B7396">SUM(1-'Sparkling Model'!D$2:D$38^A7396)</f>
        <v>36.90772268</v>
      </c>
      <c r="C7396" s="8">
        <f t="array" ref="C7396">PRODUCT(1-'Sparkling Model'!D$2:D$38^A7396)</f>
        <v>0.9107953988</v>
      </c>
    </row>
    <row r="7397">
      <c r="A7397" s="6">
        <v>7395.0</v>
      </c>
      <c r="B7397" s="17">
        <f t="array" ref="B7397">SUM(1-'Sparkling Model'!D$2:D$38^A7397)</f>
        <v>36.90777013</v>
      </c>
      <c r="C7397" s="8">
        <f t="array" ref="C7397">PRODUCT(1-'Sparkling Model'!D$2:D$38^A7397)</f>
        <v>0.9108396748</v>
      </c>
    </row>
    <row r="7398">
      <c r="A7398" s="6">
        <v>7396.0</v>
      </c>
      <c r="B7398" s="17">
        <f t="array" ref="B7398">SUM(1-'Sparkling Model'!D$2:D$38^A7398)</f>
        <v>36.90781756</v>
      </c>
      <c r="C7398" s="8">
        <f t="array" ref="C7398">PRODUCT(1-'Sparkling Model'!D$2:D$38^A7398)</f>
        <v>0.910883929</v>
      </c>
    </row>
    <row r="7399">
      <c r="A7399" s="6">
        <v>7397.0</v>
      </c>
      <c r="B7399" s="17">
        <f t="array" ref="B7399">SUM(1-'Sparkling Model'!D$2:D$38^A7399)</f>
        <v>36.90786497</v>
      </c>
      <c r="C7399" s="8">
        <f t="array" ref="C7399">PRODUCT(1-'Sparkling Model'!D$2:D$38^A7399)</f>
        <v>0.9109281614</v>
      </c>
    </row>
    <row r="7400">
      <c r="A7400" s="6">
        <v>7398.0</v>
      </c>
      <c r="B7400" s="17">
        <f t="array" ref="B7400">SUM(1-'Sparkling Model'!D$2:D$38^A7400)</f>
        <v>36.90791235</v>
      </c>
      <c r="C7400" s="8">
        <f t="array" ref="C7400">PRODUCT(1-'Sparkling Model'!D$2:D$38^A7400)</f>
        <v>0.9109723719</v>
      </c>
    </row>
    <row r="7401">
      <c r="A7401" s="6">
        <v>7399.0</v>
      </c>
      <c r="B7401" s="17">
        <f t="array" ref="B7401">SUM(1-'Sparkling Model'!D$2:D$38^A7401)</f>
        <v>36.9079597</v>
      </c>
      <c r="C7401" s="8">
        <f t="array" ref="C7401">PRODUCT(1-'Sparkling Model'!D$2:D$38^A7401)</f>
        <v>0.9110165606</v>
      </c>
    </row>
    <row r="7402">
      <c r="A7402" s="6">
        <v>7400.0</v>
      </c>
      <c r="B7402" s="17">
        <f t="array" ref="B7402">SUM(1-'Sparkling Model'!D$2:D$38^A7402)</f>
        <v>36.90800703</v>
      </c>
      <c r="C7402" s="8">
        <f t="array" ref="C7402">PRODUCT(1-'Sparkling Model'!D$2:D$38^A7402)</f>
        <v>0.9110607275</v>
      </c>
    </row>
    <row r="7403">
      <c r="A7403" s="6">
        <v>7401.0</v>
      </c>
      <c r="B7403" s="17">
        <f t="array" ref="B7403">SUM(1-'Sparkling Model'!D$2:D$38^A7403)</f>
        <v>36.90805434</v>
      </c>
      <c r="C7403" s="8">
        <f t="array" ref="C7403">PRODUCT(1-'Sparkling Model'!D$2:D$38^A7403)</f>
        <v>0.9111048727</v>
      </c>
    </row>
    <row r="7404">
      <c r="A7404" s="6">
        <v>7402.0</v>
      </c>
      <c r="B7404" s="17">
        <f t="array" ref="B7404">SUM(1-'Sparkling Model'!D$2:D$38^A7404)</f>
        <v>36.90810162</v>
      </c>
      <c r="C7404" s="8">
        <f t="array" ref="C7404">PRODUCT(1-'Sparkling Model'!D$2:D$38^A7404)</f>
        <v>0.911148996</v>
      </c>
    </row>
    <row r="7405">
      <c r="A7405" s="6">
        <v>7403.0</v>
      </c>
      <c r="B7405" s="17">
        <f t="array" ref="B7405">SUM(1-'Sparkling Model'!D$2:D$38^A7405)</f>
        <v>36.90814887</v>
      </c>
      <c r="C7405" s="8">
        <f t="array" ref="C7405">PRODUCT(1-'Sparkling Model'!D$2:D$38^A7405)</f>
        <v>0.9111930976</v>
      </c>
    </row>
    <row r="7406">
      <c r="A7406" s="6">
        <v>7404.0</v>
      </c>
      <c r="B7406" s="17">
        <f t="array" ref="B7406">SUM(1-'Sparkling Model'!D$2:D$38^A7406)</f>
        <v>36.9081961</v>
      </c>
      <c r="C7406" s="8">
        <f t="array" ref="C7406">PRODUCT(1-'Sparkling Model'!D$2:D$38^A7406)</f>
        <v>0.9112371774</v>
      </c>
    </row>
    <row r="7407">
      <c r="A7407" s="6">
        <v>7405.0</v>
      </c>
      <c r="B7407" s="17">
        <f t="array" ref="B7407">SUM(1-'Sparkling Model'!D$2:D$38^A7407)</f>
        <v>36.90824331</v>
      </c>
      <c r="C7407" s="8">
        <f t="array" ref="C7407">PRODUCT(1-'Sparkling Model'!D$2:D$38^A7407)</f>
        <v>0.9112812355</v>
      </c>
    </row>
    <row r="7408">
      <c r="A7408" s="6">
        <v>7406.0</v>
      </c>
      <c r="B7408" s="17">
        <f t="array" ref="B7408">SUM(1-'Sparkling Model'!D$2:D$38^A7408)</f>
        <v>36.90829049</v>
      </c>
      <c r="C7408" s="8">
        <f t="array" ref="C7408">PRODUCT(1-'Sparkling Model'!D$2:D$38^A7408)</f>
        <v>0.9113252719</v>
      </c>
    </row>
    <row r="7409">
      <c r="A7409" s="6">
        <v>7407.0</v>
      </c>
      <c r="B7409" s="17">
        <f t="array" ref="B7409">SUM(1-'Sparkling Model'!D$2:D$38^A7409)</f>
        <v>36.90833764</v>
      </c>
      <c r="C7409" s="8">
        <f t="array" ref="C7409">PRODUCT(1-'Sparkling Model'!D$2:D$38^A7409)</f>
        <v>0.9113692865</v>
      </c>
    </row>
    <row r="7410">
      <c r="A7410" s="6">
        <v>7408.0</v>
      </c>
      <c r="B7410" s="17">
        <f t="array" ref="B7410">SUM(1-'Sparkling Model'!D$2:D$38^A7410)</f>
        <v>36.90838477</v>
      </c>
      <c r="C7410" s="8">
        <f t="array" ref="C7410">PRODUCT(1-'Sparkling Model'!D$2:D$38^A7410)</f>
        <v>0.9114132794</v>
      </c>
    </row>
    <row r="7411">
      <c r="A7411" s="6">
        <v>7409.0</v>
      </c>
      <c r="B7411" s="17">
        <f t="array" ref="B7411">SUM(1-'Sparkling Model'!D$2:D$38^A7411)</f>
        <v>36.90843187</v>
      </c>
      <c r="C7411" s="8">
        <f t="array" ref="C7411">PRODUCT(1-'Sparkling Model'!D$2:D$38^A7411)</f>
        <v>0.9114572506</v>
      </c>
    </row>
    <row r="7412">
      <c r="A7412" s="6">
        <v>7410.0</v>
      </c>
      <c r="B7412" s="17">
        <f t="array" ref="B7412">SUM(1-'Sparkling Model'!D$2:D$38^A7412)</f>
        <v>36.90847895</v>
      </c>
      <c r="C7412" s="8">
        <f t="array" ref="C7412">PRODUCT(1-'Sparkling Model'!D$2:D$38^A7412)</f>
        <v>0.9115012002</v>
      </c>
    </row>
    <row r="7413">
      <c r="A7413" s="6">
        <v>7411.0</v>
      </c>
      <c r="B7413" s="17">
        <f t="array" ref="B7413">SUM(1-'Sparkling Model'!D$2:D$38^A7413)</f>
        <v>36.90852601</v>
      </c>
      <c r="C7413" s="8">
        <f t="array" ref="C7413">PRODUCT(1-'Sparkling Model'!D$2:D$38^A7413)</f>
        <v>0.911545128</v>
      </c>
    </row>
    <row r="7414">
      <c r="A7414" s="6">
        <v>7412.0</v>
      </c>
      <c r="B7414" s="17">
        <f t="array" ref="B7414">SUM(1-'Sparkling Model'!D$2:D$38^A7414)</f>
        <v>36.90857304</v>
      </c>
      <c r="C7414" s="8">
        <f t="array" ref="C7414">PRODUCT(1-'Sparkling Model'!D$2:D$38^A7414)</f>
        <v>0.9115890342</v>
      </c>
    </row>
    <row r="7415">
      <c r="A7415" s="6">
        <v>7413.0</v>
      </c>
      <c r="B7415" s="17">
        <f t="array" ref="B7415">SUM(1-'Sparkling Model'!D$2:D$38^A7415)</f>
        <v>36.90862004</v>
      </c>
      <c r="C7415" s="8">
        <f t="array" ref="C7415">PRODUCT(1-'Sparkling Model'!D$2:D$38^A7415)</f>
        <v>0.9116329187</v>
      </c>
    </row>
    <row r="7416">
      <c r="A7416" s="6">
        <v>7414.0</v>
      </c>
      <c r="B7416" s="17">
        <f t="array" ref="B7416">SUM(1-'Sparkling Model'!D$2:D$38^A7416)</f>
        <v>36.90866702</v>
      </c>
      <c r="C7416" s="8">
        <f t="array" ref="C7416">PRODUCT(1-'Sparkling Model'!D$2:D$38^A7416)</f>
        <v>0.9116767815</v>
      </c>
    </row>
    <row r="7417">
      <c r="A7417" s="6">
        <v>7415.0</v>
      </c>
      <c r="B7417" s="17">
        <f t="array" ref="B7417">SUM(1-'Sparkling Model'!D$2:D$38^A7417)</f>
        <v>36.90871398</v>
      </c>
      <c r="C7417" s="8">
        <f t="array" ref="C7417">PRODUCT(1-'Sparkling Model'!D$2:D$38^A7417)</f>
        <v>0.9117206227</v>
      </c>
    </row>
    <row r="7418">
      <c r="A7418" s="6">
        <v>7416.0</v>
      </c>
      <c r="B7418" s="17">
        <f t="array" ref="B7418">SUM(1-'Sparkling Model'!D$2:D$38^A7418)</f>
        <v>36.90876091</v>
      </c>
      <c r="C7418" s="8">
        <f t="array" ref="C7418">PRODUCT(1-'Sparkling Model'!D$2:D$38^A7418)</f>
        <v>0.9117644423</v>
      </c>
    </row>
    <row r="7419">
      <c r="A7419" s="6">
        <v>7417.0</v>
      </c>
      <c r="B7419" s="17">
        <f t="array" ref="B7419">SUM(1-'Sparkling Model'!D$2:D$38^A7419)</f>
        <v>36.90880781</v>
      </c>
      <c r="C7419" s="8">
        <f t="array" ref="C7419">PRODUCT(1-'Sparkling Model'!D$2:D$38^A7419)</f>
        <v>0.9118082403</v>
      </c>
    </row>
    <row r="7420">
      <c r="A7420" s="6">
        <v>7418.0</v>
      </c>
      <c r="B7420" s="17">
        <f t="array" ref="B7420">SUM(1-'Sparkling Model'!D$2:D$38^A7420)</f>
        <v>36.90885469</v>
      </c>
      <c r="C7420" s="8">
        <f t="array" ref="C7420">PRODUCT(1-'Sparkling Model'!D$2:D$38^A7420)</f>
        <v>0.9118520166</v>
      </c>
    </row>
    <row r="7421">
      <c r="A7421" s="6">
        <v>7419.0</v>
      </c>
      <c r="B7421" s="17">
        <f t="array" ref="B7421">SUM(1-'Sparkling Model'!D$2:D$38^A7421)</f>
        <v>36.90890155</v>
      </c>
      <c r="C7421" s="8">
        <f t="array" ref="C7421">PRODUCT(1-'Sparkling Model'!D$2:D$38^A7421)</f>
        <v>0.9118957714</v>
      </c>
    </row>
    <row r="7422">
      <c r="A7422" s="6">
        <v>7420.0</v>
      </c>
      <c r="B7422" s="17">
        <f t="array" ref="B7422">SUM(1-'Sparkling Model'!D$2:D$38^A7422)</f>
        <v>36.90894838</v>
      </c>
      <c r="C7422" s="8">
        <f t="array" ref="C7422">PRODUCT(1-'Sparkling Model'!D$2:D$38^A7422)</f>
        <v>0.9119395045</v>
      </c>
    </row>
    <row r="7423">
      <c r="A7423" s="6">
        <v>7421.0</v>
      </c>
      <c r="B7423" s="17">
        <f t="array" ref="B7423">SUM(1-'Sparkling Model'!D$2:D$38^A7423)</f>
        <v>36.90899518</v>
      </c>
      <c r="C7423" s="8">
        <f t="array" ref="C7423">PRODUCT(1-'Sparkling Model'!D$2:D$38^A7423)</f>
        <v>0.9119832161</v>
      </c>
    </row>
    <row r="7424">
      <c r="A7424" s="6">
        <v>7422.0</v>
      </c>
      <c r="B7424" s="17">
        <f t="array" ref="B7424">SUM(1-'Sparkling Model'!D$2:D$38^A7424)</f>
        <v>36.90904196</v>
      </c>
      <c r="C7424" s="8">
        <f t="array" ref="C7424">PRODUCT(1-'Sparkling Model'!D$2:D$38^A7424)</f>
        <v>0.9120269062</v>
      </c>
    </row>
    <row r="7425">
      <c r="A7425" s="6">
        <v>7423.0</v>
      </c>
      <c r="B7425" s="17">
        <f t="array" ref="B7425">SUM(1-'Sparkling Model'!D$2:D$38^A7425)</f>
        <v>36.90908872</v>
      </c>
      <c r="C7425" s="8">
        <f t="array" ref="C7425">PRODUCT(1-'Sparkling Model'!D$2:D$38^A7425)</f>
        <v>0.9120705746</v>
      </c>
    </row>
    <row r="7426">
      <c r="A7426" s="6">
        <v>7424.0</v>
      </c>
      <c r="B7426" s="17">
        <f t="array" ref="B7426">SUM(1-'Sparkling Model'!D$2:D$38^A7426)</f>
        <v>36.90913545</v>
      </c>
      <c r="C7426" s="8">
        <f t="array" ref="C7426">PRODUCT(1-'Sparkling Model'!D$2:D$38^A7426)</f>
        <v>0.9121142216</v>
      </c>
    </row>
    <row r="7427">
      <c r="A7427" s="6">
        <v>7425.0</v>
      </c>
      <c r="B7427" s="17">
        <f t="array" ref="B7427">SUM(1-'Sparkling Model'!D$2:D$38^A7427)</f>
        <v>36.90918216</v>
      </c>
      <c r="C7427" s="8">
        <f t="array" ref="C7427">PRODUCT(1-'Sparkling Model'!D$2:D$38^A7427)</f>
        <v>0.9121578469</v>
      </c>
    </row>
    <row r="7428">
      <c r="A7428" s="6">
        <v>7426.0</v>
      </c>
      <c r="B7428" s="17">
        <f t="array" ref="B7428">SUM(1-'Sparkling Model'!D$2:D$38^A7428)</f>
        <v>36.90922884</v>
      </c>
      <c r="C7428" s="8">
        <f t="array" ref="C7428">PRODUCT(1-'Sparkling Model'!D$2:D$38^A7428)</f>
        <v>0.9122014508</v>
      </c>
    </row>
    <row r="7429">
      <c r="A7429" s="6">
        <v>7427.0</v>
      </c>
      <c r="B7429" s="17">
        <f t="array" ref="B7429">SUM(1-'Sparkling Model'!D$2:D$38^A7429)</f>
        <v>36.9092755</v>
      </c>
      <c r="C7429" s="8">
        <f t="array" ref="C7429">PRODUCT(1-'Sparkling Model'!D$2:D$38^A7429)</f>
        <v>0.9122450331</v>
      </c>
    </row>
    <row r="7430">
      <c r="A7430" s="6">
        <v>7428.0</v>
      </c>
      <c r="B7430" s="17">
        <f t="array" ref="B7430">SUM(1-'Sparkling Model'!D$2:D$38^A7430)</f>
        <v>36.90932213</v>
      </c>
      <c r="C7430" s="8">
        <f t="array" ref="C7430">PRODUCT(1-'Sparkling Model'!D$2:D$38^A7430)</f>
        <v>0.912288594</v>
      </c>
    </row>
    <row r="7431">
      <c r="A7431" s="6">
        <v>7429.0</v>
      </c>
      <c r="B7431" s="17">
        <f t="array" ref="B7431">SUM(1-'Sparkling Model'!D$2:D$38^A7431)</f>
        <v>36.90936874</v>
      </c>
      <c r="C7431" s="8">
        <f t="array" ref="C7431">PRODUCT(1-'Sparkling Model'!D$2:D$38^A7431)</f>
        <v>0.9123321333</v>
      </c>
    </row>
    <row r="7432">
      <c r="A7432" s="6">
        <v>7430.0</v>
      </c>
      <c r="B7432" s="17">
        <f t="array" ref="B7432">SUM(1-'Sparkling Model'!D$2:D$38^A7432)</f>
        <v>36.90941532</v>
      </c>
      <c r="C7432" s="8">
        <f t="array" ref="C7432">PRODUCT(1-'Sparkling Model'!D$2:D$38^A7432)</f>
        <v>0.9123756512</v>
      </c>
    </row>
    <row r="7433">
      <c r="A7433" s="6">
        <v>7431.0</v>
      </c>
      <c r="B7433" s="17">
        <f t="array" ref="B7433">SUM(1-'Sparkling Model'!D$2:D$38^A7433)</f>
        <v>36.90946188</v>
      </c>
      <c r="C7433" s="8">
        <f t="array" ref="C7433">PRODUCT(1-'Sparkling Model'!D$2:D$38^A7433)</f>
        <v>0.9124191476</v>
      </c>
    </row>
    <row r="7434">
      <c r="A7434" s="6">
        <v>7432.0</v>
      </c>
      <c r="B7434" s="17">
        <f t="array" ref="B7434">SUM(1-'Sparkling Model'!D$2:D$38^A7434)</f>
        <v>36.90950841</v>
      </c>
      <c r="C7434" s="8">
        <f t="array" ref="C7434">PRODUCT(1-'Sparkling Model'!D$2:D$38^A7434)</f>
        <v>0.9124626225</v>
      </c>
    </row>
    <row r="7435">
      <c r="A7435" s="6">
        <v>7433.0</v>
      </c>
      <c r="B7435" s="17">
        <f t="array" ref="B7435">SUM(1-'Sparkling Model'!D$2:D$38^A7435)</f>
        <v>36.90955492</v>
      </c>
      <c r="C7435" s="8">
        <f t="array" ref="C7435">PRODUCT(1-'Sparkling Model'!D$2:D$38^A7435)</f>
        <v>0.912506076</v>
      </c>
    </row>
    <row r="7436">
      <c r="A7436" s="6">
        <v>7434.0</v>
      </c>
      <c r="B7436" s="17">
        <f t="array" ref="B7436">SUM(1-'Sparkling Model'!D$2:D$38^A7436)</f>
        <v>36.9096014</v>
      </c>
      <c r="C7436" s="8">
        <f t="array" ref="C7436">PRODUCT(1-'Sparkling Model'!D$2:D$38^A7436)</f>
        <v>0.912549508</v>
      </c>
    </row>
    <row r="7437">
      <c r="A7437" s="6">
        <v>7435.0</v>
      </c>
      <c r="B7437" s="17">
        <f t="array" ref="B7437">SUM(1-'Sparkling Model'!D$2:D$38^A7437)</f>
        <v>36.90964786</v>
      </c>
      <c r="C7437" s="8">
        <f t="array" ref="C7437">PRODUCT(1-'Sparkling Model'!D$2:D$38^A7437)</f>
        <v>0.9125929186</v>
      </c>
    </row>
    <row r="7438">
      <c r="A7438" s="6">
        <v>7436.0</v>
      </c>
      <c r="B7438" s="17">
        <f t="array" ref="B7438">SUM(1-'Sparkling Model'!D$2:D$38^A7438)</f>
        <v>36.9096943</v>
      </c>
      <c r="C7438" s="8">
        <f t="array" ref="C7438">PRODUCT(1-'Sparkling Model'!D$2:D$38^A7438)</f>
        <v>0.9126363078</v>
      </c>
    </row>
    <row r="7439">
      <c r="A7439" s="6">
        <v>7437.0</v>
      </c>
      <c r="B7439" s="17">
        <f t="array" ref="B7439">SUM(1-'Sparkling Model'!D$2:D$38^A7439)</f>
        <v>36.90974071</v>
      </c>
      <c r="C7439" s="8">
        <f t="array" ref="C7439">PRODUCT(1-'Sparkling Model'!D$2:D$38^A7439)</f>
        <v>0.9126796756</v>
      </c>
    </row>
    <row r="7440">
      <c r="A7440" s="6">
        <v>7438.0</v>
      </c>
      <c r="B7440" s="17">
        <f t="array" ref="B7440">SUM(1-'Sparkling Model'!D$2:D$38^A7440)</f>
        <v>36.90978709</v>
      </c>
      <c r="C7440" s="8">
        <f t="array" ref="C7440">PRODUCT(1-'Sparkling Model'!D$2:D$38^A7440)</f>
        <v>0.9127230219</v>
      </c>
    </row>
    <row r="7441">
      <c r="A7441" s="6">
        <v>7439.0</v>
      </c>
      <c r="B7441" s="17">
        <f t="array" ref="B7441">SUM(1-'Sparkling Model'!D$2:D$38^A7441)</f>
        <v>36.90983345</v>
      </c>
      <c r="C7441" s="8">
        <f t="array" ref="C7441">PRODUCT(1-'Sparkling Model'!D$2:D$38^A7441)</f>
        <v>0.9127663469</v>
      </c>
    </row>
    <row r="7442">
      <c r="A7442" s="6">
        <v>7440.0</v>
      </c>
      <c r="B7442" s="17">
        <f t="array" ref="B7442">SUM(1-'Sparkling Model'!D$2:D$38^A7442)</f>
        <v>36.90987979</v>
      </c>
      <c r="C7442" s="8">
        <f t="array" ref="C7442">PRODUCT(1-'Sparkling Model'!D$2:D$38^A7442)</f>
        <v>0.9128096505</v>
      </c>
    </row>
    <row r="7443">
      <c r="A7443" s="6">
        <v>7441.0</v>
      </c>
      <c r="B7443" s="17">
        <f t="array" ref="B7443">SUM(1-'Sparkling Model'!D$2:D$38^A7443)</f>
        <v>36.9099261</v>
      </c>
      <c r="C7443" s="8">
        <f t="array" ref="C7443">PRODUCT(1-'Sparkling Model'!D$2:D$38^A7443)</f>
        <v>0.9128529327</v>
      </c>
    </row>
    <row r="7444">
      <c r="A7444" s="6">
        <v>7442.0</v>
      </c>
      <c r="B7444" s="17">
        <f t="array" ref="B7444">SUM(1-'Sparkling Model'!D$2:D$38^A7444)</f>
        <v>36.90997239</v>
      </c>
      <c r="C7444" s="8">
        <f t="array" ref="C7444">PRODUCT(1-'Sparkling Model'!D$2:D$38^A7444)</f>
        <v>0.9128961936</v>
      </c>
    </row>
    <row r="7445">
      <c r="A7445" s="6">
        <v>7443.0</v>
      </c>
      <c r="B7445" s="17">
        <f t="array" ref="B7445">SUM(1-'Sparkling Model'!D$2:D$38^A7445)</f>
        <v>36.91001865</v>
      </c>
      <c r="C7445" s="8">
        <f t="array" ref="C7445">PRODUCT(1-'Sparkling Model'!D$2:D$38^A7445)</f>
        <v>0.9129394331</v>
      </c>
    </row>
    <row r="7446">
      <c r="A7446" s="6">
        <v>7444.0</v>
      </c>
      <c r="B7446" s="17">
        <f t="array" ref="B7446">SUM(1-'Sparkling Model'!D$2:D$38^A7446)</f>
        <v>36.91006489</v>
      </c>
      <c r="C7446" s="8">
        <f t="array" ref="C7446">PRODUCT(1-'Sparkling Model'!D$2:D$38^A7446)</f>
        <v>0.9129826513</v>
      </c>
    </row>
    <row r="7447">
      <c r="A7447" s="6">
        <v>7445.0</v>
      </c>
      <c r="B7447" s="17">
        <f t="array" ref="B7447">SUM(1-'Sparkling Model'!D$2:D$38^A7447)</f>
        <v>36.91011111</v>
      </c>
      <c r="C7447" s="8">
        <f t="array" ref="C7447">PRODUCT(1-'Sparkling Model'!D$2:D$38^A7447)</f>
        <v>0.9130258481</v>
      </c>
    </row>
    <row r="7448">
      <c r="A7448" s="6">
        <v>7446.0</v>
      </c>
      <c r="B7448" s="17">
        <f t="array" ref="B7448">SUM(1-'Sparkling Model'!D$2:D$38^A7448)</f>
        <v>36.9101573</v>
      </c>
      <c r="C7448" s="8">
        <f t="array" ref="C7448">PRODUCT(1-'Sparkling Model'!D$2:D$38^A7448)</f>
        <v>0.9130690237</v>
      </c>
    </row>
    <row r="7449">
      <c r="A7449" s="6">
        <v>7447.0</v>
      </c>
      <c r="B7449" s="17">
        <f t="array" ref="B7449">SUM(1-'Sparkling Model'!D$2:D$38^A7449)</f>
        <v>36.91020346</v>
      </c>
      <c r="C7449" s="8">
        <f t="array" ref="C7449">PRODUCT(1-'Sparkling Model'!D$2:D$38^A7449)</f>
        <v>0.9131121779</v>
      </c>
    </row>
    <row r="7450">
      <c r="A7450" s="6">
        <v>7448.0</v>
      </c>
      <c r="B7450" s="17">
        <f t="array" ref="B7450">SUM(1-'Sparkling Model'!D$2:D$38^A7450)</f>
        <v>36.9102496</v>
      </c>
      <c r="C7450" s="8">
        <f t="array" ref="C7450">PRODUCT(1-'Sparkling Model'!D$2:D$38^A7450)</f>
        <v>0.9131553108</v>
      </c>
    </row>
    <row r="7451">
      <c r="A7451" s="6">
        <v>7449.0</v>
      </c>
      <c r="B7451" s="17">
        <f t="array" ref="B7451">SUM(1-'Sparkling Model'!D$2:D$38^A7451)</f>
        <v>36.91029572</v>
      </c>
      <c r="C7451" s="8">
        <f t="array" ref="C7451">PRODUCT(1-'Sparkling Model'!D$2:D$38^A7451)</f>
        <v>0.9131984225</v>
      </c>
    </row>
    <row r="7452">
      <c r="A7452" s="6">
        <v>7450.0</v>
      </c>
      <c r="B7452" s="17">
        <f t="array" ref="B7452">SUM(1-'Sparkling Model'!D$2:D$38^A7452)</f>
        <v>36.91034181</v>
      </c>
      <c r="C7452" s="8">
        <f t="array" ref="C7452">PRODUCT(1-'Sparkling Model'!D$2:D$38^A7452)</f>
        <v>0.9132415128</v>
      </c>
    </row>
    <row r="7453">
      <c r="A7453" s="6">
        <v>7451.0</v>
      </c>
      <c r="B7453" s="17">
        <f t="array" ref="B7453">SUM(1-'Sparkling Model'!D$2:D$38^A7453)</f>
        <v>36.91038788</v>
      </c>
      <c r="C7453" s="8">
        <f t="array" ref="C7453">PRODUCT(1-'Sparkling Model'!D$2:D$38^A7453)</f>
        <v>0.9132845819</v>
      </c>
    </row>
    <row r="7454">
      <c r="A7454" s="6">
        <v>7452.0</v>
      </c>
      <c r="B7454" s="17">
        <f t="array" ref="B7454">SUM(1-'Sparkling Model'!D$2:D$38^A7454)</f>
        <v>36.91043392</v>
      </c>
      <c r="C7454" s="8">
        <f t="array" ref="C7454">PRODUCT(1-'Sparkling Model'!D$2:D$38^A7454)</f>
        <v>0.9133276298</v>
      </c>
    </row>
    <row r="7455">
      <c r="A7455" s="6">
        <v>7453.0</v>
      </c>
      <c r="B7455" s="17">
        <f t="array" ref="B7455">SUM(1-'Sparkling Model'!D$2:D$38^A7455)</f>
        <v>36.91047994</v>
      </c>
      <c r="C7455" s="8">
        <f t="array" ref="C7455">PRODUCT(1-'Sparkling Model'!D$2:D$38^A7455)</f>
        <v>0.9133706564</v>
      </c>
    </row>
    <row r="7456">
      <c r="A7456" s="6">
        <v>7454.0</v>
      </c>
      <c r="B7456" s="17">
        <f t="array" ref="B7456">SUM(1-'Sparkling Model'!D$2:D$38^A7456)</f>
        <v>36.91052593</v>
      </c>
      <c r="C7456" s="8">
        <f t="array" ref="C7456">PRODUCT(1-'Sparkling Model'!D$2:D$38^A7456)</f>
        <v>0.9134136618</v>
      </c>
    </row>
    <row r="7457">
      <c r="A7457" s="6">
        <v>7455.0</v>
      </c>
      <c r="B7457" s="17">
        <f t="array" ref="B7457">SUM(1-'Sparkling Model'!D$2:D$38^A7457)</f>
        <v>36.9105719</v>
      </c>
      <c r="C7457" s="8">
        <f t="array" ref="C7457">PRODUCT(1-'Sparkling Model'!D$2:D$38^A7457)</f>
        <v>0.9134566459</v>
      </c>
    </row>
    <row r="7458">
      <c r="A7458" s="6">
        <v>7456.0</v>
      </c>
      <c r="B7458" s="17">
        <f t="array" ref="B7458">SUM(1-'Sparkling Model'!D$2:D$38^A7458)</f>
        <v>36.91061785</v>
      </c>
      <c r="C7458" s="8">
        <f t="array" ref="C7458">PRODUCT(1-'Sparkling Model'!D$2:D$38^A7458)</f>
        <v>0.9134996088</v>
      </c>
    </row>
    <row r="7459">
      <c r="A7459" s="6">
        <v>7457.0</v>
      </c>
      <c r="B7459" s="17">
        <f t="array" ref="B7459">SUM(1-'Sparkling Model'!D$2:D$38^A7459)</f>
        <v>36.91066377</v>
      </c>
      <c r="C7459" s="8">
        <f t="array" ref="C7459">PRODUCT(1-'Sparkling Model'!D$2:D$38^A7459)</f>
        <v>0.9135425505</v>
      </c>
    </row>
    <row r="7460">
      <c r="A7460" s="6">
        <v>7458.0</v>
      </c>
      <c r="B7460" s="17">
        <f t="array" ref="B7460">SUM(1-'Sparkling Model'!D$2:D$38^A7460)</f>
        <v>36.91070966</v>
      </c>
      <c r="C7460" s="8">
        <f t="array" ref="C7460">PRODUCT(1-'Sparkling Model'!D$2:D$38^A7460)</f>
        <v>0.9135854711</v>
      </c>
    </row>
    <row r="7461">
      <c r="A7461" s="6">
        <v>7459.0</v>
      </c>
      <c r="B7461" s="17">
        <f t="array" ref="B7461">SUM(1-'Sparkling Model'!D$2:D$38^A7461)</f>
        <v>36.91075554</v>
      </c>
      <c r="C7461" s="8">
        <f t="array" ref="C7461">PRODUCT(1-'Sparkling Model'!D$2:D$38^A7461)</f>
        <v>0.9136283704</v>
      </c>
    </row>
    <row r="7462">
      <c r="A7462" s="6">
        <v>7460.0</v>
      </c>
      <c r="B7462" s="17">
        <f t="array" ref="B7462">SUM(1-'Sparkling Model'!D$2:D$38^A7462)</f>
        <v>36.91080138</v>
      </c>
      <c r="C7462" s="8">
        <f t="array" ref="C7462">PRODUCT(1-'Sparkling Model'!D$2:D$38^A7462)</f>
        <v>0.9136712486</v>
      </c>
    </row>
    <row r="7463">
      <c r="A7463" s="6">
        <v>7461.0</v>
      </c>
      <c r="B7463" s="17">
        <f t="array" ref="B7463">SUM(1-'Sparkling Model'!D$2:D$38^A7463)</f>
        <v>36.91084721</v>
      </c>
      <c r="C7463" s="8">
        <f t="array" ref="C7463">PRODUCT(1-'Sparkling Model'!D$2:D$38^A7463)</f>
        <v>0.9137141056</v>
      </c>
    </row>
    <row r="7464">
      <c r="A7464" s="6">
        <v>7462.0</v>
      </c>
      <c r="B7464" s="17">
        <f t="array" ref="B7464">SUM(1-'Sparkling Model'!D$2:D$38^A7464)</f>
        <v>36.91089301</v>
      </c>
      <c r="C7464" s="8">
        <f t="array" ref="C7464">PRODUCT(1-'Sparkling Model'!D$2:D$38^A7464)</f>
        <v>0.9137569414</v>
      </c>
    </row>
    <row r="7465">
      <c r="A7465" s="6">
        <v>7463.0</v>
      </c>
      <c r="B7465" s="17">
        <f t="array" ref="B7465">SUM(1-'Sparkling Model'!D$2:D$38^A7465)</f>
        <v>36.91093878</v>
      </c>
      <c r="C7465" s="8">
        <f t="array" ref="C7465">PRODUCT(1-'Sparkling Model'!D$2:D$38^A7465)</f>
        <v>0.9137997561</v>
      </c>
    </row>
    <row r="7466">
      <c r="A7466" s="6">
        <v>7464.0</v>
      </c>
      <c r="B7466" s="17">
        <f t="array" ref="B7466">SUM(1-'Sparkling Model'!D$2:D$38^A7466)</f>
        <v>36.91098453</v>
      </c>
      <c r="C7466" s="8">
        <f t="array" ref="C7466">PRODUCT(1-'Sparkling Model'!D$2:D$38^A7466)</f>
        <v>0.9138425497</v>
      </c>
    </row>
    <row r="7467">
      <c r="A7467" s="6">
        <v>7465.0</v>
      </c>
      <c r="B7467" s="17">
        <f t="array" ref="B7467">SUM(1-'Sparkling Model'!D$2:D$38^A7467)</f>
        <v>36.91103026</v>
      </c>
      <c r="C7467" s="8">
        <f t="array" ref="C7467">PRODUCT(1-'Sparkling Model'!D$2:D$38^A7467)</f>
        <v>0.9138853221</v>
      </c>
    </row>
    <row r="7468">
      <c r="A7468" s="6">
        <v>7466.0</v>
      </c>
      <c r="B7468" s="17">
        <f t="array" ref="B7468">SUM(1-'Sparkling Model'!D$2:D$38^A7468)</f>
        <v>36.91107596</v>
      </c>
      <c r="C7468" s="8">
        <f t="array" ref="C7468">PRODUCT(1-'Sparkling Model'!D$2:D$38^A7468)</f>
        <v>0.9139280735</v>
      </c>
    </row>
    <row r="7469">
      <c r="A7469" s="6">
        <v>7467.0</v>
      </c>
      <c r="B7469" s="17">
        <f t="array" ref="B7469">SUM(1-'Sparkling Model'!D$2:D$38^A7469)</f>
        <v>36.91112164</v>
      </c>
      <c r="C7469" s="8">
        <f t="array" ref="C7469">PRODUCT(1-'Sparkling Model'!D$2:D$38^A7469)</f>
        <v>0.9139708037</v>
      </c>
    </row>
    <row r="7470">
      <c r="A7470" s="6">
        <v>7468.0</v>
      </c>
      <c r="B7470" s="17">
        <f t="array" ref="B7470">SUM(1-'Sparkling Model'!D$2:D$38^A7470)</f>
        <v>36.9111673</v>
      </c>
      <c r="C7470" s="8">
        <f t="array" ref="C7470">PRODUCT(1-'Sparkling Model'!D$2:D$38^A7470)</f>
        <v>0.9140135129</v>
      </c>
    </row>
    <row r="7471">
      <c r="A7471" s="6">
        <v>7469.0</v>
      </c>
      <c r="B7471" s="17">
        <f t="array" ref="B7471">SUM(1-'Sparkling Model'!D$2:D$38^A7471)</f>
        <v>36.91121293</v>
      </c>
      <c r="C7471" s="8">
        <f t="array" ref="C7471">PRODUCT(1-'Sparkling Model'!D$2:D$38^A7471)</f>
        <v>0.9140562009</v>
      </c>
    </row>
    <row r="7472">
      <c r="A7472" s="6">
        <v>7470.0</v>
      </c>
      <c r="B7472" s="17">
        <f t="array" ref="B7472">SUM(1-'Sparkling Model'!D$2:D$38^A7472)</f>
        <v>36.91125853</v>
      </c>
      <c r="C7472" s="8">
        <f t="array" ref="C7472">PRODUCT(1-'Sparkling Model'!D$2:D$38^A7472)</f>
        <v>0.9140988679</v>
      </c>
    </row>
    <row r="7473">
      <c r="A7473" s="6">
        <v>7471.0</v>
      </c>
      <c r="B7473" s="17">
        <f t="array" ref="B7473">SUM(1-'Sparkling Model'!D$2:D$38^A7473)</f>
        <v>36.91130411</v>
      </c>
      <c r="C7473" s="8">
        <f t="array" ref="C7473">PRODUCT(1-'Sparkling Model'!D$2:D$38^A7473)</f>
        <v>0.9141415139</v>
      </c>
    </row>
    <row r="7474">
      <c r="A7474" s="6">
        <v>7472.0</v>
      </c>
      <c r="B7474" s="17">
        <f t="array" ref="B7474">SUM(1-'Sparkling Model'!D$2:D$38^A7474)</f>
        <v>36.91134967</v>
      </c>
      <c r="C7474" s="8">
        <f t="array" ref="C7474">PRODUCT(1-'Sparkling Model'!D$2:D$38^A7474)</f>
        <v>0.9141841387</v>
      </c>
    </row>
    <row r="7475">
      <c r="A7475" s="6">
        <v>7473.0</v>
      </c>
      <c r="B7475" s="17">
        <f t="array" ref="B7475">SUM(1-'Sparkling Model'!D$2:D$38^A7475)</f>
        <v>36.91139521</v>
      </c>
      <c r="C7475" s="8">
        <f t="array" ref="C7475">PRODUCT(1-'Sparkling Model'!D$2:D$38^A7475)</f>
        <v>0.9142267426</v>
      </c>
    </row>
    <row r="7476">
      <c r="A7476" s="6">
        <v>7474.0</v>
      </c>
      <c r="B7476" s="17">
        <f t="array" ref="B7476">SUM(1-'Sparkling Model'!D$2:D$38^A7476)</f>
        <v>36.91144071</v>
      </c>
      <c r="C7476" s="8">
        <f t="array" ref="C7476">PRODUCT(1-'Sparkling Model'!D$2:D$38^A7476)</f>
        <v>0.9142693254</v>
      </c>
    </row>
    <row r="7477">
      <c r="A7477" s="6">
        <v>7475.0</v>
      </c>
      <c r="B7477" s="17">
        <f t="array" ref="B7477">SUM(1-'Sparkling Model'!D$2:D$38^A7477)</f>
        <v>36.9114862</v>
      </c>
      <c r="C7477" s="8">
        <f t="array" ref="C7477">PRODUCT(1-'Sparkling Model'!D$2:D$38^A7477)</f>
        <v>0.9143118872</v>
      </c>
    </row>
    <row r="7478">
      <c r="A7478" s="6">
        <v>7476.0</v>
      </c>
      <c r="B7478" s="17">
        <f t="array" ref="B7478">SUM(1-'Sparkling Model'!D$2:D$38^A7478)</f>
        <v>36.91153166</v>
      </c>
      <c r="C7478" s="8">
        <f t="array" ref="C7478">PRODUCT(1-'Sparkling Model'!D$2:D$38^A7478)</f>
        <v>0.914354428</v>
      </c>
    </row>
    <row r="7479">
      <c r="A7479" s="6">
        <v>7477.0</v>
      </c>
      <c r="B7479" s="17">
        <f t="array" ref="B7479">SUM(1-'Sparkling Model'!D$2:D$38^A7479)</f>
        <v>36.9115771</v>
      </c>
      <c r="C7479" s="8">
        <f t="array" ref="C7479">PRODUCT(1-'Sparkling Model'!D$2:D$38^A7479)</f>
        <v>0.9143969477</v>
      </c>
    </row>
    <row r="7480">
      <c r="A7480" s="6">
        <v>7478.0</v>
      </c>
      <c r="B7480" s="17">
        <f t="array" ref="B7480">SUM(1-'Sparkling Model'!D$2:D$38^A7480)</f>
        <v>36.91162251</v>
      </c>
      <c r="C7480" s="8">
        <f t="array" ref="C7480">PRODUCT(1-'Sparkling Model'!D$2:D$38^A7480)</f>
        <v>0.9144394465</v>
      </c>
    </row>
    <row r="7481">
      <c r="A7481" s="6">
        <v>7479.0</v>
      </c>
      <c r="B7481" s="17">
        <f t="array" ref="B7481">SUM(1-'Sparkling Model'!D$2:D$38^A7481)</f>
        <v>36.9116679</v>
      </c>
      <c r="C7481" s="8">
        <f t="array" ref="C7481">PRODUCT(1-'Sparkling Model'!D$2:D$38^A7481)</f>
        <v>0.9144819243</v>
      </c>
    </row>
    <row r="7482">
      <c r="A7482" s="6">
        <v>7480.0</v>
      </c>
      <c r="B7482" s="17">
        <f t="array" ref="B7482">SUM(1-'Sparkling Model'!D$2:D$38^A7482)</f>
        <v>36.91171327</v>
      </c>
      <c r="C7482" s="8">
        <f t="array" ref="C7482">PRODUCT(1-'Sparkling Model'!D$2:D$38^A7482)</f>
        <v>0.9145243812</v>
      </c>
    </row>
    <row r="7483">
      <c r="A7483" s="6">
        <v>7481.0</v>
      </c>
      <c r="B7483" s="17">
        <f t="array" ref="B7483">SUM(1-'Sparkling Model'!D$2:D$38^A7483)</f>
        <v>36.91175861</v>
      </c>
      <c r="C7483" s="8">
        <f t="array" ref="C7483">PRODUCT(1-'Sparkling Model'!D$2:D$38^A7483)</f>
        <v>0.914566817</v>
      </c>
    </row>
    <row r="7484">
      <c r="A7484" s="6">
        <v>7482.0</v>
      </c>
      <c r="B7484" s="17">
        <f t="array" ref="B7484">SUM(1-'Sparkling Model'!D$2:D$38^A7484)</f>
        <v>36.91180392</v>
      </c>
      <c r="C7484" s="8">
        <f t="array" ref="C7484">PRODUCT(1-'Sparkling Model'!D$2:D$38^A7484)</f>
        <v>0.914609232</v>
      </c>
    </row>
    <row r="7485">
      <c r="A7485" s="6">
        <v>7483.0</v>
      </c>
      <c r="B7485" s="17">
        <f t="array" ref="B7485">SUM(1-'Sparkling Model'!D$2:D$38^A7485)</f>
        <v>36.91184922</v>
      </c>
      <c r="C7485" s="8">
        <f t="array" ref="C7485">PRODUCT(1-'Sparkling Model'!D$2:D$38^A7485)</f>
        <v>0.914651626</v>
      </c>
    </row>
    <row r="7486">
      <c r="A7486" s="6">
        <v>7484.0</v>
      </c>
      <c r="B7486" s="17">
        <f t="array" ref="B7486">SUM(1-'Sparkling Model'!D$2:D$38^A7486)</f>
        <v>36.91189449</v>
      </c>
      <c r="C7486" s="8">
        <f t="array" ref="C7486">PRODUCT(1-'Sparkling Model'!D$2:D$38^A7486)</f>
        <v>0.914693999</v>
      </c>
    </row>
    <row r="7487">
      <c r="A7487" s="6">
        <v>7485.0</v>
      </c>
      <c r="B7487" s="17">
        <f t="array" ref="B7487">SUM(1-'Sparkling Model'!D$2:D$38^A7487)</f>
        <v>36.91193973</v>
      </c>
      <c r="C7487" s="8">
        <f t="array" ref="C7487">PRODUCT(1-'Sparkling Model'!D$2:D$38^A7487)</f>
        <v>0.9147363512</v>
      </c>
    </row>
    <row r="7488">
      <c r="A7488" s="6">
        <v>7486.0</v>
      </c>
      <c r="B7488" s="17">
        <f t="array" ref="B7488">SUM(1-'Sparkling Model'!D$2:D$38^A7488)</f>
        <v>36.91198495</v>
      </c>
      <c r="C7488" s="8">
        <f t="array" ref="C7488">PRODUCT(1-'Sparkling Model'!D$2:D$38^A7488)</f>
        <v>0.9147786824</v>
      </c>
    </row>
    <row r="7489">
      <c r="A7489" s="6">
        <v>7487.0</v>
      </c>
      <c r="B7489" s="17">
        <f t="array" ref="B7489">SUM(1-'Sparkling Model'!D$2:D$38^A7489)</f>
        <v>36.91203015</v>
      </c>
      <c r="C7489" s="8">
        <f t="array" ref="C7489">PRODUCT(1-'Sparkling Model'!D$2:D$38^A7489)</f>
        <v>0.9148209927</v>
      </c>
    </row>
    <row r="7490">
      <c r="A7490" s="6">
        <v>7488.0</v>
      </c>
      <c r="B7490" s="17">
        <f t="array" ref="B7490">SUM(1-'Sparkling Model'!D$2:D$38^A7490)</f>
        <v>36.91207532</v>
      </c>
      <c r="C7490" s="8">
        <f t="array" ref="C7490">PRODUCT(1-'Sparkling Model'!D$2:D$38^A7490)</f>
        <v>0.9148632822</v>
      </c>
    </row>
    <row r="7491">
      <c r="A7491" s="6">
        <v>7489.0</v>
      </c>
      <c r="B7491" s="17">
        <f t="array" ref="B7491">SUM(1-'Sparkling Model'!D$2:D$38^A7491)</f>
        <v>36.91212047</v>
      </c>
      <c r="C7491" s="8">
        <f t="array" ref="C7491">PRODUCT(1-'Sparkling Model'!D$2:D$38^A7491)</f>
        <v>0.9149055508</v>
      </c>
    </row>
    <row r="7492">
      <c r="A7492" s="6">
        <v>7490.0</v>
      </c>
      <c r="B7492" s="17">
        <f t="array" ref="B7492">SUM(1-'Sparkling Model'!D$2:D$38^A7492)</f>
        <v>36.9121656</v>
      </c>
      <c r="C7492" s="8">
        <f t="array" ref="C7492">PRODUCT(1-'Sparkling Model'!D$2:D$38^A7492)</f>
        <v>0.9149477985</v>
      </c>
    </row>
    <row r="7493">
      <c r="A7493" s="6">
        <v>7491.0</v>
      </c>
      <c r="B7493" s="17">
        <f t="array" ref="B7493">SUM(1-'Sparkling Model'!D$2:D$38^A7493)</f>
        <v>36.9122107</v>
      </c>
      <c r="C7493" s="8">
        <f t="array" ref="C7493">PRODUCT(1-'Sparkling Model'!D$2:D$38^A7493)</f>
        <v>0.9149900253</v>
      </c>
    </row>
    <row r="7494">
      <c r="A7494" s="6">
        <v>7492.0</v>
      </c>
      <c r="B7494" s="17">
        <f t="array" ref="B7494">SUM(1-'Sparkling Model'!D$2:D$38^A7494)</f>
        <v>36.91225578</v>
      </c>
      <c r="C7494" s="8">
        <f t="array" ref="C7494">PRODUCT(1-'Sparkling Model'!D$2:D$38^A7494)</f>
        <v>0.9150322313</v>
      </c>
    </row>
    <row r="7495">
      <c r="A7495" s="6">
        <v>7493.0</v>
      </c>
      <c r="B7495" s="17">
        <f t="array" ref="B7495">SUM(1-'Sparkling Model'!D$2:D$38^A7495)</f>
        <v>36.91230083</v>
      </c>
      <c r="C7495" s="8">
        <f t="array" ref="C7495">PRODUCT(1-'Sparkling Model'!D$2:D$38^A7495)</f>
        <v>0.9150744165</v>
      </c>
    </row>
    <row r="7496">
      <c r="A7496" s="6">
        <v>7494.0</v>
      </c>
      <c r="B7496" s="17">
        <f t="array" ref="B7496">SUM(1-'Sparkling Model'!D$2:D$38^A7496)</f>
        <v>36.91234586</v>
      </c>
      <c r="C7496" s="8">
        <f t="array" ref="C7496">PRODUCT(1-'Sparkling Model'!D$2:D$38^A7496)</f>
        <v>0.9151165808</v>
      </c>
    </row>
    <row r="7497">
      <c r="A7497" s="6">
        <v>7495.0</v>
      </c>
      <c r="B7497" s="17">
        <f t="array" ref="B7497">SUM(1-'Sparkling Model'!D$2:D$38^A7497)</f>
        <v>36.91239087</v>
      </c>
      <c r="C7497" s="8">
        <f t="array" ref="C7497">PRODUCT(1-'Sparkling Model'!D$2:D$38^A7497)</f>
        <v>0.9151587243</v>
      </c>
    </row>
    <row r="7498">
      <c r="A7498" s="6">
        <v>7496.0</v>
      </c>
      <c r="B7498" s="17">
        <f t="array" ref="B7498">SUM(1-'Sparkling Model'!D$2:D$38^A7498)</f>
        <v>36.91243585</v>
      </c>
      <c r="C7498" s="8">
        <f t="array" ref="C7498">PRODUCT(1-'Sparkling Model'!D$2:D$38^A7498)</f>
        <v>0.915200847</v>
      </c>
    </row>
    <row r="7499">
      <c r="A7499" s="6">
        <v>7497.0</v>
      </c>
      <c r="B7499" s="17">
        <f t="array" ref="B7499">SUM(1-'Sparkling Model'!D$2:D$38^A7499)</f>
        <v>36.91248081</v>
      </c>
      <c r="C7499" s="8">
        <f t="array" ref="C7499">PRODUCT(1-'Sparkling Model'!D$2:D$38^A7499)</f>
        <v>0.9152429489</v>
      </c>
    </row>
    <row r="7500">
      <c r="A7500" s="6">
        <v>7498.0</v>
      </c>
      <c r="B7500" s="17">
        <f t="array" ref="B7500">SUM(1-'Sparkling Model'!D$2:D$38^A7500)</f>
        <v>36.91252575</v>
      </c>
      <c r="C7500" s="8">
        <f t="array" ref="C7500">PRODUCT(1-'Sparkling Model'!D$2:D$38^A7500)</f>
        <v>0.9152850301</v>
      </c>
    </row>
    <row r="7501">
      <c r="A7501" s="6">
        <v>7499.0</v>
      </c>
      <c r="B7501" s="17">
        <f t="array" ref="B7501">SUM(1-'Sparkling Model'!D$2:D$38^A7501)</f>
        <v>36.91257066</v>
      </c>
      <c r="C7501" s="8">
        <f t="array" ref="C7501">PRODUCT(1-'Sparkling Model'!D$2:D$38^A7501)</f>
        <v>0.9153270904</v>
      </c>
    </row>
    <row r="7502">
      <c r="A7502" s="6">
        <v>7500.0</v>
      </c>
      <c r="B7502" s="17">
        <f t="array" ref="B7502">SUM(1-'Sparkling Model'!D$2:D$38^A7502)</f>
        <v>36.91261554</v>
      </c>
      <c r="C7502" s="8">
        <f t="array" ref="C7502">PRODUCT(1-'Sparkling Model'!D$2:D$38^A7502)</f>
        <v>0.91536913</v>
      </c>
    </row>
    <row r="7503">
      <c r="A7503" s="6">
        <v>7501.0</v>
      </c>
      <c r="B7503" s="17">
        <f t="array" ref="B7503">SUM(1-'Sparkling Model'!D$2:D$38^A7503)</f>
        <v>36.91266041</v>
      </c>
      <c r="C7503" s="8">
        <f t="array" ref="C7503">PRODUCT(1-'Sparkling Model'!D$2:D$38^A7503)</f>
        <v>0.9154111488</v>
      </c>
    </row>
    <row r="7504">
      <c r="A7504" s="6">
        <v>7502.0</v>
      </c>
      <c r="B7504" s="17">
        <f t="array" ref="B7504">SUM(1-'Sparkling Model'!D$2:D$38^A7504)</f>
        <v>36.91270525</v>
      </c>
      <c r="C7504" s="8">
        <f t="array" ref="C7504">PRODUCT(1-'Sparkling Model'!D$2:D$38^A7504)</f>
        <v>0.9154531469</v>
      </c>
    </row>
    <row r="7505">
      <c r="A7505" s="6">
        <v>7503.0</v>
      </c>
      <c r="B7505" s="17">
        <f t="array" ref="B7505">SUM(1-'Sparkling Model'!D$2:D$38^A7505)</f>
        <v>36.91275006</v>
      </c>
      <c r="C7505" s="8">
        <f t="array" ref="C7505">PRODUCT(1-'Sparkling Model'!D$2:D$38^A7505)</f>
        <v>0.9154951242</v>
      </c>
    </row>
    <row r="7506">
      <c r="A7506" s="6">
        <v>7504.0</v>
      </c>
      <c r="B7506" s="17">
        <f t="array" ref="B7506">SUM(1-'Sparkling Model'!D$2:D$38^A7506)</f>
        <v>36.91279486</v>
      </c>
      <c r="C7506" s="8">
        <f t="array" ref="C7506">PRODUCT(1-'Sparkling Model'!D$2:D$38^A7506)</f>
        <v>0.9155370808</v>
      </c>
    </row>
    <row r="7507">
      <c r="A7507" s="6">
        <v>7505.0</v>
      </c>
      <c r="B7507" s="17">
        <f t="array" ref="B7507">SUM(1-'Sparkling Model'!D$2:D$38^A7507)</f>
        <v>36.91283963</v>
      </c>
      <c r="C7507" s="8">
        <f t="array" ref="C7507">PRODUCT(1-'Sparkling Model'!D$2:D$38^A7507)</f>
        <v>0.9155790167</v>
      </c>
    </row>
    <row r="7508">
      <c r="A7508" s="6">
        <v>7506.0</v>
      </c>
      <c r="B7508" s="17">
        <f t="array" ref="B7508">SUM(1-'Sparkling Model'!D$2:D$38^A7508)</f>
        <v>36.91288437</v>
      </c>
      <c r="C7508" s="8">
        <f t="array" ref="C7508">PRODUCT(1-'Sparkling Model'!D$2:D$38^A7508)</f>
        <v>0.9156209319</v>
      </c>
    </row>
    <row r="7509">
      <c r="A7509" s="6">
        <v>7507.0</v>
      </c>
      <c r="B7509" s="17">
        <f t="array" ref="B7509">SUM(1-'Sparkling Model'!D$2:D$38^A7509)</f>
        <v>36.91292909</v>
      </c>
      <c r="C7509" s="8">
        <f t="array" ref="C7509">PRODUCT(1-'Sparkling Model'!D$2:D$38^A7509)</f>
        <v>0.9156628264</v>
      </c>
    </row>
    <row r="7510">
      <c r="A7510" s="6">
        <v>7508.0</v>
      </c>
      <c r="B7510" s="17">
        <f t="array" ref="B7510">SUM(1-'Sparkling Model'!D$2:D$38^A7510)</f>
        <v>36.91297379</v>
      </c>
      <c r="C7510" s="8">
        <f t="array" ref="C7510">PRODUCT(1-'Sparkling Model'!D$2:D$38^A7510)</f>
        <v>0.9157047002</v>
      </c>
    </row>
    <row r="7511">
      <c r="A7511" s="6">
        <v>7509.0</v>
      </c>
      <c r="B7511" s="17">
        <f t="array" ref="B7511">SUM(1-'Sparkling Model'!D$2:D$38^A7511)</f>
        <v>36.91301846</v>
      </c>
      <c r="C7511" s="8">
        <f t="array" ref="C7511">PRODUCT(1-'Sparkling Model'!D$2:D$38^A7511)</f>
        <v>0.9157465533</v>
      </c>
    </row>
    <row r="7512">
      <c r="A7512" s="6">
        <v>7510.0</v>
      </c>
      <c r="B7512" s="17">
        <f t="array" ref="B7512">SUM(1-'Sparkling Model'!D$2:D$38^A7512)</f>
        <v>36.91306312</v>
      </c>
      <c r="C7512" s="8">
        <f t="array" ref="C7512">PRODUCT(1-'Sparkling Model'!D$2:D$38^A7512)</f>
        <v>0.9157883858</v>
      </c>
    </row>
    <row r="7513">
      <c r="A7513" s="6">
        <v>7511.0</v>
      </c>
      <c r="B7513" s="17">
        <f t="array" ref="B7513">SUM(1-'Sparkling Model'!D$2:D$38^A7513)</f>
        <v>36.91310774</v>
      </c>
      <c r="C7513" s="8">
        <f t="array" ref="C7513">PRODUCT(1-'Sparkling Model'!D$2:D$38^A7513)</f>
        <v>0.9158301976</v>
      </c>
    </row>
    <row r="7514">
      <c r="A7514" s="6">
        <v>7512.0</v>
      </c>
      <c r="B7514" s="17">
        <f t="array" ref="B7514">SUM(1-'Sparkling Model'!D$2:D$38^A7514)</f>
        <v>36.91315235</v>
      </c>
      <c r="C7514" s="8">
        <f t="array" ref="C7514">PRODUCT(1-'Sparkling Model'!D$2:D$38^A7514)</f>
        <v>0.9158719887</v>
      </c>
    </row>
    <row r="7515">
      <c r="A7515" s="6">
        <v>7513.0</v>
      </c>
      <c r="B7515" s="17">
        <f t="array" ref="B7515">SUM(1-'Sparkling Model'!D$2:D$38^A7515)</f>
        <v>36.91319693</v>
      </c>
      <c r="C7515" s="8">
        <f t="array" ref="C7515">PRODUCT(1-'Sparkling Model'!D$2:D$38^A7515)</f>
        <v>0.9159137592</v>
      </c>
    </row>
    <row r="7516">
      <c r="A7516" s="6">
        <v>7514.0</v>
      </c>
      <c r="B7516" s="17">
        <f t="array" ref="B7516">SUM(1-'Sparkling Model'!D$2:D$38^A7516)</f>
        <v>36.91324148</v>
      </c>
      <c r="C7516" s="8">
        <f t="array" ref="C7516">PRODUCT(1-'Sparkling Model'!D$2:D$38^A7516)</f>
        <v>0.9159555091</v>
      </c>
    </row>
    <row r="7517">
      <c r="A7517" s="6">
        <v>7515.0</v>
      </c>
      <c r="B7517" s="17">
        <f t="array" ref="B7517">SUM(1-'Sparkling Model'!D$2:D$38^A7517)</f>
        <v>36.91328601</v>
      </c>
      <c r="C7517" s="8">
        <f t="array" ref="C7517">PRODUCT(1-'Sparkling Model'!D$2:D$38^A7517)</f>
        <v>0.9159972384</v>
      </c>
    </row>
    <row r="7518">
      <c r="A7518" s="6">
        <v>7516.0</v>
      </c>
      <c r="B7518" s="17">
        <f t="array" ref="B7518">SUM(1-'Sparkling Model'!D$2:D$38^A7518)</f>
        <v>36.91333052</v>
      </c>
      <c r="C7518" s="8">
        <f t="array" ref="C7518">PRODUCT(1-'Sparkling Model'!D$2:D$38^A7518)</f>
        <v>0.9160389471</v>
      </c>
    </row>
    <row r="7519">
      <c r="A7519" s="6">
        <v>7517.0</v>
      </c>
      <c r="B7519" s="17">
        <f t="array" ref="B7519">SUM(1-'Sparkling Model'!D$2:D$38^A7519)</f>
        <v>36.91337501</v>
      </c>
      <c r="C7519" s="8">
        <f t="array" ref="C7519">PRODUCT(1-'Sparkling Model'!D$2:D$38^A7519)</f>
        <v>0.9160806352</v>
      </c>
    </row>
    <row r="7520">
      <c r="A7520" s="6">
        <v>7518.0</v>
      </c>
      <c r="B7520" s="17">
        <f t="array" ref="B7520">SUM(1-'Sparkling Model'!D$2:D$38^A7520)</f>
        <v>36.91341947</v>
      </c>
      <c r="C7520" s="8">
        <f t="array" ref="C7520">PRODUCT(1-'Sparkling Model'!D$2:D$38^A7520)</f>
        <v>0.9161223026</v>
      </c>
    </row>
    <row r="7521">
      <c r="A7521" s="6">
        <v>7519.0</v>
      </c>
      <c r="B7521" s="17">
        <f t="array" ref="B7521">SUM(1-'Sparkling Model'!D$2:D$38^A7521)</f>
        <v>36.91346391</v>
      </c>
      <c r="C7521" s="8">
        <f t="array" ref="C7521">PRODUCT(1-'Sparkling Model'!D$2:D$38^A7521)</f>
        <v>0.9161639496</v>
      </c>
    </row>
    <row r="7522">
      <c r="A7522" s="6">
        <v>7520.0</v>
      </c>
      <c r="B7522" s="17">
        <f t="array" ref="B7522">SUM(1-'Sparkling Model'!D$2:D$38^A7522)</f>
        <v>36.91350833</v>
      </c>
      <c r="C7522" s="8">
        <f t="array" ref="C7522">PRODUCT(1-'Sparkling Model'!D$2:D$38^A7522)</f>
        <v>0.9162055759</v>
      </c>
    </row>
    <row r="7523">
      <c r="A7523" s="6">
        <v>7521.0</v>
      </c>
      <c r="B7523" s="17">
        <f t="array" ref="B7523">SUM(1-'Sparkling Model'!D$2:D$38^A7523)</f>
        <v>36.91355272</v>
      </c>
      <c r="C7523" s="8">
        <f t="array" ref="C7523">PRODUCT(1-'Sparkling Model'!D$2:D$38^A7523)</f>
        <v>0.9162471817</v>
      </c>
    </row>
    <row r="7524">
      <c r="A7524" s="6">
        <v>7522.0</v>
      </c>
      <c r="B7524" s="17">
        <f t="array" ref="B7524">SUM(1-'Sparkling Model'!D$2:D$38^A7524)</f>
        <v>36.91359709</v>
      </c>
      <c r="C7524" s="8">
        <f t="array" ref="C7524">PRODUCT(1-'Sparkling Model'!D$2:D$38^A7524)</f>
        <v>0.9162887669</v>
      </c>
    </row>
    <row r="7525">
      <c r="A7525" s="6">
        <v>7523.0</v>
      </c>
      <c r="B7525" s="17">
        <f t="array" ref="B7525">SUM(1-'Sparkling Model'!D$2:D$38^A7525)</f>
        <v>36.91364143</v>
      </c>
      <c r="C7525" s="8">
        <f t="array" ref="C7525">PRODUCT(1-'Sparkling Model'!D$2:D$38^A7525)</f>
        <v>0.9163303316</v>
      </c>
    </row>
    <row r="7526">
      <c r="A7526" s="6">
        <v>7524.0</v>
      </c>
      <c r="B7526" s="17">
        <f t="array" ref="B7526">SUM(1-'Sparkling Model'!D$2:D$38^A7526)</f>
        <v>36.91368575</v>
      </c>
      <c r="C7526" s="8">
        <f t="array" ref="C7526">PRODUCT(1-'Sparkling Model'!D$2:D$38^A7526)</f>
        <v>0.9163718758</v>
      </c>
    </row>
    <row r="7527">
      <c r="A7527" s="6">
        <v>7525.0</v>
      </c>
      <c r="B7527" s="17">
        <f t="array" ref="B7527">SUM(1-'Sparkling Model'!D$2:D$38^A7527)</f>
        <v>36.91373005</v>
      </c>
      <c r="C7527" s="8">
        <f t="array" ref="C7527">PRODUCT(1-'Sparkling Model'!D$2:D$38^A7527)</f>
        <v>0.9164133995</v>
      </c>
    </row>
    <row r="7528">
      <c r="A7528" s="6">
        <v>7526.0</v>
      </c>
      <c r="B7528" s="17">
        <f t="array" ref="B7528">SUM(1-'Sparkling Model'!D$2:D$38^A7528)</f>
        <v>36.91377432</v>
      </c>
      <c r="C7528" s="8">
        <f t="array" ref="C7528">PRODUCT(1-'Sparkling Model'!D$2:D$38^A7528)</f>
        <v>0.9164549026</v>
      </c>
    </row>
    <row r="7529">
      <c r="A7529" s="6">
        <v>7527.0</v>
      </c>
      <c r="B7529" s="17">
        <f t="array" ref="B7529">SUM(1-'Sparkling Model'!D$2:D$38^A7529)</f>
        <v>36.91381858</v>
      </c>
      <c r="C7529" s="8">
        <f t="array" ref="C7529">PRODUCT(1-'Sparkling Model'!D$2:D$38^A7529)</f>
        <v>0.9164963853</v>
      </c>
    </row>
    <row r="7530">
      <c r="A7530" s="6">
        <v>7528.0</v>
      </c>
      <c r="B7530" s="17">
        <f t="array" ref="B7530">SUM(1-'Sparkling Model'!D$2:D$38^A7530)</f>
        <v>36.9138628</v>
      </c>
      <c r="C7530" s="8">
        <f t="array" ref="C7530">PRODUCT(1-'Sparkling Model'!D$2:D$38^A7530)</f>
        <v>0.9165378475</v>
      </c>
    </row>
    <row r="7531">
      <c r="A7531" s="6">
        <v>7529.0</v>
      </c>
      <c r="B7531" s="17">
        <f t="array" ref="B7531">SUM(1-'Sparkling Model'!D$2:D$38^A7531)</f>
        <v>36.91390701</v>
      </c>
      <c r="C7531" s="8">
        <f t="array" ref="C7531">PRODUCT(1-'Sparkling Model'!D$2:D$38^A7531)</f>
        <v>0.9165792891</v>
      </c>
    </row>
    <row r="7532">
      <c r="A7532" s="6">
        <v>7530.0</v>
      </c>
      <c r="B7532" s="17">
        <f t="array" ref="B7532">SUM(1-'Sparkling Model'!D$2:D$38^A7532)</f>
        <v>36.91395119</v>
      </c>
      <c r="C7532" s="8">
        <f t="array" ref="C7532">PRODUCT(1-'Sparkling Model'!D$2:D$38^A7532)</f>
        <v>0.9166207104</v>
      </c>
    </row>
    <row r="7533">
      <c r="A7533" s="6">
        <v>7531.0</v>
      </c>
      <c r="B7533" s="17">
        <f t="array" ref="B7533">SUM(1-'Sparkling Model'!D$2:D$38^A7533)</f>
        <v>36.91399535</v>
      </c>
      <c r="C7533" s="8">
        <f t="array" ref="C7533">PRODUCT(1-'Sparkling Model'!D$2:D$38^A7533)</f>
        <v>0.9166621111</v>
      </c>
    </row>
    <row r="7534">
      <c r="A7534" s="6">
        <v>7532.0</v>
      </c>
      <c r="B7534" s="17">
        <f t="array" ref="B7534">SUM(1-'Sparkling Model'!D$2:D$38^A7534)</f>
        <v>36.91403948</v>
      </c>
      <c r="C7534" s="8">
        <f t="array" ref="C7534">PRODUCT(1-'Sparkling Model'!D$2:D$38^A7534)</f>
        <v>0.9167034915</v>
      </c>
    </row>
    <row r="7535">
      <c r="A7535" s="6">
        <v>7533.0</v>
      </c>
      <c r="B7535" s="17">
        <f t="array" ref="B7535">SUM(1-'Sparkling Model'!D$2:D$38^A7535)</f>
        <v>36.91408359</v>
      </c>
      <c r="C7535" s="8">
        <f t="array" ref="C7535">PRODUCT(1-'Sparkling Model'!D$2:D$38^A7535)</f>
        <v>0.9167448513</v>
      </c>
    </row>
    <row r="7536">
      <c r="A7536" s="6">
        <v>7534.0</v>
      </c>
      <c r="B7536" s="17">
        <f t="array" ref="B7536">SUM(1-'Sparkling Model'!D$2:D$38^A7536)</f>
        <v>36.91412768</v>
      </c>
      <c r="C7536" s="8">
        <f t="array" ref="C7536">PRODUCT(1-'Sparkling Model'!D$2:D$38^A7536)</f>
        <v>0.9167861908</v>
      </c>
    </row>
    <row r="7537">
      <c r="A7537" s="6">
        <v>7535.0</v>
      </c>
      <c r="B7537" s="17">
        <f t="array" ref="B7537">SUM(1-'Sparkling Model'!D$2:D$38^A7537)</f>
        <v>36.91417174</v>
      </c>
      <c r="C7537" s="8">
        <f t="array" ref="C7537">PRODUCT(1-'Sparkling Model'!D$2:D$38^A7537)</f>
        <v>0.9168275098</v>
      </c>
    </row>
    <row r="7538">
      <c r="A7538" s="6">
        <v>7536.0</v>
      </c>
      <c r="B7538" s="17">
        <f t="array" ref="B7538">SUM(1-'Sparkling Model'!D$2:D$38^A7538)</f>
        <v>36.91421578</v>
      </c>
      <c r="C7538" s="8">
        <f t="array" ref="C7538">PRODUCT(1-'Sparkling Model'!D$2:D$38^A7538)</f>
        <v>0.9168688085</v>
      </c>
    </row>
    <row r="7539">
      <c r="A7539" s="6">
        <v>7537.0</v>
      </c>
      <c r="B7539" s="17">
        <f t="array" ref="B7539">SUM(1-'Sparkling Model'!D$2:D$38^A7539)</f>
        <v>36.9142598</v>
      </c>
      <c r="C7539" s="8">
        <f t="array" ref="C7539">PRODUCT(1-'Sparkling Model'!D$2:D$38^A7539)</f>
        <v>0.9169100867</v>
      </c>
    </row>
    <row r="7540">
      <c r="A7540" s="6">
        <v>7538.0</v>
      </c>
      <c r="B7540" s="17">
        <f t="array" ref="B7540">SUM(1-'Sparkling Model'!D$2:D$38^A7540)</f>
        <v>36.9143038</v>
      </c>
      <c r="C7540" s="8">
        <f t="array" ref="C7540">PRODUCT(1-'Sparkling Model'!D$2:D$38^A7540)</f>
        <v>0.9169513446</v>
      </c>
    </row>
    <row r="7541">
      <c r="A7541" s="6">
        <v>7539.0</v>
      </c>
      <c r="B7541" s="17">
        <f t="array" ref="B7541">SUM(1-'Sparkling Model'!D$2:D$38^A7541)</f>
        <v>36.91434777</v>
      </c>
      <c r="C7541" s="8">
        <f t="array" ref="C7541">PRODUCT(1-'Sparkling Model'!D$2:D$38^A7541)</f>
        <v>0.916992582</v>
      </c>
    </row>
    <row r="7542">
      <c r="A7542" s="6">
        <v>7540.0</v>
      </c>
      <c r="B7542" s="17">
        <f t="array" ref="B7542">SUM(1-'Sparkling Model'!D$2:D$38^A7542)</f>
        <v>36.91439172</v>
      </c>
      <c r="C7542" s="8">
        <f t="array" ref="C7542">PRODUCT(1-'Sparkling Model'!D$2:D$38^A7542)</f>
        <v>0.9170337991</v>
      </c>
    </row>
    <row r="7543">
      <c r="A7543" s="6">
        <v>7541.0</v>
      </c>
      <c r="B7543" s="17">
        <f t="array" ref="B7543">SUM(1-'Sparkling Model'!D$2:D$38^A7543)</f>
        <v>36.91443564</v>
      </c>
      <c r="C7543" s="8">
        <f t="array" ref="C7543">PRODUCT(1-'Sparkling Model'!D$2:D$38^A7543)</f>
        <v>0.9170749959</v>
      </c>
    </row>
    <row r="7544">
      <c r="A7544" s="6">
        <v>7542.0</v>
      </c>
      <c r="B7544" s="17">
        <f t="array" ref="B7544">SUM(1-'Sparkling Model'!D$2:D$38^A7544)</f>
        <v>36.91447954</v>
      </c>
      <c r="C7544" s="8">
        <f t="array" ref="C7544">PRODUCT(1-'Sparkling Model'!D$2:D$38^A7544)</f>
        <v>0.9171161723</v>
      </c>
    </row>
    <row r="7545">
      <c r="A7545" s="6">
        <v>7543.0</v>
      </c>
      <c r="B7545" s="17">
        <f t="array" ref="B7545">SUM(1-'Sparkling Model'!D$2:D$38^A7545)</f>
        <v>36.91452342</v>
      </c>
      <c r="C7545" s="8">
        <f t="array" ref="C7545">PRODUCT(1-'Sparkling Model'!D$2:D$38^A7545)</f>
        <v>0.9171573283</v>
      </c>
    </row>
    <row r="7546">
      <c r="A7546" s="6">
        <v>7544.0</v>
      </c>
      <c r="B7546" s="17">
        <f t="array" ref="B7546">SUM(1-'Sparkling Model'!D$2:D$38^A7546)</f>
        <v>36.91456728</v>
      </c>
      <c r="C7546" s="8">
        <f t="array" ref="C7546">PRODUCT(1-'Sparkling Model'!D$2:D$38^A7546)</f>
        <v>0.9171984641</v>
      </c>
    </row>
    <row r="7547">
      <c r="A7547" s="6">
        <v>7545.0</v>
      </c>
      <c r="B7547" s="17">
        <f t="array" ref="B7547">SUM(1-'Sparkling Model'!D$2:D$38^A7547)</f>
        <v>36.91461111</v>
      </c>
      <c r="C7547" s="8">
        <f t="array" ref="C7547">PRODUCT(1-'Sparkling Model'!D$2:D$38^A7547)</f>
        <v>0.9172395795</v>
      </c>
    </row>
    <row r="7548">
      <c r="A7548" s="6">
        <v>7546.0</v>
      </c>
      <c r="B7548" s="17">
        <f t="array" ref="B7548">SUM(1-'Sparkling Model'!D$2:D$38^A7548)</f>
        <v>36.91465492</v>
      </c>
      <c r="C7548" s="8">
        <f t="array" ref="C7548">PRODUCT(1-'Sparkling Model'!D$2:D$38^A7548)</f>
        <v>0.9172806746</v>
      </c>
    </row>
    <row r="7549">
      <c r="A7549" s="6">
        <v>7547.0</v>
      </c>
      <c r="B7549" s="17">
        <f t="array" ref="B7549">SUM(1-'Sparkling Model'!D$2:D$38^A7549)</f>
        <v>36.9146987</v>
      </c>
      <c r="C7549" s="8">
        <f t="array" ref="C7549">PRODUCT(1-'Sparkling Model'!D$2:D$38^A7549)</f>
        <v>0.9173217494</v>
      </c>
    </row>
    <row r="7550">
      <c r="A7550" s="6">
        <v>7548.0</v>
      </c>
      <c r="B7550" s="17">
        <f t="array" ref="B7550">SUM(1-'Sparkling Model'!D$2:D$38^A7550)</f>
        <v>36.91474247</v>
      </c>
      <c r="C7550" s="8">
        <f t="array" ref="C7550">PRODUCT(1-'Sparkling Model'!D$2:D$38^A7550)</f>
        <v>0.9173628039</v>
      </c>
    </row>
    <row r="7551">
      <c r="A7551" s="6">
        <v>7549.0</v>
      </c>
      <c r="B7551" s="17">
        <f t="array" ref="B7551">SUM(1-'Sparkling Model'!D$2:D$38^A7551)</f>
        <v>36.91478621</v>
      </c>
      <c r="C7551" s="8">
        <f t="array" ref="C7551">PRODUCT(1-'Sparkling Model'!D$2:D$38^A7551)</f>
        <v>0.9174038381</v>
      </c>
    </row>
    <row r="7552">
      <c r="A7552" s="6">
        <v>7550.0</v>
      </c>
      <c r="B7552" s="17">
        <f t="array" ref="B7552">SUM(1-'Sparkling Model'!D$2:D$38^A7552)</f>
        <v>36.91482992</v>
      </c>
      <c r="C7552" s="8">
        <f t="array" ref="C7552">PRODUCT(1-'Sparkling Model'!D$2:D$38^A7552)</f>
        <v>0.9174448521</v>
      </c>
    </row>
    <row r="7553">
      <c r="A7553" s="6">
        <v>7551.0</v>
      </c>
      <c r="B7553" s="17">
        <f t="array" ref="B7553">SUM(1-'Sparkling Model'!D$2:D$38^A7553)</f>
        <v>36.91487362</v>
      </c>
      <c r="C7553" s="8">
        <f t="array" ref="C7553">PRODUCT(1-'Sparkling Model'!D$2:D$38^A7553)</f>
        <v>0.9174858458</v>
      </c>
    </row>
    <row r="7554">
      <c r="A7554" s="6">
        <v>7552.0</v>
      </c>
      <c r="B7554" s="17">
        <f t="array" ref="B7554">SUM(1-'Sparkling Model'!D$2:D$38^A7554)</f>
        <v>36.91491729</v>
      </c>
      <c r="C7554" s="8">
        <f t="array" ref="C7554">PRODUCT(1-'Sparkling Model'!D$2:D$38^A7554)</f>
        <v>0.9175268193</v>
      </c>
    </row>
    <row r="7555">
      <c r="A7555" s="6">
        <v>7553.0</v>
      </c>
      <c r="B7555" s="17">
        <f t="array" ref="B7555">SUM(1-'Sparkling Model'!D$2:D$38^A7555)</f>
        <v>36.91496093</v>
      </c>
      <c r="C7555" s="8">
        <f t="array" ref="C7555">PRODUCT(1-'Sparkling Model'!D$2:D$38^A7555)</f>
        <v>0.9175677725</v>
      </c>
    </row>
    <row r="7556">
      <c r="A7556" s="6">
        <v>7554.0</v>
      </c>
      <c r="B7556" s="17">
        <f t="array" ref="B7556">SUM(1-'Sparkling Model'!D$2:D$38^A7556)</f>
        <v>36.91500456</v>
      </c>
      <c r="C7556" s="8">
        <f t="array" ref="C7556">PRODUCT(1-'Sparkling Model'!D$2:D$38^A7556)</f>
        <v>0.9176087055</v>
      </c>
    </row>
    <row r="7557">
      <c r="A7557" s="6">
        <v>7555.0</v>
      </c>
      <c r="B7557" s="17">
        <f t="array" ref="B7557">SUM(1-'Sparkling Model'!D$2:D$38^A7557)</f>
        <v>36.91504816</v>
      </c>
      <c r="C7557" s="8">
        <f t="array" ref="C7557">PRODUCT(1-'Sparkling Model'!D$2:D$38^A7557)</f>
        <v>0.9176496182</v>
      </c>
    </row>
    <row r="7558">
      <c r="A7558" s="6">
        <v>7556.0</v>
      </c>
      <c r="B7558" s="17">
        <f t="array" ref="B7558">SUM(1-'Sparkling Model'!D$2:D$38^A7558)</f>
        <v>36.91509174</v>
      </c>
      <c r="C7558" s="8">
        <f t="array" ref="C7558">PRODUCT(1-'Sparkling Model'!D$2:D$38^A7558)</f>
        <v>0.9176905108</v>
      </c>
    </row>
    <row r="7559">
      <c r="A7559" s="6">
        <v>7557.0</v>
      </c>
      <c r="B7559" s="17">
        <f t="array" ref="B7559">SUM(1-'Sparkling Model'!D$2:D$38^A7559)</f>
        <v>36.91513529</v>
      </c>
      <c r="C7559" s="8">
        <f t="array" ref="C7559">PRODUCT(1-'Sparkling Model'!D$2:D$38^A7559)</f>
        <v>0.9177313831</v>
      </c>
    </row>
    <row r="7560">
      <c r="A7560" s="6">
        <v>7558.0</v>
      </c>
      <c r="B7560" s="17">
        <f t="array" ref="B7560">SUM(1-'Sparkling Model'!D$2:D$38^A7560)</f>
        <v>36.91517882</v>
      </c>
      <c r="C7560" s="8">
        <f t="array" ref="C7560">PRODUCT(1-'Sparkling Model'!D$2:D$38^A7560)</f>
        <v>0.9177722353</v>
      </c>
    </row>
    <row r="7561">
      <c r="A7561" s="6">
        <v>7559.0</v>
      </c>
      <c r="B7561" s="17">
        <f t="array" ref="B7561">SUM(1-'Sparkling Model'!D$2:D$38^A7561)</f>
        <v>36.91522233</v>
      </c>
      <c r="C7561" s="8">
        <f t="array" ref="C7561">PRODUCT(1-'Sparkling Model'!D$2:D$38^A7561)</f>
        <v>0.9178130673</v>
      </c>
    </row>
    <row r="7562">
      <c r="A7562" s="6">
        <v>7560.0</v>
      </c>
      <c r="B7562" s="17">
        <f t="array" ref="B7562">SUM(1-'Sparkling Model'!D$2:D$38^A7562)</f>
        <v>36.91526582</v>
      </c>
      <c r="C7562" s="8">
        <f t="array" ref="C7562">PRODUCT(1-'Sparkling Model'!D$2:D$38^A7562)</f>
        <v>0.9178538791</v>
      </c>
    </row>
    <row r="7563">
      <c r="A7563" s="6">
        <v>7561.0</v>
      </c>
      <c r="B7563" s="17">
        <f t="array" ref="B7563">SUM(1-'Sparkling Model'!D$2:D$38^A7563)</f>
        <v>36.91530928</v>
      </c>
      <c r="C7563" s="8">
        <f t="array" ref="C7563">PRODUCT(1-'Sparkling Model'!D$2:D$38^A7563)</f>
        <v>0.9178946708</v>
      </c>
    </row>
    <row r="7564">
      <c r="A7564" s="6">
        <v>7562.0</v>
      </c>
      <c r="B7564" s="17">
        <f t="array" ref="B7564">SUM(1-'Sparkling Model'!D$2:D$38^A7564)</f>
        <v>36.91535272</v>
      </c>
      <c r="C7564" s="8">
        <f t="array" ref="C7564">PRODUCT(1-'Sparkling Model'!D$2:D$38^A7564)</f>
        <v>0.9179354423</v>
      </c>
    </row>
    <row r="7565">
      <c r="A7565" s="6">
        <v>7563.0</v>
      </c>
      <c r="B7565" s="17">
        <f t="array" ref="B7565">SUM(1-'Sparkling Model'!D$2:D$38^A7565)</f>
        <v>36.91539614</v>
      </c>
      <c r="C7565" s="8">
        <f t="array" ref="C7565">PRODUCT(1-'Sparkling Model'!D$2:D$38^A7565)</f>
        <v>0.9179761936</v>
      </c>
    </row>
    <row r="7566">
      <c r="A7566" s="6">
        <v>7564.0</v>
      </c>
      <c r="B7566" s="17">
        <f t="array" ref="B7566">SUM(1-'Sparkling Model'!D$2:D$38^A7566)</f>
        <v>36.91543954</v>
      </c>
      <c r="C7566" s="8">
        <f t="array" ref="C7566">PRODUCT(1-'Sparkling Model'!D$2:D$38^A7566)</f>
        <v>0.9180169248</v>
      </c>
    </row>
    <row r="7567">
      <c r="A7567" s="6">
        <v>7565.0</v>
      </c>
      <c r="B7567" s="17">
        <f t="array" ref="B7567">SUM(1-'Sparkling Model'!D$2:D$38^A7567)</f>
        <v>36.91548291</v>
      </c>
      <c r="C7567" s="8">
        <f t="array" ref="C7567">PRODUCT(1-'Sparkling Model'!D$2:D$38^A7567)</f>
        <v>0.918057636</v>
      </c>
    </row>
    <row r="7568">
      <c r="A7568" s="6">
        <v>7566.0</v>
      </c>
      <c r="B7568" s="17">
        <f t="array" ref="B7568">SUM(1-'Sparkling Model'!D$2:D$38^A7568)</f>
        <v>36.91552626</v>
      </c>
      <c r="C7568" s="8">
        <f t="array" ref="C7568">PRODUCT(1-'Sparkling Model'!D$2:D$38^A7568)</f>
        <v>0.9180983269</v>
      </c>
    </row>
    <row r="7569">
      <c r="A7569" s="6">
        <v>7567.0</v>
      </c>
      <c r="B7569" s="17">
        <f t="array" ref="B7569">SUM(1-'Sparkling Model'!D$2:D$38^A7569)</f>
        <v>36.91556958</v>
      </c>
      <c r="C7569" s="8">
        <f t="array" ref="C7569">PRODUCT(1-'Sparkling Model'!D$2:D$38^A7569)</f>
        <v>0.9181389978</v>
      </c>
    </row>
    <row r="7570">
      <c r="A7570" s="6">
        <v>7568.0</v>
      </c>
      <c r="B7570" s="17">
        <f t="array" ref="B7570">SUM(1-'Sparkling Model'!D$2:D$38^A7570)</f>
        <v>36.91561288</v>
      </c>
      <c r="C7570" s="8">
        <f t="array" ref="C7570">PRODUCT(1-'Sparkling Model'!D$2:D$38^A7570)</f>
        <v>0.9181796486</v>
      </c>
    </row>
    <row r="7571">
      <c r="A7571" s="6">
        <v>7569.0</v>
      </c>
      <c r="B7571" s="17">
        <f t="array" ref="B7571">SUM(1-'Sparkling Model'!D$2:D$38^A7571)</f>
        <v>36.91565616</v>
      </c>
      <c r="C7571" s="8">
        <f t="array" ref="C7571">PRODUCT(1-'Sparkling Model'!D$2:D$38^A7571)</f>
        <v>0.9182202793</v>
      </c>
    </row>
    <row r="7572">
      <c r="A7572" s="6">
        <v>7570.0</v>
      </c>
      <c r="B7572" s="17">
        <f t="array" ref="B7572">SUM(1-'Sparkling Model'!D$2:D$38^A7572)</f>
        <v>36.91569942</v>
      </c>
      <c r="C7572" s="8">
        <f t="array" ref="C7572">PRODUCT(1-'Sparkling Model'!D$2:D$38^A7572)</f>
        <v>0.91826089</v>
      </c>
    </row>
    <row r="7573">
      <c r="A7573" s="6">
        <v>7571.0</v>
      </c>
      <c r="B7573" s="17">
        <f t="array" ref="B7573">SUM(1-'Sparkling Model'!D$2:D$38^A7573)</f>
        <v>36.91574266</v>
      </c>
      <c r="C7573" s="8">
        <f t="array" ref="C7573">PRODUCT(1-'Sparkling Model'!D$2:D$38^A7573)</f>
        <v>0.9183014806</v>
      </c>
    </row>
    <row r="7574">
      <c r="A7574" s="6">
        <v>7572.0</v>
      </c>
      <c r="B7574" s="17">
        <f t="array" ref="B7574">SUM(1-'Sparkling Model'!D$2:D$38^A7574)</f>
        <v>36.91578587</v>
      </c>
      <c r="C7574" s="8">
        <f t="array" ref="C7574">PRODUCT(1-'Sparkling Model'!D$2:D$38^A7574)</f>
        <v>0.9183420511</v>
      </c>
    </row>
    <row r="7575">
      <c r="A7575" s="6">
        <v>7573.0</v>
      </c>
      <c r="B7575" s="17">
        <f t="array" ref="B7575">SUM(1-'Sparkling Model'!D$2:D$38^A7575)</f>
        <v>36.91582906</v>
      </c>
      <c r="C7575" s="8">
        <f t="array" ref="C7575">PRODUCT(1-'Sparkling Model'!D$2:D$38^A7575)</f>
        <v>0.9183826016</v>
      </c>
    </row>
    <row r="7576">
      <c r="A7576" s="6">
        <v>7574.0</v>
      </c>
      <c r="B7576" s="17">
        <f t="array" ref="B7576">SUM(1-'Sparkling Model'!D$2:D$38^A7576)</f>
        <v>36.91587222</v>
      </c>
      <c r="C7576" s="8">
        <f t="array" ref="C7576">PRODUCT(1-'Sparkling Model'!D$2:D$38^A7576)</f>
        <v>0.918423132</v>
      </c>
    </row>
    <row r="7577">
      <c r="A7577" s="6">
        <v>7575.0</v>
      </c>
      <c r="B7577" s="17">
        <f t="array" ref="B7577">SUM(1-'Sparkling Model'!D$2:D$38^A7577)</f>
        <v>36.91591536</v>
      </c>
      <c r="C7577" s="8">
        <f t="array" ref="C7577">PRODUCT(1-'Sparkling Model'!D$2:D$38^A7577)</f>
        <v>0.9184636424</v>
      </c>
    </row>
    <row r="7578">
      <c r="A7578" s="6">
        <v>7576.0</v>
      </c>
      <c r="B7578" s="17">
        <f t="array" ref="B7578">SUM(1-'Sparkling Model'!D$2:D$38^A7578)</f>
        <v>36.91595849</v>
      </c>
      <c r="C7578" s="8">
        <f t="array" ref="C7578">PRODUCT(1-'Sparkling Model'!D$2:D$38^A7578)</f>
        <v>0.9185041328</v>
      </c>
    </row>
    <row r="7579">
      <c r="A7579" s="6">
        <v>7577.0</v>
      </c>
      <c r="B7579" s="17">
        <f t="array" ref="B7579">SUM(1-'Sparkling Model'!D$2:D$38^A7579)</f>
        <v>36.91600158</v>
      </c>
      <c r="C7579" s="8">
        <f t="array" ref="C7579">PRODUCT(1-'Sparkling Model'!D$2:D$38^A7579)</f>
        <v>0.9185446032</v>
      </c>
    </row>
    <row r="7580">
      <c r="A7580" s="6">
        <v>7578.0</v>
      </c>
      <c r="B7580" s="17">
        <f t="array" ref="B7580">SUM(1-'Sparkling Model'!D$2:D$38^A7580)</f>
        <v>36.91604466</v>
      </c>
      <c r="C7580" s="8">
        <f t="array" ref="C7580">PRODUCT(1-'Sparkling Model'!D$2:D$38^A7580)</f>
        <v>0.9185850537</v>
      </c>
    </row>
    <row r="7581">
      <c r="A7581" s="6">
        <v>7579.0</v>
      </c>
      <c r="B7581" s="17">
        <f t="array" ref="B7581">SUM(1-'Sparkling Model'!D$2:D$38^A7581)</f>
        <v>36.91608771</v>
      </c>
      <c r="C7581" s="8">
        <f t="array" ref="C7581">PRODUCT(1-'Sparkling Model'!D$2:D$38^A7581)</f>
        <v>0.9186254841</v>
      </c>
    </row>
    <row r="7582">
      <c r="A7582" s="6">
        <v>7580.0</v>
      </c>
      <c r="B7582" s="17">
        <f t="array" ref="B7582">SUM(1-'Sparkling Model'!D$2:D$38^A7582)</f>
        <v>36.91613074</v>
      </c>
      <c r="C7582" s="8">
        <f t="array" ref="C7582">PRODUCT(1-'Sparkling Model'!D$2:D$38^A7582)</f>
        <v>0.9186658945</v>
      </c>
    </row>
    <row r="7583">
      <c r="A7583" s="6">
        <v>7581.0</v>
      </c>
      <c r="B7583" s="17">
        <f t="array" ref="B7583">SUM(1-'Sparkling Model'!D$2:D$38^A7583)</f>
        <v>36.91617375</v>
      </c>
      <c r="C7583" s="8">
        <f t="array" ref="C7583">PRODUCT(1-'Sparkling Model'!D$2:D$38^A7583)</f>
        <v>0.918706285</v>
      </c>
    </row>
    <row r="7584">
      <c r="A7584" s="6">
        <v>7582.0</v>
      </c>
      <c r="B7584" s="17">
        <f t="array" ref="B7584">SUM(1-'Sparkling Model'!D$2:D$38^A7584)</f>
        <v>36.91621673</v>
      </c>
      <c r="C7584" s="8">
        <f t="array" ref="C7584">PRODUCT(1-'Sparkling Model'!D$2:D$38^A7584)</f>
        <v>0.9187466555</v>
      </c>
    </row>
    <row r="7585">
      <c r="A7585" s="6">
        <v>7583.0</v>
      </c>
      <c r="B7585" s="17">
        <f t="array" ref="B7585">SUM(1-'Sparkling Model'!D$2:D$38^A7585)</f>
        <v>36.91625969</v>
      </c>
      <c r="C7585" s="8">
        <f t="array" ref="C7585">PRODUCT(1-'Sparkling Model'!D$2:D$38^A7585)</f>
        <v>0.9187870061</v>
      </c>
    </row>
    <row r="7586">
      <c r="A7586" s="6">
        <v>7584.0</v>
      </c>
      <c r="B7586" s="17">
        <f t="array" ref="B7586">SUM(1-'Sparkling Model'!D$2:D$38^A7586)</f>
        <v>36.91630263</v>
      </c>
      <c r="C7586" s="8">
        <f t="array" ref="C7586">PRODUCT(1-'Sparkling Model'!D$2:D$38^A7586)</f>
        <v>0.9188273367</v>
      </c>
    </row>
    <row r="7587">
      <c r="A7587" s="6">
        <v>7585.0</v>
      </c>
      <c r="B7587" s="17">
        <f t="array" ref="B7587">SUM(1-'Sparkling Model'!D$2:D$38^A7587)</f>
        <v>36.91634555</v>
      </c>
      <c r="C7587" s="8">
        <f t="array" ref="C7587">PRODUCT(1-'Sparkling Model'!D$2:D$38^A7587)</f>
        <v>0.9188676474</v>
      </c>
    </row>
    <row r="7588">
      <c r="A7588" s="6">
        <v>7586.0</v>
      </c>
      <c r="B7588" s="17">
        <f t="array" ref="B7588">SUM(1-'Sparkling Model'!D$2:D$38^A7588)</f>
        <v>36.91638844</v>
      </c>
      <c r="C7588" s="8">
        <f t="array" ref="C7588">PRODUCT(1-'Sparkling Model'!D$2:D$38^A7588)</f>
        <v>0.9189079382</v>
      </c>
    </row>
    <row r="7589">
      <c r="A7589" s="6">
        <v>7587.0</v>
      </c>
      <c r="B7589" s="17">
        <f t="array" ref="B7589">SUM(1-'Sparkling Model'!D$2:D$38^A7589)</f>
        <v>36.91643131</v>
      </c>
      <c r="C7589" s="8">
        <f t="array" ref="C7589">PRODUCT(1-'Sparkling Model'!D$2:D$38^A7589)</f>
        <v>0.9189482091</v>
      </c>
    </row>
    <row r="7590">
      <c r="A7590" s="6">
        <v>7588.0</v>
      </c>
      <c r="B7590" s="17">
        <f t="array" ref="B7590">SUM(1-'Sparkling Model'!D$2:D$38^A7590)</f>
        <v>36.91647416</v>
      </c>
      <c r="C7590" s="8">
        <f t="array" ref="C7590">PRODUCT(1-'Sparkling Model'!D$2:D$38^A7590)</f>
        <v>0.9189884601</v>
      </c>
    </row>
    <row r="7591">
      <c r="A7591" s="6">
        <v>7589.0</v>
      </c>
      <c r="B7591" s="17">
        <f t="array" ref="B7591">SUM(1-'Sparkling Model'!D$2:D$38^A7591)</f>
        <v>36.91651698</v>
      </c>
      <c r="C7591" s="8">
        <f t="array" ref="C7591">PRODUCT(1-'Sparkling Model'!D$2:D$38^A7591)</f>
        <v>0.9190286912</v>
      </c>
    </row>
    <row r="7592">
      <c r="A7592" s="6">
        <v>7590.0</v>
      </c>
      <c r="B7592" s="17">
        <f t="array" ref="B7592">SUM(1-'Sparkling Model'!D$2:D$38^A7592)</f>
        <v>36.91655979</v>
      </c>
      <c r="C7592" s="8">
        <f t="array" ref="C7592">PRODUCT(1-'Sparkling Model'!D$2:D$38^A7592)</f>
        <v>0.9190689024</v>
      </c>
    </row>
    <row r="7593">
      <c r="A7593" s="6">
        <v>7591.0</v>
      </c>
      <c r="B7593" s="17">
        <f t="array" ref="B7593">SUM(1-'Sparkling Model'!D$2:D$38^A7593)</f>
        <v>36.91660257</v>
      </c>
      <c r="C7593" s="8">
        <f t="array" ref="C7593">PRODUCT(1-'Sparkling Model'!D$2:D$38^A7593)</f>
        <v>0.9191090938</v>
      </c>
    </row>
    <row r="7594">
      <c r="A7594" s="6">
        <v>7592.0</v>
      </c>
      <c r="B7594" s="17">
        <f t="array" ref="B7594">SUM(1-'Sparkling Model'!D$2:D$38^A7594)</f>
        <v>36.91664532</v>
      </c>
      <c r="C7594" s="8">
        <f t="array" ref="C7594">PRODUCT(1-'Sparkling Model'!D$2:D$38^A7594)</f>
        <v>0.9191492653</v>
      </c>
    </row>
    <row r="7595">
      <c r="A7595" s="6">
        <v>7593.0</v>
      </c>
      <c r="B7595" s="17">
        <f t="array" ref="B7595">SUM(1-'Sparkling Model'!D$2:D$38^A7595)</f>
        <v>36.91668806</v>
      </c>
      <c r="C7595" s="8">
        <f t="array" ref="C7595">PRODUCT(1-'Sparkling Model'!D$2:D$38^A7595)</f>
        <v>0.9191894169</v>
      </c>
    </row>
    <row r="7596">
      <c r="A7596" s="6">
        <v>7594.0</v>
      </c>
      <c r="B7596" s="17">
        <f t="array" ref="B7596">SUM(1-'Sparkling Model'!D$2:D$38^A7596)</f>
        <v>36.91673077</v>
      </c>
      <c r="C7596" s="8">
        <f t="array" ref="C7596">PRODUCT(1-'Sparkling Model'!D$2:D$38^A7596)</f>
        <v>0.9192295487</v>
      </c>
    </row>
    <row r="7597">
      <c r="A7597" s="6">
        <v>7595.0</v>
      </c>
      <c r="B7597" s="17">
        <f t="array" ref="B7597">SUM(1-'Sparkling Model'!D$2:D$38^A7597)</f>
        <v>36.91677346</v>
      </c>
      <c r="C7597" s="8">
        <f t="array" ref="C7597">PRODUCT(1-'Sparkling Model'!D$2:D$38^A7597)</f>
        <v>0.9192696607</v>
      </c>
    </row>
    <row r="7598">
      <c r="A7598" s="6">
        <v>7596.0</v>
      </c>
      <c r="B7598" s="17">
        <f t="array" ref="B7598">SUM(1-'Sparkling Model'!D$2:D$38^A7598)</f>
        <v>36.91681613</v>
      </c>
      <c r="C7598" s="8">
        <f t="array" ref="C7598">PRODUCT(1-'Sparkling Model'!D$2:D$38^A7598)</f>
        <v>0.9193097528</v>
      </c>
    </row>
    <row r="7599">
      <c r="A7599" s="6">
        <v>7597.0</v>
      </c>
      <c r="B7599" s="17">
        <f t="array" ref="B7599">SUM(1-'Sparkling Model'!D$2:D$38^A7599)</f>
        <v>36.91685878</v>
      </c>
      <c r="C7599" s="8">
        <f t="array" ref="C7599">PRODUCT(1-'Sparkling Model'!D$2:D$38^A7599)</f>
        <v>0.9193498251</v>
      </c>
    </row>
    <row r="7600">
      <c r="A7600" s="6">
        <v>7598.0</v>
      </c>
      <c r="B7600" s="17">
        <f t="array" ref="B7600">SUM(1-'Sparkling Model'!D$2:D$38^A7600)</f>
        <v>36.9169014</v>
      </c>
      <c r="C7600" s="8">
        <f t="array" ref="C7600">PRODUCT(1-'Sparkling Model'!D$2:D$38^A7600)</f>
        <v>0.9193898777</v>
      </c>
    </row>
    <row r="7601">
      <c r="A7601" s="6">
        <v>7599.0</v>
      </c>
      <c r="B7601" s="17">
        <f t="array" ref="B7601">SUM(1-'Sparkling Model'!D$2:D$38^A7601)</f>
        <v>36.916944</v>
      </c>
      <c r="C7601" s="8">
        <f t="array" ref="C7601">PRODUCT(1-'Sparkling Model'!D$2:D$38^A7601)</f>
        <v>0.9194299104</v>
      </c>
    </row>
    <row r="7602">
      <c r="A7602" s="6">
        <v>7600.0</v>
      </c>
      <c r="B7602" s="17">
        <f t="array" ref="B7602">SUM(1-'Sparkling Model'!D$2:D$38^A7602)</f>
        <v>36.91698658</v>
      </c>
      <c r="C7602" s="8">
        <f t="array" ref="C7602">PRODUCT(1-'Sparkling Model'!D$2:D$38^A7602)</f>
        <v>0.9194699234</v>
      </c>
    </row>
    <row r="7603">
      <c r="A7603" s="6">
        <v>7601.0</v>
      </c>
      <c r="B7603" s="17">
        <f t="array" ref="B7603">SUM(1-'Sparkling Model'!D$2:D$38^A7603)</f>
        <v>36.91702913</v>
      </c>
      <c r="C7603" s="8">
        <f t="array" ref="C7603">PRODUCT(1-'Sparkling Model'!D$2:D$38^A7603)</f>
        <v>0.9195099166</v>
      </c>
    </row>
    <row r="7604">
      <c r="A7604" s="6">
        <v>7602.0</v>
      </c>
      <c r="B7604" s="17">
        <f t="array" ref="B7604">SUM(1-'Sparkling Model'!D$2:D$38^A7604)</f>
        <v>36.91707166</v>
      </c>
      <c r="C7604" s="8">
        <f t="array" ref="C7604">PRODUCT(1-'Sparkling Model'!D$2:D$38^A7604)</f>
        <v>0.91954989</v>
      </c>
    </row>
    <row r="7605">
      <c r="A7605" s="6">
        <v>7603.0</v>
      </c>
      <c r="B7605" s="17">
        <f t="array" ref="B7605">SUM(1-'Sparkling Model'!D$2:D$38^A7605)</f>
        <v>36.91711417</v>
      </c>
      <c r="C7605" s="8">
        <f t="array" ref="C7605">PRODUCT(1-'Sparkling Model'!D$2:D$38^A7605)</f>
        <v>0.9195898436</v>
      </c>
    </row>
    <row r="7606">
      <c r="A7606" s="6">
        <v>7604.0</v>
      </c>
      <c r="B7606" s="17">
        <f t="array" ref="B7606">SUM(1-'Sparkling Model'!D$2:D$38^A7606)</f>
        <v>36.91715666</v>
      </c>
      <c r="C7606" s="8">
        <f t="array" ref="C7606">PRODUCT(1-'Sparkling Model'!D$2:D$38^A7606)</f>
        <v>0.9196297776</v>
      </c>
    </row>
    <row r="7607">
      <c r="A7607" s="6">
        <v>7605.0</v>
      </c>
      <c r="B7607" s="17">
        <f t="array" ref="B7607">SUM(1-'Sparkling Model'!D$2:D$38^A7607)</f>
        <v>36.91719913</v>
      </c>
      <c r="C7607" s="8">
        <f t="array" ref="C7607">PRODUCT(1-'Sparkling Model'!D$2:D$38^A7607)</f>
        <v>0.9196696917</v>
      </c>
    </row>
    <row r="7608">
      <c r="A7608" s="6">
        <v>7606.0</v>
      </c>
      <c r="B7608" s="17">
        <f t="array" ref="B7608">SUM(1-'Sparkling Model'!D$2:D$38^A7608)</f>
        <v>36.91724157</v>
      </c>
      <c r="C7608" s="8">
        <f t="array" ref="C7608">PRODUCT(1-'Sparkling Model'!D$2:D$38^A7608)</f>
        <v>0.9197095862</v>
      </c>
    </row>
    <row r="7609">
      <c r="A7609" s="6">
        <v>7607.0</v>
      </c>
      <c r="B7609" s="17">
        <f t="array" ref="B7609">SUM(1-'Sparkling Model'!D$2:D$38^A7609)</f>
        <v>36.91728399</v>
      </c>
      <c r="C7609" s="8">
        <f t="array" ref="C7609">PRODUCT(1-'Sparkling Model'!D$2:D$38^A7609)</f>
        <v>0.919749461</v>
      </c>
    </row>
    <row r="7610">
      <c r="A7610" s="6">
        <v>7608.0</v>
      </c>
      <c r="B7610" s="17">
        <f t="array" ref="B7610">SUM(1-'Sparkling Model'!D$2:D$38^A7610)</f>
        <v>36.91732639</v>
      </c>
      <c r="C7610" s="8">
        <f t="array" ref="C7610">PRODUCT(1-'Sparkling Model'!D$2:D$38^A7610)</f>
        <v>0.919789316</v>
      </c>
    </row>
    <row r="7611">
      <c r="A7611" s="6">
        <v>7609.0</v>
      </c>
      <c r="B7611" s="17">
        <f t="array" ref="B7611">SUM(1-'Sparkling Model'!D$2:D$38^A7611)</f>
        <v>36.91736877</v>
      </c>
      <c r="C7611" s="8">
        <f t="array" ref="C7611">PRODUCT(1-'Sparkling Model'!D$2:D$38^A7611)</f>
        <v>0.9198291513</v>
      </c>
    </row>
    <row r="7612">
      <c r="A7612" s="6">
        <v>7610.0</v>
      </c>
      <c r="B7612" s="17">
        <f t="array" ref="B7612">SUM(1-'Sparkling Model'!D$2:D$38^A7612)</f>
        <v>36.91741112</v>
      </c>
      <c r="C7612" s="8">
        <f t="array" ref="C7612">PRODUCT(1-'Sparkling Model'!D$2:D$38^A7612)</f>
        <v>0.919868967</v>
      </c>
    </row>
    <row r="7613">
      <c r="A7613" s="6">
        <v>7611.0</v>
      </c>
      <c r="B7613" s="17">
        <f t="array" ref="B7613">SUM(1-'Sparkling Model'!D$2:D$38^A7613)</f>
        <v>36.91745345</v>
      </c>
      <c r="C7613" s="8">
        <f t="array" ref="C7613">PRODUCT(1-'Sparkling Model'!D$2:D$38^A7613)</f>
        <v>0.919908763</v>
      </c>
    </row>
    <row r="7614">
      <c r="A7614" s="6">
        <v>7612.0</v>
      </c>
      <c r="B7614" s="17">
        <f t="array" ref="B7614">SUM(1-'Sparkling Model'!D$2:D$38^A7614)</f>
        <v>36.91749576</v>
      </c>
      <c r="C7614" s="8">
        <f t="array" ref="C7614">PRODUCT(1-'Sparkling Model'!D$2:D$38^A7614)</f>
        <v>0.9199485393</v>
      </c>
    </row>
    <row r="7615">
      <c r="A7615" s="6">
        <v>7613.0</v>
      </c>
      <c r="B7615" s="17">
        <f t="array" ref="B7615">SUM(1-'Sparkling Model'!D$2:D$38^A7615)</f>
        <v>36.91753805</v>
      </c>
      <c r="C7615" s="8">
        <f t="array" ref="C7615">PRODUCT(1-'Sparkling Model'!D$2:D$38^A7615)</f>
        <v>0.9199882959</v>
      </c>
    </row>
    <row r="7616">
      <c r="A7616" s="6">
        <v>7614.0</v>
      </c>
      <c r="B7616" s="17">
        <f t="array" ref="B7616">SUM(1-'Sparkling Model'!D$2:D$38^A7616)</f>
        <v>36.91758031</v>
      </c>
      <c r="C7616" s="8">
        <f t="array" ref="C7616">PRODUCT(1-'Sparkling Model'!D$2:D$38^A7616)</f>
        <v>0.920028033</v>
      </c>
    </row>
    <row r="7617">
      <c r="A7617" s="6">
        <v>7615.0</v>
      </c>
      <c r="B7617" s="17">
        <f t="array" ref="B7617">SUM(1-'Sparkling Model'!D$2:D$38^A7617)</f>
        <v>36.91762255</v>
      </c>
      <c r="C7617" s="8">
        <f t="array" ref="C7617">PRODUCT(1-'Sparkling Model'!D$2:D$38^A7617)</f>
        <v>0.9200677503</v>
      </c>
    </row>
    <row r="7618">
      <c r="A7618" s="6">
        <v>7616.0</v>
      </c>
      <c r="B7618" s="17">
        <f t="array" ref="B7618">SUM(1-'Sparkling Model'!D$2:D$38^A7618)</f>
        <v>36.91766477</v>
      </c>
      <c r="C7618" s="8">
        <f t="array" ref="C7618">PRODUCT(1-'Sparkling Model'!D$2:D$38^A7618)</f>
        <v>0.9201074481</v>
      </c>
    </row>
    <row r="7619">
      <c r="A7619" s="6">
        <v>7617.0</v>
      </c>
      <c r="B7619" s="17">
        <f t="array" ref="B7619">SUM(1-'Sparkling Model'!D$2:D$38^A7619)</f>
        <v>36.91770697</v>
      </c>
      <c r="C7619" s="8">
        <f t="array" ref="C7619">PRODUCT(1-'Sparkling Model'!D$2:D$38^A7619)</f>
        <v>0.9201471262</v>
      </c>
    </row>
    <row r="7620">
      <c r="A7620" s="6">
        <v>7618.0</v>
      </c>
      <c r="B7620" s="17">
        <f t="array" ref="B7620">SUM(1-'Sparkling Model'!D$2:D$38^A7620)</f>
        <v>36.91774915</v>
      </c>
      <c r="C7620" s="8">
        <f t="array" ref="C7620">PRODUCT(1-'Sparkling Model'!D$2:D$38^A7620)</f>
        <v>0.9201867847</v>
      </c>
    </row>
    <row r="7621">
      <c r="A7621" s="6">
        <v>7619.0</v>
      </c>
      <c r="B7621" s="17">
        <f t="array" ref="B7621">SUM(1-'Sparkling Model'!D$2:D$38^A7621)</f>
        <v>36.9177913</v>
      </c>
      <c r="C7621" s="8">
        <f t="array" ref="C7621">PRODUCT(1-'Sparkling Model'!D$2:D$38^A7621)</f>
        <v>0.9202264236</v>
      </c>
    </row>
    <row r="7622">
      <c r="A7622" s="6">
        <v>7620.0</v>
      </c>
      <c r="B7622" s="17">
        <f t="array" ref="B7622">SUM(1-'Sparkling Model'!D$2:D$38^A7622)</f>
        <v>36.91783343</v>
      </c>
      <c r="C7622" s="8">
        <f t="array" ref="C7622">PRODUCT(1-'Sparkling Model'!D$2:D$38^A7622)</f>
        <v>0.9202660429</v>
      </c>
    </row>
    <row r="7623">
      <c r="A7623" s="6">
        <v>7621.0</v>
      </c>
      <c r="B7623" s="17">
        <f t="array" ref="B7623">SUM(1-'Sparkling Model'!D$2:D$38^A7623)</f>
        <v>36.91787554</v>
      </c>
      <c r="C7623" s="8">
        <f t="array" ref="C7623">PRODUCT(1-'Sparkling Model'!D$2:D$38^A7623)</f>
        <v>0.9203056426</v>
      </c>
    </row>
    <row r="7624">
      <c r="A7624" s="6">
        <v>7622.0</v>
      </c>
      <c r="B7624" s="17">
        <f t="array" ref="B7624">SUM(1-'Sparkling Model'!D$2:D$38^A7624)</f>
        <v>36.91791763</v>
      </c>
      <c r="C7624" s="8">
        <f t="array" ref="C7624">PRODUCT(1-'Sparkling Model'!D$2:D$38^A7624)</f>
        <v>0.9203452228</v>
      </c>
    </row>
    <row r="7625">
      <c r="A7625" s="6">
        <v>7623.0</v>
      </c>
      <c r="B7625" s="17">
        <f t="array" ref="B7625">SUM(1-'Sparkling Model'!D$2:D$38^A7625)</f>
        <v>36.91795969</v>
      </c>
      <c r="C7625" s="8">
        <f t="array" ref="C7625">PRODUCT(1-'Sparkling Model'!D$2:D$38^A7625)</f>
        <v>0.9203847834</v>
      </c>
    </row>
    <row r="7626">
      <c r="A7626" s="6">
        <v>7624.0</v>
      </c>
      <c r="B7626" s="17">
        <f t="array" ref="B7626">SUM(1-'Sparkling Model'!D$2:D$38^A7626)</f>
        <v>36.91800173</v>
      </c>
      <c r="C7626" s="8">
        <f t="array" ref="C7626">PRODUCT(1-'Sparkling Model'!D$2:D$38^A7626)</f>
        <v>0.9204243244</v>
      </c>
    </row>
    <row r="7627">
      <c r="A7627" s="6">
        <v>7625.0</v>
      </c>
      <c r="B7627" s="17">
        <f t="array" ref="B7627">SUM(1-'Sparkling Model'!D$2:D$38^A7627)</f>
        <v>36.91804375</v>
      </c>
      <c r="C7627" s="8">
        <f t="array" ref="C7627">PRODUCT(1-'Sparkling Model'!D$2:D$38^A7627)</f>
        <v>0.920463846</v>
      </c>
    </row>
    <row r="7628">
      <c r="A7628" s="6">
        <v>7626.0</v>
      </c>
      <c r="B7628" s="17">
        <f t="array" ref="B7628">SUM(1-'Sparkling Model'!D$2:D$38^A7628)</f>
        <v>36.91808575</v>
      </c>
      <c r="C7628" s="8">
        <f t="array" ref="C7628">PRODUCT(1-'Sparkling Model'!D$2:D$38^A7628)</f>
        <v>0.9205033479</v>
      </c>
    </row>
    <row r="7629">
      <c r="A7629" s="6">
        <v>7627.0</v>
      </c>
      <c r="B7629" s="17">
        <f t="array" ref="B7629">SUM(1-'Sparkling Model'!D$2:D$38^A7629)</f>
        <v>36.91812773</v>
      </c>
      <c r="C7629" s="8">
        <f t="array" ref="C7629">PRODUCT(1-'Sparkling Model'!D$2:D$38^A7629)</f>
        <v>0.9205428304</v>
      </c>
    </row>
    <row r="7630">
      <c r="A7630" s="6">
        <v>7628.0</v>
      </c>
      <c r="B7630" s="17">
        <f t="array" ref="B7630">SUM(1-'Sparkling Model'!D$2:D$38^A7630)</f>
        <v>36.91816968</v>
      </c>
      <c r="C7630" s="8">
        <f t="array" ref="C7630">PRODUCT(1-'Sparkling Model'!D$2:D$38^A7630)</f>
        <v>0.9205822933</v>
      </c>
    </row>
    <row r="7631">
      <c r="A7631" s="6">
        <v>7629.0</v>
      </c>
      <c r="B7631" s="17">
        <f t="array" ref="B7631">SUM(1-'Sparkling Model'!D$2:D$38^A7631)</f>
        <v>36.91821161</v>
      </c>
      <c r="C7631" s="8">
        <f t="array" ref="C7631">PRODUCT(1-'Sparkling Model'!D$2:D$38^A7631)</f>
        <v>0.9206217367</v>
      </c>
    </row>
    <row r="7632">
      <c r="A7632" s="6">
        <v>7630.0</v>
      </c>
      <c r="B7632" s="17">
        <f t="array" ref="B7632">SUM(1-'Sparkling Model'!D$2:D$38^A7632)</f>
        <v>36.91825352</v>
      </c>
      <c r="C7632" s="8">
        <f t="array" ref="C7632">PRODUCT(1-'Sparkling Model'!D$2:D$38^A7632)</f>
        <v>0.9206611606</v>
      </c>
    </row>
    <row r="7633">
      <c r="A7633" s="6">
        <v>7631.0</v>
      </c>
      <c r="B7633" s="17">
        <f t="array" ref="B7633">SUM(1-'Sparkling Model'!D$2:D$38^A7633)</f>
        <v>36.91829541</v>
      </c>
      <c r="C7633" s="8">
        <f t="array" ref="C7633">PRODUCT(1-'Sparkling Model'!D$2:D$38^A7633)</f>
        <v>0.9207005651</v>
      </c>
    </row>
    <row r="7634">
      <c r="A7634" s="6">
        <v>7632.0</v>
      </c>
      <c r="B7634" s="17">
        <f t="array" ref="B7634">SUM(1-'Sparkling Model'!D$2:D$38^A7634)</f>
        <v>36.91833727</v>
      </c>
      <c r="C7634" s="8">
        <f t="array" ref="C7634">PRODUCT(1-'Sparkling Model'!D$2:D$38^A7634)</f>
        <v>0.92073995</v>
      </c>
    </row>
    <row r="7635">
      <c r="A7635" s="6">
        <v>7633.0</v>
      </c>
      <c r="B7635" s="17">
        <f t="array" ref="B7635">SUM(1-'Sparkling Model'!D$2:D$38^A7635)</f>
        <v>36.91837912</v>
      </c>
      <c r="C7635" s="8">
        <f t="array" ref="C7635">PRODUCT(1-'Sparkling Model'!D$2:D$38^A7635)</f>
        <v>0.9207793155</v>
      </c>
    </row>
    <row r="7636">
      <c r="A7636" s="6">
        <v>7634.0</v>
      </c>
      <c r="B7636" s="17">
        <f t="array" ref="B7636">SUM(1-'Sparkling Model'!D$2:D$38^A7636)</f>
        <v>36.91842094</v>
      </c>
      <c r="C7636" s="8">
        <f t="array" ref="C7636">PRODUCT(1-'Sparkling Model'!D$2:D$38^A7636)</f>
        <v>0.9208186616</v>
      </c>
    </row>
    <row r="7637">
      <c r="A7637" s="6">
        <v>7635.0</v>
      </c>
      <c r="B7637" s="17">
        <f t="array" ref="B7637">SUM(1-'Sparkling Model'!D$2:D$38^A7637)</f>
        <v>36.91846274</v>
      </c>
      <c r="C7637" s="8">
        <f t="array" ref="C7637">PRODUCT(1-'Sparkling Model'!D$2:D$38^A7637)</f>
        <v>0.9208579882</v>
      </c>
    </row>
    <row r="7638">
      <c r="A7638" s="6">
        <v>7636.0</v>
      </c>
      <c r="B7638" s="17">
        <f t="array" ref="B7638">SUM(1-'Sparkling Model'!D$2:D$38^A7638)</f>
        <v>36.91850451</v>
      </c>
      <c r="C7638" s="8">
        <f t="array" ref="C7638">PRODUCT(1-'Sparkling Model'!D$2:D$38^A7638)</f>
        <v>0.9208972953</v>
      </c>
    </row>
    <row r="7639">
      <c r="A7639" s="6">
        <v>7637.0</v>
      </c>
      <c r="B7639" s="17">
        <f t="array" ref="B7639">SUM(1-'Sparkling Model'!D$2:D$38^A7639)</f>
        <v>36.91854627</v>
      </c>
      <c r="C7639" s="8">
        <f t="array" ref="C7639">PRODUCT(1-'Sparkling Model'!D$2:D$38^A7639)</f>
        <v>0.920936583</v>
      </c>
    </row>
    <row r="7640">
      <c r="A7640" s="6">
        <v>7638.0</v>
      </c>
      <c r="B7640" s="17">
        <f t="array" ref="B7640">SUM(1-'Sparkling Model'!D$2:D$38^A7640)</f>
        <v>36.918588</v>
      </c>
      <c r="C7640" s="8">
        <f t="array" ref="C7640">PRODUCT(1-'Sparkling Model'!D$2:D$38^A7640)</f>
        <v>0.9209758513</v>
      </c>
    </row>
    <row r="7641">
      <c r="A7641" s="6">
        <v>7639.0</v>
      </c>
      <c r="B7641" s="17">
        <f t="array" ref="B7641">SUM(1-'Sparkling Model'!D$2:D$38^A7641)</f>
        <v>36.91862971</v>
      </c>
      <c r="C7641" s="8">
        <f t="array" ref="C7641">PRODUCT(1-'Sparkling Model'!D$2:D$38^A7641)</f>
        <v>0.9210151002</v>
      </c>
    </row>
    <row r="7642">
      <c r="A7642" s="6">
        <v>7640.0</v>
      </c>
      <c r="B7642" s="17">
        <f t="array" ref="B7642">SUM(1-'Sparkling Model'!D$2:D$38^A7642)</f>
        <v>36.9186714</v>
      </c>
      <c r="C7642" s="8">
        <f t="array" ref="C7642">PRODUCT(1-'Sparkling Model'!D$2:D$38^A7642)</f>
        <v>0.9210543297</v>
      </c>
    </row>
    <row r="7643">
      <c r="A7643" s="6">
        <v>7641.0</v>
      </c>
      <c r="B7643" s="17">
        <f t="array" ref="B7643">SUM(1-'Sparkling Model'!D$2:D$38^A7643)</f>
        <v>36.91871307</v>
      </c>
      <c r="C7643" s="8">
        <f t="array" ref="C7643">PRODUCT(1-'Sparkling Model'!D$2:D$38^A7643)</f>
        <v>0.9210935398</v>
      </c>
    </row>
    <row r="7644">
      <c r="A7644" s="6">
        <v>7642.0</v>
      </c>
      <c r="B7644" s="17">
        <f t="array" ref="B7644">SUM(1-'Sparkling Model'!D$2:D$38^A7644)</f>
        <v>36.91875471</v>
      </c>
      <c r="C7644" s="8">
        <f t="array" ref="C7644">PRODUCT(1-'Sparkling Model'!D$2:D$38^A7644)</f>
        <v>0.9211327305</v>
      </c>
    </row>
    <row r="7645">
      <c r="A7645" s="6">
        <v>7643.0</v>
      </c>
      <c r="B7645" s="17">
        <f t="array" ref="B7645">SUM(1-'Sparkling Model'!D$2:D$38^A7645)</f>
        <v>36.91879634</v>
      </c>
      <c r="C7645" s="8">
        <f t="array" ref="C7645">PRODUCT(1-'Sparkling Model'!D$2:D$38^A7645)</f>
        <v>0.9211719018</v>
      </c>
    </row>
    <row r="7646">
      <c r="A7646" s="6">
        <v>7644.0</v>
      </c>
      <c r="B7646" s="17">
        <f t="array" ref="B7646">SUM(1-'Sparkling Model'!D$2:D$38^A7646)</f>
        <v>36.91883794</v>
      </c>
      <c r="C7646" s="8">
        <f t="array" ref="C7646">PRODUCT(1-'Sparkling Model'!D$2:D$38^A7646)</f>
        <v>0.9212110538</v>
      </c>
    </row>
    <row r="7647">
      <c r="A7647" s="6">
        <v>7645.0</v>
      </c>
      <c r="B7647" s="17">
        <f t="array" ref="B7647">SUM(1-'Sparkling Model'!D$2:D$38^A7647)</f>
        <v>36.91887952</v>
      </c>
      <c r="C7647" s="8">
        <f t="array" ref="C7647">PRODUCT(1-'Sparkling Model'!D$2:D$38^A7647)</f>
        <v>0.9212501864</v>
      </c>
    </row>
    <row r="7648">
      <c r="A7648" s="6">
        <v>7646.0</v>
      </c>
      <c r="B7648" s="17">
        <f t="array" ref="B7648">SUM(1-'Sparkling Model'!D$2:D$38^A7648)</f>
        <v>36.91892108</v>
      </c>
      <c r="C7648" s="8">
        <f t="array" ref="C7648">PRODUCT(1-'Sparkling Model'!D$2:D$38^A7648)</f>
        <v>0.9212892997</v>
      </c>
    </row>
    <row r="7649">
      <c r="A7649" s="6">
        <v>7647.0</v>
      </c>
      <c r="B7649" s="17">
        <f t="array" ref="B7649">SUM(1-'Sparkling Model'!D$2:D$38^A7649)</f>
        <v>36.91896261</v>
      </c>
      <c r="C7649" s="8">
        <f t="array" ref="C7649">PRODUCT(1-'Sparkling Model'!D$2:D$38^A7649)</f>
        <v>0.9213283936</v>
      </c>
    </row>
    <row r="7650">
      <c r="A7650" s="6">
        <v>7648.0</v>
      </c>
      <c r="B7650" s="17">
        <f t="array" ref="B7650">SUM(1-'Sparkling Model'!D$2:D$38^A7650)</f>
        <v>36.91900413</v>
      </c>
      <c r="C7650" s="8">
        <f t="array" ref="C7650">PRODUCT(1-'Sparkling Model'!D$2:D$38^A7650)</f>
        <v>0.9213674682</v>
      </c>
    </row>
    <row r="7651">
      <c r="A7651" s="6">
        <v>7649.0</v>
      </c>
      <c r="B7651" s="17">
        <f t="array" ref="B7651">SUM(1-'Sparkling Model'!D$2:D$38^A7651)</f>
        <v>36.91904562</v>
      </c>
      <c r="C7651" s="8">
        <f t="array" ref="C7651">PRODUCT(1-'Sparkling Model'!D$2:D$38^A7651)</f>
        <v>0.9214065235</v>
      </c>
    </row>
    <row r="7652">
      <c r="A7652" s="6">
        <v>7650.0</v>
      </c>
      <c r="B7652" s="17">
        <f t="array" ref="B7652">SUM(1-'Sparkling Model'!D$2:D$38^A7652)</f>
        <v>36.91908709</v>
      </c>
      <c r="C7652" s="8">
        <f t="array" ref="C7652">PRODUCT(1-'Sparkling Model'!D$2:D$38^A7652)</f>
        <v>0.9214455595</v>
      </c>
    </row>
    <row r="7653">
      <c r="A7653" s="6">
        <v>7651.0</v>
      </c>
      <c r="B7653" s="17">
        <f t="array" ref="B7653">SUM(1-'Sparkling Model'!D$2:D$38^A7653)</f>
        <v>36.91912854</v>
      </c>
      <c r="C7653" s="8">
        <f t="array" ref="C7653">PRODUCT(1-'Sparkling Model'!D$2:D$38^A7653)</f>
        <v>0.9214845762</v>
      </c>
    </row>
    <row r="7654">
      <c r="A7654" s="6">
        <v>7652.0</v>
      </c>
      <c r="B7654" s="17">
        <f t="array" ref="B7654">SUM(1-'Sparkling Model'!D$2:D$38^A7654)</f>
        <v>36.91916996</v>
      </c>
      <c r="C7654" s="8">
        <f t="array" ref="C7654">PRODUCT(1-'Sparkling Model'!D$2:D$38^A7654)</f>
        <v>0.9215235736</v>
      </c>
    </row>
    <row r="7655">
      <c r="A7655" s="6">
        <v>7653.0</v>
      </c>
      <c r="B7655" s="17">
        <f t="array" ref="B7655">SUM(1-'Sparkling Model'!D$2:D$38^A7655)</f>
        <v>36.91921137</v>
      </c>
      <c r="C7655" s="8">
        <f t="array" ref="C7655">PRODUCT(1-'Sparkling Model'!D$2:D$38^A7655)</f>
        <v>0.9215625517</v>
      </c>
    </row>
    <row r="7656">
      <c r="A7656" s="6">
        <v>7654.0</v>
      </c>
      <c r="B7656" s="17">
        <f t="array" ref="B7656">SUM(1-'Sparkling Model'!D$2:D$38^A7656)</f>
        <v>36.91925275</v>
      </c>
      <c r="C7656" s="8">
        <f t="array" ref="C7656">PRODUCT(1-'Sparkling Model'!D$2:D$38^A7656)</f>
        <v>0.9216015106</v>
      </c>
    </row>
    <row r="7657">
      <c r="A7657" s="6">
        <v>7655.0</v>
      </c>
      <c r="B7657" s="17">
        <f t="array" ref="B7657">SUM(1-'Sparkling Model'!D$2:D$38^A7657)</f>
        <v>36.91929411</v>
      </c>
      <c r="C7657" s="8">
        <f t="array" ref="C7657">PRODUCT(1-'Sparkling Model'!D$2:D$38^A7657)</f>
        <v>0.9216404502</v>
      </c>
    </row>
    <row r="7658">
      <c r="A7658" s="6">
        <v>7656.0</v>
      </c>
      <c r="B7658" s="17">
        <f t="array" ref="B7658">SUM(1-'Sparkling Model'!D$2:D$38^A7658)</f>
        <v>36.91933545</v>
      </c>
      <c r="C7658" s="8">
        <f t="array" ref="C7658">PRODUCT(1-'Sparkling Model'!D$2:D$38^A7658)</f>
        <v>0.9216793705</v>
      </c>
    </row>
    <row r="7659">
      <c r="A7659" s="6">
        <v>7657.0</v>
      </c>
      <c r="B7659" s="17">
        <f t="array" ref="B7659">SUM(1-'Sparkling Model'!D$2:D$38^A7659)</f>
        <v>36.91937677</v>
      </c>
      <c r="C7659" s="8">
        <f t="array" ref="C7659">PRODUCT(1-'Sparkling Model'!D$2:D$38^A7659)</f>
        <v>0.9217182716</v>
      </c>
    </row>
    <row r="7660">
      <c r="A7660" s="6">
        <v>7658.0</v>
      </c>
      <c r="B7660" s="17">
        <f t="array" ref="B7660">SUM(1-'Sparkling Model'!D$2:D$38^A7660)</f>
        <v>36.91941806</v>
      </c>
      <c r="C7660" s="8">
        <f t="array" ref="C7660">PRODUCT(1-'Sparkling Model'!D$2:D$38^A7660)</f>
        <v>0.9217571535</v>
      </c>
    </row>
    <row r="7661">
      <c r="A7661" s="6">
        <v>7659.0</v>
      </c>
      <c r="B7661" s="17">
        <f t="array" ref="B7661">SUM(1-'Sparkling Model'!D$2:D$38^A7661)</f>
        <v>36.91945934</v>
      </c>
      <c r="C7661" s="8">
        <f t="array" ref="C7661">PRODUCT(1-'Sparkling Model'!D$2:D$38^A7661)</f>
        <v>0.9217960161</v>
      </c>
    </row>
    <row r="7662">
      <c r="A7662" s="6">
        <v>7660.0</v>
      </c>
      <c r="B7662" s="17">
        <f t="array" ref="B7662">SUM(1-'Sparkling Model'!D$2:D$38^A7662)</f>
        <v>36.91950059</v>
      </c>
      <c r="C7662" s="8">
        <f t="array" ref="C7662">PRODUCT(1-'Sparkling Model'!D$2:D$38^A7662)</f>
        <v>0.9218348596</v>
      </c>
    </row>
    <row r="7663">
      <c r="A7663" s="6">
        <v>7661.0</v>
      </c>
      <c r="B7663" s="17">
        <f t="array" ref="B7663">SUM(1-'Sparkling Model'!D$2:D$38^A7663)</f>
        <v>36.91954182</v>
      </c>
      <c r="C7663" s="8">
        <f t="array" ref="C7663">PRODUCT(1-'Sparkling Model'!D$2:D$38^A7663)</f>
        <v>0.9218736838</v>
      </c>
    </row>
    <row r="7664">
      <c r="A7664" s="6">
        <v>7662.0</v>
      </c>
      <c r="B7664" s="17">
        <f t="array" ref="B7664">SUM(1-'Sparkling Model'!D$2:D$38^A7664)</f>
        <v>36.91958303</v>
      </c>
      <c r="C7664" s="8">
        <f t="array" ref="C7664">PRODUCT(1-'Sparkling Model'!D$2:D$38^A7664)</f>
        <v>0.9219124888</v>
      </c>
    </row>
    <row r="7665">
      <c r="A7665" s="6">
        <v>7663.0</v>
      </c>
      <c r="B7665" s="17">
        <f t="array" ref="B7665">SUM(1-'Sparkling Model'!D$2:D$38^A7665)</f>
        <v>36.91962422</v>
      </c>
      <c r="C7665" s="8">
        <f t="array" ref="C7665">PRODUCT(1-'Sparkling Model'!D$2:D$38^A7665)</f>
        <v>0.9219512747</v>
      </c>
    </row>
    <row r="7666">
      <c r="A7666" s="6">
        <v>7664.0</v>
      </c>
      <c r="B7666" s="17">
        <f t="array" ref="B7666">SUM(1-'Sparkling Model'!D$2:D$38^A7666)</f>
        <v>36.91966538</v>
      </c>
      <c r="C7666" s="8">
        <f t="array" ref="C7666">PRODUCT(1-'Sparkling Model'!D$2:D$38^A7666)</f>
        <v>0.9219900413</v>
      </c>
    </row>
    <row r="7667">
      <c r="A7667" s="6">
        <v>7665.0</v>
      </c>
      <c r="B7667" s="17">
        <f t="array" ref="B7667">SUM(1-'Sparkling Model'!D$2:D$38^A7667)</f>
        <v>36.91970652</v>
      </c>
      <c r="C7667" s="8">
        <f t="array" ref="C7667">PRODUCT(1-'Sparkling Model'!D$2:D$38^A7667)</f>
        <v>0.9220287888</v>
      </c>
    </row>
    <row r="7668">
      <c r="A7668" s="6">
        <v>7666.0</v>
      </c>
      <c r="B7668" s="17">
        <f t="array" ref="B7668">SUM(1-'Sparkling Model'!D$2:D$38^A7668)</f>
        <v>36.91974765</v>
      </c>
      <c r="C7668" s="8">
        <f t="array" ref="C7668">PRODUCT(1-'Sparkling Model'!D$2:D$38^A7668)</f>
        <v>0.9220675172</v>
      </c>
    </row>
    <row r="7669">
      <c r="A7669" s="6">
        <v>7667.0</v>
      </c>
      <c r="B7669" s="17">
        <f t="array" ref="B7669">SUM(1-'Sparkling Model'!D$2:D$38^A7669)</f>
        <v>36.91978875</v>
      </c>
      <c r="C7669" s="8">
        <f t="array" ref="C7669">PRODUCT(1-'Sparkling Model'!D$2:D$38^A7669)</f>
        <v>0.9221062264</v>
      </c>
    </row>
    <row r="7670">
      <c r="A7670" s="6">
        <v>7668.0</v>
      </c>
      <c r="B7670" s="17">
        <f t="array" ref="B7670">SUM(1-'Sparkling Model'!D$2:D$38^A7670)</f>
        <v>36.91982983</v>
      </c>
      <c r="C7670" s="8">
        <f t="array" ref="C7670">PRODUCT(1-'Sparkling Model'!D$2:D$38^A7670)</f>
        <v>0.9221449164</v>
      </c>
    </row>
    <row r="7671">
      <c r="A7671" s="6">
        <v>7669.0</v>
      </c>
      <c r="B7671" s="17">
        <f t="array" ref="B7671">SUM(1-'Sparkling Model'!D$2:D$38^A7671)</f>
        <v>36.91987088</v>
      </c>
      <c r="C7671" s="8">
        <f t="array" ref="C7671">PRODUCT(1-'Sparkling Model'!D$2:D$38^A7671)</f>
        <v>0.9221835873</v>
      </c>
    </row>
    <row r="7672">
      <c r="A7672" s="6">
        <v>7670.0</v>
      </c>
      <c r="B7672" s="17">
        <f t="array" ref="B7672">SUM(1-'Sparkling Model'!D$2:D$38^A7672)</f>
        <v>36.91991192</v>
      </c>
      <c r="C7672" s="8">
        <f t="array" ref="C7672">PRODUCT(1-'Sparkling Model'!D$2:D$38^A7672)</f>
        <v>0.9222222391</v>
      </c>
    </row>
    <row r="7673">
      <c r="A7673" s="6">
        <v>7671.0</v>
      </c>
      <c r="B7673" s="17">
        <f t="array" ref="B7673">SUM(1-'Sparkling Model'!D$2:D$38^A7673)</f>
        <v>36.91995293</v>
      </c>
      <c r="C7673" s="8">
        <f t="array" ref="C7673">PRODUCT(1-'Sparkling Model'!D$2:D$38^A7673)</f>
        <v>0.9222608718</v>
      </c>
    </row>
    <row r="7674">
      <c r="A7674" s="6">
        <v>7672.0</v>
      </c>
      <c r="B7674" s="17">
        <f t="array" ref="B7674">SUM(1-'Sparkling Model'!D$2:D$38^A7674)</f>
        <v>36.91999392</v>
      </c>
      <c r="C7674" s="8">
        <f t="array" ref="C7674">PRODUCT(1-'Sparkling Model'!D$2:D$38^A7674)</f>
        <v>0.9222994854</v>
      </c>
    </row>
    <row r="7675">
      <c r="A7675" s="6">
        <v>7673.0</v>
      </c>
      <c r="B7675" s="17">
        <f t="array" ref="B7675">SUM(1-'Sparkling Model'!D$2:D$38^A7675)</f>
        <v>36.9200349</v>
      </c>
      <c r="C7675" s="8">
        <f t="array" ref="C7675">PRODUCT(1-'Sparkling Model'!D$2:D$38^A7675)</f>
        <v>0.9223380799</v>
      </c>
    </row>
    <row r="7676">
      <c r="A7676" s="6">
        <v>7674.0</v>
      </c>
      <c r="B7676" s="17">
        <f t="array" ref="B7676">SUM(1-'Sparkling Model'!D$2:D$38^A7676)</f>
        <v>36.92007584</v>
      </c>
      <c r="C7676" s="8">
        <f t="array" ref="C7676">PRODUCT(1-'Sparkling Model'!D$2:D$38^A7676)</f>
        <v>0.9223766554</v>
      </c>
    </row>
    <row r="7677">
      <c r="A7677" s="6">
        <v>7675.0</v>
      </c>
      <c r="B7677" s="17">
        <f t="array" ref="B7677">SUM(1-'Sparkling Model'!D$2:D$38^A7677)</f>
        <v>36.92011677</v>
      </c>
      <c r="C7677" s="8">
        <f t="array" ref="C7677">PRODUCT(1-'Sparkling Model'!D$2:D$38^A7677)</f>
        <v>0.9224152117</v>
      </c>
    </row>
    <row r="7678">
      <c r="A7678" s="6">
        <v>7676.0</v>
      </c>
      <c r="B7678" s="17">
        <f t="array" ref="B7678">SUM(1-'Sparkling Model'!D$2:D$38^A7678)</f>
        <v>36.92015768</v>
      </c>
      <c r="C7678" s="8">
        <f t="array" ref="C7678">PRODUCT(1-'Sparkling Model'!D$2:D$38^A7678)</f>
        <v>0.922453749</v>
      </c>
    </row>
    <row r="7679">
      <c r="A7679" s="6">
        <v>7677.0</v>
      </c>
      <c r="B7679" s="17">
        <f t="array" ref="B7679">SUM(1-'Sparkling Model'!D$2:D$38^A7679)</f>
        <v>36.92019856</v>
      </c>
      <c r="C7679" s="8">
        <f t="array" ref="C7679">PRODUCT(1-'Sparkling Model'!D$2:D$38^A7679)</f>
        <v>0.9224922672</v>
      </c>
    </row>
    <row r="7680">
      <c r="A7680" s="6">
        <v>7678.0</v>
      </c>
      <c r="B7680" s="17">
        <f t="array" ref="B7680">SUM(1-'Sparkling Model'!D$2:D$38^A7680)</f>
        <v>36.92023943</v>
      </c>
      <c r="C7680" s="8">
        <f t="array" ref="C7680">PRODUCT(1-'Sparkling Model'!D$2:D$38^A7680)</f>
        <v>0.9225307664</v>
      </c>
    </row>
    <row r="7681">
      <c r="A7681" s="6">
        <v>7679.0</v>
      </c>
      <c r="B7681" s="17">
        <f t="array" ref="B7681">SUM(1-'Sparkling Model'!D$2:D$38^A7681)</f>
        <v>36.92028027</v>
      </c>
      <c r="C7681" s="8">
        <f t="array" ref="C7681">PRODUCT(1-'Sparkling Model'!D$2:D$38^A7681)</f>
        <v>0.9225692465</v>
      </c>
    </row>
    <row r="7682">
      <c r="A7682" s="6">
        <v>7680.0</v>
      </c>
      <c r="B7682" s="17">
        <f t="array" ref="B7682">SUM(1-'Sparkling Model'!D$2:D$38^A7682)</f>
        <v>36.92032109</v>
      </c>
      <c r="C7682" s="8">
        <f t="array" ref="C7682">PRODUCT(1-'Sparkling Model'!D$2:D$38^A7682)</f>
        <v>0.9226077076</v>
      </c>
    </row>
    <row r="7683">
      <c r="A7683" s="6">
        <v>7681.0</v>
      </c>
      <c r="B7683" s="17">
        <f t="array" ref="B7683">SUM(1-'Sparkling Model'!D$2:D$38^A7683)</f>
        <v>36.92036189</v>
      </c>
      <c r="C7683" s="8">
        <f t="array" ref="C7683">PRODUCT(1-'Sparkling Model'!D$2:D$38^A7683)</f>
        <v>0.9226461497</v>
      </c>
    </row>
    <row r="7684">
      <c r="A7684" s="6">
        <v>7682.0</v>
      </c>
      <c r="B7684" s="17">
        <f t="array" ref="B7684">SUM(1-'Sparkling Model'!D$2:D$38^A7684)</f>
        <v>36.92040266</v>
      </c>
      <c r="C7684" s="8">
        <f t="array" ref="C7684">PRODUCT(1-'Sparkling Model'!D$2:D$38^A7684)</f>
        <v>0.9226845728</v>
      </c>
    </row>
    <row r="7685">
      <c r="A7685" s="6">
        <v>7683.0</v>
      </c>
      <c r="B7685" s="17">
        <f t="array" ref="B7685">SUM(1-'Sparkling Model'!D$2:D$38^A7685)</f>
        <v>36.92044342</v>
      </c>
      <c r="C7685" s="8">
        <f t="array" ref="C7685">PRODUCT(1-'Sparkling Model'!D$2:D$38^A7685)</f>
        <v>0.9227229769</v>
      </c>
    </row>
    <row r="7686">
      <c r="A7686" s="6">
        <v>7684.0</v>
      </c>
      <c r="B7686" s="17">
        <f t="array" ref="B7686">SUM(1-'Sparkling Model'!D$2:D$38^A7686)</f>
        <v>36.92048415</v>
      </c>
      <c r="C7686" s="8">
        <f t="array" ref="C7686">PRODUCT(1-'Sparkling Model'!D$2:D$38^A7686)</f>
        <v>0.922761362</v>
      </c>
    </row>
    <row r="7687">
      <c r="A7687" s="6">
        <v>7685.0</v>
      </c>
      <c r="B7687" s="17">
        <f t="array" ref="B7687">SUM(1-'Sparkling Model'!D$2:D$38^A7687)</f>
        <v>36.92052487</v>
      </c>
      <c r="C7687" s="8">
        <f t="array" ref="C7687">PRODUCT(1-'Sparkling Model'!D$2:D$38^A7687)</f>
        <v>0.9227997281</v>
      </c>
    </row>
    <row r="7688">
      <c r="A7688" s="6">
        <v>7686.0</v>
      </c>
      <c r="B7688" s="17">
        <f t="array" ref="B7688">SUM(1-'Sparkling Model'!D$2:D$38^A7688)</f>
        <v>36.92056556</v>
      </c>
      <c r="C7688" s="8">
        <f t="array" ref="C7688">PRODUCT(1-'Sparkling Model'!D$2:D$38^A7688)</f>
        <v>0.9228380753</v>
      </c>
    </row>
    <row r="7689">
      <c r="A7689" s="6">
        <v>7687.0</v>
      </c>
      <c r="B7689" s="17">
        <f t="array" ref="B7689">SUM(1-'Sparkling Model'!D$2:D$38^A7689)</f>
        <v>36.92060623</v>
      </c>
      <c r="C7689" s="8">
        <f t="array" ref="C7689">PRODUCT(1-'Sparkling Model'!D$2:D$38^A7689)</f>
        <v>0.9228764034</v>
      </c>
    </row>
    <row r="7690">
      <c r="A7690" s="6">
        <v>7688.0</v>
      </c>
      <c r="B7690" s="17">
        <f t="array" ref="B7690">SUM(1-'Sparkling Model'!D$2:D$38^A7690)</f>
        <v>36.92064688</v>
      </c>
      <c r="C7690" s="8">
        <f t="array" ref="C7690">PRODUCT(1-'Sparkling Model'!D$2:D$38^A7690)</f>
        <v>0.9229147127</v>
      </c>
    </row>
    <row r="7691">
      <c r="A7691" s="6">
        <v>7689.0</v>
      </c>
      <c r="B7691" s="17">
        <f t="array" ref="B7691">SUM(1-'Sparkling Model'!D$2:D$38^A7691)</f>
        <v>36.9206875</v>
      </c>
      <c r="C7691" s="8">
        <f t="array" ref="C7691">PRODUCT(1-'Sparkling Model'!D$2:D$38^A7691)</f>
        <v>0.9229530029</v>
      </c>
    </row>
    <row r="7692">
      <c r="A7692" s="6">
        <v>7690.0</v>
      </c>
      <c r="B7692" s="17">
        <f t="array" ref="B7692">SUM(1-'Sparkling Model'!D$2:D$38^A7692)</f>
        <v>36.92072811</v>
      </c>
      <c r="C7692" s="8">
        <f t="array" ref="C7692">PRODUCT(1-'Sparkling Model'!D$2:D$38^A7692)</f>
        <v>0.9229912743</v>
      </c>
    </row>
    <row r="7693">
      <c r="A7693" s="6">
        <v>7691.0</v>
      </c>
      <c r="B7693" s="17">
        <f t="array" ref="B7693">SUM(1-'Sparkling Model'!D$2:D$38^A7693)</f>
        <v>36.92076869</v>
      </c>
      <c r="C7693" s="8">
        <f t="array" ref="C7693">PRODUCT(1-'Sparkling Model'!D$2:D$38^A7693)</f>
        <v>0.9230295267</v>
      </c>
    </row>
    <row r="7694">
      <c r="A7694" s="6">
        <v>7692.0</v>
      </c>
      <c r="B7694" s="17">
        <f t="array" ref="B7694">SUM(1-'Sparkling Model'!D$2:D$38^A7694)</f>
        <v>36.92080926</v>
      </c>
      <c r="C7694" s="8">
        <f t="array" ref="C7694">PRODUCT(1-'Sparkling Model'!D$2:D$38^A7694)</f>
        <v>0.9230677602</v>
      </c>
    </row>
    <row r="7695">
      <c r="A7695" s="6">
        <v>7693.0</v>
      </c>
      <c r="B7695" s="17">
        <f t="array" ref="B7695">SUM(1-'Sparkling Model'!D$2:D$38^A7695)</f>
        <v>36.9208498</v>
      </c>
      <c r="C7695" s="8">
        <f t="array" ref="C7695">PRODUCT(1-'Sparkling Model'!D$2:D$38^A7695)</f>
        <v>0.9231059748</v>
      </c>
    </row>
    <row r="7696">
      <c r="A7696" s="6">
        <v>7694.0</v>
      </c>
      <c r="B7696" s="17">
        <f t="array" ref="B7696">SUM(1-'Sparkling Model'!D$2:D$38^A7696)</f>
        <v>36.92089032</v>
      </c>
      <c r="C7696" s="8">
        <f t="array" ref="C7696">PRODUCT(1-'Sparkling Model'!D$2:D$38^A7696)</f>
        <v>0.9231441705</v>
      </c>
    </row>
    <row r="7697">
      <c r="A7697" s="6">
        <v>7695.0</v>
      </c>
      <c r="B7697" s="17">
        <f t="array" ref="B7697">SUM(1-'Sparkling Model'!D$2:D$38^A7697)</f>
        <v>36.92093082</v>
      </c>
      <c r="C7697" s="8">
        <f t="array" ref="C7697">PRODUCT(1-'Sparkling Model'!D$2:D$38^A7697)</f>
        <v>0.9231823473</v>
      </c>
    </row>
    <row r="7698">
      <c r="A7698" s="6">
        <v>7696.0</v>
      </c>
      <c r="B7698" s="17">
        <f t="array" ref="B7698">SUM(1-'Sparkling Model'!D$2:D$38^A7698)</f>
        <v>36.9209713</v>
      </c>
      <c r="C7698" s="8">
        <f t="array" ref="C7698">PRODUCT(1-'Sparkling Model'!D$2:D$38^A7698)</f>
        <v>0.9232205053</v>
      </c>
    </row>
    <row r="7699">
      <c r="A7699" s="6">
        <v>7697.0</v>
      </c>
      <c r="B7699" s="17">
        <f t="array" ref="B7699">SUM(1-'Sparkling Model'!D$2:D$38^A7699)</f>
        <v>36.92101175</v>
      </c>
      <c r="C7699" s="8">
        <f t="array" ref="C7699">PRODUCT(1-'Sparkling Model'!D$2:D$38^A7699)</f>
        <v>0.9232586443</v>
      </c>
    </row>
    <row r="7700">
      <c r="A7700" s="6">
        <v>7698.0</v>
      </c>
      <c r="B7700" s="17">
        <f t="array" ref="B7700">SUM(1-'Sparkling Model'!D$2:D$38^A7700)</f>
        <v>36.92105219</v>
      </c>
      <c r="C7700" s="8">
        <f t="array" ref="C7700">PRODUCT(1-'Sparkling Model'!D$2:D$38^A7700)</f>
        <v>0.9232967645</v>
      </c>
    </row>
    <row r="7701">
      <c r="A7701" s="6">
        <v>7699.0</v>
      </c>
      <c r="B7701" s="17">
        <f t="array" ref="B7701">SUM(1-'Sparkling Model'!D$2:D$38^A7701)</f>
        <v>36.9210926</v>
      </c>
      <c r="C7701" s="8">
        <f t="array" ref="C7701">PRODUCT(1-'Sparkling Model'!D$2:D$38^A7701)</f>
        <v>0.9233348659</v>
      </c>
    </row>
    <row r="7702">
      <c r="A7702" s="6">
        <v>7700.0</v>
      </c>
      <c r="B7702" s="17">
        <f t="array" ref="B7702">SUM(1-'Sparkling Model'!D$2:D$38^A7702)</f>
        <v>36.92113299</v>
      </c>
      <c r="C7702" s="8">
        <f t="array" ref="C7702">PRODUCT(1-'Sparkling Model'!D$2:D$38^A7702)</f>
        <v>0.9233729484</v>
      </c>
    </row>
    <row r="7703">
      <c r="A7703" s="6">
        <v>7701.0</v>
      </c>
      <c r="B7703" s="17">
        <f t="array" ref="B7703">SUM(1-'Sparkling Model'!D$2:D$38^A7703)</f>
        <v>36.92117337</v>
      </c>
      <c r="C7703" s="8">
        <f t="array" ref="C7703">PRODUCT(1-'Sparkling Model'!D$2:D$38^A7703)</f>
        <v>0.923411012</v>
      </c>
    </row>
    <row r="7704">
      <c r="A7704" s="6">
        <v>7702.0</v>
      </c>
      <c r="B7704" s="17">
        <f t="array" ref="B7704">SUM(1-'Sparkling Model'!D$2:D$38^A7704)</f>
        <v>36.92121372</v>
      </c>
      <c r="C7704" s="8">
        <f t="array" ref="C7704">PRODUCT(1-'Sparkling Model'!D$2:D$38^A7704)</f>
        <v>0.9234490569</v>
      </c>
    </row>
    <row r="7705">
      <c r="A7705" s="6">
        <v>7703.0</v>
      </c>
      <c r="B7705" s="17">
        <f t="array" ref="B7705">SUM(1-'Sparkling Model'!D$2:D$38^A7705)</f>
        <v>36.92125404</v>
      </c>
      <c r="C7705" s="8">
        <f t="array" ref="C7705">PRODUCT(1-'Sparkling Model'!D$2:D$38^A7705)</f>
        <v>0.9234870829</v>
      </c>
    </row>
    <row r="7706">
      <c r="A7706" s="6">
        <v>7704.0</v>
      </c>
      <c r="B7706" s="17">
        <f t="array" ref="B7706">SUM(1-'Sparkling Model'!D$2:D$38^A7706)</f>
        <v>36.92129435</v>
      </c>
      <c r="C7706" s="8">
        <f t="array" ref="C7706">PRODUCT(1-'Sparkling Model'!D$2:D$38^A7706)</f>
        <v>0.9235250901</v>
      </c>
    </row>
    <row r="7707">
      <c r="A7707" s="6">
        <v>7705.0</v>
      </c>
      <c r="B7707" s="17">
        <f t="array" ref="B7707">SUM(1-'Sparkling Model'!D$2:D$38^A7707)</f>
        <v>36.92133464</v>
      </c>
      <c r="C7707" s="8">
        <f t="array" ref="C7707">PRODUCT(1-'Sparkling Model'!D$2:D$38^A7707)</f>
        <v>0.9235630786</v>
      </c>
    </row>
    <row r="7708">
      <c r="A7708" s="6">
        <v>7706.0</v>
      </c>
      <c r="B7708" s="17">
        <f t="array" ref="B7708">SUM(1-'Sparkling Model'!D$2:D$38^A7708)</f>
        <v>36.9213749</v>
      </c>
      <c r="C7708" s="8">
        <f t="array" ref="C7708">PRODUCT(1-'Sparkling Model'!D$2:D$38^A7708)</f>
        <v>0.9236010482</v>
      </c>
    </row>
    <row r="7709">
      <c r="A7709" s="6">
        <v>7707.0</v>
      </c>
      <c r="B7709" s="17">
        <f t="array" ref="B7709">SUM(1-'Sparkling Model'!D$2:D$38^A7709)</f>
        <v>36.92141515</v>
      </c>
      <c r="C7709" s="8">
        <f t="array" ref="C7709">PRODUCT(1-'Sparkling Model'!D$2:D$38^A7709)</f>
        <v>0.9236389991</v>
      </c>
    </row>
    <row r="7710">
      <c r="A7710" s="6">
        <v>7708.0</v>
      </c>
      <c r="B7710" s="17">
        <f t="array" ref="B7710">SUM(1-'Sparkling Model'!D$2:D$38^A7710)</f>
        <v>36.92145537</v>
      </c>
      <c r="C7710" s="8">
        <f t="array" ref="C7710">PRODUCT(1-'Sparkling Model'!D$2:D$38^A7710)</f>
        <v>0.9236769312</v>
      </c>
    </row>
    <row r="7711">
      <c r="A7711" s="6">
        <v>7709.0</v>
      </c>
      <c r="B7711" s="17">
        <f t="array" ref="B7711">SUM(1-'Sparkling Model'!D$2:D$38^A7711)</f>
        <v>36.92149557</v>
      </c>
      <c r="C7711" s="8">
        <f t="array" ref="C7711">PRODUCT(1-'Sparkling Model'!D$2:D$38^A7711)</f>
        <v>0.9237148445</v>
      </c>
    </row>
    <row r="7712">
      <c r="A7712" s="6">
        <v>7710.0</v>
      </c>
      <c r="B7712" s="17">
        <f t="array" ref="B7712">SUM(1-'Sparkling Model'!D$2:D$38^A7712)</f>
        <v>36.92153575</v>
      </c>
      <c r="C7712" s="8">
        <f t="array" ref="C7712">PRODUCT(1-'Sparkling Model'!D$2:D$38^A7712)</f>
        <v>0.9237527391</v>
      </c>
    </row>
    <row r="7713">
      <c r="A7713" s="6">
        <v>7711.0</v>
      </c>
      <c r="B7713" s="17">
        <f t="array" ref="B7713">SUM(1-'Sparkling Model'!D$2:D$38^A7713)</f>
        <v>36.92157591</v>
      </c>
      <c r="C7713" s="8">
        <f t="array" ref="C7713">PRODUCT(1-'Sparkling Model'!D$2:D$38^A7713)</f>
        <v>0.9237906149</v>
      </c>
    </row>
    <row r="7714">
      <c r="A7714" s="6">
        <v>7712.0</v>
      </c>
      <c r="B7714" s="17">
        <f t="array" ref="B7714">SUM(1-'Sparkling Model'!D$2:D$38^A7714)</f>
        <v>36.92161605</v>
      </c>
      <c r="C7714" s="8">
        <f t="array" ref="C7714">PRODUCT(1-'Sparkling Model'!D$2:D$38^A7714)</f>
        <v>0.923828472</v>
      </c>
    </row>
    <row r="7715">
      <c r="A7715" s="6">
        <v>7713.0</v>
      </c>
      <c r="B7715" s="17">
        <f t="array" ref="B7715">SUM(1-'Sparkling Model'!D$2:D$38^A7715)</f>
        <v>36.92165617</v>
      </c>
      <c r="C7715" s="8">
        <f t="array" ref="C7715">PRODUCT(1-'Sparkling Model'!D$2:D$38^A7715)</f>
        <v>0.9238663104</v>
      </c>
    </row>
    <row r="7716">
      <c r="A7716" s="6">
        <v>7714.0</v>
      </c>
      <c r="B7716" s="17">
        <f t="array" ref="B7716">SUM(1-'Sparkling Model'!D$2:D$38^A7716)</f>
        <v>36.92169627</v>
      </c>
      <c r="C7716" s="8">
        <f t="array" ref="C7716">PRODUCT(1-'Sparkling Model'!D$2:D$38^A7716)</f>
        <v>0.92390413</v>
      </c>
    </row>
    <row r="7717">
      <c r="A7717" s="6">
        <v>7715.0</v>
      </c>
      <c r="B7717" s="17">
        <f t="array" ref="B7717">SUM(1-'Sparkling Model'!D$2:D$38^A7717)</f>
        <v>36.92173634</v>
      </c>
      <c r="C7717" s="8">
        <f t="array" ref="C7717">PRODUCT(1-'Sparkling Model'!D$2:D$38^A7717)</f>
        <v>0.923941931</v>
      </c>
    </row>
    <row r="7718">
      <c r="A7718" s="6">
        <v>7716.0</v>
      </c>
      <c r="B7718" s="17">
        <f t="array" ref="B7718">SUM(1-'Sparkling Model'!D$2:D$38^A7718)</f>
        <v>36.9217764</v>
      </c>
      <c r="C7718" s="8">
        <f t="array" ref="C7718">PRODUCT(1-'Sparkling Model'!D$2:D$38^A7718)</f>
        <v>0.9239797133</v>
      </c>
    </row>
    <row r="7719">
      <c r="A7719" s="6">
        <v>7717.0</v>
      </c>
      <c r="B7719" s="17">
        <f t="array" ref="B7719">SUM(1-'Sparkling Model'!D$2:D$38^A7719)</f>
        <v>36.92181643</v>
      </c>
      <c r="C7719" s="8">
        <f t="array" ref="C7719">PRODUCT(1-'Sparkling Model'!D$2:D$38^A7719)</f>
        <v>0.9240174768</v>
      </c>
    </row>
    <row r="7720">
      <c r="A7720" s="6">
        <v>7718.0</v>
      </c>
      <c r="B7720" s="17">
        <f t="array" ref="B7720">SUM(1-'Sparkling Model'!D$2:D$38^A7720)</f>
        <v>36.92185644</v>
      </c>
      <c r="C7720" s="8">
        <f t="array" ref="C7720">PRODUCT(1-'Sparkling Model'!D$2:D$38^A7720)</f>
        <v>0.9240552217</v>
      </c>
    </row>
    <row r="7721">
      <c r="A7721" s="6">
        <v>7719.0</v>
      </c>
      <c r="B7721" s="17">
        <f t="array" ref="B7721">SUM(1-'Sparkling Model'!D$2:D$38^A7721)</f>
        <v>36.92189643</v>
      </c>
      <c r="C7721" s="8">
        <f t="array" ref="C7721">PRODUCT(1-'Sparkling Model'!D$2:D$38^A7721)</f>
        <v>0.924092948</v>
      </c>
    </row>
    <row r="7722">
      <c r="A7722" s="6">
        <v>7720.0</v>
      </c>
      <c r="B7722" s="17">
        <f t="array" ref="B7722">SUM(1-'Sparkling Model'!D$2:D$38^A7722)</f>
        <v>36.9219364</v>
      </c>
      <c r="C7722" s="8">
        <f t="array" ref="C7722">PRODUCT(1-'Sparkling Model'!D$2:D$38^A7722)</f>
        <v>0.9241306555</v>
      </c>
    </row>
    <row r="7723">
      <c r="A7723" s="6">
        <v>7721.0</v>
      </c>
      <c r="B7723" s="17">
        <f t="array" ref="B7723">SUM(1-'Sparkling Model'!D$2:D$38^A7723)</f>
        <v>36.92197635</v>
      </c>
      <c r="C7723" s="8">
        <f t="array" ref="C7723">PRODUCT(1-'Sparkling Model'!D$2:D$38^A7723)</f>
        <v>0.9241683444</v>
      </c>
    </row>
    <row r="7724">
      <c r="A7724" s="6">
        <v>7722.0</v>
      </c>
      <c r="B7724" s="17">
        <f t="array" ref="B7724">SUM(1-'Sparkling Model'!D$2:D$38^A7724)</f>
        <v>36.92201628</v>
      </c>
      <c r="C7724" s="8">
        <f t="array" ref="C7724">PRODUCT(1-'Sparkling Model'!D$2:D$38^A7724)</f>
        <v>0.9242060147</v>
      </c>
    </row>
    <row r="7725">
      <c r="A7725" s="6">
        <v>7723.0</v>
      </c>
      <c r="B7725" s="17">
        <f t="array" ref="B7725">SUM(1-'Sparkling Model'!D$2:D$38^A7725)</f>
        <v>36.92205619</v>
      </c>
      <c r="C7725" s="8">
        <f t="array" ref="C7725">PRODUCT(1-'Sparkling Model'!D$2:D$38^A7725)</f>
        <v>0.9242436664</v>
      </c>
    </row>
    <row r="7726">
      <c r="A7726" s="6">
        <v>7724.0</v>
      </c>
      <c r="B7726" s="17">
        <f t="array" ref="B7726">SUM(1-'Sparkling Model'!D$2:D$38^A7726)</f>
        <v>36.92209607</v>
      </c>
      <c r="C7726" s="8">
        <f t="array" ref="C7726">PRODUCT(1-'Sparkling Model'!D$2:D$38^A7726)</f>
        <v>0.9242812994</v>
      </c>
    </row>
    <row r="7727">
      <c r="A7727" s="6">
        <v>7725.0</v>
      </c>
      <c r="B7727" s="17">
        <f t="array" ref="B7727">SUM(1-'Sparkling Model'!D$2:D$38^A7727)</f>
        <v>36.92213594</v>
      </c>
      <c r="C7727" s="8">
        <f t="array" ref="C7727">PRODUCT(1-'Sparkling Model'!D$2:D$38^A7727)</f>
        <v>0.9243189138</v>
      </c>
    </row>
    <row r="7728">
      <c r="A7728" s="6">
        <v>7726.0</v>
      </c>
      <c r="B7728" s="17">
        <f t="array" ref="B7728">SUM(1-'Sparkling Model'!D$2:D$38^A7728)</f>
        <v>36.92217578</v>
      </c>
      <c r="C7728" s="8">
        <f t="array" ref="C7728">PRODUCT(1-'Sparkling Model'!D$2:D$38^A7728)</f>
        <v>0.9243565096</v>
      </c>
    </row>
    <row r="7729">
      <c r="A7729" s="6">
        <v>7727.0</v>
      </c>
      <c r="B7729" s="17">
        <f t="array" ref="B7729">SUM(1-'Sparkling Model'!D$2:D$38^A7729)</f>
        <v>36.9222156</v>
      </c>
      <c r="C7729" s="8">
        <f t="array" ref="C7729">PRODUCT(1-'Sparkling Model'!D$2:D$38^A7729)</f>
        <v>0.9243940868</v>
      </c>
    </row>
    <row r="7730">
      <c r="A7730" s="6">
        <v>7728.0</v>
      </c>
      <c r="B7730" s="17">
        <f t="array" ref="B7730">SUM(1-'Sparkling Model'!D$2:D$38^A7730)</f>
        <v>36.92225541</v>
      </c>
      <c r="C7730" s="8">
        <f t="array" ref="C7730">PRODUCT(1-'Sparkling Model'!D$2:D$38^A7730)</f>
        <v>0.9244316454</v>
      </c>
    </row>
    <row r="7731">
      <c r="A7731" s="6">
        <v>7729.0</v>
      </c>
      <c r="B7731" s="17">
        <f t="array" ref="B7731">SUM(1-'Sparkling Model'!D$2:D$38^A7731)</f>
        <v>36.92229519</v>
      </c>
      <c r="C7731" s="8">
        <f t="array" ref="C7731">PRODUCT(1-'Sparkling Model'!D$2:D$38^A7731)</f>
        <v>0.9244691854</v>
      </c>
    </row>
    <row r="7732">
      <c r="A7732" s="6">
        <v>7730.0</v>
      </c>
      <c r="B7732" s="17">
        <f t="array" ref="B7732">SUM(1-'Sparkling Model'!D$2:D$38^A7732)</f>
        <v>36.92233495</v>
      </c>
      <c r="C7732" s="8">
        <f t="array" ref="C7732">PRODUCT(1-'Sparkling Model'!D$2:D$38^A7732)</f>
        <v>0.9245067069</v>
      </c>
    </row>
    <row r="7733">
      <c r="A7733" s="6">
        <v>7731.0</v>
      </c>
      <c r="B7733" s="17">
        <f t="array" ref="B7733">SUM(1-'Sparkling Model'!D$2:D$38^A7733)</f>
        <v>36.92237469</v>
      </c>
      <c r="C7733" s="8">
        <f t="array" ref="C7733">PRODUCT(1-'Sparkling Model'!D$2:D$38^A7733)</f>
        <v>0.9245442098</v>
      </c>
    </row>
    <row r="7734">
      <c r="A7734" s="6">
        <v>7732.0</v>
      </c>
      <c r="B7734" s="17">
        <f t="array" ref="B7734">SUM(1-'Sparkling Model'!D$2:D$38^A7734)</f>
        <v>36.92241441</v>
      </c>
      <c r="C7734" s="8">
        <f t="array" ref="C7734">PRODUCT(1-'Sparkling Model'!D$2:D$38^A7734)</f>
        <v>0.9245816941</v>
      </c>
    </row>
    <row r="7735">
      <c r="A7735" s="6">
        <v>7733.0</v>
      </c>
      <c r="B7735" s="17">
        <f t="array" ref="B7735">SUM(1-'Sparkling Model'!D$2:D$38^A7735)</f>
        <v>36.9224541</v>
      </c>
      <c r="C7735" s="8">
        <f t="array" ref="C7735">PRODUCT(1-'Sparkling Model'!D$2:D$38^A7735)</f>
        <v>0.9246191599</v>
      </c>
    </row>
    <row r="7736">
      <c r="A7736" s="6">
        <v>7734.0</v>
      </c>
      <c r="B7736" s="17">
        <f t="array" ref="B7736">SUM(1-'Sparkling Model'!D$2:D$38^A7736)</f>
        <v>36.92249378</v>
      </c>
      <c r="C7736" s="8">
        <f t="array" ref="C7736">PRODUCT(1-'Sparkling Model'!D$2:D$38^A7736)</f>
        <v>0.9246566072</v>
      </c>
    </row>
    <row r="7737">
      <c r="A7737" s="6">
        <v>7735.0</v>
      </c>
      <c r="B7737" s="17">
        <f t="array" ref="B7737">SUM(1-'Sparkling Model'!D$2:D$38^A7737)</f>
        <v>36.92253344</v>
      </c>
      <c r="C7737" s="8">
        <f t="array" ref="C7737">PRODUCT(1-'Sparkling Model'!D$2:D$38^A7737)</f>
        <v>0.9246940359</v>
      </c>
    </row>
    <row r="7738">
      <c r="A7738" s="6">
        <v>7736.0</v>
      </c>
      <c r="B7738" s="17">
        <f t="array" ref="B7738">SUM(1-'Sparkling Model'!D$2:D$38^A7738)</f>
        <v>36.92257307</v>
      </c>
      <c r="C7738" s="8">
        <f t="array" ref="C7738">PRODUCT(1-'Sparkling Model'!D$2:D$38^A7738)</f>
        <v>0.9247314462</v>
      </c>
    </row>
    <row r="7739">
      <c r="A7739" s="6">
        <v>7737.0</v>
      </c>
      <c r="B7739" s="17">
        <f t="array" ref="B7739">SUM(1-'Sparkling Model'!D$2:D$38^A7739)</f>
        <v>36.92261269</v>
      </c>
      <c r="C7739" s="8">
        <f t="array" ref="C7739">PRODUCT(1-'Sparkling Model'!D$2:D$38^A7739)</f>
        <v>0.9247688379</v>
      </c>
    </row>
    <row r="7740">
      <c r="A7740" s="6">
        <v>7738.0</v>
      </c>
      <c r="B7740" s="17">
        <f t="array" ref="B7740">SUM(1-'Sparkling Model'!D$2:D$38^A7740)</f>
        <v>36.92265228</v>
      </c>
      <c r="C7740" s="8">
        <f t="array" ref="C7740">PRODUCT(1-'Sparkling Model'!D$2:D$38^A7740)</f>
        <v>0.9248062111</v>
      </c>
    </row>
    <row r="7741">
      <c r="A7741" s="6">
        <v>7739.0</v>
      </c>
      <c r="B7741" s="17">
        <f t="array" ref="B7741">SUM(1-'Sparkling Model'!D$2:D$38^A7741)</f>
        <v>36.92269185</v>
      </c>
      <c r="C7741" s="8">
        <f t="array" ref="C7741">PRODUCT(1-'Sparkling Model'!D$2:D$38^A7741)</f>
        <v>0.9248435659</v>
      </c>
    </row>
    <row r="7742">
      <c r="A7742" s="6">
        <v>7740.0</v>
      </c>
      <c r="B7742" s="17">
        <f t="array" ref="B7742">SUM(1-'Sparkling Model'!D$2:D$38^A7742)</f>
        <v>36.9227314</v>
      </c>
      <c r="C7742" s="8">
        <f t="array" ref="C7742">PRODUCT(1-'Sparkling Model'!D$2:D$38^A7742)</f>
        <v>0.9248809022</v>
      </c>
    </row>
    <row r="7743">
      <c r="A7743" s="6">
        <v>7741.0</v>
      </c>
      <c r="B7743" s="17">
        <f t="array" ref="B7743">SUM(1-'Sparkling Model'!D$2:D$38^A7743)</f>
        <v>36.92277094</v>
      </c>
      <c r="C7743" s="8">
        <f t="array" ref="C7743">PRODUCT(1-'Sparkling Model'!D$2:D$38^A7743)</f>
        <v>0.9249182199</v>
      </c>
    </row>
    <row r="7744">
      <c r="A7744" s="6">
        <v>7742.0</v>
      </c>
      <c r="B7744" s="17">
        <f t="array" ref="B7744">SUM(1-'Sparkling Model'!D$2:D$38^A7744)</f>
        <v>36.92281045</v>
      </c>
      <c r="C7744" s="8">
        <f t="array" ref="C7744">PRODUCT(1-'Sparkling Model'!D$2:D$38^A7744)</f>
        <v>0.9249555193</v>
      </c>
    </row>
    <row r="7745">
      <c r="A7745" s="6">
        <v>7743.0</v>
      </c>
      <c r="B7745" s="17">
        <f t="array" ref="B7745">SUM(1-'Sparkling Model'!D$2:D$38^A7745)</f>
        <v>36.92284994</v>
      </c>
      <c r="C7745" s="8">
        <f t="array" ref="C7745">PRODUCT(1-'Sparkling Model'!D$2:D$38^A7745)</f>
        <v>0.9249928002</v>
      </c>
    </row>
    <row r="7746">
      <c r="A7746" s="6">
        <v>7744.0</v>
      </c>
      <c r="B7746" s="17">
        <f t="array" ref="B7746">SUM(1-'Sparkling Model'!D$2:D$38^A7746)</f>
        <v>36.9228894</v>
      </c>
      <c r="C7746" s="8">
        <f t="array" ref="C7746">PRODUCT(1-'Sparkling Model'!D$2:D$38^A7746)</f>
        <v>0.9250300626</v>
      </c>
    </row>
    <row r="7747">
      <c r="A7747" s="6">
        <v>7745.0</v>
      </c>
      <c r="B7747" s="17">
        <f t="array" ref="B7747">SUM(1-'Sparkling Model'!D$2:D$38^A7747)</f>
        <v>36.92292885</v>
      </c>
      <c r="C7747" s="8">
        <f t="array" ref="C7747">PRODUCT(1-'Sparkling Model'!D$2:D$38^A7747)</f>
        <v>0.9250673066</v>
      </c>
    </row>
    <row r="7748">
      <c r="A7748" s="6">
        <v>7746.0</v>
      </c>
      <c r="B7748" s="17">
        <f t="array" ref="B7748">SUM(1-'Sparkling Model'!D$2:D$38^A7748)</f>
        <v>36.92296828</v>
      </c>
      <c r="C7748" s="8">
        <f t="array" ref="C7748">PRODUCT(1-'Sparkling Model'!D$2:D$38^A7748)</f>
        <v>0.9251045322</v>
      </c>
    </row>
    <row r="7749">
      <c r="A7749" s="6">
        <v>7747.0</v>
      </c>
      <c r="B7749" s="17">
        <f t="array" ref="B7749">SUM(1-'Sparkling Model'!D$2:D$38^A7749)</f>
        <v>36.92300769</v>
      </c>
      <c r="C7749" s="8">
        <f t="array" ref="C7749">PRODUCT(1-'Sparkling Model'!D$2:D$38^A7749)</f>
        <v>0.9251417393</v>
      </c>
    </row>
    <row r="7750">
      <c r="A7750" s="6">
        <v>7748.0</v>
      </c>
      <c r="B7750" s="17">
        <f t="array" ref="B7750">SUM(1-'Sparkling Model'!D$2:D$38^A7750)</f>
        <v>36.92304707</v>
      </c>
      <c r="C7750" s="8">
        <f t="array" ref="C7750">PRODUCT(1-'Sparkling Model'!D$2:D$38^A7750)</f>
        <v>0.9251789281</v>
      </c>
    </row>
    <row r="7751">
      <c r="A7751" s="6">
        <v>7749.0</v>
      </c>
      <c r="B7751" s="17">
        <f t="array" ref="B7751">SUM(1-'Sparkling Model'!D$2:D$38^A7751)</f>
        <v>36.92308644</v>
      </c>
      <c r="C7751" s="8">
        <f t="array" ref="C7751">PRODUCT(1-'Sparkling Model'!D$2:D$38^A7751)</f>
        <v>0.9252160984</v>
      </c>
    </row>
    <row r="7752">
      <c r="A7752" s="6">
        <v>7750.0</v>
      </c>
      <c r="B7752" s="17">
        <f t="array" ref="B7752">SUM(1-'Sparkling Model'!D$2:D$38^A7752)</f>
        <v>36.92312578</v>
      </c>
      <c r="C7752" s="8">
        <f t="array" ref="C7752">PRODUCT(1-'Sparkling Model'!D$2:D$38^A7752)</f>
        <v>0.9252532504</v>
      </c>
    </row>
    <row r="7753">
      <c r="A7753" s="6">
        <v>7751.0</v>
      </c>
      <c r="B7753" s="17">
        <f t="array" ref="B7753">SUM(1-'Sparkling Model'!D$2:D$38^A7753)</f>
        <v>36.92316511</v>
      </c>
      <c r="C7753" s="8">
        <f t="array" ref="C7753">PRODUCT(1-'Sparkling Model'!D$2:D$38^A7753)</f>
        <v>0.925290384</v>
      </c>
    </row>
    <row r="7754">
      <c r="A7754" s="6">
        <v>7752.0</v>
      </c>
      <c r="B7754" s="17">
        <f t="array" ref="B7754">SUM(1-'Sparkling Model'!D$2:D$38^A7754)</f>
        <v>36.92320441</v>
      </c>
      <c r="C7754" s="8">
        <f t="array" ref="C7754">PRODUCT(1-'Sparkling Model'!D$2:D$38^A7754)</f>
        <v>0.9253274992</v>
      </c>
    </row>
    <row r="7755">
      <c r="A7755" s="6">
        <v>7753.0</v>
      </c>
      <c r="B7755" s="17">
        <f t="array" ref="B7755">SUM(1-'Sparkling Model'!D$2:D$38^A7755)</f>
        <v>36.92324369</v>
      </c>
      <c r="C7755" s="8">
        <f t="array" ref="C7755">PRODUCT(1-'Sparkling Model'!D$2:D$38^A7755)</f>
        <v>0.9253645961</v>
      </c>
    </row>
    <row r="7756">
      <c r="A7756" s="6">
        <v>7754.0</v>
      </c>
      <c r="B7756" s="17">
        <f t="array" ref="B7756">SUM(1-'Sparkling Model'!D$2:D$38^A7756)</f>
        <v>36.92328296</v>
      </c>
      <c r="C7756" s="8">
        <f t="array" ref="C7756">PRODUCT(1-'Sparkling Model'!D$2:D$38^A7756)</f>
        <v>0.9254016746</v>
      </c>
    </row>
    <row r="7757">
      <c r="A7757" s="6">
        <v>7755.0</v>
      </c>
      <c r="B7757" s="17">
        <f t="array" ref="B7757">SUM(1-'Sparkling Model'!D$2:D$38^A7757)</f>
        <v>36.9233222</v>
      </c>
      <c r="C7757" s="8">
        <f t="array" ref="C7757">PRODUCT(1-'Sparkling Model'!D$2:D$38^A7757)</f>
        <v>0.9254387347</v>
      </c>
    </row>
    <row r="7758">
      <c r="A7758" s="6">
        <v>7756.0</v>
      </c>
      <c r="B7758" s="17">
        <f t="array" ref="B7758">SUM(1-'Sparkling Model'!D$2:D$38^A7758)</f>
        <v>36.92336142</v>
      </c>
      <c r="C7758" s="8">
        <f t="array" ref="C7758">PRODUCT(1-'Sparkling Model'!D$2:D$38^A7758)</f>
        <v>0.9254757765</v>
      </c>
    </row>
    <row r="7759">
      <c r="A7759" s="6">
        <v>7757.0</v>
      </c>
      <c r="B7759" s="17">
        <f t="array" ref="B7759">SUM(1-'Sparkling Model'!D$2:D$38^A7759)</f>
        <v>36.92340062</v>
      </c>
      <c r="C7759" s="8">
        <f t="array" ref="C7759">PRODUCT(1-'Sparkling Model'!D$2:D$38^A7759)</f>
        <v>0.9255128</v>
      </c>
    </row>
    <row r="7760">
      <c r="A7760" s="6">
        <v>7758.0</v>
      </c>
      <c r="B7760" s="17">
        <f t="array" ref="B7760">SUM(1-'Sparkling Model'!D$2:D$38^A7760)</f>
        <v>36.9234398</v>
      </c>
      <c r="C7760" s="8">
        <f t="array" ref="C7760">PRODUCT(1-'Sparkling Model'!D$2:D$38^A7760)</f>
        <v>0.9255498052</v>
      </c>
    </row>
    <row r="7761">
      <c r="A7761" s="6">
        <v>7759.0</v>
      </c>
      <c r="B7761" s="17">
        <f t="array" ref="B7761">SUM(1-'Sparkling Model'!D$2:D$38^A7761)</f>
        <v>36.92347896</v>
      </c>
      <c r="C7761" s="8">
        <f t="array" ref="C7761">PRODUCT(1-'Sparkling Model'!D$2:D$38^A7761)</f>
        <v>0.9255867921</v>
      </c>
    </row>
    <row r="7762">
      <c r="A7762" s="6">
        <v>7760.0</v>
      </c>
      <c r="B7762" s="17">
        <f t="array" ref="B7762">SUM(1-'Sparkling Model'!D$2:D$38^A7762)</f>
        <v>36.9235181</v>
      </c>
      <c r="C7762" s="8">
        <f t="array" ref="C7762">PRODUCT(1-'Sparkling Model'!D$2:D$38^A7762)</f>
        <v>0.9256237606</v>
      </c>
    </row>
    <row r="7763">
      <c r="A7763" s="6">
        <v>7761.0</v>
      </c>
      <c r="B7763" s="17">
        <f t="array" ref="B7763">SUM(1-'Sparkling Model'!D$2:D$38^A7763)</f>
        <v>36.92355721</v>
      </c>
      <c r="C7763" s="8">
        <f t="array" ref="C7763">PRODUCT(1-'Sparkling Model'!D$2:D$38^A7763)</f>
        <v>0.9256607109</v>
      </c>
    </row>
    <row r="7764">
      <c r="A7764" s="6">
        <v>7762.0</v>
      </c>
      <c r="B7764" s="17">
        <f t="array" ref="B7764">SUM(1-'Sparkling Model'!D$2:D$38^A7764)</f>
        <v>36.92359631</v>
      </c>
      <c r="C7764" s="8">
        <f t="array" ref="C7764">PRODUCT(1-'Sparkling Model'!D$2:D$38^A7764)</f>
        <v>0.9256976429</v>
      </c>
    </row>
    <row r="7765">
      <c r="A7765" s="6">
        <v>7763.0</v>
      </c>
      <c r="B7765" s="17">
        <f t="array" ref="B7765">SUM(1-'Sparkling Model'!D$2:D$38^A7765)</f>
        <v>36.92363539</v>
      </c>
      <c r="C7765" s="8">
        <f t="array" ref="C7765">PRODUCT(1-'Sparkling Model'!D$2:D$38^A7765)</f>
        <v>0.9257345566</v>
      </c>
    </row>
    <row r="7766">
      <c r="A7766" s="6">
        <v>7764.0</v>
      </c>
      <c r="B7766" s="17">
        <f t="array" ref="B7766">SUM(1-'Sparkling Model'!D$2:D$38^A7766)</f>
        <v>36.92367444</v>
      </c>
      <c r="C7766" s="8">
        <f t="array" ref="C7766">PRODUCT(1-'Sparkling Model'!D$2:D$38^A7766)</f>
        <v>0.9257714521</v>
      </c>
    </row>
    <row r="7767">
      <c r="A7767" s="6">
        <v>7765.0</v>
      </c>
      <c r="B7767" s="17">
        <f t="array" ref="B7767">SUM(1-'Sparkling Model'!D$2:D$38^A7767)</f>
        <v>36.92371348</v>
      </c>
      <c r="C7767" s="8">
        <f t="array" ref="C7767">PRODUCT(1-'Sparkling Model'!D$2:D$38^A7767)</f>
        <v>0.9258083293</v>
      </c>
    </row>
    <row r="7768">
      <c r="A7768" s="6">
        <v>7766.0</v>
      </c>
      <c r="B7768" s="17">
        <f t="array" ref="B7768">SUM(1-'Sparkling Model'!D$2:D$38^A7768)</f>
        <v>36.9237525</v>
      </c>
      <c r="C7768" s="8">
        <f t="array" ref="C7768">PRODUCT(1-'Sparkling Model'!D$2:D$38^A7768)</f>
        <v>0.9258451882</v>
      </c>
    </row>
    <row r="7769">
      <c r="A7769" s="6">
        <v>7767.0</v>
      </c>
      <c r="B7769" s="17">
        <f t="array" ref="B7769">SUM(1-'Sparkling Model'!D$2:D$38^A7769)</f>
        <v>36.92379149</v>
      </c>
      <c r="C7769" s="8">
        <f t="array" ref="C7769">PRODUCT(1-'Sparkling Model'!D$2:D$38^A7769)</f>
        <v>0.9258820289</v>
      </c>
    </row>
    <row r="7770">
      <c r="A7770" s="6">
        <v>7768.0</v>
      </c>
      <c r="B7770" s="17">
        <f t="array" ref="B7770">SUM(1-'Sparkling Model'!D$2:D$38^A7770)</f>
        <v>36.92383046</v>
      </c>
      <c r="C7770" s="8">
        <f t="array" ref="C7770">PRODUCT(1-'Sparkling Model'!D$2:D$38^A7770)</f>
        <v>0.9259188514</v>
      </c>
    </row>
    <row r="7771">
      <c r="A7771" s="6">
        <v>7769.0</v>
      </c>
      <c r="B7771" s="17">
        <f t="array" ref="B7771">SUM(1-'Sparkling Model'!D$2:D$38^A7771)</f>
        <v>36.92386942</v>
      </c>
      <c r="C7771" s="8">
        <f t="array" ref="C7771">PRODUCT(1-'Sparkling Model'!D$2:D$38^A7771)</f>
        <v>0.9259556557</v>
      </c>
    </row>
    <row r="7772">
      <c r="A7772" s="6">
        <v>7770.0</v>
      </c>
      <c r="B7772" s="17">
        <f t="array" ref="B7772">SUM(1-'Sparkling Model'!D$2:D$38^A7772)</f>
        <v>36.92390835</v>
      </c>
      <c r="C7772" s="8">
        <f t="array" ref="C7772">PRODUCT(1-'Sparkling Model'!D$2:D$38^A7772)</f>
        <v>0.9259924418</v>
      </c>
    </row>
    <row r="7773">
      <c r="A7773" s="6">
        <v>7771.0</v>
      </c>
      <c r="B7773" s="17">
        <f t="array" ref="B7773">SUM(1-'Sparkling Model'!D$2:D$38^A7773)</f>
        <v>36.92394726</v>
      </c>
      <c r="C7773" s="8">
        <f t="array" ref="C7773">PRODUCT(1-'Sparkling Model'!D$2:D$38^A7773)</f>
        <v>0.9260292096</v>
      </c>
    </row>
    <row r="7774">
      <c r="A7774" s="6">
        <v>7772.0</v>
      </c>
      <c r="B7774" s="17">
        <f t="array" ref="B7774">SUM(1-'Sparkling Model'!D$2:D$38^A7774)</f>
        <v>36.92398616</v>
      </c>
      <c r="C7774" s="8">
        <f t="array" ref="C7774">PRODUCT(1-'Sparkling Model'!D$2:D$38^A7774)</f>
        <v>0.9260659593</v>
      </c>
    </row>
    <row r="7775">
      <c r="A7775" s="6">
        <v>7773.0</v>
      </c>
      <c r="B7775" s="17">
        <f t="array" ref="B7775">SUM(1-'Sparkling Model'!D$2:D$38^A7775)</f>
        <v>36.92402503</v>
      </c>
      <c r="C7775" s="8">
        <f t="array" ref="C7775">PRODUCT(1-'Sparkling Model'!D$2:D$38^A7775)</f>
        <v>0.9261026908</v>
      </c>
    </row>
    <row r="7776">
      <c r="A7776" s="6">
        <v>7774.0</v>
      </c>
      <c r="B7776" s="17">
        <f t="array" ref="B7776">SUM(1-'Sparkling Model'!D$2:D$38^A7776)</f>
        <v>36.92406388</v>
      </c>
      <c r="C7776" s="8">
        <f t="array" ref="C7776">PRODUCT(1-'Sparkling Model'!D$2:D$38^A7776)</f>
        <v>0.9261394041</v>
      </c>
    </row>
    <row r="7777">
      <c r="A7777" s="6">
        <v>7775.0</v>
      </c>
      <c r="B7777" s="17">
        <f t="array" ref="B7777">SUM(1-'Sparkling Model'!D$2:D$38^A7777)</f>
        <v>36.92410271</v>
      </c>
      <c r="C7777" s="8">
        <f t="array" ref="C7777">PRODUCT(1-'Sparkling Model'!D$2:D$38^A7777)</f>
        <v>0.9261760992</v>
      </c>
    </row>
    <row r="7778">
      <c r="A7778" s="6">
        <v>7776.0</v>
      </c>
      <c r="B7778" s="17">
        <f t="array" ref="B7778">SUM(1-'Sparkling Model'!D$2:D$38^A7778)</f>
        <v>36.92414152</v>
      </c>
      <c r="C7778" s="8">
        <f t="array" ref="C7778">PRODUCT(1-'Sparkling Model'!D$2:D$38^A7778)</f>
        <v>0.9262127762</v>
      </c>
    </row>
    <row r="7779">
      <c r="A7779" s="6">
        <v>7777.0</v>
      </c>
      <c r="B7779" s="17">
        <f t="array" ref="B7779">SUM(1-'Sparkling Model'!D$2:D$38^A7779)</f>
        <v>36.92418031</v>
      </c>
      <c r="C7779" s="8">
        <f t="array" ref="C7779">PRODUCT(1-'Sparkling Model'!D$2:D$38^A7779)</f>
        <v>0.926249435</v>
      </c>
    </row>
    <row r="7780">
      <c r="A7780" s="6">
        <v>7778.0</v>
      </c>
      <c r="B7780" s="17">
        <f t="array" ref="B7780">SUM(1-'Sparkling Model'!D$2:D$38^A7780)</f>
        <v>36.92421908</v>
      </c>
      <c r="C7780" s="8">
        <f t="array" ref="C7780">PRODUCT(1-'Sparkling Model'!D$2:D$38^A7780)</f>
        <v>0.9262860757</v>
      </c>
    </row>
    <row r="7781">
      <c r="A7781" s="6">
        <v>7779.0</v>
      </c>
      <c r="B7781" s="17">
        <f t="array" ref="B7781">SUM(1-'Sparkling Model'!D$2:D$38^A7781)</f>
        <v>36.92425783</v>
      </c>
      <c r="C7781" s="8">
        <f t="array" ref="C7781">PRODUCT(1-'Sparkling Model'!D$2:D$38^A7781)</f>
        <v>0.9263226983</v>
      </c>
    </row>
    <row r="7782">
      <c r="A7782" s="6">
        <v>7780.0</v>
      </c>
      <c r="B7782" s="17">
        <f t="array" ref="B7782">SUM(1-'Sparkling Model'!D$2:D$38^A7782)</f>
        <v>36.92429656</v>
      </c>
      <c r="C7782" s="8">
        <f t="array" ref="C7782">PRODUCT(1-'Sparkling Model'!D$2:D$38^A7782)</f>
        <v>0.9263593027</v>
      </c>
    </row>
    <row r="7783">
      <c r="A7783" s="6">
        <v>7781.0</v>
      </c>
      <c r="B7783" s="17">
        <f t="array" ref="B7783">SUM(1-'Sparkling Model'!D$2:D$38^A7783)</f>
        <v>36.92433527</v>
      </c>
      <c r="C7783" s="8">
        <f t="array" ref="C7783">PRODUCT(1-'Sparkling Model'!D$2:D$38^A7783)</f>
        <v>0.926395889</v>
      </c>
    </row>
    <row r="7784">
      <c r="A7784" s="6">
        <v>7782.0</v>
      </c>
      <c r="B7784" s="17">
        <f t="array" ref="B7784">SUM(1-'Sparkling Model'!D$2:D$38^A7784)</f>
        <v>36.92437396</v>
      </c>
      <c r="C7784" s="8">
        <f t="array" ref="C7784">PRODUCT(1-'Sparkling Model'!D$2:D$38^A7784)</f>
        <v>0.9264324572</v>
      </c>
    </row>
    <row r="7785">
      <c r="A7785" s="6">
        <v>7783.0</v>
      </c>
      <c r="B7785" s="17">
        <f t="array" ref="B7785">SUM(1-'Sparkling Model'!D$2:D$38^A7785)</f>
        <v>36.92441263</v>
      </c>
      <c r="C7785" s="8">
        <f t="array" ref="C7785">PRODUCT(1-'Sparkling Model'!D$2:D$38^A7785)</f>
        <v>0.9264690074</v>
      </c>
    </row>
    <row r="7786">
      <c r="A7786" s="6">
        <v>7784.0</v>
      </c>
      <c r="B7786" s="17">
        <f t="array" ref="B7786">SUM(1-'Sparkling Model'!D$2:D$38^A7786)</f>
        <v>36.92445128</v>
      </c>
      <c r="C7786" s="8">
        <f t="array" ref="C7786">PRODUCT(1-'Sparkling Model'!D$2:D$38^A7786)</f>
        <v>0.9265055394</v>
      </c>
    </row>
    <row r="7787">
      <c r="A7787" s="6">
        <v>7785.0</v>
      </c>
      <c r="B7787" s="17">
        <f t="array" ref="B7787">SUM(1-'Sparkling Model'!D$2:D$38^A7787)</f>
        <v>36.92448991</v>
      </c>
      <c r="C7787" s="8">
        <f t="array" ref="C7787">PRODUCT(1-'Sparkling Model'!D$2:D$38^A7787)</f>
        <v>0.9265420533</v>
      </c>
    </row>
    <row r="7788">
      <c r="A7788" s="6">
        <v>7786.0</v>
      </c>
      <c r="B7788" s="17">
        <f t="array" ref="B7788">SUM(1-'Sparkling Model'!D$2:D$38^A7788)</f>
        <v>36.92452852</v>
      </c>
      <c r="C7788" s="8">
        <f t="array" ref="C7788">PRODUCT(1-'Sparkling Model'!D$2:D$38^A7788)</f>
        <v>0.9265785492</v>
      </c>
    </row>
    <row r="7789">
      <c r="A7789" s="6">
        <v>7787.0</v>
      </c>
      <c r="B7789" s="17">
        <f t="array" ref="B7789">SUM(1-'Sparkling Model'!D$2:D$38^A7789)</f>
        <v>36.9245671</v>
      </c>
      <c r="C7789" s="8">
        <f t="array" ref="C7789">PRODUCT(1-'Sparkling Model'!D$2:D$38^A7789)</f>
        <v>0.9266150271</v>
      </c>
    </row>
    <row r="7790">
      <c r="A7790" s="6">
        <v>7788.0</v>
      </c>
      <c r="B7790" s="17">
        <f t="array" ref="B7790">SUM(1-'Sparkling Model'!D$2:D$38^A7790)</f>
        <v>36.92460567</v>
      </c>
      <c r="C7790" s="8">
        <f t="array" ref="C7790">PRODUCT(1-'Sparkling Model'!D$2:D$38^A7790)</f>
        <v>0.9266514868</v>
      </c>
    </row>
    <row r="7791">
      <c r="A7791" s="6">
        <v>7789.0</v>
      </c>
      <c r="B7791" s="17">
        <f t="array" ref="B7791">SUM(1-'Sparkling Model'!D$2:D$38^A7791)</f>
        <v>36.92464422</v>
      </c>
      <c r="C7791" s="8">
        <f t="array" ref="C7791">PRODUCT(1-'Sparkling Model'!D$2:D$38^A7791)</f>
        <v>0.9266879286</v>
      </c>
    </row>
    <row r="7792">
      <c r="A7792" s="6">
        <v>7790.0</v>
      </c>
      <c r="B7792" s="17">
        <f t="array" ref="B7792">SUM(1-'Sparkling Model'!D$2:D$38^A7792)</f>
        <v>36.92468274</v>
      </c>
      <c r="C7792" s="8">
        <f t="array" ref="C7792">PRODUCT(1-'Sparkling Model'!D$2:D$38^A7792)</f>
        <v>0.9267243523</v>
      </c>
    </row>
    <row r="7793">
      <c r="A7793" s="6">
        <v>7791.0</v>
      </c>
      <c r="B7793" s="17">
        <f t="array" ref="B7793">SUM(1-'Sparkling Model'!D$2:D$38^A7793)</f>
        <v>36.92472125</v>
      </c>
      <c r="C7793" s="8">
        <f t="array" ref="C7793">PRODUCT(1-'Sparkling Model'!D$2:D$38^A7793)</f>
        <v>0.926760758</v>
      </c>
    </row>
    <row r="7794">
      <c r="A7794" s="6">
        <v>7792.0</v>
      </c>
      <c r="B7794" s="17">
        <f t="array" ref="B7794">SUM(1-'Sparkling Model'!D$2:D$38^A7794)</f>
        <v>36.92475974</v>
      </c>
      <c r="C7794" s="8">
        <f t="array" ref="C7794">PRODUCT(1-'Sparkling Model'!D$2:D$38^A7794)</f>
        <v>0.9267971456</v>
      </c>
    </row>
    <row r="7795">
      <c r="A7795" s="6">
        <v>7793.0</v>
      </c>
      <c r="B7795" s="17">
        <f t="array" ref="B7795">SUM(1-'Sparkling Model'!D$2:D$38^A7795)</f>
        <v>36.9247982</v>
      </c>
      <c r="C7795" s="8">
        <f t="array" ref="C7795">PRODUCT(1-'Sparkling Model'!D$2:D$38^A7795)</f>
        <v>0.9268335153</v>
      </c>
    </row>
    <row r="7796">
      <c r="A7796" s="6">
        <v>7794.0</v>
      </c>
      <c r="B7796" s="17">
        <f t="array" ref="B7796">SUM(1-'Sparkling Model'!D$2:D$38^A7796)</f>
        <v>36.92483665</v>
      </c>
      <c r="C7796" s="8">
        <f t="array" ref="C7796">PRODUCT(1-'Sparkling Model'!D$2:D$38^A7796)</f>
        <v>0.9268698669</v>
      </c>
    </row>
    <row r="7797">
      <c r="A7797" s="6">
        <v>7795.0</v>
      </c>
      <c r="B7797" s="17">
        <f t="array" ref="B7797">SUM(1-'Sparkling Model'!D$2:D$38^A7797)</f>
        <v>36.92487508</v>
      </c>
      <c r="C7797" s="8">
        <f t="array" ref="C7797">PRODUCT(1-'Sparkling Model'!D$2:D$38^A7797)</f>
        <v>0.9269062006</v>
      </c>
    </row>
    <row r="7798">
      <c r="A7798" s="6">
        <v>7796.0</v>
      </c>
      <c r="B7798" s="17">
        <f t="array" ref="B7798">SUM(1-'Sparkling Model'!D$2:D$38^A7798)</f>
        <v>36.92491348</v>
      </c>
      <c r="C7798" s="8">
        <f t="array" ref="C7798">PRODUCT(1-'Sparkling Model'!D$2:D$38^A7798)</f>
        <v>0.9269425163</v>
      </c>
    </row>
    <row r="7799">
      <c r="A7799" s="6">
        <v>7797.0</v>
      </c>
      <c r="B7799" s="17">
        <f t="array" ref="B7799">SUM(1-'Sparkling Model'!D$2:D$38^A7799)</f>
        <v>36.92495187</v>
      </c>
      <c r="C7799" s="8">
        <f t="array" ref="C7799">PRODUCT(1-'Sparkling Model'!D$2:D$38^A7799)</f>
        <v>0.926978814</v>
      </c>
    </row>
    <row r="7800">
      <c r="A7800" s="6">
        <v>7798.0</v>
      </c>
      <c r="B7800" s="17">
        <f t="array" ref="B7800">SUM(1-'Sparkling Model'!D$2:D$38^A7800)</f>
        <v>36.92499023</v>
      </c>
      <c r="C7800" s="8">
        <f t="array" ref="C7800">PRODUCT(1-'Sparkling Model'!D$2:D$38^A7800)</f>
        <v>0.9270150937</v>
      </c>
    </row>
    <row r="7801">
      <c r="A7801" s="6">
        <v>7799.0</v>
      </c>
      <c r="B7801" s="17">
        <f t="array" ref="B7801">SUM(1-'Sparkling Model'!D$2:D$38^A7801)</f>
        <v>36.92502858</v>
      </c>
      <c r="C7801" s="8">
        <f t="array" ref="C7801">PRODUCT(1-'Sparkling Model'!D$2:D$38^A7801)</f>
        <v>0.9270513555</v>
      </c>
    </row>
    <row r="7802">
      <c r="A7802" s="6">
        <v>7800.0</v>
      </c>
      <c r="B7802" s="17">
        <f t="array" ref="B7802">SUM(1-'Sparkling Model'!D$2:D$38^A7802)</f>
        <v>36.9250669</v>
      </c>
      <c r="C7802" s="8">
        <f t="array" ref="C7802">PRODUCT(1-'Sparkling Model'!D$2:D$38^A7802)</f>
        <v>0.9270875993</v>
      </c>
    </row>
    <row r="7803">
      <c r="A7803" s="6">
        <v>7801.0</v>
      </c>
      <c r="B7803" s="17">
        <f t="array" ref="B7803">SUM(1-'Sparkling Model'!D$2:D$38^A7803)</f>
        <v>36.92510521</v>
      </c>
      <c r="C7803" s="8">
        <f t="array" ref="C7803">PRODUCT(1-'Sparkling Model'!D$2:D$38^A7803)</f>
        <v>0.9271238253</v>
      </c>
    </row>
    <row r="7804">
      <c r="A7804" s="6">
        <v>7802.0</v>
      </c>
      <c r="B7804" s="17">
        <f t="array" ref="B7804">SUM(1-'Sparkling Model'!D$2:D$38^A7804)</f>
        <v>36.92514349</v>
      </c>
      <c r="C7804" s="8">
        <f t="array" ref="C7804">PRODUCT(1-'Sparkling Model'!D$2:D$38^A7804)</f>
        <v>0.9271600332</v>
      </c>
    </row>
    <row r="7805">
      <c r="A7805" s="6">
        <v>7803.0</v>
      </c>
      <c r="B7805" s="17">
        <f t="array" ref="B7805">SUM(1-'Sparkling Model'!D$2:D$38^A7805)</f>
        <v>36.92518176</v>
      </c>
      <c r="C7805" s="8">
        <f t="array" ref="C7805">PRODUCT(1-'Sparkling Model'!D$2:D$38^A7805)</f>
        <v>0.9271962233</v>
      </c>
    </row>
    <row r="7806">
      <c r="A7806" s="6">
        <v>7804.0</v>
      </c>
      <c r="B7806" s="17">
        <f t="array" ref="B7806">SUM(1-'Sparkling Model'!D$2:D$38^A7806)</f>
        <v>36.92522</v>
      </c>
      <c r="C7806" s="8">
        <f t="array" ref="C7806">PRODUCT(1-'Sparkling Model'!D$2:D$38^A7806)</f>
        <v>0.9272323954</v>
      </c>
    </row>
    <row r="7807">
      <c r="A7807" s="6">
        <v>7805.0</v>
      </c>
      <c r="B7807" s="17">
        <f t="array" ref="B7807">SUM(1-'Sparkling Model'!D$2:D$38^A7807)</f>
        <v>36.92525823</v>
      </c>
      <c r="C7807" s="8">
        <f t="array" ref="C7807">PRODUCT(1-'Sparkling Model'!D$2:D$38^A7807)</f>
        <v>0.9272685497</v>
      </c>
    </row>
    <row r="7808">
      <c r="A7808" s="6">
        <v>7806.0</v>
      </c>
      <c r="B7808" s="17">
        <f t="array" ref="B7808">SUM(1-'Sparkling Model'!D$2:D$38^A7808)</f>
        <v>36.92529643</v>
      </c>
      <c r="C7808" s="8">
        <f t="array" ref="C7808">PRODUCT(1-'Sparkling Model'!D$2:D$38^A7808)</f>
        <v>0.927304686</v>
      </c>
    </row>
    <row r="7809">
      <c r="A7809" s="6">
        <v>7807.0</v>
      </c>
      <c r="B7809" s="17">
        <f t="array" ref="B7809">SUM(1-'Sparkling Model'!D$2:D$38^A7809)</f>
        <v>36.92533462</v>
      </c>
      <c r="C7809" s="8">
        <f t="array" ref="C7809">PRODUCT(1-'Sparkling Model'!D$2:D$38^A7809)</f>
        <v>0.9273408045</v>
      </c>
    </row>
    <row r="7810">
      <c r="A7810" s="6">
        <v>7808.0</v>
      </c>
      <c r="B7810" s="17">
        <f t="array" ref="B7810">SUM(1-'Sparkling Model'!D$2:D$38^A7810)</f>
        <v>36.92537278</v>
      </c>
      <c r="C7810" s="8">
        <f t="array" ref="C7810">PRODUCT(1-'Sparkling Model'!D$2:D$38^A7810)</f>
        <v>0.9273769051</v>
      </c>
    </row>
    <row r="7811">
      <c r="A7811" s="6">
        <v>7809.0</v>
      </c>
      <c r="B7811" s="17">
        <f t="array" ref="B7811">SUM(1-'Sparkling Model'!D$2:D$38^A7811)</f>
        <v>36.92541093</v>
      </c>
      <c r="C7811" s="8">
        <f t="array" ref="C7811">PRODUCT(1-'Sparkling Model'!D$2:D$38^A7811)</f>
        <v>0.9274129878</v>
      </c>
    </row>
    <row r="7812">
      <c r="A7812" s="6">
        <v>7810.0</v>
      </c>
      <c r="B7812" s="17">
        <f t="array" ref="B7812">SUM(1-'Sparkling Model'!D$2:D$38^A7812)</f>
        <v>36.92544905</v>
      </c>
      <c r="C7812" s="8">
        <f t="array" ref="C7812">PRODUCT(1-'Sparkling Model'!D$2:D$38^A7812)</f>
        <v>0.9274490527</v>
      </c>
    </row>
    <row r="7813">
      <c r="A7813" s="6">
        <v>7811.0</v>
      </c>
      <c r="B7813" s="17">
        <f t="array" ref="B7813">SUM(1-'Sparkling Model'!D$2:D$38^A7813)</f>
        <v>36.92548715</v>
      </c>
      <c r="C7813" s="8">
        <f t="array" ref="C7813">PRODUCT(1-'Sparkling Model'!D$2:D$38^A7813)</f>
        <v>0.9274850997</v>
      </c>
    </row>
    <row r="7814">
      <c r="A7814" s="6">
        <v>7812.0</v>
      </c>
      <c r="B7814" s="17">
        <f t="array" ref="B7814">SUM(1-'Sparkling Model'!D$2:D$38^A7814)</f>
        <v>36.92552524</v>
      </c>
      <c r="C7814" s="8">
        <f t="array" ref="C7814">PRODUCT(1-'Sparkling Model'!D$2:D$38^A7814)</f>
        <v>0.9275211289</v>
      </c>
    </row>
    <row r="7815">
      <c r="A7815" s="6">
        <v>7813.0</v>
      </c>
      <c r="B7815" s="17">
        <f t="array" ref="B7815">SUM(1-'Sparkling Model'!D$2:D$38^A7815)</f>
        <v>36.9255633</v>
      </c>
      <c r="C7815" s="8">
        <f t="array" ref="C7815">PRODUCT(1-'Sparkling Model'!D$2:D$38^A7815)</f>
        <v>0.9275571402</v>
      </c>
    </row>
    <row r="7816">
      <c r="A7816" s="6">
        <v>7814.0</v>
      </c>
      <c r="B7816" s="17">
        <f t="array" ref="B7816">SUM(1-'Sparkling Model'!D$2:D$38^A7816)</f>
        <v>36.92560135</v>
      </c>
      <c r="C7816" s="8">
        <f t="array" ref="C7816">PRODUCT(1-'Sparkling Model'!D$2:D$38^A7816)</f>
        <v>0.9275931337</v>
      </c>
    </row>
    <row r="7817">
      <c r="A7817" s="6">
        <v>7815.0</v>
      </c>
      <c r="B7817" s="17">
        <f t="array" ref="B7817">SUM(1-'Sparkling Model'!D$2:D$38^A7817)</f>
        <v>36.92563937</v>
      </c>
      <c r="C7817" s="8">
        <f t="array" ref="C7817">PRODUCT(1-'Sparkling Model'!D$2:D$38^A7817)</f>
        <v>0.9276291094</v>
      </c>
    </row>
    <row r="7818">
      <c r="A7818" s="6">
        <v>7816.0</v>
      </c>
      <c r="B7818" s="17">
        <f t="array" ref="B7818">SUM(1-'Sparkling Model'!D$2:D$38^A7818)</f>
        <v>36.92567738</v>
      </c>
      <c r="C7818" s="8">
        <f t="array" ref="C7818">PRODUCT(1-'Sparkling Model'!D$2:D$38^A7818)</f>
        <v>0.9276650673</v>
      </c>
    </row>
    <row r="7819">
      <c r="A7819" s="6">
        <v>7817.0</v>
      </c>
      <c r="B7819" s="17">
        <f t="array" ref="B7819">SUM(1-'Sparkling Model'!D$2:D$38^A7819)</f>
        <v>36.92571536</v>
      </c>
      <c r="C7819" s="8">
        <f t="array" ref="C7819">PRODUCT(1-'Sparkling Model'!D$2:D$38^A7819)</f>
        <v>0.9277010074</v>
      </c>
    </row>
    <row r="7820">
      <c r="A7820" s="6">
        <v>7818.0</v>
      </c>
      <c r="B7820" s="17">
        <f t="array" ref="B7820">SUM(1-'Sparkling Model'!D$2:D$38^A7820)</f>
        <v>36.92575333</v>
      </c>
      <c r="C7820" s="8">
        <f t="array" ref="C7820">PRODUCT(1-'Sparkling Model'!D$2:D$38^A7820)</f>
        <v>0.9277369297</v>
      </c>
    </row>
    <row r="7821">
      <c r="A7821" s="6">
        <v>7819.0</v>
      </c>
      <c r="B7821" s="17">
        <f t="array" ref="B7821">SUM(1-'Sparkling Model'!D$2:D$38^A7821)</f>
        <v>36.92579127</v>
      </c>
      <c r="C7821" s="8">
        <f t="array" ref="C7821">PRODUCT(1-'Sparkling Model'!D$2:D$38^A7821)</f>
        <v>0.9277728342</v>
      </c>
    </row>
    <row r="7822">
      <c r="A7822" s="6">
        <v>7820.0</v>
      </c>
      <c r="B7822" s="17">
        <f t="array" ref="B7822">SUM(1-'Sparkling Model'!D$2:D$38^A7822)</f>
        <v>36.9258292</v>
      </c>
      <c r="C7822" s="8">
        <f t="array" ref="C7822">PRODUCT(1-'Sparkling Model'!D$2:D$38^A7822)</f>
        <v>0.927808721</v>
      </c>
    </row>
    <row r="7823">
      <c r="A7823" s="6">
        <v>7821.0</v>
      </c>
      <c r="B7823" s="17">
        <f t="array" ref="B7823">SUM(1-'Sparkling Model'!D$2:D$38^A7823)</f>
        <v>36.9258671</v>
      </c>
      <c r="C7823" s="8">
        <f t="array" ref="C7823">PRODUCT(1-'Sparkling Model'!D$2:D$38^A7823)</f>
        <v>0.92784459</v>
      </c>
    </row>
    <row r="7824">
      <c r="A7824" s="6">
        <v>7822.0</v>
      </c>
      <c r="B7824" s="17">
        <f t="array" ref="B7824">SUM(1-'Sparkling Model'!D$2:D$38^A7824)</f>
        <v>36.92590499</v>
      </c>
      <c r="C7824" s="8">
        <f t="array" ref="C7824">PRODUCT(1-'Sparkling Model'!D$2:D$38^A7824)</f>
        <v>0.9278804412</v>
      </c>
    </row>
    <row r="7825">
      <c r="A7825" s="6">
        <v>7823.0</v>
      </c>
      <c r="B7825" s="17">
        <f t="array" ref="B7825">SUM(1-'Sparkling Model'!D$2:D$38^A7825)</f>
        <v>36.92594285</v>
      </c>
      <c r="C7825" s="8">
        <f t="array" ref="C7825">PRODUCT(1-'Sparkling Model'!D$2:D$38^A7825)</f>
        <v>0.9279162747</v>
      </c>
    </row>
    <row r="7826">
      <c r="A7826" s="6">
        <v>7824.0</v>
      </c>
      <c r="B7826" s="17">
        <f t="array" ref="B7826">SUM(1-'Sparkling Model'!D$2:D$38^A7826)</f>
        <v>36.9259807</v>
      </c>
      <c r="C7826" s="8">
        <f t="array" ref="C7826">PRODUCT(1-'Sparkling Model'!D$2:D$38^A7826)</f>
        <v>0.9279520905</v>
      </c>
    </row>
    <row r="7827">
      <c r="A7827" s="6">
        <v>7825.0</v>
      </c>
      <c r="B7827" s="17">
        <f t="array" ref="B7827">SUM(1-'Sparkling Model'!D$2:D$38^A7827)</f>
        <v>36.92601853</v>
      </c>
      <c r="C7827" s="8">
        <f t="array" ref="C7827">PRODUCT(1-'Sparkling Model'!D$2:D$38^A7827)</f>
        <v>0.9279878885</v>
      </c>
    </row>
    <row r="7828">
      <c r="A7828" s="6">
        <v>7826.0</v>
      </c>
      <c r="B7828" s="17">
        <f t="array" ref="B7828">SUM(1-'Sparkling Model'!D$2:D$38^A7828)</f>
        <v>36.92605633</v>
      </c>
      <c r="C7828" s="8">
        <f t="array" ref="C7828">PRODUCT(1-'Sparkling Model'!D$2:D$38^A7828)</f>
        <v>0.9280236688</v>
      </c>
    </row>
    <row r="7829">
      <c r="A7829" s="6">
        <v>7827.0</v>
      </c>
      <c r="B7829" s="17">
        <f t="array" ref="B7829">SUM(1-'Sparkling Model'!D$2:D$38^A7829)</f>
        <v>36.92609412</v>
      </c>
      <c r="C7829" s="8">
        <f t="array" ref="C7829">PRODUCT(1-'Sparkling Model'!D$2:D$38^A7829)</f>
        <v>0.9280594314</v>
      </c>
    </row>
    <row r="7830">
      <c r="A7830" s="6">
        <v>7828.0</v>
      </c>
      <c r="B7830" s="17">
        <f t="array" ref="B7830">SUM(1-'Sparkling Model'!D$2:D$38^A7830)</f>
        <v>36.92613188</v>
      </c>
      <c r="C7830" s="8">
        <f t="array" ref="C7830">PRODUCT(1-'Sparkling Model'!D$2:D$38^A7830)</f>
        <v>0.9280951763</v>
      </c>
    </row>
    <row r="7831">
      <c r="A7831" s="6">
        <v>7829.0</v>
      </c>
      <c r="B7831" s="17">
        <f t="array" ref="B7831">SUM(1-'Sparkling Model'!D$2:D$38^A7831)</f>
        <v>36.92616963</v>
      </c>
      <c r="C7831" s="8">
        <f t="array" ref="C7831">PRODUCT(1-'Sparkling Model'!D$2:D$38^A7831)</f>
        <v>0.9281309035</v>
      </c>
    </row>
    <row r="7832">
      <c r="A7832" s="6">
        <v>7830.0</v>
      </c>
      <c r="B7832" s="17">
        <f t="array" ref="B7832">SUM(1-'Sparkling Model'!D$2:D$38^A7832)</f>
        <v>36.92620736</v>
      </c>
      <c r="C7832" s="8">
        <f t="array" ref="C7832">PRODUCT(1-'Sparkling Model'!D$2:D$38^A7832)</f>
        <v>0.928166613</v>
      </c>
    </row>
    <row r="7833">
      <c r="A7833" s="6">
        <v>7831.0</v>
      </c>
      <c r="B7833" s="17">
        <f t="array" ref="B7833">SUM(1-'Sparkling Model'!D$2:D$38^A7833)</f>
        <v>36.92624506</v>
      </c>
      <c r="C7833" s="8">
        <f t="array" ref="C7833">PRODUCT(1-'Sparkling Model'!D$2:D$38^A7833)</f>
        <v>0.9282023048</v>
      </c>
    </row>
    <row r="7834">
      <c r="A7834" s="6">
        <v>7832.0</v>
      </c>
      <c r="B7834" s="17">
        <f t="array" ref="B7834">SUM(1-'Sparkling Model'!D$2:D$38^A7834)</f>
        <v>36.92628275</v>
      </c>
      <c r="C7834" s="8">
        <f t="array" ref="C7834">PRODUCT(1-'Sparkling Model'!D$2:D$38^A7834)</f>
        <v>0.928237979</v>
      </c>
    </row>
    <row r="7835">
      <c r="A7835" s="6">
        <v>7833.0</v>
      </c>
      <c r="B7835" s="17">
        <f t="array" ref="B7835">SUM(1-'Sparkling Model'!D$2:D$38^A7835)</f>
        <v>36.92632042</v>
      </c>
      <c r="C7835" s="8">
        <f t="array" ref="C7835">PRODUCT(1-'Sparkling Model'!D$2:D$38^A7835)</f>
        <v>0.9282736355</v>
      </c>
    </row>
    <row r="7836">
      <c r="A7836" s="6">
        <v>7834.0</v>
      </c>
      <c r="B7836" s="17">
        <f t="array" ref="B7836">SUM(1-'Sparkling Model'!D$2:D$38^A7836)</f>
        <v>36.92635807</v>
      </c>
      <c r="C7836" s="8">
        <f t="array" ref="C7836">PRODUCT(1-'Sparkling Model'!D$2:D$38^A7836)</f>
        <v>0.9283092744</v>
      </c>
    </row>
    <row r="7837">
      <c r="A7837" s="6">
        <v>7835.0</v>
      </c>
      <c r="B7837" s="17">
        <f t="array" ref="B7837">SUM(1-'Sparkling Model'!D$2:D$38^A7837)</f>
        <v>36.92639569</v>
      </c>
      <c r="C7837" s="8">
        <f t="array" ref="C7837">PRODUCT(1-'Sparkling Model'!D$2:D$38^A7837)</f>
        <v>0.9283448956</v>
      </c>
    </row>
    <row r="7838">
      <c r="A7838" s="6">
        <v>7836.0</v>
      </c>
      <c r="B7838" s="17">
        <f t="array" ref="B7838">SUM(1-'Sparkling Model'!D$2:D$38^A7838)</f>
        <v>36.9264333</v>
      </c>
      <c r="C7838" s="8">
        <f t="array" ref="C7838">PRODUCT(1-'Sparkling Model'!D$2:D$38^A7838)</f>
        <v>0.9283804992</v>
      </c>
    </row>
    <row r="7839">
      <c r="A7839" s="6">
        <v>7837.0</v>
      </c>
      <c r="B7839" s="17">
        <f t="array" ref="B7839">SUM(1-'Sparkling Model'!D$2:D$38^A7839)</f>
        <v>36.92647089</v>
      </c>
      <c r="C7839" s="8">
        <f t="array" ref="C7839">PRODUCT(1-'Sparkling Model'!D$2:D$38^A7839)</f>
        <v>0.9284160851</v>
      </c>
    </row>
    <row r="7840">
      <c r="A7840" s="6">
        <v>7838.0</v>
      </c>
      <c r="B7840" s="17">
        <f t="array" ref="B7840">SUM(1-'Sparkling Model'!D$2:D$38^A7840)</f>
        <v>36.92650846</v>
      </c>
      <c r="C7840" s="8">
        <f t="array" ref="C7840">PRODUCT(1-'Sparkling Model'!D$2:D$38^A7840)</f>
        <v>0.9284516535</v>
      </c>
    </row>
    <row r="7841">
      <c r="A7841" s="6">
        <v>7839.0</v>
      </c>
      <c r="B7841" s="17">
        <f t="array" ref="B7841">SUM(1-'Sparkling Model'!D$2:D$38^A7841)</f>
        <v>36.92654601</v>
      </c>
      <c r="C7841" s="8">
        <f t="array" ref="C7841">PRODUCT(1-'Sparkling Model'!D$2:D$38^A7841)</f>
        <v>0.9284872042</v>
      </c>
    </row>
    <row r="7842">
      <c r="A7842" s="6">
        <v>7840.0</v>
      </c>
      <c r="B7842" s="17">
        <f t="array" ref="B7842">SUM(1-'Sparkling Model'!D$2:D$38^A7842)</f>
        <v>36.92658354</v>
      </c>
      <c r="C7842" s="8">
        <f t="array" ref="C7842">PRODUCT(1-'Sparkling Model'!D$2:D$38^A7842)</f>
        <v>0.9285227374</v>
      </c>
    </row>
    <row r="7843">
      <c r="A7843" s="6">
        <v>7841.0</v>
      </c>
      <c r="B7843" s="17">
        <f t="array" ref="B7843">SUM(1-'Sparkling Model'!D$2:D$38^A7843)</f>
        <v>36.92662105</v>
      </c>
      <c r="C7843" s="8">
        <f t="array" ref="C7843">PRODUCT(1-'Sparkling Model'!D$2:D$38^A7843)</f>
        <v>0.9285582529</v>
      </c>
    </row>
    <row r="7844">
      <c r="A7844" s="6">
        <v>7842.0</v>
      </c>
      <c r="B7844" s="17">
        <f t="array" ref="B7844">SUM(1-'Sparkling Model'!D$2:D$38^A7844)</f>
        <v>36.92665854</v>
      </c>
      <c r="C7844" s="8">
        <f t="array" ref="C7844">PRODUCT(1-'Sparkling Model'!D$2:D$38^A7844)</f>
        <v>0.9285937509</v>
      </c>
    </row>
    <row r="7845">
      <c r="A7845" s="6">
        <v>7843.0</v>
      </c>
      <c r="B7845" s="17">
        <f t="array" ref="B7845">SUM(1-'Sparkling Model'!D$2:D$38^A7845)</f>
        <v>36.92669601</v>
      </c>
      <c r="C7845" s="8">
        <f t="array" ref="C7845">PRODUCT(1-'Sparkling Model'!D$2:D$38^A7845)</f>
        <v>0.9286292313</v>
      </c>
    </row>
    <row r="7846">
      <c r="A7846" s="6">
        <v>7844.0</v>
      </c>
      <c r="B7846" s="17">
        <f t="array" ref="B7846">SUM(1-'Sparkling Model'!D$2:D$38^A7846)</f>
        <v>36.92673346</v>
      </c>
      <c r="C7846" s="8">
        <f t="array" ref="C7846">PRODUCT(1-'Sparkling Model'!D$2:D$38^A7846)</f>
        <v>0.9286646941</v>
      </c>
    </row>
    <row r="7847">
      <c r="A7847" s="6">
        <v>7845.0</v>
      </c>
      <c r="B7847" s="17">
        <f t="array" ref="B7847">SUM(1-'Sparkling Model'!D$2:D$38^A7847)</f>
        <v>36.92677089</v>
      </c>
      <c r="C7847" s="8">
        <f t="array" ref="C7847">PRODUCT(1-'Sparkling Model'!D$2:D$38^A7847)</f>
        <v>0.9287001394</v>
      </c>
    </row>
    <row r="7848">
      <c r="A7848" s="6">
        <v>7846.0</v>
      </c>
      <c r="B7848" s="17">
        <f t="array" ref="B7848">SUM(1-'Sparkling Model'!D$2:D$38^A7848)</f>
        <v>36.9268083</v>
      </c>
      <c r="C7848" s="8">
        <f t="array" ref="C7848">PRODUCT(1-'Sparkling Model'!D$2:D$38^A7848)</f>
        <v>0.9287355671</v>
      </c>
    </row>
    <row r="7849">
      <c r="A7849" s="6">
        <v>7847.0</v>
      </c>
      <c r="B7849" s="17">
        <f t="array" ref="B7849">SUM(1-'Sparkling Model'!D$2:D$38^A7849)</f>
        <v>36.92684569</v>
      </c>
      <c r="C7849" s="8">
        <f t="array" ref="C7849">PRODUCT(1-'Sparkling Model'!D$2:D$38^A7849)</f>
        <v>0.9287709773</v>
      </c>
    </row>
    <row r="7850">
      <c r="A7850" s="6">
        <v>7848.0</v>
      </c>
      <c r="B7850" s="17">
        <f t="array" ref="B7850">SUM(1-'Sparkling Model'!D$2:D$38^A7850)</f>
        <v>36.92688307</v>
      </c>
      <c r="C7850" s="8">
        <f t="array" ref="C7850">PRODUCT(1-'Sparkling Model'!D$2:D$38^A7850)</f>
        <v>0.9288063699</v>
      </c>
    </row>
    <row r="7851">
      <c r="A7851" s="6">
        <v>7849.0</v>
      </c>
      <c r="B7851" s="17">
        <f t="array" ref="B7851">SUM(1-'Sparkling Model'!D$2:D$38^A7851)</f>
        <v>36.92692042</v>
      </c>
      <c r="C7851" s="8">
        <f t="array" ref="C7851">PRODUCT(1-'Sparkling Model'!D$2:D$38^A7851)</f>
        <v>0.9288417451</v>
      </c>
    </row>
    <row r="7852">
      <c r="A7852" s="6">
        <v>7850.0</v>
      </c>
      <c r="B7852" s="17">
        <f t="array" ref="B7852">SUM(1-'Sparkling Model'!D$2:D$38^A7852)</f>
        <v>36.92695775</v>
      </c>
      <c r="C7852" s="8">
        <f t="array" ref="C7852">PRODUCT(1-'Sparkling Model'!D$2:D$38^A7852)</f>
        <v>0.9288771027</v>
      </c>
    </row>
    <row r="7853">
      <c r="A7853" s="6">
        <v>7851.0</v>
      </c>
      <c r="B7853" s="17">
        <f t="array" ref="B7853">SUM(1-'Sparkling Model'!D$2:D$38^A7853)</f>
        <v>36.92699507</v>
      </c>
      <c r="C7853" s="8">
        <f t="array" ref="C7853">PRODUCT(1-'Sparkling Model'!D$2:D$38^A7853)</f>
        <v>0.9289124428</v>
      </c>
    </row>
    <row r="7854">
      <c r="A7854" s="6">
        <v>7852.0</v>
      </c>
      <c r="B7854" s="17">
        <f t="array" ref="B7854">SUM(1-'Sparkling Model'!D$2:D$38^A7854)</f>
        <v>36.92703236</v>
      </c>
      <c r="C7854" s="8">
        <f t="array" ref="C7854">PRODUCT(1-'Sparkling Model'!D$2:D$38^A7854)</f>
        <v>0.9289477654</v>
      </c>
    </row>
    <row r="7855">
      <c r="A7855" s="6">
        <v>7853.0</v>
      </c>
      <c r="B7855" s="17">
        <f t="array" ref="B7855">SUM(1-'Sparkling Model'!D$2:D$38^A7855)</f>
        <v>36.92706964</v>
      </c>
      <c r="C7855" s="8">
        <f t="array" ref="C7855">PRODUCT(1-'Sparkling Model'!D$2:D$38^A7855)</f>
        <v>0.9289830705</v>
      </c>
    </row>
    <row r="7856">
      <c r="A7856" s="6">
        <v>7854.0</v>
      </c>
      <c r="B7856" s="17">
        <f t="array" ref="B7856">SUM(1-'Sparkling Model'!D$2:D$38^A7856)</f>
        <v>36.92710689</v>
      </c>
      <c r="C7856" s="8">
        <f t="array" ref="C7856">PRODUCT(1-'Sparkling Model'!D$2:D$38^A7856)</f>
        <v>0.9290183582</v>
      </c>
    </row>
    <row r="7857">
      <c r="A7857" s="6">
        <v>7855.0</v>
      </c>
      <c r="B7857" s="17">
        <f t="array" ref="B7857">SUM(1-'Sparkling Model'!D$2:D$38^A7857)</f>
        <v>36.92714413</v>
      </c>
      <c r="C7857" s="8">
        <f t="array" ref="C7857">PRODUCT(1-'Sparkling Model'!D$2:D$38^A7857)</f>
        <v>0.9290536284</v>
      </c>
    </row>
    <row r="7858">
      <c r="A7858" s="6">
        <v>7856.0</v>
      </c>
      <c r="B7858" s="17">
        <f t="array" ref="B7858">SUM(1-'Sparkling Model'!D$2:D$38^A7858)</f>
        <v>36.92718134</v>
      </c>
      <c r="C7858" s="8">
        <f t="array" ref="C7858">PRODUCT(1-'Sparkling Model'!D$2:D$38^A7858)</f>
        <v>0.9290888811</v>
      </c>
    </row>
    <row r="7859">
      <c r="A7859" s="6">
        <v>7857.0</v>
      </c>
      <c r="B7859" s="17">
        <f t="array" ref="B7859">SUM(1-'Sparkling Model'!D$2:D$38^A7859)</f>
        <v>36.92721854</v>
      </c>
      <c r="C7859" s="8">
        <f t="array" ref="C7859">PRODUCT(1-'Sparkling Model'!D$2:D$38^A7859)</f>
        <v>0.9291241163</v>
      </c>
    </row>
    <row r="7860">
      <c r="A7860" s="6">
        <v>7858.0</v>
      </c>
      <c r="B7860" s="17">
        <f t="array" ref="B7860">SUM(1-'Sparkling Model'!D$2:D$38^A7860)</f>
        <v>36.92725572</v>
      </c>
      <c r="C7860" s="8">
        <f t="array" ref="C7860">PRODUCT(1-'Sparkling Model'!D$2:D$38^A7860)</f>
        <v>0.9291593342</v>
      </c>
    </row>
    <row r="7861">
      <c r="A7861" s="6">
        <v>7859.0</v>
      </c>
      <c r="B7861" s="17">
        <f t="array" ref="B7861">SUM(1-'Sparkling Model'!D$2:D$38^A7861)</f>
        <v>36.92729287</v>
      </c>
      <c r="C7861" s="8">
        <f t="array" ref="C7861">PRODUCT(1-'Sparkling Model'!D$2:D$38^A7861)</f>
        <v>0.9291945345</v>
      </c>
    </row>
    <row r="7862">
      <c r="A7862" s="6">
        <v>7860.0</v>
      </c>
      <c r="B7862" s="17">
        <f t="array" ref="B7862">SUM(1-'Sparkling Model'!D$2:D$38^A7862)</f>
        <v>36.92733001</v>
      </c>
      <c r="C7862" s="8">
        <f t="array" ref="C7862">PRODUCT(1-'Sparkling Model'!D$2:D$38^A7862)</f>
        <v>0.9292297175</v>
      </c>
    </row>
    <row r="7863">
      <c r="A7863" s="6">
        <v>7861.0</v>
      </c>
      <c r="B7863" s="17">
        <f t="array" ref="B7863">SUM(1-'Sparkling Model'!D$2:D$38^A7863)</f>
        <v>36.92736713</v>
      </c>
      <c r="C7863" s="8">
        <f t="array" ref="C7863">PRODUCT(1-'Sparkling Model'!D$2:D$38^A7863)</f>
        <v>0.929264883</v>
      </c>
    </row>
    <row r="7864">
      <c r="A7864" s="6">
        <v>7862.0</v>
      </c>
      <c r="B7864" s="17">
        <f t="array" ref="B7864">SUM(1-'Sparkling Model'!D$2:D$38^A7864)</f>
        <v>36.92740423</v>
      </c>
      <c r="C7864" s="8">
        <f t="array" ref="C7864">PRODUCT(1-'Sparkling Model'!D$2:D$38^A7864)</f>
        <v>0.9293000312</v>
      </c>
    </row>
    <row r="7865">
      <c r="A7865" s="6">
        <v>7863.0</v>
      </c>
      <c r="B7865" s="17">
        <f t="array" ref="B7865">SUM(1-'Sparkling Model'!D$2:D$38^A7865)</f>
        <v>36.92744131</v>
      </c>
      <c r="C7865" s="8">
        <f t="array" ref="C7865">PRODUCT(1-'Sparkling Model'!D$2:D$38^A7865)</f>
        <v>0.9293351619</v>
      </c>
    </row>
    <row r="7866">
      <c r="A7866" s="6">
        <v>7864.0</v>
      </c>
      <c r="B7866" s="17">
        <f t="array" ref="B7866">SUM(1-'Sparkling Model'!D$2:D$38^A7866)</f>
        <v>36.92747837</v>
      </c>
      <c r="C7866" s="8">
        <f t="array" ref="C7866">PRODUCT(1-'Sparkling Model'!D$2:D$38^A7866)</f>
        <v>0.9293702752</v>
      </c>
    </row>
    <row r="7867">
      <c r="A7867" s="6">
        <v>7865.0</v>
      </c>
      <c r="B7867" s="17">
        <f t="array" ref="B7867">SUM(1-'Sparkling Model'!D$2:D$38^A7867)</f>
        <v>36.92751541</v>
      </c>
      <c r="C7867" s="8">
        <f t="array" ref="C7867">PRODUCT(1-'Sparkling Model'!D$2:D$38^A7867)</f>
        <v>0.9294053712</v>
      </c>
    </row>
    <row r="7868">
      <c r="A7868" s="6">
        <v>7866.0</v>
      </c>
      <c r="B7868" s="17">
        <f t="array" ref="B7868">SUM(1-'Sparkling Model'!D$2:D$38^A7868)</f>
        <v>36.92755243</v>
      </c>
      <c r="C7868" s="8">
        <f t="array" ref="C7868">PRODUCT(1-'Sparkling Model'!D$2:D$38^A7868)</f>
        <v>0.9294404497</v>
      </c>
    </row>
    <row r="7869">
      <c r="A7869" s="6">
        <v>7867.0</v>
      </c>
      <c r="B7869" s="17">
        <f t="array" ref="B7869">SUM(1-'Sparkling Model'!D$2:D$38^A7869)</f>
        <v>36.92758944</v>
      </c>
      <c r="C7869" s="8">
        <f t="array" ref="C7869">PRODUCT(1-'Sparkling Model'!D$2:D$38^A7869)</f>
        <v>0.9294755109</v>
      </c>
    </row>
    <row r="7870">
      <c r="A7870" s="6">
        <v>7868.0</v>
      </c>
      <c r="B7870" s="17">
        <f t="array" ref="B7870">SUM(1-'Sparkling Model'!D$2:D$38^A7870)</f>
        <v>36.92762642</v>
      </c>
      <c r="C7870" s="8">
        <f t="array" ref="C7870">PRODUCT(1-'Sparkling Model'!D$2:D$38^A7870)</f>
        <v>0.9295105548</v>
      </c>
    </row>
    <row r="7871">
      <c r="A7871" s="6">
        <v>7869.0</v>
      </c>
      <c r="B7871" s="17">
        <f t="array" ref="B7871">SUM(1-'Sparkling Model'!D$2:D$38^A7871)</f>
        <v>36.92766338</v>
      </c>
      <c r="C7871" s="8">
        <f t="array" ref="C7871">PRODUCT(1-'Sparkling Model'!D$2:D$38^A7871)</f>
        <v>0.9295455813</v>
      </c>
    </row>
    <row r="7872">
      <c r="A7872" s="6">
        <v>7870.0</v>
      </c>
      <c r="B7872" s="17">
        <f t="array" ref="B7872">SUM(1-'Sparkling Model'!D$2:D$38^A7872)</f>
        <v>36.92770033</v>
      </c>
      <c r="C7872" s="8">
        <f t="array" ref="C7872">PRODUCT(1-'Sparkling Model'!D$2:D$38^A7872)</f>
        <v>0.9295805904</v>
      </c>
    </row>
    <row r="7873">
      <c r="A7873" s="6">
        <v>7871.0</v>
      </c>
      <c r="B7873" s="17">
        <f t="array" ref="B7873">SUM(1-'Sparkling Model'!D$2:D$38^A7873)</f>
        <v>36.92773725</v>
      </c>
      <c r="C7873" s="8">
        <f t="array" ref="C7873">PRODUCT(1-'Sparkling Model'!D$2:D$38^A7873)</f>
        <v>0.9296155822</v>
      </c>
    </row>
    <row r="7874">
      <c r="A7874" s="6">
        <v>7872.0</v>
      </c>
      <c r="B7874" s="17">
        <f t="array" ref="B7874">SUM(1-'Sparkling Model'!D$2:D$38^A7874)</f>
        <v>36.92777416</v>
      </c>
      <c r="C7874" s="8">
        <f t="array" ref="C7874">PRODUCT(1-'Sparkling Model'!D$2:D$38^A7874)</f>
        <v>0.9296505567</v>
      </c>
    </row>
    <row r="7875">
      <c r="A7875" s="6">
        <v>7873.0</v>
      </c>
      <c r="B7875" s="17">
        <f t="array" ref="B7875">SUM(1-'Sparkling Model'!D$2:D$38^A7875)</f>
        <v>36.92781104</v>
      </c>
      <c r="C7875" s="8">
        <f t="array" ref="C7875">PRODUCT(1-'Sparkling Model'!D$2:D$38^A7875)</f>
        <v>0.9296855139</v>
      </c>
    </row>
    <row r="7876">
      <c r="A7876" s="6">
        <v>7874.0</v>
      </c>
      <c r="B7876" s="17">
        <f t="array" ref="B7876">SUM(1-'Sparkling Model'!D$2:D$38^A7876)</f>
        <v>36.92784791</v>
      </c>
      <c r="C7876" s="8">
        <f t="array" ref="C7876">PRODUCT(1-'Sparkling Model'!D$2:D$38^A7876)</f>
        <v>0.9297204537</v>
      </c>
    </row>
    <row r="7877">
      <c r="A7877" s="6">
        <v>7875.0</v>
      </c>
      <c r="B7877" s="17">
        <f t="array" ref="B7877">SUM(1-'Sparkling Model'!D$2:D$38^A7877)</f>
        <v>36.92788476</v>
      </c>
      <c r="C7877" s="8">
        <f t="array" ref="C7877">PRODUCT(1-'Sparkling Model'!D$2:D$38^A7877)</f>
        <v>0.9297553763</v>
      </c>
    </row>
    <row r="7878">
      <c r="A7878" s="6">
        <v>7876.0</v>
      </c>
      <c r="B7878" s="17">
        <f t="array" ref="B7878">SUM(1-'Sparkling Model'!D$2:D$38^A7878)</f>
        <v>36.92792158</v>
      </c>
      <c r="C7878" s="8">
        <f t="array" ref="C7878">PRODUCT(1-'Sparkling Model'!D$2:D$38^A7878)</f>
        <v>0.9297902815</v>
      </c>
    </row>
    <row r="7879">
      <c r="A7879" s="6">
        <v>7877.0</v>
      </c>
      <c r="B7879" s="17">
        <f t="array" ref="B7879">SUM(1-'Sparkling Model'!D$2:D$38^A7879)</f>
        <v>36.92795839</v>
      </c>
      <c r="C7879" s="8">
        <f t="array" ref="C7879">PRODUCT(1-'Sparkling Model'!D$2:D$38^A7879)</f>
        <v>0.9298251695</v>
      </c>
    </row>
    <row r="7880">
      <c r="A7880" s="6">
        <v>7878.0</v>
      </c>
      <c r="B7880" s="17">
        <f t="array" ref="B7880">SUM(1-'Sparkling Model'!D$2:D$38^A7880)</f>
        <v>36.92799518</v>
      </c>
      <c r="C7880" s="8">
        <f t="array" ref="C7880">PRODUCT(1-'Sparkling Model'!D$2:D$38^A7880)</f>
        <v>0.9298600402</v>
      </c>
    </row>
    <row r="7881">
      <c r="A7881" s="6">
        <v>7879.0</v>
      </c>
      <c r="B7881" s="17">
        <f t="array" ref="B7881">SUM(1-'Sparkling Model'!D$2:D$38^A7881)</f>
        <v>36.92803195</v>
      </c>
      <c r="C7881" s="8">
        <f t="array" ref="C7881">PRODUCT(1-'Sparkling Model'!D$2:D$38^A7881)</f>
        <v>0.9298948937</v>
      </c>
    </row>
    <row r="7882">
      <c r="A7882" s="6">
        <v>7880.0</v>
      </c>
      <c r="B7882" s="17">
        <f t="array" ref="B7882">SUM(1-'Sparkling Model'!D$2:D$38^A7882)</f>
        <v>36.9280687</v>
      </c>
      <c r="C7882" s="8">
        <f t="array" ref="C7882">PRODUCT(1-'Sparkling Model'!D$2:D$38^A7882)</f>
        <v>0.9299297298</v>
      </c>
    </row>
    <row r="7883">
      <c r="A7883" s="6">
        <v>7881.0</v>
      </c>
      <c r="B7883" s="17">
        <f t="array" ref="B7883">SUM(1-'Sparkling Model'!D$2:D$38^A7883)</f>
        <v>36.92810544</v>
      </c>
      <c r="C7883" s="8">
        <f t="array" ref="C7883">PRODUCT(1-'Sparkling Model'!D$2:D$38^A7883)</f>
        <v>0.9299645488</v>
      </c>
    </row>
    <row r="7884">
      <c r="A7884" s="6">
        <v>7882.0</v>
      </c>
      <c r="B7884" s="17">
        <f t="array" ref="B7884">SUM(1-'Sparkling Model'!D$2:D$38^A7884)</f>
        <v>36.92814215</v>
      </c>
      <c r="C7884" s="8">
        <f t="array" ref="C7884">PRODUCT(1-'Sparkling Model'!D$2:D$38^A7884)</f>
        <v>0.9299993505</v>
      </c>
    </row>
    <row r="7885">
      <c r="A7885" s="6">
        <v>7883.0</v>
      </c>
      <c r="B7885" s="17">
        <f t="array" ref="B7885">SUM(1-'Sparkling Model'!D$2:D$38^A7885)</f>
        <v>36.92817884</v>
      </c>
      <c r="C7885" s="8">
        <f t="array" ref="C7885">PRODUCT(1-'Sparkling Model'!D$2:D$38^A7885)</f>
        <v>0.9300341349</v>
      </c>
    </row>
    <row r="7886">
      <c r="A7886" s="6">
        <v>7884.0</v>
      </c>
      <c r="B7886" s="17">
        <f t="array" ref="B7886">SUM(1-'Sparkling Model'!D$2:D$38^A7886)</f>
        <v>36.92821552</v>
      </c>
      <c r="C7886" s="8">
        <f t="array" ref="C7886">PRODUCT(1-'Sparkling Model'!D$2:D$38^A7886)</f>
        <v>0.9300689021</v>
      </c>
    </row>
    <row r="7887">
      <c r="A7887" s="6">
        <v>7885.0</v>
      </c>
      <c r="B7887" s="17">
        <f t="array" ref="B7887">SUM(1-'Sparkling Model'!D$2:D$38^A7887)</f>
        <v>36.92825217</v>
      </c>
      <c r="C7887" s="8">
        <f t="array" ref="C7887">PRODUCT(1-'Sparkling Model'!D$2:D$38^A7887)</f>
        <v>0.9301036522</v>
      </c>
    </row>
    <row r="7888">
      <c r="A7888" s="6">
        <v>7886.0</v>
      </c>
      <c r="B7888" s="17">
        <f t="array" ref="B7888">SUM(1-'Sparkling Model'!D$2:D$38^A7888)</f>
        <v>36.92828881</v>
      </c>
      <c r="C7888" s="8">
        <f t="array" ref="C7888">PRODUCT(1-'Sparkling Model'!D$2:D$38^A7888)</f>
        <v>0.930138385</v>
      </c>
    </row>
    <row r="7889">
      <c r="A7889" s="6">
        <v>7887.0</v>
      </c>
      <c r="B7889" s="17">
        <f t="array" ref="B7889">SUM(1-'Sparkling Model'!D$2:D$38^A7889)</f>
        <v>36.92832542</v>
      </c>
      <c r="C7889" s="8">
        <f t="array" ref="C7889">PRODUCT(1-'Sparkling Model'!D$2:D$38^A7889)</f>
        <v>0.9301731006</v>
      </c>
    </row>
    <row r="7890">
      <c r="A7890" s="6">
        <v>7888.0</v>
      </c>
      <c r="B7890" s="17">
        <f t="array" ref="B7890">SUM(1-'Sparkling Model'!D$2:D$38^A7890)</f>
        <v>36.92836202</v>
      </c>
      <c r="C7890" s="8">
        <f t="array" ref="C7890">PRODUCT(1-'Sparkling Model'!D$2:D$38^A7890)</f>
        <v>0.930207799</v>
      </c>
    </row>
    <row r="7891">
      <c r="A7891" s="6">
        <v>7889.0</v>
      </c>
      <c r="B7891" s="17">
        <f t="array" ref="B7891">SUM(1-'Sparkling Model'!D$2:D$38^A7891)</f>
        <v>36.9283986</v>
      </c>
      <c r="C7891" s="8">
        <f t="array" ref="C7891">PRODUCT(1-'Sparkling Model'!D$2:D$38^A7891)</f>
        <v>0.9302424802</v>
      </c>
    </row>
    <row r="7892">
      <c r="A7892" s="6">
        <v>7890.0</v>
      </c>
      <c r="B7892" s="17">
        <f t="array" ref="B7892">SUM(1-'Sparkling Model'!D$2:D$38^A7892)</f>
        <v>36.92843516</v>
      </c>
      <c r="C7892" s="8">
        <f t="array" ref="C7892">PRODUCT(1-'Sparkling Model'!D$2:D$38^A7892)</f>
        <v>0.9302771443</v>
      </c>
    </row>
    <row r="7893">
      <c r="A7893" s="6">
        <v>7891.0</v>
      </c>
      <c r="B7893" s="17">
        <f t="array" ref="B7893">SUM(1-'Sparkling Model'!D$2:D$38^A7893)</f>
        <v>36.9284717</v>
      </c>
      <c r="C7893" s="8">
        <f t="array" ref="C7893">PRODUCT(1-'Sparkling Model'!D$2:D$38^A7893)</f>
        <v>0.9303117912</v>
      </c>
    </row>
    <row r="7894">
      <c r="A7894" s="6">
        <v>7892.0</v>
      </c>
      <c r="B7894" s="17">
        <f t="array" ref="B7894">SUM(1-'Sparkling Model'!D$2:D$38^A7894)</f>
        <v>36.92850822</v>
      </c>
      <c r="C7894" s="8">
        <f t="array" ref="C7894">PRODUCT(1-'Sparkling Model'!D$2:D$38^A7894)</f>
        <v>0.9303464209</v>
      </c>
    </row>
    <row r="7895">
      <c r="A7895" s="6">
        <v>7893.0</v>
      </c>
      <c r="B7895" s="17">
        <f t="array" ref="B7895">SUM(1-'Sparkling Model'!D$2:D$38^A7895)</f>
        <v>36.92854472</v>
      </c>
      <c r="C7895" s="8">
        <f t="array" ref="C7895">PRODUCT(1-'Sparkling Model'!D$2:D$38^A7895)</f>
        <v>0.9303810335</v>
      </c>
    </row>
    <row r="7896">
      <c r="A7896" s="6">
        <v>7894.0</v>
      </c>
      <c r="B7896" s="17">
        <f t="array" ref="B7896">SUM(1-'Sparkling Model'!D$2:D$38^A7896)</f>
        <v>36.9285812</v>
      </c>
      <c r="C7896" s="8">
        <f t="array" ref="C7896">PRODUCT(1-'Sparkling Model'!D$2:D$38^A7896)</f>
        <v>0.930415629</v>
      </c>
    </row>
    <row r="7897">
      <c r="A7897" s="6">
        <v>7895.0</v>
      </c>
      <c r="B7897" s="17">
        <f t="array" ref="B7897">SUM(1-'Sparkling Model'!D$2:D$38^A7897)</f>
        <v>36.92861767</v>
      </c>
      <c r="C7897" s="8">
        <f t="array" ref="C7897">PRODUCT(1-'Sparkling Model'!D$2:D$38^A7897)</f>
        <v>0.9304502073</v>
      </c>
    </row>
    <row r="7898">
      <c r="A7898" s="6">
        <v>7896.0</v>
      </c>
      <c r="B7898" s="17">
        <f t="array" ref="B7898">SUM(1-'Sparkling Model'!D$2:D$38^A7898)</f>
        <v>36.92865411</v>
      </c>
      <c r="C7898" s="8">
        <f t="array" ref="C7898">PRODUCT(1-'Sparkling Model'!D$2:D$38^A7898)</f>
        <v>0.9304847685</v>
      </c>
    </row>
    <row r="7899">
      <c r="A7899" s="6">
        <v>7897.0</v>
      </c>
      <c r="B7899" s="17">
        <f t="array" ref="B7899">SUM(1-'Sparkling Model'!D$2:D$38^A7899)</f>
        <v>36.92869054</v>
      </c>
      <c r="C7899" s="8">
        <f t="array" ref="C7899">PRODUCT(1-'Sparkling Model'!D$2:D$38^A7899)</f>
        <v>0.9305193125</v>
      </c>
    </row>
    <row r="7900">
      <c r="A7900" s="6">
        <v>7898.0</v>
      </c>
      <c r="B7900" s="17">
        <f t="array" ref="B7900">SUM(1-'Sparkling Model'!D$2:D$38^A7900)</f>
        <v>36.92872694</v>
      </c>
      <c r="C7900" s="8">
        <f t="array" ref="C7900">PRODUCT(1-'Sparkling Model'!D$2:D$38^A7900)</f>
        <v>0.9305538395</v>
      </c>
    </row>
    <row r="7901">
      <c r="A7901" s="6">
        <v>7899.0</v>
      </c>
      <c r="B7901" s="17">
        <f t="array" ref="B7901">SUM(1-'Sparkling Model'!D$2:D$38^A7901)</f>
        <v>36.92876333</v>
      </c>
      <c r="C7901" s="8">
        <f t="array" ref="C7901">PRODUCT(1-'Sparkling Model'!D$2:D$38^A7901)</f>
        <v>0.9305883494</v>
      </c>
    </row>
    <row r="7902">
      <c r="A7902" s="6">
        <v>7900.0</v>
      </c>
      <c r="B7902" s="17">
        <f t="array" ref="B7902">SUM(1-'Sparkling Model'!D$2:D$38^A7902)</f>
        <v>36.9287997</v>
      </c>
      <c r="C7902" s="8">
        <f t="array" ref="C7902">PRODUCT(1-'Sparkling Model'!D$2:D$38^A7902)</f>
        <v>0.9306228422</v>
      </c>
    </row>
    <row r="7903">
      <c r="A7903" s="6">
        <v>7901.0</v>
      </c>
      <c r="B7903" s="17">
        <f t="array" ref="B7903">SUM(1-'Sparkling Model'!D$2:D$38^A7903)</f>
        <v>36.92883605</v>
      </c>
      <c r="C7903" s="8">
        <f t="array" ref="C7903">PRODUCT(1-'Sparkling Model'!D$2:D$38^A7903)</f>
        <v>0.9306573179</v>
      </c>
    </row>
    <row r="7904">
      <c r="A7904" s="6">
        <v>7902.0</v>
      </c>
      <c r="B7904" s="17">
        <f t="array" ref="B7904">SUM(1-'Sparkling Model'!D$2:D$38^A7904)</f>
        <v>36.92887238</v>
      </c>
      <c r="C7904" s="8">
        <f t="array" ref="C7904">PRODUCT(1-'Sparkling Model'!D$2:D$38^A7904)</f>
        <v>0.9306917765</v>
      </c>
    </row>
    <row r="7905">
      <c r="A7905" s="6">
        <v>7903.0</v>
      </c>
      <c r="B7905" s="17">
        <f t="array" ref="B7905">SUM(1-'Sparkling Model'!D$2:D$38^A7905)</f>
        <v>36.92890869</v>
      </c>
      <c r="C7905" s="8">
        <f t="array" ref="C7905">PRODUCT(1-'Sparkling Model'!D$2:D$38^A7905)</f>
        <v>0.930726218</v>
      </c>
    </row>
    <row r="7906">
      <c r="A7906" s="6">
        <v>7904.0</v>
      </c>
      <c r="B7906" s="17">
        <f t="array" ref="B7906">SUM(1-'Sparkling Model'!D$2:D$38^A7906)</f>
        <v>36.92894498</v>
      </c>
      <c r="C7906" s="8">
        <f t="array" ref="C7906">PRODUCT(1-'Sparkling Model'!D$2:D$38^A7906)</f>
        <v>0.9307606425</v>
      </c>
    </row>
    <row r="7907">
      <c r="A7907" s="6">
        <v>7905.0</v>
      </c>
      <c r="B7907" s="17">
        <f t="array" ref="B7907">SUM(1-'Sparkling Model'!D$2:D$38^A7907)</f>
        <v>36.92898125</v>
      </c>
      <c r="C7907" s="8">
        <f t="array" ref="C7907">PRODUCT(1-'Sparkling Model'!D$2:D$38^A7907)</f>
        <v>0.93079505</v>
      </c>
    </row>
    <row r="7908">
      <c r="A7908" s="6">
        <v>7906.0</v>
      </c>
      <c r="B7908" s="17">
        <f t="array" ref="B7908">SUM(1-'Sparkling Model'!D$2:D$38^A7908)</f>
        <v>36.92901751</v>
      </c>
      <c r="C7908" s="8">
        <f t="array" ref="C7908">PRODUCT(1-'Sparkling Model'!D$2:D$38^A7908)</f>
        <v>0.9308294404</v>
      </c>
    </row>
    <row r="7909">
      <c r="A7909" s="6">
        <v>7907.0</v>
      </c>
      <c r="B7909" s="17">
        <f t="array" ref="B7909">SUM(1-'Sparkling Model'!D$2:D$38^A7909)</f>
        <v>36.92905374</v>
      </c>
      <c r="C7909" s="8">
        <f t="array" ref="C7909">PRODUCT(1-'Sparkling Model'!D$2:D$38^A7909)</f>
        <v>0.9308638138</v>
      </c>
    </row>
    <row r="7910">
      <c r="A7910" s="6">
        <v>7908.0</v>
      </c>
      <c r="B7910" s="17">
        <f t="array" ref="B7910">SUM(1-'Sparkling Model'!D$2:D$38^A7910)</f>
        <v>36.92908996</v>
      </c>
      <c r="C7910" s="8">
        <f t="array" ref="C7910">PRODUCT(1-'Sparkling Model'!D$2:D$38^A7910)</f>
        <v>0.9308981701</v>
      </c>
    </row>
    <row r="7911">
      <c r="A7911" s="6">
        <v>7909.0</v>
      </c>
      <c r="B7911" s="17">
        <f t="array" ref="B7911">SUM(1-'Sparkling Model'!D$2:D$38^A7911)</f>
        <v>36.92912616</v>
      </c>
      <c r="C7911" s="8">
        <f t="array" ref="C7911">PRODUCT(1-'Sparkling Model'!D$2:D$38^A7911)</f>
        <v>0.9309325095</v>
      </c>
    </row>
    <row r="7912">
      <c r="A7912" s="6">
        <v>7910.0</v>
      </c>
      <c r="B7912" s="17">
        <f t="array" ref="B7912">SUM(1-'Sparkling Model'!D$2:D$38^A7912)</f>
        <v>36.92916234</v>
      </c>
      <c r="C7912" s="8">
        <f t="array" ref="C7912">PRODUCT(1-'Sparkling Model'!D$2:D$38^A7912)</f>
        <v>0.9309668318</v>
      </c>
    </row>
    <row r="7913">
      <c r="A7913" s="6">
        <v>7911.0</v>
      </c>
      <c r="B7913" s="17">
        <f t="array" ref="B7913">SUM(1-'Sparkling Model'!D$2:D$38^A7913)</f>
        <v>36.9291985</v>
      </c>
      <c r="C7913" s="8">
        <f t="array" ref="C7913">PRODUCT(1-'Sparkling Model'!D$2:D$38^A7913)</f>
        <v>0.9310011372</v>
      </c>
    </row>
    <row r="7914">
      <c r="A7914" s="6">
        <v>7912.0</v>
      </c>
      <c r="B7914" s="17">
        <f t="array" ref="B7914">SUM(1-'Sparkling Model'!D$2:D$38^A7914)</f>
        <v>36.92923464</v>
      </c>
      <c r="C7914" s="8">
        <f t="array" ref="C7914">PRODUCT(1-'Sparkling Model'!D$2:D$38^A7914)</f>
        <v>0.9310354255</v>
      </c>
    </row>
    <row r="7915">
      <c r="A7915" s="6">
        <v>7913.0</v>
      </c>
      <c r="B7915" s="17">
        <f t="array" ref="B7915">SUM(1-'Sparkling Model'!D$2:D$38^A7915)</f>
        <v>36.92927076</v>
      </c>
      <c r="C7915" s="8">
        <f t="array" ref="C7915">PRODUCT(1-'Sparkling Model'!D$2:D$38^A7915)</f>
        <v>0.9310696969</v>
      </c>
    </row>
    <row r="7916">
      <c r="A7916" s="6">
        <v>7914.0</v>
      </c>
      <c r="B7916" s="17">
        <f t="array" ref="B7916">SUM(1-'Sparkling Model'!D$2:D$38^A7916)</f>
        <v>36.92930686</v>
      </c>
      <c r="C7916" s="8">
        <f t="array" ref="C7916">PRODUCT(1-'Sparkling Model'!D$2:D$38^A7916)</f>
        <v>0.9311039513</v>
      </c>
    </row>
    <row r="7917">
      <c r="A7917" s="6">
        <v>7915.0</v>
      </c>
      <c r="B7917" s="17">
        <f t="array" ref="B7917">SUM(1-'Sparkling Model'!D$2:D$38^A7917)</f>
        <v>36.92934294</v>
      </c>
      <c r="C7917" s="8">
        <f t="array" ref="C7917">PRODUCT(1-'Sparkling Model'!D$2:D$38^A7917)</f>
        <v>0.9311381887</v>
      </c>
    </row>
    <row r="7918">
      <c r="A7918" s="6">
        <v>7916.0</v>
      </c>
      <c r="B7918" s="17">
        <f t="array" ref="B7918">SUM(1-'Sparkling Model'!D$2:D$38^A7918)</f>
        <v>36.92937901</v>
      </c>
      <c r="C7918" s="8">
        <f t="array" ref="C7918">PRODUCT(1-'Sparkling Model'!D$2:D$38^A7918)</f>
        <v>0.9311724091</v>
      </c>
    </row>
    <row r="7919">
      <c r="A7919" s="6">
        <v>7917.0</v>
      </c>
      <c r="B7919" s="17">
        <f t="array" ref="B7919">SUM(1-'Sparkling Model'!D$2:D$38^A7919)</f>
        <v>36.92941506</v>
      </c>
      <c r="C7919" s="8">
        <f t="array" ref="C7919">PRODUCT(1-'Sparkling Model'!D$2:D$38^A7919)</f>
        <v>0.9312066127</v>
      </c>
    </row>
    <row r="7920">
      <c r="A7920" s="6">
        <v>7918.0</v>
      </c>
      <c r="B7920" s="17">
        <f t="array" ref="B7920">SUM(1-'Sparkling Model'!D$2:D$38^A7920)</f>
        <v>36.92945108</v>
      </c>
      <c r="C7920" s="8">
        <f t="array" ref="C7920">PRODUCT(1-'Sparkling Model'!D$2:D$38^A7920)</f>
        <v>0.9312407992</v>
      </c>
    </row>
    <row r="7921">
      <c r="A7921" s="6">
        <v>7919.0</v>
      </c>
      <c r="B7921" s="17">
        <f t="array" ref="B7921">SUM(1-'Sparkling Model'!D$2:D$38^A7921)</f>
        <v>36.92948709</v>
      </c>
      <c r="C7921" s="8">
        <f t="array" ref="C7921">PRODUCT(1-'Sparkling Model'!D$2:D$38^A7921)</f>
        <v>0.9312749689</v>
      </c>
    </row>
    <row r="7922">
      <c r="A7922" s="6">
        <v>7920.0</v>
      </c>
      <c r="B7922" s="17">
        <f t="array" ref="B7922">SUM(1-'Sparkling Model'!D$2:D$38^A7922)</f>
        <v>36.92952308</v>
      </c>
      <c r="C7922" s="8">
        <f t="array" ref="C7922">PRODUCT(1-'Sparkling Model'!D$2:D$38^A7922)</f>
        <v>0.9313091216</v>
      </c>
    </row>
    <row r="7923">
      <c r="A7923" s="6">
        <v>7921.0</v>
      </c>
      <c r="B7923" s="17">
        <f t="array" ref="B7923">SUM(1-'Sparkling Model'!D$2:D$38^A7923)</f>
        <v>36.92955905</v>
      </c>
      <c r="C7923" s="8">
        <f t="array" ref="C7923">PRODUCT(1-'Sparkling Model'!D$2:D$38^A7923)</f>
        <v>0.9313432574</v>
      </c>
    </row>
    <row r="7924">
      <c r="A7924" s="6">
        <v>7922.0</v>
      </c>
      <c r="B7924" s="17">
        <f t="array" ref="B7924">SUM(1-'Sparkling Model'!D$2:D$38^A7924)</f>
        <v>36.929595</v>
      </c>
      <c r="C7924" s="8">
        <f t="array" ref="C7924">PRODUCT(1-'Sparkling Model'!D$2:D$38^A7924)</f>
        <v>0.9313773763</v>
      </c>
    </row>
    <row r="7925">
      <c r="A7925" s="6">
        <v>7923.0</v>
      </c>
      <c r="B7925" s="17">
        <f t="array" ref="B7925">SUM(1-'Sparkling Model'!D$2:D$38^A7925)</f>
        <v>36.92963094</v>
      </c>
      <c r="C7925" s="8">
        <f t="array" ref="C7925">PRODUCT(1-'Sparkling Model'!D$2:D$38^A7925)</f>
        <v>0.9314114783</v>
      </c>
    </row>
    <row r="7926">
      <c r="A7926" s="6">
        <v>7924.0</v>
      </c>
      <c r="B7926" s="17">
        <f t="array" ref="B7926">SUM(1-'Sparkling Model'!D$2:D$38^A7926)</f>
        <v>36.92966685</v>
      </c>
      <c r="C7926" s="8">
        <f t="array" ref="C7926">PRODUCT(1-'Sparkling Model'!D$2:D$38^A7926)</f>
        <v>0.9314455634</v>
      </c>
    </row>
    <row r="7927">
      <c r="A7927" s="6">
        <v>7925.0</v>
      </c>
      <c r="B7927" s="17">
        <f t="array" ref="B7927">SUM(1-'Sparkling Model'!D$2:D$38^A7927)</f>
        <v>36.92970275</v>
      </c>
      <c r="C7927" s="8">
        <f t="array" ref="C7927">PRODUCT(1-'Sparkling Model'!D$2:D$38^A7927)</f>
        <v>0.9314796316</v>
      </c>
    </row>
    <row r="7928">
      <c r="A7928" s="6">
        <v>7926.0</v>
      </c>
      <c r="B7928" s="17">
        <f t="array" ref="B7928">SUM(1-'Sparkling Model'!D$2:D$38^A7928)</f>
        <v>36.92973862</v>
      </c>
      <c r="C7928" s="8">
        <f t="array" ref="C7928">PRODUCT(1-'Sparkling Model'!D$2:D$38^A7928)</f>
        <v>0.931513683</v>
      </c>
    </row>
    <row r="7929">
      <c r="A7929" s="6">
        <v>7927.0</v>
      </c>
      <c r="B7929" s="17">
        <f t="array" ref="B7929">SUM(1-'Sparkling Model'!D$2:D$38^A7929)</f>
        <v>36.92977448</v>
      </c>
      <c r="C7929" s="8">
        <f t="array" ref="C7929">PRODUCT(1-'Sparkling Model'!D$2:D$38^A7929)</f>
        <v>0.9315477175</v>
      </c>
    </row>
    <row r="7930">
      <c r="A7930" s="6">
        <v>7928.0</v>
      </c>
      <c r="B7930" s="17">
        <f t="array" ref="B7930">SUM(1-'Sparkling Model'!D$2:D$38^A7930)</f>
        <v>36.92981032</v>
      </c>
      <c r="C7930" s="8">
        <f t="array" ref="C7930">PRODUCT(1-'Sparkling Model'!D$2:D$38^A7930)</f>
        <v>0.9315817351</v>
      </c>
    </row>
    <row r="7931">
      <c r="A7931" s="6">
        <v>7929.0</v>
      </c>
      <c r="B7931" s="17">
        <f t="array" ref="B7931">SUM(1-'Sparkling Model'!D$2:D$38^A7931)</f>
        <v>36.92984614</v>
      </c>
      <c r="C7931" s="8">
        <f t="array" ref="C7931">PRODUCT(1-'Sparkling Model'!D$2:D$38^A7931)</f>
        <v>0.9316157359</v>
      </c>
    </row>
    <row r="7932">
      <c r="A7932" s="6">
        <v>7930.0</v>
      </c>
      <c r="B7932" s="17">
        <f t="array" ref="B7932">SUM(1-'Sparkling Model'!D$2:D$38^A7932)</f>
        <v>36.92988194</v>
      </c>
      <c r="C7932" s="8">
        <f t="array" ref="C7932">PRODUCT(1-'Sparkling Model'!D$2:D$38^A7932)</f>
        <v>0.9316497198</v>
      </c>
    </row>
    <row r="7933">
      <c r="A7933" s="6">
        <v>7931.0</v>
      </c>
      <c r="B7933" s="17">
        <f t="array" ref="B7933">SUM(1-'Sparkling Model'!D$2:D$38^A7933)</f>
        <v>36.92991773</v>
      </c>
      <c r="C7933" s="8">
        <f t="array" ref="C7933">PRODUCT(1-'Sparkling Model'!D$2:D$38^A7933)</f>
        <v>0.9316836869</v>
      </c>
    </row>
    <row r="7934">
      <c r="A7934" s="6">
        <v>7932.0</v>
      </c>
      <c r="B7934" s="17">
        <f t="array" ref="B7934">SUM(1-'Sparkling Model'!D$2:D$38^A7934)</f>
        <v>36.92995349</v>
      </c>
      <c r="C7934" s="8">
        <f t="array" ref="C7934">PRODUCT(1-'Sparkling Model'!D$2:D$38^A7934)</f>
        <v>0.9317176372</v>
      </c>
    </row>
    <row r="7935">
      <c r="A7935" s="6">
        <v>7933.0</v>
      </c>
      <c r="B7935" s="17">
        <f t="array" ref="B7935">SUM(1-'Sparkling Model'!D$2:D$38^A7935)</f>
        <v>36.92998924</v>
      </c>
      <c r="C7935" s="8">
        <f t="array" ref="C7935">PRODUCT(1-'Sparkling Model'!D$2:D$38^A7935)</f>
        <v>0.9317515706</v>
      </c>
    </row>
    <row r="7936">
      <c r="A7936" s="6">
        <v>7934.0</v>
      </c>
      <c r="B7936" s="17">
        <f t="array" ref="B7936">SUM(1-'Sparkling Model'!D$2:D$38^A7936)</f>
        <v>36.93002496</v>
      </c>
      <c r="C7936" s="8">
        <f t="array" ref="C7936">PRODUCT(1-'Sparkling Model'!D$2:D$38^A7936)</f>
        <v>0.9317854873</v>
      </c>
    </row>
    <row r="7937">
      <c r="A7937" s="6">
        <v>7935.0</v>
      </c>
      <c r="B7937" s="17">
        <f t="array" ref="B7937">SUM(1-'Sparkling Model'!D$2:D$38^A7937)</f>
        <v>36.93006067</v>
      </c>
      <c r="C7937" s="8">
        <f t="array" ref="C7937">PRODUCT(1-'Sparkling Model'!D$2:D$38^A7937)</f>
        <v>0.9318193871</v>
      </c>
    </row>
    <row r="7938">
      <c r="A7938" s="6">
        <v>7936.0</v>
      </c>
      <c r="B7938" s="17">
        <f t="array" ref="B7938">SUM(1-'Sparkling Model'!D$2:D$38^A7938)</f>
        <v>36.93009636</v>
      </c>
      <c r="C7938" s="8">
        <f t="array" ref="C7938">PRODUCT(1-'Sparkling Model'!D$2:D$38^A7938)</f>
        <v>0.9318532702</v>
      </c>
    </row>
    <row r="7939">
      <c r="A7939" s="6">
        <v>7937.0</v>
      </c>
      <c r="B7939" s="17">
        <f t="array" ref="B7939">SUM(1-'Sparkling Model'!D$2:D$38^A7939)</f>
        <v>36.93013203</v>
      </c>
      <c r="C7939" s="8">
        <f t="array" ref="C7939">PRODUCT(1-'Sparkling Model'!D$2:D$38^A7939)</f>
        <v>0.9318871365</v>
      </c>
    </row>
    <row r="7940">
      <c r="A7940" s="6">
        <v>7938.0</v>
      </c>
      <c r="B7940" s="17">
        <f t="array" ref="B7940">SUM(1-'Sparkling Model'!D$2:D$38^A7940)</f>
        <v>36.93016768</v>
      </c>
      <c r="C7940" s="8">
        <f t="array" ref="C7940">PRODUCT(1-'Sparkling Model'!D$2:D$38^A7940)</f>
        <v>0.931920986</v>
      </c>
    </row>
    <row r="7941">
      <c r="A7941" s="6">
        <v>7939.0</v>
      </c>
      <c r="B7941" s="17">
        <f t="array" ref="B7941">SUM(1-'Sparkling Model'!D$2:D$38^A7941)</f>
        <v>36.93020332</v>
      </c>
      <c r="C7941" s="8">
        <f t="array" ref="C7941">PRODUCT(1-'Sparkling Model'!D$2:D$38^A7941)</f>
        <v>0.9319548187</v>
      </c>
    </row>
    <row r="7942">
      <c r="A7942" s="6">
        <v>7940.0</v>
      </c>
      <c r="B7942" s="17">
        <f t="array" ref="B7942">SUM(1-'Sparkling Model'!D$2:D$38^A7942)</f>
        <v>36.93023893</v>
      </c>
      <c r="C7942" s="8">
        <f t="array" ref="C7942">PRODUCT(1-'Sparkling Model'!D$2:D$38^A7942)</f>
        <v>0.9319886347</v>
      </c>
    </row>
    <row r="7943">
      <c r="A7943" s="6">
        <v>7941.0</v>
      </c>
      <c r="B7943" s="17">
        <f t="array" ref="B7943">SUM(1-'Sparkling Model'!D$2:D$38^A7943)</f>
        <v>36.93027453</v>
      </c>
      <c r="C7943" s="8">
        <f t="array" ref="C7943">PRODUCT(1-'Sparkling Model'!D$2:D$38^A7943)</f>
        <v>0.9320224339</v>
      </c>
    </row>
    <row r="7944">
      <c r="A7944" s="6">
        <v>7942.0</v>
      </c>
      <c r="B7944" s="17">
        <f t="array" ref="B7944">SUM(1-'Sparkling Model'!D$2:D$38^A7944)</f>
        <v>36.93031011</v>
      </c>
      <c r="C7944" s="8">
        <f t="array" ref="C7944">PRODUCT(1-'Sparkling Model'!D$2:D$38^A7944)</f>
        <v>0.9320562164</v>
      </c>
    </row>
    <row r="7945">
      <c r="A7945" s="6">
        <v>7943.0</v>
      </c>
      <c r="B7945" s="17">
        <f t="array" ref="B7945">SUM(1-'Sparkling Model'!D$2:D$38^A7945)</f>
        <v>36.93034567</v>
      </c>
      <c r="C7945" s="8">
        <f t="array" ref="C7945">PRODUCT(1-'Sparkling Model'!D$2:D$38^A7945)</f>
        <v>0.9320899821</v>
      </c>
    </row>
    <row r="7946">
      <c r="A7946" s="6">
        <v>7944.0</v>
      </c>
      <c r="B7946" s="17">
        <f t="array" ref="B7946">SUM(1-'Sparkling Model'!D$2:D$38^A7946)</f>
        <v>36.93038121</v>
      </c>
      <c r="C7946" s="8">
        <f t="array" ref="C7946">PRODUCT(1-'Sparkling Model'!D$2:D$38^A7946)</f>
        <v>0.9321237311</v>
      </c>
    </row>
    <row r="7947">
      <c r="A7947" s="6">
        <v>7945.0</v>
      </c>
      <c r="B7947" s="17">
        <f t="array" ref="B7947">SUM(1-'Sparkling Model'!D$2:D$38^A7947)</f>
        <v>36.93041673</v>
      </c>
      <c r="C7947" s="8">
        <f t="array" ref="C7947">PRODUCT(1-'Sparkling Model'!D$2:D$38^A7947)</f>
        <v>0.9321574634</v>
      </c>
    </row>
    <row r="7948">
      <c r="A7948" s="6">
        <v>7946.0</v>
      </c>
      <c r="B7948" s="17">
        <f t="array" ref="B7948">SUM(1-'Sparkling Model'!D$2:D$38^A7948)</f>
        <v>36.93045223</v>
      </c>
      <c r="C7948" s="8">
        <f t="array" ref="C7948">PRODUCT(1-'Sparkling Model'!D$2:D$38^A7948)</f>
        <v>0.932191179</v>
      </c>
    </row>
    <row r="7949">
      <c r="A7949" s="6">
        <v>7947.0</v>
      </c>
      <c r="B7949" s="17">
        <f t="array" ref="B7949">SUM(1-'Sparkling Model'!D$2:D$38^A7949)</f>
        <v>36.93048772</v>
      </c>
      <c r="C7949" s="8">
        <f t="array" ref="C7949">PRODUCT(1-'Sparkling Model'!D$2:D$38^A7949)</f>
        <v>0.9322248779</v>
      </c>
    </row>
    <row r="7950">
      <c r="A7950" s="6">
        <v>7948.0</v>
      </c>
      <c r="B7950" s="17">
        <f t="array" ref="B7950">SUM(1-'Sparkling Model'!D$2:D$38^A7950)</f>
        <v>36.93052318</v>
      </c>
      <c r="C7950" s="8">
        <f t="array" ref="C7950">PRODUCT(1-'Sparkling Model'!D$2:D$38^A7950)</f>
        <v>0.9322585601</v>
      </c>
    </row>
    <row r="7951">
      <c r="A7951" s="6">
        <v>7949.0</v>
      </c>
      <c r="B7951" s="17">
        <f t="array" ref="B7951">SUM(1-'Sparkling Model'!D$2:D$38^A7951)</f>
        <v>36.93055863</v>
      </c>
      <c r="C7951" s="8">
        <f t="array" ref="C7951">PRODUCT(1-'Sparkling Model'!D$2:D$38^A7951)</f>
        <v>0.9322922256</v>
      </c>
    </row>
    <row r="7952">
      <c r="A7952" s="6">
        <v>7950.0</v>
      </c>
      <c r="B7952" s="17">
        <f t="array" ref="B7952">SUM(1-'Sparkling Model'!D$2:D$38^A7952)</f>
        <v>36.93059406</v>
      </c>
      <c r="C7952" s="8">
        <f t="array" ref="C7952">PRODUCT(1-'Sparkling Model'!D$2:D$38^A7952)</f>
        <v>0.9323258745</v>
      </c>
    </row>
    <row r="7953">
      <c r="A7953" s="6">
        <v>7951.0</v>
      </c>
      <c r="B7953" s="17">
        <f t="array" ref="B7953">SUM(1-'Sparkling Model'!D$2:D$38^A7953)</f>
        <v>36.93062947</v>
      </c>
      <c r="C7953" s="8">
        <f t="array" ref="C7953">PRODUCT(1-'Sparkling Model'!D$2:D$38^A7953)</f>
        <v>0.9323595066</v>
      </c>
    </row>
    <row r="7954">
      <c r="A7954" s="6">
        <v>7952.0</v>
      </c>
      <c r="B7954" s="17">
        <f t="array" ref="B7954">SUM(1-'Sparkling Model'!D$2:D$38^A7954)</f>
        <v>36.93066486</v>
      </c>
      <c r="C7954" s="8">
        <f t="array" ref="C7954">PRODUCT(1-'Sparkling Model'!D$2:D$38^A7954)</f>
        <v>0.9323931221</v>
      </c>
    </row>
    <row r="7955">
      <c r="A7955" s="6">
        <v>7953.0</v>
      </c>
      <c r="B7955" s="17">
        <f t="array" ref="B7955">SUM(1-'Sparkling Model'!D$2:D$38^A7955)</f>
        <v>36.93070024</v>
      </c>
      <c r="C7955" s="8">
        <f t="array" ref="C7955">PRODUCT(1-'Sparkling Model'!D$2:D$38^A7955)</f>
        <v>0.932426721</v>
      </c>
    </row>
    <row r="7956">
      <c r="A7956" s="6">
        <v>7954.0</v>
      </c>
      <c r="B7956" s="17">
        <f t="array" ref="B7956">SUM(1-'Sparkling Model'!D$2:D$38^A7956)</f>
        <v>36.93073559</v>
      </c>
      <c r="C7956" s="8">
        <f t="array" ref="C7956">PRODUCT(1-'Sparkling Model'!D$2:D$38^A7956)</f>
        <v>0.9324603032</v>
      </c>
    </row>
    <row r="7957">
      <c r="A7957" s="6">
        <v>7955.0</v>
      </c>
      <c r="B7957" s="17">
        <f t="array" ref="B7957">SUM(1-'Sparkling Model'!D$2:D$38^A7957)</f>
        <v>36.93077093</v>
      </c>
      <c r="C7957" s="8">
        <f t="array" ref="C7957">PRODUCT(1-'Sparkling Model'!D$2:D$38^A7957)</f>
        <v>0.9324938687</v>
      </c>
    </row>
    <row r="7958">
      <c r="A7958" s="6">
        <v>7956.0</v>
      </c>
      <c r="B7958" s="17">
        <f t="array" ref="B7958">SUM(1-'Sparkling Model'!D$2:D$38^A7958)</f>
        <v>36.93080625</v>
      </c>
      <c r="C7958" s="8">
        <f t="array" ref="C7958">PRODUCT(1-'Sparkling Model'!D$2:D$38^A7958)</f>
        <v>0.9325274177</v>
      </c>
    </row>
    <row r="7959">
      <c r="A7959" s="6">
        <v>7957.0</v>
      </c>
      <c r="B7959" s="17">
        <f t="array" ref="B7959">SUM(1-'Sparkling Model'!D$2:D$38^A7959)</f>
        <v>36.93084155</v>
      </c>
      <c r="C7959" s="8">
        <f t="array" ref="C7959">PRODUCT(1-'Sparkling Model'!D$2:D$38^A7959)</f>
        <v>0.93256095</v>
      </c>
    </row>
    <row r="7960">
      <c r="A7960" s="6">
        <v>7958.0</v>
      </c>
      <c r="B7960" s="17">
        <f t="array" ref="B7960">SUM(1-'Sparkling Model'!D$2:D$38^A7960)</f>
        <v>36.93087683</v>
      </c>
      <c r="C7960" s="8">
        <f t="array" ref="C7960">PRODUCT(1-'Sparkling Model'!D$2:D$38^A7960)</f>
        <v>0.9325944657</v>
      </c>
    </row>
    <row r="7961">
      <c r="A7961" s="6">
        <v>7959.0</v>
      </c>
      <c r="B7961" s="17">
        <f t="array" ref="B7961">SUM(1-'Sparkling Model'!D$2:D$38^A7961)</f>
        <v>36.93091209</v>
      </c>
      <c r="C7961" s="8">
        <f t="array" ref="C7961">PRODUCT(1-'Sparkling Model'!D$2:D$38^A7961)</f>
        <v>0.9326279648</v>
      </c>
    </row>
    <row r="7962">
      <c r="A7962" s="6">
        <v>7960.0</v>
      </c>
      <c r="B7962" s="17">
        <f t="array" ref="B7962">SUM(1-'Sparkling Model'!D$2:D$38^A7962)</f>
        <v>36.93094734</v>
      </c>
      <c r="C7962" s="8">
        <f t="array" ref="C7962">PRODUCT(1-'Sparkling Model'!D$2:D$38^A7962)</f>
        <v>0.9326614473</v>
      </c>
    </row>
    <row r="7963">
      <c r="A7963" s="6">
        <v>7961.0</v>
      </c>
      <c r="B7963" s="17">
        <f t="array" ref="B7963">SUM(1-'Sparkling Model'!D$2:D$38^A7963)</f>
        <v>36.93098256</v>
      </c>
      <c r="C7963" s="8">
        <f t="array" ref="C7963">PRODUCT(1-'Sparkling Model'!D$2:D$38^A7963)</f>
        <v>0.9326949132</v>
      </c>
    </row>
    <row r="7964">
      <c r="A7964" s="6">
        <v>7962.0</v>
      </c>
      <c r="B7964" s="17">
        <f t="array" ref="B7964">SUM(1-'Sparkling Model'!D$2:D$38^A7964)</f>
        <v>36.93101777</v>
      </c>
      <c r="C7964" s="8">
        <f t="array" ref="C7964">PRODUCT(1-'Sparkling Model'!D$2:D$38^A7964)</f>
        <v>0.9327283626</v>
      </c>
    </row>
    <row r="7965">
      <c r="A7965" s="6">
        <v>7963.0</v>
      </c>
      <c r="B7965" s="17">
        <f t="array" ref="B7965">SUM(1-'Sparkling Model'!D$2:D$38^A7965)</f>
        <v>36.93105296</v>
      </c>
      <c r="C7965" s="8">
        <f t="array" ref="C7965">PRODUCT(1-'Sparkling Model'!D$2:D$38^A7965)</f>
        <v>0.9327617953</v>
      </c>
    </row>
    <row r="7966">
      <c r="A7966" s="6">
        <v>7964.0</v>
      </c>
      <c r="B7966" s="17">
        <f t="array" ref="B7966">SUM(1-'Sparkling Model'!D$2:D$38^A7966)</f>
        <v>36.93108813</v>
      </c>
      <c r="C7966" s="8">
        <f t="array" ref="C7966">PRODUCT(1-'Sparkling Model'!D$2:D$38^A7966)</f>
        <v>0.9327952115</v>
      </c>
    </row>
    <row r="7967">
      <c r="A7967" s="6">
        <v>7965.0</v>
      </c>
      <c r="B7967" s="17">
        <f t="array" ref="B7967">SUM(1-'Sparkling Model'!D$2:D$38^A7967)</f>
        <v>36.93112328</v>
      </c>
      <c r="C7967" s="8">
        <f t="array" ref="C7967">PRODUCT(1-'Sparkling Model'!D$2:D$38^A7967)</f>
        <v>0.9328286112</v>
      </c>
    </row>
    <row r="7968">
      <c r="A7968" s="6">
        <v>7966.0</v>
      </c>
      <c r="B7968" s="17">
        <f t="array" ref="B7968">SUM(1-'Sparkling Model'!D$2:D$38^A7968)</f>
        <v>36.93115842</v>
      </c>
      <c r="C7968" s="8">
        <f t="array" ref="C7968">PRODUCT(1-'Sparkling Model'!D$2:D$38^A7968)</f>
        <v>0.9328619943</v>
      </c>
    </row>
    <row r="7969">
      <c r="A7969" s="6">
        <v>7967.0</v>
      </c>
      <c r="B7969" s="17">
        <f t="array" ref="B7969">SUM(1-'Sparkling Model'!D$2:D$38^A7969)</f>
        <v>36.93119353</v>
      </c>
      <c r="C7969" s="8">
        <f t="array" ref="C7969">PRODUCT(1-'Sparkling Model'!D$2:D$38^A7969)</f>
        <v>0.9328953608</v>
      </c>
    </row>
    <row r="7970">
      <c r="A7970" s="6">
        <v>7968.0</v>
      </c>
      <c r="B7970" s="17">
        <f t="array" ref="B7970">SUM(1-'Sparkling Model'!D$2:D$38^A7970)</f>
        <v>36.93122863</v>
      </c>
      <c r="C7970" s="8">
        <f t="array" ref="C7970">PRODUCT(1-'Sparkling Model'!D$2:D$38^A7970)</f>
        <v>0.9329287109</v>
      </c>
    </row>
    <row r="7971">
      <c r="A7971" s="6">
        <v>7969.0</v>
      </c>
      <c r="B7971" s="17">
        <f t="array" ref="B7971">SUM(1-'Sparkling Model'!D$2:D$38^A7971)</f>
        <v>36.93126371</v>
      </c>
      <c r="C7971" s="8">
        <f t="array" ref="C7971">PRODUCT(1-'Sparkling Model'!D$2:D$38^A7971)</f>
        <v>0.9329620444</v>
      </c>
    </row>
    <row r="7972">
      <c r="A7972" s="6">
        <v>7970.0</v>
      </c>
      <c r="B7972" s="17">
        <f t="array" ref="B7972">SUM(1-'Sparkling Model'!D$2:D$38^A7972)</f>
        <v>36.93129877</v>
      </c>
      <c r="C7972" s="8">
        <f t="array" ref="C7972">PRODUCT(1-'Sparkling Model'!D$2:D$38^A7972)</f>
        <v>0.9329953613</v>
      </c>
    </row>
    <row r="7973">
      <c r="A7973" s="6">
        <v>7971.0</v>
      </c>
      <c r="B7973" s="17">
        <f t="array" ref="B7973">SUM(1-'Sparkling Model'!D$2:D$38^A7973)</f>
        <v>36.93133381</v>
      </c>
      <c r="C7973" s="8">
        <f t="array" ref="C7973">PRODUCT(1-'Sparkling Model'!D$2:D$38^A7973)</f>
        <v>0.9330286618</v>
      </c>
    </row>
    <row r="7974">
      <c r="A7974" s="6">
        <v>7972.0</v>
      </c>
      <c r="B7974" s="17">
        <f t="array" ref="B7974">SUM(1-'Sparkling Model'!D$2:D$38^A7974)</f>
        <v>36.93136884</v>
      </c>
      <c r="C7974" s="8">
        <f t="array" ref="C7974">PRODUCT(1-'Sparkling Model'!D$2:D$38^A7974)</f>
        <v>0.9330619458</v>
      </c>
    </row>
    <row r="7975">
      <c r="A7975" s="6">
        <v>7973.0</v>
      </c>
      <c r="B7975" s="17">
        <f t="array" ref="B7975">SUM(1-'Sparkling Model'!D$2:D$38^A7975)</f>
        <v>36.93140384</v>
      </c>
      <c r="C7975" s="8">
        <f t="array" ref="C7975">PRODUCT(1-'Sparkling Model'!D$2:D$38^A7975)</f>
        <v>0.9330952133</v>
      </c>
    </row>
    <row r="7976">
      <c r="A7976" s="6">
        <v>7974.0</v>
      </c>
      <c r="B7976" s="17">
        <f t="array" ref="B7976">SUM(1-'Sparkling Model'!D$2:D$38^A7976)</f>
        <v>36.93143883</v>
      </c>
      <c r="C7976" s="8">
        <f t="array" ref="C7976">PRODUCT(1-'Sparkling Model'!D$2:D$38^A7976)</f>
        <v>0.9331284643</v>
      </c>
    </row>
    <row r="7977">
      <c r="A7977" s="6">
        <v>7975.0</v>
      </c>
      <c r="B7977" s="17">
        <f t="array" ref="B7977">SUM(1-'Sparkling Model'!D$2:D$38^A7977)</f>
        <v>36.9314738</v>
      </c>
      <c r="C7977" s="8">
        <f t="array" ref="C7977">PRODUCT(1-'Sparkling Model'!D$2:D$38^A7977)</f>
        <v>0.9331616989</v>
      </c>
    </row>
    <row r="7978">
      <c r="A7978" s="6">
        <v>7976.0</v>
      </c>
      <c r="B7978" s="17">
        <f t="array" ref="B7978">SUM(1-'Sparkling Model'!D$2:D$38^A7978)</f>
        <v>36.93150875</v>
      </c>
      <c r="C7978" s="8">
        <f t="array" ref="C7978">PRODUCT(1-'Sparkling Model'!D$2:D$38^A7978)</f>
        <v>0.9331949169</v>
      </c>
    </row>
    <row r="7979">
      <c r="A7979" s="6">
        <v>7977.0</v>
      </c>
      <c r="B7979" s="17">
        <f t="array" ref="B7979">SUM(1-'Sparkling Model'!D$2:D$38^A7979)</f>
        <v>36.93154368</v>
      </c>
      <c r="C7979" s="8">
        <f t="array" ref="C7979">PRODUCT(1-'Sparkling Model'!D$2:D$38^A7979)</f>
        <v>0.9332281185</v>
      </c>
    </row>
    <row r="7980">
      <c r="A7980" s="6">
        <v>7978.0</v>
      </c>
      <c r="B7980" s="17">
        <f t="array" ref="B7980">SUM(1-'Sparkling Model'!D$2:D$38^A7980)</f>
        <v>36.9315786</v>
      </c>
      <c r="C7980" s="8">
        <f t="array" ref="C7980">PRODUCT(1-'Sparkling Model'!D$2:D$38^A7980)</f>
        <v>0.9332613037</v>
      </c>
    </row>
    <row r="7981">
      <c r="A7981" s="6">
        <v>7979.0</v>
      </c>
      <c r="B7981" s="17">
        <f t="array" ref="B7981">SUM(1-'Sparkling Model'!D$2:D$38^A7981)</f>
        <v>36.93161349</v>
      </c>
      <c r="C7981" s="8">
        <f t="array" ref="C7981">PRODUCT(1-'Sparkling Model'!D$2:D$38^A7981)</f>
        <v>0.9332944724</v>
      </c>
    </row>
    <row r="7982">
      <c r="A7982" s="6">
        <v>7980.0</v>
      </c>
      <c r="B7982" s="17">
        <f t="array" ref="B7982">SUM(1-'Sparkling Model'!D$2:D$38^A7982)</f>
        <v>36.93164837</v>
      </c>
      <c r="C7982" s="8">
        <f t="array" ref="C7982">PRODUCT(1-'Sparkling Model'!D$2:D$38^A7982)</f>
        <v>0.9333276247</v>
      </c>
    </row>
    <row r="7983">
      <c r="A7983" s="6">
        <v>7981.0</v>
      </c>
      <c r="B7983" s="17">
        <f t="array" ref="B7983">SUM(1-'Sparkling Model'!D$2:D$38^A7983)</f>
        <v>36.93168323</v>
      </c>
      <c r="C7983" s="8">
        <f t="array" ref="C7983">PRODUCT(1-'Sparkling Model'!D$2:D$38^A7983)</f>
        <v>0.9333607606</v>
      </c>
    </row>
    <row r="7984">
      <c r="A7984" s="6">
        <v>7982.0</v>
      </c>
      <c r="B7984" s="17">
        <f t="array" ref="B7984">SUM(1-'Sparkling Model'!D$2:D$38^A7984)</f>
        <v>36.93171807</v>
      </c>
      <c r="C7984" s="8">
        <f t="array" ref="C7984">PRODUCT(1-'Sparkling Model'!D$2:D$38^A7984)</f>
        <v>0.93339388</v>
      </c>
    </row>
    <row r="7985">
      <c r="A7985" s="6">
        <v>7983.0</v>
      </c>
      <c r="B7985" s="17">
        <f t="array" ref="B7985">SUM(1-'Sparkling Model'!D$2:D$38^A7985)</f>
        <v>36.9317529</v>
      </c>
      <c r="C7985" s="8">
        <f t="array" ref="C7985">PRODUCT(1-'Sparkling Model'!D$2:D$38^A7985)</f>
        <v>0.933426983</v>
      </c>
    </row>
    <row r="7986">
      <c r="A7986" s="6">
        <v>7984.0</v>
      </c>
      <c r="B7986" s="17">
        <f t="array" ref="B7986">SUM(1-'Sparkling Model'!D$2:D$38^A7986)</f>
        <v>36.9317877</v>
      </c>
      <c r="C7986" s="8">
        <f t="array" ref="C7986">PRODUCT(1-'Sparkling Model'!D$2:D$38^A7986)</f>
        <v>0.9334600697</v>
      </c>
    </row>
    <row r="7987">
      <c r="A7987" s="6">
        <v>7985.0</v>
      </c>
      <c r="B7987" s="17">
        <f t="array" ref="B7987">SUM(1-'Sparkling Model'!D$2:D$38^A7987)</f>
        <v>36.93182249</v>
      </c>
      <c r="C7987" s="8">
        <f t="array" ref="C7987">PRODUCT(1-'Sparkling Model'!D$2:D$38^A7987)</f>
        <v>0.9334931399</v>
      </c>
    </row>
    <row r="7988">
      <c r="A7988" s="6">
        <v>7986.0</v>
      </c>
      <c r="B7988" s="17">
        <f t="array" ref="B7988">SUM(1-'Sparkling Model'!D$2:D$38^A7988)</f>
        <v>36.93185726</v>
      </c>
      <c r="C7988" s="8">
        <f t="array" ref="C7988">PRODUCT(1-'Sparkling Model'!D$2:D$38^A7988)</f>
        <v>0.9335261937</v>
      </c>
    </row>
    <row r="7989">
      <c r="A7989" s="6">
        <v>7987.0</v>
      </c>
      <c r="B7989" s="17">
        <f t="array" ref="B7989">SUM(1-'Sparkling Model'!D$2:D$38^A7989)</f>
        <v>36.93189201</v>
      </c>
      <c r="C7989" s="8">
        <f t="array" ref="C7989">PRODUCT(1-'Sparkling Model'!D$2:D$38^A7989)</f>
        <v>0.9335592312</v>
      </c>
    </row>
    <row r="7990">
      <c r="A7990" s="6">
        <v>7988.0</v>
      </c>
      <c r="B7990" s="17">
        <f t="array" ref="B7990">SUM(1-'Sparkling Model'!D$2:D$38^A7990)</f>
        <v>36.93192674</v>
      </c>
      <c r="C7990" s="8">
        <f t="array" ref="C7990">PRODUCT(1-'Sparkling Model'!D$2:D$38^A7990)</f>
        <v>0.9335922523</v>
      </c>
    </row>
    <row r="7991">
      <c r="A7991" s="6">
        <v>7989.0</v>
      </c>
      <c r="B7991" s="17">
        <f t="array" ref="B7991">SUM(1-'Sparkling Model'!D$2:D$38^A7991)</f>
        <v>36.93196145</v>
      </c>
      <c r="C7991" s="8">
        <f t="array" ref="C7991">PRODUCT(1-'Sparkling Model'!D$2:D$38^A7991)</f>
        <v>0.9336252571</v>
      </c>
    </row>
    <row r="7992">
      <c r="A7992" s="6">
        <v>7990.0</v>
      </c>
      <c r="B7992" s="17">
        <f t="array" ref="B7992">SUM(1-'Sparkling Model'!D$2:D$38^A7992)</f>
        <v>36.93199615</v>
      </c>
      <c r="C7992" s="8">
        <f t="array" ref="C7992">PRODUCT(1-'Sparkling Model'!D$2:D$38^A7992)</f>
        <v>0.9336582454</v>
      </c>
    </row>
    <row r="7993">
      <c r="A7993" s="6">
        <v>7991.0</v>
      </c>
      <c r="B7993" s="17">
        <f t="array" ref="B7993">SUM(1-'Sparkling Model'!D$2:D$38^A7993)</f>
        <v>36.93203083</v>
      </c>
      <c r="C7993" s="8">
        <f t="array" ref="C7993">PRODUCT(1-'Sparkling Model'!D$2:D$38^A7993)</f>
        <v>0.9336912175</v>
      </c>
    </row>
    <row r="7994">
      <c r="A7994" s="6">
        <v>7992.0</v>
      </c>
      <c r="B7994" s="17">
        <f t="array" ref="B7994">SUM(1-'Sparkling Model'!D$2:D$38^A7994)</f>
        <v>36.93206549</v>
      </c>
      <c r="C7994" s="8">
        <f t="array" ref="C7994">PRODUCT(1-'Sparkling Model'!D$2:D$38^A7994)</f>
        <v>0.9337241732</v>
      </c>
    </row>
    <row r="7995">
      <c r="A7995" s="6">
        <v>7993.0</v>
      </c>
      <c r="B7995" s="17">
        <f t="array" ref="B7995">SUM(1-'Sparkling Model'!D$2:D$38^A7995)</f>
        <v>36.93210013</v>
      </c>
      <c r="C7995" s="8">
        <f t="array" ref="C7995">PRODUCT(1-'Sparkling Model'!D$2:D$38^A7995)</f>
        <v>0.9337571125</v>
      </c>
    </row>
    <row r="7996">
      <c r="A7996" s="6">
        <v>7994.0</v>
      </c>
      <c r="B7996" s="17">
        <f t="array" ref="B7996">SUM(1-'Sparkling Model'!D$2:D$38^A7996)</f>
        <v>36.93213475</v>
      </c>
      <c r="C7996" s="8">
        <f t="array" ref="C7996">PRODUCT(1-'Sparkling Model'!D$2:D$38^A7996)</f>
        <v>0.9337900356</v>
      </c>
    </row>
    <row r="7997">
      <c r="A7997" s="6">
        <v>7995.0</v>
      </c>
      <c r="B7997" s="17">
        <f t="array" ref="B7997">SUM(1-'Sparkling Model'!D$2:D$38^A7997)</f>
        <v>36.93216936</v>
      </c>
      <c r="C7997" s="8">
        <f t="array" ref="C7997">PRODUCT(1-'Sparkling Model'!D$2:D$38^A7997)</f>
        <v>0.9338229423</v>
      </c>
    </row>
    <row r="7998">
      <c r="A7998" s="6">
        <v>7996.0</v>
      </c>
      <c r="B7998" s="17">
        <f t="array" ref="B7998">SUM(1-'Sparkling Model'!D$2:D$38^A7998)</f>
        <v>36.93220395</v>
      </c>
      <c r="C7998" s="8">
        <f t="array" ref="C7998">PRODUCT(1-'Sparkling Model'!D$2:D$38^A7998)</f>
        <v>0.9338558328</v>
      </c>
    </row>
    <row r="7999">
      <c r="A7999" s="6">
        <v>7997.0</v>
      </c>
      <c r="B7999" s="17">
        <f t="array" ref="B7999">SUM(1-'Sparkling Model'!D$2:D$38^A7999)</f>
        <v>36.93223852</v>
      </c>
      <c r="C7999" s="8">
        <f t="array" ref="C7999">PRODUCT(1-'Sparkling Model'!D$2:D$38^A7999)</f>
        <v>0.9338887069</v>
      </c>
    </row>
    <row r="8000">
      <c r="A8000" s="6">
        <v>7998.0</v>
      </c>
      <c r="B8000" s="17">
        <f t="array" ref="B8000">SUM(1-'Sparkling Model'!D$2:D$38^A8000)</f>
        <v>36.93227307</v>
      </c>
      <c r="C8000" s="8">
        <f t="array" ref="C8000">PRODUCT(1-'Sparkling Model'!D$2:D$38^A8000)</f>
        <v>0.9339215647</v>
      </c>
    </row>
    <row r="8001">
      <c r="A8001" s="6">
        <v>7999.0</v>
      </c>
      <c r="B8001" s="17">
        <f t="array" ref="B8001">SUM(1-'Sparkling Model'!D$2:D$38^A8001)</f>
        <v>36.9323076</v>
      </c>
      <c r="C8001" s="8">
        <f t="array" ref="C8001">PRODUCT(1-'Sparkling Model'!D$2:D$38^A8001)</f>
        <v>0.9339544063</v>
      </c>
    </row>
    <row r="8002">
      <c r="A8002" s="6">
        <v>8000.0</v>
      </c>
      <c r="B8002" s="17">
        <f t="array" ref="B8002">SUM(1-'Sparkling Model'!D$2:D$38^A8002)</f>
        <v>36.93234212</v>
      </c>
      <c r="C8002" s="8">
        <f t="array" ref="C8002">PRODUCT(1-'Sparkling Model'!D$2:D$38^A8002)</f>
        <v>0.9339872316</v>
      </c>
    </row>
    <row r="8003">
      <c r="A8003" s="6">
        <v>8001.0</v>
      </c>
      <c r="B8003" s="17">
        <f t="array" ref="B8003">SUM(1-'Sparkling Model'!D$2:D$38^A8003)</f>
        <v>36.93237662</v>
      </c>
      <c r="C8003" s="8">
        <f t="array" ref="C8003">PRODUCT(1-'Sparkling Model'!D$2:D$38^A8003)</f>
        <v>0.9340200406</v>
      </c>
    </row>
    <row r="8004">
      <c r="A8004" s="6">
        <v>8002.0</v>
      </c>
      <c r="B8004" s="17">
        <f t="array" ref="B8004">SUM(1-'Sparkling Model'!D$2:D$38^A8004)</f>
        <v>36.9324111</v>
      </c>
      <c r="C8004" s="8">
        <f t="array" ref="C8004">PRODUCT(1-'Sparkling Model'!D$2:D$38^A8004)</f>
        <v>0.9340528333</v>
      </c>
    </row>
    <row r="8005">
      <c r="A8005" s="6">
        <v>8003.0</v>
      </c>
      <c r="B8005" s="17">
        <f t="array" ref="B8005">SUM(1-'Sparkling Model'!D$2:D$38^A8005)</f>
        <v>36.93244556</v>
      </c>
      <c r="C8005" s="8">
        <f t="array" ref="C8005">PRODUCT(1-'Sparkling Model'!D$2:D$38^A8005)</f>
        <v>0.9340856099</v>
      </c>
    </row>
    <row r="8006">
      <c r="A8006" s="6">
        <v>8004.0</v>
      </c>
      <c r="B8006" s="17">
        <f t="array" ref="B8006">SUM(1-'Sparkling Model'!D$2:D$38^A8006)</f>
        <v>36.93248</v>
      </c>
      <c r="C8006" s="8">
        <f t="array" ref="C8006">PRODUCT(1-'Sparkling Model'!D$2:D$38^A8006)</f>
        <v>0.9341183701</v>
      </c>
    </row>
    <row r="8007">
      <c r="A8007" s="6">
        <v>8005.0</v>
      </c>
      <c r="B8007" s="17">
        <f t="array" ref="B8007">SUM(1-'Sparkling Model'!D$2:D$38^A8007)</f>
        <v>36.93251443</v>
      </c>
      <c r="C8007" s="8">
        <f t="array" ref="C8007">PRODUCT(1-'Sparkling Model'!D$2:D$38^A8007)</f>
        <v>0.9341511142</v>
      </c>
    </row>
    <row r="8008">
      <c r="A8008" s="6">
        <v>8006.0</v>
      </c>
      <c r="B8008" s="17">
        <f t="array" ref="B8008">SUM(1-'Sparkling Model'!D$2:D$38^A8008)</f>
        <v>36.93254883</v>
      </c>
      <c r="C8008" s="8">
        <f t="array" ref="C8008">PRODUCT(1-'Sparkling Model'!D$2:D$38^A8008)</f>
        <v>0.934183842</v>
      </c>
    </row>
    <row r="8009">
      <c r="A8009" s="6">
        <v>8007.0</v>
      </c>
      <c r="B8009" s="17">
        <f t="array" ref="B8009">SUM(1-'Sparkling Model'!D$2:D$38^A8009)</f>
        <v>36.93258322</v>
      </c>
      <c r="C8009" s="8">
        <f t="array" ref="C8009">PRODUCT(1-'Sparkling Model'!D$2:D$38^A8009)</f>
        <v>0.9342165536</v>
      </c>
    </row>
    <row r="8010">
      <c r="A8010" s="6">
        <v>8008.0</v>
      </c>
      <c r="B8010" s="17">
        <f t="array" ref="B8010">SUM(1-'Sparkling Model'!D$2:D$38^A8010)</f>
        <v>36.9326176</v>
      </c>
      <c r="C8010" s="8">
        <f t="array" ref="C8010">PRODUCT(1-'Sparkling Model'!D$2:D$38^A8010)</f>
        <v>0.9342492489</v>
      </c>
    </row>
    <row r="8011">
      <c r="A8011" s="6">
        <v>8009.0</v>
      </c>
      <c r="B8011" s="17">
        <f t="array" ref="B8011">SUM(1-'Sparkling Model'!D$2:D$38^A8011)</f>
        <v>36.93265195</v>
      </c>
      <c r="C8011" s="8">
        <f t="array" ref="C8011">PRODUCT(1-'Sparkling Model'!D$2:D$38^A8011)</f>
        <v>0.9342819281</v>
      </c>
    </row>
    <row r="8012">
      <c r="A8012" s="6">
        <v>8010.0</v>
      </c>
      <c r="B8012" s="17">
        <f t="array" ref="B8012">SUM(1-'Sparkling Model'!D$2:D$38^A8012)</f>
        <v>36.93268628</v>
      </c>
      <c r="C8012" s="8">
        <f t="array" ref="C8012">PRODUCT(1-'Sparkling Model'!D$2:D$38^A8012)</f>
        <v>0.9343145911</v>
      </c>
    </row>
    <row r="8013">
      <c r="A8013" s="6">
        <v>8011.0</v>
      </c>
      <c r="B8013" s="17">
        <f t="array" ref="B8013">SUM(1-'Sparkling Model'!D$2:D$38^A8013)</f>
        <v>36.9327206</v>
      </c>
      <c r="C8013" s="8">
        <f t="array" ref="C8013">PRODUCT(1-'Sparkling Model'!D$2:D$38^A8013)</f>
        <v>0.9343472379</v>
      </c>
    </row>
    <row r="8014">
      <c r="A8014" s="6">
        <v>8012.0</v>
      </c>
      <c r="B8014" s="17">
        <f t="array" ref="B8014">SUM(1-'Sparkling Model'!D$2:D$38^A8014)</f>
        <v>36.9327549</v>
      </c>
      <c r="C8014" s="8">
        <f t="array" ref="C8014">PRODUCT(1-'Sparkling Model'!D$2:D$38^A8014)</f>
        <v>0.9343798685</v>
      </c>
    </row>
    <row r="8015">
      <c r="A8015" s="6">
        <v>8013.0</v>
      </c>
      <c r="B8015" s="17">
        <f t="array" ref="B8015">SUM(1-'Sparkling Model'!D$2:D$38^A8015)</f>
        <v>36.93278918</v>
      </c>
      <c r="C8015" s="8">
        <f t="array" ref="C8015">PRODUCT(1-'Sparkling Model'!D$2:D$38^A8015)</f>
        <v>0.9344124829</v>
      </c>
    </row>
    <row r="8016">
      <c r="A8016" s="6">
        <v>8014.0</v>
      </c>
      <c r="B8016" s="17">
        <f t="array" ref="B8016">SUM(1-'Sparkling Model'!D$2:D$38^A8016)</f>
        <v>36.93282345</v>
      </c>
      <c r="C8016" s="8">
        <f t="array" ref="C8016">PRODUCT(1-'Sparkling Model'!D$2:D$38^A8016)</f>
        <v>0.9344450812</v>
      </c>
    </row>
    <row r="8017">
      <c r="A8017" s="6">
        <v>8015.0</v>
      </c>
      <c r="B8017" s="17">
        <f t="array" ref="B8017">SUM(1-'Sparkling Model'!D$2:D$38^A8017)</f>
        <v>36.9328577</v>
      </c>
      <c r="C8017" s="8">
        <f t="array" ref="C8017">PRODUCT(1-'Sparkling Model'!D$2:D$38^A8017)</f>
        <v>0.9344776633</v>
      </c>
    </row>
    <row r="8018">
      <c r="A8018" s="6">
        <v>8016.0</v>
      </c>
      <c r="B8018" s="17">
        <f t="array" ref="B8018">SUM(1-'Sparkling Model'!D$2:D$38^A8018)</f>
        <v>36.93289192</v>
      </c>
      <c r="C8018" s="8">
        <f t="array" ref="C8018">PRODUCT(1-'Sparkling Model'!D$2:D$38^A8018)</f>
        <v>0.9345102293</v>
      </c>
    </row>
    <row r="8019">
      <c r="A8019" s="6">
        <v>8017.0</v>
      </c>
      <c r="B8019" s="17">
        <f t="array" ref="B8019">SUM(1-'Sparkling Model'!D$2:D$38^A8019)</f>
        <v>36.93292613</v>
      </c>
      <c r="C8019" s="8">
        <f t="array" ref="C8019">PRODUCT(1-'Sparkling Model'!D$2:D$38^A8019)</f>
        <v>0.9345427792</v>
      </c>
    </row>
    <row r="8020">
      <c r="A8020" s="6">
        <v>8018.0</v>
      </c>
      <c r="B8020" s="17">
        <f t="array" ref="B8020">SUM(1-'Sparkling Model'!D$2:D$38^A8020)</f>
        <v>36.93296033</v>
      </c>
      <c r="C8020" s="8">
        <f t="array" ref="C8020">PRODUCT(1-'Sparkling Model'!D$2:D$38^A8020)</f>
        <v>0.9345753129</v>
      </c>
    </row>
    <row r="8021">
      <c r="A8021" s="6">
        <v>8019.0</v>
      </c>
      <c r="B8021" s="17">
        <f t="array" ref="B8021">SUM(1-'Sparkling Model'!D$2:D$38^A8021)</f>
        <v>36.9329945</v>
      </c>
      <c r="C8021" s="8">
        <f t="array" ref="C8021">PRODUCT(1-'Sparkling Model'!D$2:D$38^A8021)</f>
        <v>0.9346078305</v>
      </c>
    </row>
    <row r="8022">
      <c r="A8022" s="6">
        <v>8020.0</v>
      </c>
      <c r="B8022" s="17">
        <f t="array" ref="B8022">SUM(1-'Sparkling Model'!D$2:D$38^A8022)</f>
        <v>36.93302866</v>
      </c>
      <c r="C8022" s="8">
        <f t="array" ref="C8022">PRODUCT(1-'Sparkling Model'!D$2:D$38^A8022)</f>
        <v>0.9346403319</v>
      </c>
    </row>
    <row r="8023">
      <c r="A8023" s="6">
        <v>8021.0</v>
      </c>
      <c r="B8023" s="17">
        <f t="array" ref="B8023">SUM(1-'Sparkling Model'!D$2:D$38^A8023)</f>
        <v>36.9330628</v>
      </c>
      <c r="C8023" s="8">
        <f t="array" ref="C8023">PRODUCT(1-'Sparkling Model'!D$2:D$38^A8023)</f>
        <v>0.9346728173</v>
      </c>
    </row>
    <row r="8024">
      <c r="A8024" s="6">
        <v>8022.0</v>
      </c>
      <c r="B8024" s="17">
        <f t="array" ref="B8024">SUM(1-'Sparkling Model'!D$2:D$38^A8024)</f>
        <v>36.93309692</v>
      </c>
      <c r="C8024" s="8">
        <f t="array" ref="C8024">PRODUCT(1-'Sparkling Model'!D$2:D$38^A8024)</f>
        <v>0.9347052866</v>
      </c>
    </row>
    <row r="8025">
      <c r="A8025" s="6">
        <v>8023.0</v>
      </c>
      <c r="B8025" s="17">
        <f t="array" ref="B8025">SUM(1-'Sparkling Model'!D$2:D$38^A8025)</f>
        <v>36.93313102</v>
      </c>
      <c r="C8025" s="8">
        <f t="array" ref="C8025">PRODUCT(1-'Sparkling Model'!D$2:D$38^A8025)</f>
        <v>0.9347377397</v>
      </c>
    </row>
    <row r="8026">
      <c r="A8026" s="6">
        <v>8024.0</v>
      </c>
      <c r="B8026" s="17">
        <f t="array" ref="B8026">SUM(1-'Sparkling Model'!D$2:D$38^A8026)</f>
        <v>36.93316511</v>
      </c>
      <c r="C8026" s="8">
        <f t="array" ref="C8026">PRODUCT(1-'Sparkling Model'!D$2:D$38^A8026)</f>
        <v>0.9347701768</v>
      </c>
    </row>
    <row r="8027">
      <c r="A8027" s="6">
        <v>8025.0</v>
      </c>
      <c r="B8027" s="17">
        <f t="array" ref="B8027">SUM(1-'Sparkling Model'!D$2:D$38^A8027)</f>
        <v>36.93319918</v>
      </c>
      <c r="C8027" s="8">
        <f t="array" ref="C8027">PRODUCT(1-'Sparkling Model'!D$2:D$38^A8027)</f>
        <v>0.9348025978</v>
      </c>
    </row>
    <row r="8028">
      <c r="A8028" s="6">
        <v>8026.0</v>
      </c>
      <c r="B8028" s="17">
        <f t="array" ref="B8028">SUM(1-'Sparkling Model'!D$2:D$38^A8028)</f>
        <v>36.93323323</v>
      </c>
      <c r="C8028" s="8">
        <f t="array" ref="C8028">PRODUCT(1-'Sparkling Model'!D$2:D$38^A8028)</f>
        <v>0.9348350028</v>
      </c>
    </row>
    <row r="8029">
      <c r="A8029" s="6">
        <v>8027.0</v>
      </c>
      <c r="B8029" s="17">
        <f t="array" ref="B8029">SUM(1-'Sparkling Model'!D$2:D$38^A8029)</f>
        <v>36.93326726</v>
      </c>
      <c r="C8029" s="8">
        <f t="array" ref="C8029">PRODUCT(1-'Sparkling Model'!D$2:D$38^A8029)</f>
        <v>0.9348673917</v>
      </c>
    </row>
    <row r="8030">
      <c r="A8030" s="6">
        <v>8028.0</v>
      </c>
      <c r="B8030" s="17">
        <f t="array" ref="B8030">SUM(1-'Sparkling Model'!D$2:D$38^A8030)</f>
        <v>36.93330127</v>
      </c>
      <c r="C8030" s="8">
        <f t="array" ref="C8030">PRODUCT(1-'Sparkling Model'!D$2:D$38^A8030)</f>
        <v>0.9348997645</v>
      </c>
    </row>
    <row r="8031">
      <c r="A8031" s="6">
        <v>8029.0</v>
      </c>
      <c r="B8031" s="17">
        <f t="array" ref="B8031">SUM(1-'Sparkling Model'!D$2:D$38^A8031)</f>
        <v>36.93333527</v>
      </c>
      <c r="C8031" s="8">
        <f t="array" ref="C8031">PRODUCT(1-'Sparkling Model'!D$2:D$38^A8031)</f>
        <v>0.9349321213</v>
      </c>
    </row>
    <row r="8032">
      <c r="A8032" s="6">
        <v>8030.0</v>
      </c>
      <c r="B8032" s="17">
        <f t="array" ref="B8032">SUM(1-'Sparkling Model'!D$2:D$38^A8032)</f>
        <v>36.93336925</v>
      </c>
      <c r="C8032" s="8">
        <f t="array" ref="C8032">PRODUCT(1-'Sparkling Model'!D$2:D$38^A8032)</f>
        <v>0.934964462</v>
      </c>
    </row>
    <row r="8033">
      <c r="A8033" s="6">
        <v>8031.0</v>
      </c>
      <c r="B8033" s="17">
        <f t="array" ref="B8033">SUM(1-'Sparkling Model'!D$2:D$38^A8033)</f>
        <v>36.93340321</v>
      </c>
      <c r="C8033" s="8">
        <f t="array" ref="C8033">PRODUCT(1-'Sparkling Model'!D$2:D$38^A8033)</f>
        <v>0.9349967867</v>
      </c>
    </row>
    <row r="8034">
      <c r="A8034" s="6">
        <v>8032.0</v>
      </c>
      <c r="B8034" s="17">
        <f t="array" ref="B8034">SUM(1-'Sparkling Model'!D$2:D$38^A8034)</f>
        <v>36.93343715</v>
      </c>
      <c r="C8034" s="8">
        <f t="array" ref="C8034">PRODUCT(1-'Sparkling Model'!D$2:D$38^A8034)</f>
        <v>0.9350290954</v>
      </c>
    </row>
    <row r="8035">
      <c r="A8035" s="6">
        <v>8033.0</v>
      </c>
      <c r="B8035" s="17">
        <f t="array" ref="B8035">SUM(1-'Sparkling Model'!D$2:D$38^A8035)</f>
        <v>36.93347108</v>
      </c>
      <c r="C8035" s="8">
        <f t="array" ref="C8035">PRODUCT(1-'Sparkling Model'!D$2:D$38^A8035)</f>
        <v>0.9350613881</v>
      </c>
    </row>
    <row r="8036">
      <c r="A8036" s="6">
        <v>8034.0</v>
      </c>
      <c r="B8036" s="17">
        <f t="array" ref="B8036">SUM(1-'Sparkling Model'!D$2:D$38^A8036)</f>
        <v>36.93350499</v>
      </c>
      <c r="C8036" s="8">
        <f t="array" ref="C8036">PRODUCT(1-'Sparkling Model'!D$2:D$38^A8036)</f>
        <v>0.9350936648</v>
      </c>
    </row>
    <row r="8037">
      <c r="A8037" s="6">
        <v>8035.0</v>
      </c>
      <c r="B8037" s="17">
        <f t="array" ref="B8037">SUM(1-'Sparkling Model'!D$2:D$38^A8037)</f>
        <v>36.93353888</v>
      </c>
      <c r="C8037" s="8">
        <f t="array" ref="C8037">PRODUCT(1-'Sparkling Model'!D$2:D$38^A8037)</f>
        <v>0.9351259255</v>
      </c>
    </row>
    <row r="8038">
      <c r="A8038" s="6">
        <v>8036.0</v>
      </c>
      <c r="B8038" s="17">
        <f t="array" ref="B8038">SUM(1-'Sparkling Model'!D$2:D$38^A8038)</f>
        <v>36.93357275</v>
      </c>
      <c r="C8038" s="8">
        <f t="array" ref="C8038">PRODUCT(1-'Sparkling Model'!D$2:D$38^A8038)</f>
        <v>0.9351581702</v>
      </c>
    </row>
    <row r="8039">
      <c r="A8039" s="6">
        <v>8037.0</v>
      </c>
      <c r="B8039" s="17">
        <f t="array" ref="B8039">SUM(1-'Sparkling Model'!D$2:D$38^A8039)</f>
        <v>36.93360661</v>
      </c>
      <c r="C8039" s="8">
        <f t="array" ref="C8039">PRODUCT(1-'Sparkling Model'!D$2:D$38^A8039)</f>
        <v>0.9351903989</v>
      </c>
    </row>
    <row r="8040">
      <c r="A8040" s="6">
        <v>8038.0</v>
      </c>
      <c r="B8040" s="17">
        <f t="array" ref="B8040">SUM(1-'Sparkling Model'!D$2:D$38^A8040)</f>
        <v>36.93364045</v>
      </c>
      <c r="C8040" s="8">
        <f t="array" ref="C8040">PRODUCT(1-'Sparkling Model'!D$2:D$38^A8040)</f>
        <v>0.9352226116</v>
      </c>
    </row>
    <row r="8041">
      <c r="A8041" s="6">
        <v>8039.0</v>
      </c>
      <c r="B8041" s="17">
        <f t="array" ref="B8041">SUM(1-'Sparkling Model'!D$2:D$38^A8041)</f>
        <v>36.93367427</v>
      </c>
      <c r="C8041" s="8">
        <f t="array" ref="C8041">PRODUCT(1-'Sparkling Model'!D$2:D$38^A8041)</f>
        <v>0.9352548084</v>
      </c>
    </row>
    <row r="8042">
      <c r="A8042" s="6">
        <v>8040.0</v>
      </c>
      <c r="B8042" s="17">
        <f t="array" ref="B8042">SUM(1-'Sparkling Model'!D$2:D$38^A8042)</f>
        <v>36.93370807</v>
      </c>
      <c r="C8042" s="8">
        <f t="array" ref="C8042">PRODUCT(1-'Sparkling Model'!D$2:D$38^A8042)</f>
        <v>0.9352869892</v>
      </c>
    </row>
    <row r="8043">
      <c r="A8043" s="6">
        <v>8041.0</v>
      </c>
      <c r="B8043" s="17">
        <f t="array" ref="B8043">SUM(1-'Sparkling Model'!D$2:D$38^A8043)</f>
        <v>36.93374185</v>
      </c>
      <c r="C8043" s="8">
        <f t="array" ref="C8043">PRODUCT(1-'Sparkling Model'!D$2:D$38^A8043)</f>
        <v>0.9353191541</v>
      </c>
    </row>
    <row r="8044">
      <c r="A8044" s="6">
        <v>8042.0</v>
      </c>
      <c r="B8044" s="17">
        <f t="array" ref="B8044">SUM(1-'Sparkling Model'!D$2:D$38^A8044)</f>
        <v>36.93377562</v>
      </c>
      <c r="C8044" s="8">
        <f t="array" ref="C8044">PRODUCT(1-'Sparkling Model'!D$2:D$38^A8044)</f>
        <v>0.935351303</v>
      </c>
    </row>
    <row r="8045">
      <c r="A8045" s="6">
        <v>8043.0</v>
      </c>
      <c r="B8045" s="17">
        <f t="array" ref="B8045">SUM(1-'Sparkling Model'!D$2:D$38^A8045)</f>
        <v>36.93380937</v>
      </c>
      <c r="C8045" s="8">
        <f t="array" ref="C8045">PRODUCT(1-'Sparkling Model'!D$2:D$38^A8045)</f>
        <v>0.935383436</v>
      </c>
    </row>
    <row r="8046">
      <c r="A8046" s="6">
        <v>8044.0</v>
      </c>
      <c r="B8046" s="17">
        <f t="array" ref="B8046">SUM(1-'Sparkling Model'!D$2:D$38^A8046)</f>
        <v>36.9338431</v>
      </c>
      <c r="C8046" s="8">
        <f t="array" ref="C8046">PRODUCT(1-'Sparkling Model'!D$2:D$38^A8046)</f>
        <v>0.9354155531</v>
      </c>
    </row>
    <row r="8047">
      <c r="A8047" s="6">
        <v>8045.0</v>
      </c>
      <c r="B8047" s="17">
        <f t="array" ref="B8047">SUM(1-'Sparkling Model'!D$2:D$38^A8047)</f>
        <v>36.93387682</v>
      </c>
      <c r="C8047" s="8">
        <f t="array" ref="C8047">PRODUCT(1-'Sparkling Model'!D$2:D$38^A8047)</f>
        <v>0.9354476542</v>
      </c>
    </row>
    <row r="8048">
      <c r="A8048" s="6">
        <v>8046.0</v>
      </c>
      <c r="B8048" s="17">
        <f t="array" ref="B8048">SUM(1-'Sparkling Model'!D$2:D$38^A8048)</f>
        <v>36.93391051</v>
      </c>
      <c r="C8048" s="8">
        <f t="array" ref="C8048">PRODUCT(1-'Sparkling Model'!D$2:D$38^A8048)</f>
        <v>0.9354797394</v>
      </c>
    </row>
    <row r="8049">
      <c r="A8049" s="6">
        <v>8047.0</v>
      </c>
      <c r="B8049" s="17">
        <f t="array" ref="B8049">SUM(1-'Sparkling Model'!D$2:D$38^A8049)</f>
        <v>36.93394419</v>
      </c>
      <c r="C8049" s="8">
        <f t="array" ref="C8049">PRODUCT(1-'Sparkling Model'!D$2:D$38^A8049)</f>
        <v>0.9355118088</v>
      </c>
    </row>
    <row r="8050">
      <c r="A8050" s="6">
        <v>8048.0</v>
      </c>
      <c r="B8050" s="17">
        <f t="array" ref="B8050">SUM(1-'Sparkling Model'!D$2:D$38^A8050)</f>
        <v>36.93397785</v>
      </c>
      <c r="C8050" s="8">
        <f t="array" ref="C8050">PRODUCT(1-'Sparkling Model'!D$2:D$38^A8050)</f>
        <v>0.9355438622</v>
      </c>
    </row>
    <row r="8051">
      <c r="A8051" s="6">
        <v>8049.0</v>
      </c>
      <c r="B8051" s="17">
        <f t="array" ref="B8051">SUM(1-'Sparkling Model'!D$2:D$38^A8051)</f>
        <v>36.9340115</v>
      </c>
      <c r="C8051" s="8">
        <f t="array" ref="C8051">PRODUCT(1-'Sparkling Model'!D$2:D$38^A8051)</f>
        <v>0.9355758997</v>
      </c>
    </row>
    <row r="8052">
      <c r="A8052" s="6">
        <v>8050.0</v>
      </c>
      <c r="B8052" s="17">
        <f t="array" ref="B8052">SUM(1-'Sparkling Model'!D$2:D$38^A8052)</f>
        <v>36.93404512</v>
      </c>
      <c r="C8052" s="8">
        <f t="array" ref="C8052">PRODUCT(1-'Sparkling Model'!D$2:D$38^A8052)</f>
        <v>0.9356079214</v>
      </c>
    </row>
    <row r="8053">
      <c r="A8053" s="6">
        <v>8051.0</v>
      </c>
      <c r="B8053" s="17">
        <f t="array" ref="B8053">SUM(1-'Sparkling Model'!D$2:D$38^A8053)</f>
        <v>36.93407873</v>
      </c>
      <c r="C8053" s="8">
        <f t="array" ref="C8053">PRODUCT(1-'Sparkling Model'!D$2:D$38^A8053)</f>
        <v>0.9356399272</v>
      </c>
    </row>
    <row r="8054">
      <c r="A8054" s="6">
        <v>8052.0</v>
      </c>
      <c r="B8054" s="17">
        <f t="array" ref="B8054">SUM(1-'Sparkling Model'!D$2:D$38^A8054)</f>
        <v>36.93411232</v>
      </c>
      <c r="C8054" s="8">
        <f t="array" ref="C8054">PRODUCT(1-'Sparkling Model'!D$2:D$38^A8054)</f>
        <v>0.9356719171</v>
      </c>
    </row>
    <row r="8055">
      <c r="A8055" s="6">
        <v>8053.0</v>
      </c>
      <c r="B8055" s="17">
        <f t="array" ref="B8055">SUM(1-'Sparkling Model'!D$2:D$38^A8055)</f>
        <v>36.9341459</v>
      </c>
      <c r="C8055" s="8">
        <f t="array" ref="C8055">PRODUCT(1-'Sparkling Model'!D$2:D$38^A8055)</f>
        <v>0.9357038912</v>
      </c>
    </row>
    <row r="8056">
      <c r="A8056" s="6">
        <v>8054.0</v>
      </c>
      <c r="B8056" s="17">
        <f t="array" ref="B8056">SUM(1-'Sparkling Model'!D$2:D$38^A8056)</f>
        <v>36.93417945</v>
      </c>
      <c r="C8056" s="8">
        <f t="array" ref="C8056">PRODUCT(1-'Sparkling Model'!D$2:D$38^A8056)</f>
        <v>0.9357358494</v>
      </c>
    </row>
    <row r="8057">
      <c r="A8057" s="6">
        <v>8055.0</v>
      </c>
      <c r="B8057" s="17">
        <f t="array" ref="B8057">SUM(1-'Sparkling Model'!D$2:D$38^A8057)</f>
        <v>36.93421299</v>
      </c>
      <c r="C8057" s="8">
        <f t="array" ref="C8057">PRODUCT(1-'Sparkling Model'!D$2:D$38^A8057)</f>
        <v>0.9357677918</v>
      </c>
    </row>
    <row r="8058">
      <c r="A8058" s="6">
        <v>8056.0</v>
      </c>
      <c r="B8058" s="17">
        <f t="array" ref="B8058">SUM(1-'Sparkling Model'!D$2:D$38^A8058)</f>
        <v>36.93424651</v>
      </c>
      <c r="C8058" s="8">
        <f t="array" ref="C8058">PRODUCT(1-'Sparkling Model'!D$2:D$38^A8058)</f>
        <v>0.9357997183</v>
      </c>
    </row>
    <row r="8059">
      <c r="A8059" s="6">
        <v>8057.0</v>
      </c>
      <c r="B8059" s="17">
        <f t="array" ref="B8059">SUM(1-'Sparkling Model'!D$2:D$38^A8059)</f>
        <v>36.93428002</v>
      </c>
      <c r="C8059" s="8">
        <f t="array" ref="C8059">PRODUCT(1-'Sparkling Model'!D$2:D$38^A8059)</f>
        <v>0.935831629</v>
      </c>
    </row>
    <row r="8060">
      <c r="A8060" s="6">
        <v>8058.0</v>
      </c>
      <c r="B8060" s="17">
        <f t="array" ref="B8060">SUM(1-'Sparkling Model'!D$2:D$38^A8060)</f>
        <v>36.9343135</v>
      </c>
      <c r="C8060" s="8">
        <f t="array" ref="C8060">PRODUCT(1-'Sparkling Model'!D$2:D$38^A8060)</f>
        <v>0.9358635239</v>
      </c>
    </row>
    <row r="8061">
      <c r="A8061" s="6">
        <v>8059.0</v>
      </c>
      <c r="B8061" s="17">
        <f t="array" ref="B8061">SUM(1-'Sparkling Model'!D$2:D$38^A8061)</f>
        <v>36.93434697</v>
      </c>
      <c r="C8061" s="8">
        <f t="array" ref="C8061">PRODUCT(1-'Sparkling Model'!D$2:D$38^A8061)</f>
        <v>0.935895403</v>
      </c>
    </row>
    <row r="8062">
      <c r="A8062" s="6">
        <v>8060.0</v>
      </c>
      <c r="B8062" s="17">
        <f t="array" ref="B8062">SUM(1-'Sparkling Model'!D$2:D$38^A8062)</f>
        <v>36.93438042</v>
      </c>
      <c r="C8062" s="8">
        <f t="array" ref="C8062">PRODUCT(1-'Sparkling Model'!D$2:D$38^A8062)</f>
        <v>0.9359272663</v>
      </c>
    </row>
    <row r="8063">
      <c r="A8063" s="6">
        <v>8061.0</v>
      </c>
      <c r="B8063" s="17">
        <f t="array" ref="B8063">SUM(1-'Sparkling Model'!D$2:D$38^A8063)</f>
        <v>36.93441386</v>
      </c>
      <c r="C8063" s="8">
        <f t="array" ref="C8063">PRODUCT(1-'Sparkling Model'!D$2:D$38^A8063)</f>
        <v>0.9359591138</v>
      </c>
    </row>
    <row r="8064">
      <c r="A8064" s="6">
        <v>8062.0</v>
      </c>
      <c r="B8064" s="17">
        <f t="array" ref="B8064">SUM(1-'Sparkling Model'!D$2:D$38^A8064)</f>
        <v>36.93444727</v>
      </c>
      <c r="C8064" s="8">
        <f t="array" ref="C8064">PRODUCT(1-'Sparkling Model'!D$2:D$38^A8064)</f>
        <v>0.9359909455</v>
      </c>
    </row>
    <row r="8065">
      <c r="A8065" s="6">
        <v>8063.0</v>
      </c>
      <c r="B8065" s="17">
        <f t="array" ref="B8065">SUM(1-'Sparkling Model'!D$2:D$38^A8065)</f>
        <v>36.93448067</v>
      </c>
      <c r="C8065" s="8">
        <f t="array" ref="C8065">PRODUCT(1-'Sparkling Model'!D$2:D$38^A8065)</f>
        <v>0.9360227614</v>
      </c>
    </row>
    <row r="8066">
      <c r="A8066" s="6">
        <v>8064.0</v>
      </c>
      <c r="B8066" s="17">
        <f t="array" ref="B8066">SUM(1-'Sparkling Model'!D$2:D$38^A8066)</f>
        <v>36.93451406</v>
      </c>
      <c r="C8066" s="8">
        <f t="array" ref="C8066">PRODUCT(1-'Sparkling Model'!D$2:D$38^A8066)</f>
        <v>0.9360545616</v>
      </c>
    </row>
    <row r="8067">
      <c r="A8067" s="6">
        <v>8065.0</v>
      </c>
      <c r="B8067" s="17">
        <f t="array" ref="B8067">SUM(1-'Sparkling Model'!D$2:D$38^A8067)</f>
        <v>36.93454742</v>
      </c>
      <c r="C8067" s="8">
        <f t="array" ref="C8067">PRODUCT(1-'Sparkling Model'!D$2:D$38^A8067)</f>
        <v>0.936086346</v>
      </c>
    </row>
    <row r="8068">
      <c r="A8068" s="6">
        <v>8066.0</v>
      </c>
      <c r="B8068" s="17">
        <f t="array" ref="B8068">SUM(1-'Sparkling Model'!D$2:D$38^A8068)</f>
        <v>36.93458077</v>
      </c>
      <c r="C8068" s="8">
        <f t="array" ref="C8068">PRODUCT(1-'Sparkling Model'!D$2:D$38^A8068)</f>
        <v>0.9361181146</v>
      </c>
    </row>
    <row r="8069">
      <c r="A8069" s="6">
        <v>8067.0</v>
      </c>
      <c r="B8069" s="17">
        <f t="array" ref="B8069">SUM(1-'Sparkling Model'!D$2:D$38^A8069)</f>
        <v>36.9346141</v>
      </c>
      <c r="C8069" s="8">
        <f t="array" ref="C8069">PRODUCT(1-'Sparkling Model'!D$2:D$38^A8069)</f>
        <v>0.9361498675</v>
      </c>
    </row>
    <row r="8070">
      <c r="A8070" s="6">
        <v>8068.0</v>
      </c>
      <c r="B8070" s="17">
        <f t="array" ref="B8070">SUM(1-'Sparkling Model'!D$2:D$38^A8070)</f>
        <v>36.93464741</v>
      </c>
      <c r="C8070" s="8">
        <f t="array" ref="C8070">PRODUCT(1-'Sparkling Model'!D$2:D$38^A8070)</f>
        <v>0.9361816046</v>
      </c>
    </row>
    <row r="8071">
      <c r="A8071" s="6">
        <v>8069.0</v>
      </c>
      <c r="B8071" s="17">
        <f t="array" ref="B8071">SUM(1-'Sparkling Model'!D$2:D$38^A8071)</f>
        <v>36.9346807</v>
      </c>
      <c r="C8071" s="8">
        <f t="array" ref="C8071">PRODUCT(1-'Sparkling Model'!D$2:D$38^A8071)</f>
        <v>0.9362133261</v>
      </c>
    </row>
    <row r="8072">
      <c r="A8072" s="6">
        <v>8070.0</v>
      </c>
      <c r="B8072" s="17">
        <f t="array" ref="B8072">SUM(1-'Sparkling Model'!D$2:D$38^A8072)</f>
        <v>36.93471398</v>
      </c>
      <c r="C8072" s="8">
        <f t="array" ref="C8072">PRODUCT(1-'Sparkling Model'!D$2:D$38^A8072)</f>
        <v>0.9362450317</v>
      </c>
    </row>
    <row r="8073">
      <c r="A8073" s="6">
        <v>8071.0</v>
      </c>
      <c r="B8073" s="17">
        <f t="array" ref="B8073">SUM(1-'Sparkling Model'!D$2:D$38^A8073)</f>
        <v>36.93474724</v>
      </c>
      <c r="C8073" s="8">
        <f t="array" ref="C8073">PRODUCT(1-'Sparkling Model'!D$2:D$38^A8073)</f>
        <v>0.9362767217</v>
      </c>
    </row>
    <row r="8074">
      <c r="A8074" s="6">
        <v>8072.0</v>
      </c>
      <c r="B8074" s="17">
        <f t="array" ref="B8074">SUM(1-'Sparkling Model'!D$2:D$38^A8074)</f>
        <v>36.93478048</v>
      </c>
      <c r="C8074" s="8">
        <f t="array" ref="C8074">PRODUCT(1-'Sparkling Model'!D$2:D$38^A8074)</f>
        <v>0.936308396</v>
      </c>
    </row>
    <row r="8075">
      <c r="A8075" s="6">
        <v>8073.0</v>
      </c>
      <c r="B8075" s="17">
        <f t="array" ref="B8075">SUM(1-'Sparkling Model'!D$2:D$38^A8075)</f>
        <v>36.93481371</v>
      </c>
      <c r="C8075" s="8">
        <f t="array" ref="C8075">PRODUCT(1-'Sparkling Model'!D$2:D$38^A8075)</f>
        <v>0.9363400545</v>
      </c>
    </row>
    <row r="8076">
      <c r="A8076" s="6">
        <v>8074.0</v>
      </c>
      <c r="B8076" s="17">
        <f t="array" ref="B8076">SUM(1-'Sparkling Model'!D$2:D$38^A8076)</f>
        <v>36.93484692</v>
      </c>
      <c r="C8076" s="8">
        <f t="array" ref="C8076">PRODUCT(1-'Sparkling Model'!D$2:D$38^A8076)</f>
        <v>0.9363716974</v>
      </c>
    </row>
    <row r="8077">
      <c r="A8077" s="6">
        <v>8075.0</v>
      </c>
      <c r="B8077" s="17">
        <f t="array" ref="B8077">SUM(1-'Sparkling Model'!D$2:D$38^A8077)</f>
        <v>36.93488011</v>
      </c>
      <c r="C8077" s="8">
        <f t="array" ref="C8077">PRODUCT(1-'Sparkling Model'!D$2:D$38^A8077)</f>
        <v>0.9364033246</v>
      </c>
    </row>
    <row r="8078">
      <c r="A8078" s="6">
        <v>8076.0</v>
      </c>
      <c r="B8078" s="17">
        <f t="array" ref="B8078">SUM(1-'Sparkling Model'!D$2:D$38^A8078)</f>
        <v>36.93491328</v>
      </c>
      <c r="C8078" s="8">
        <f t="array" ref="C8078">PRODUCT(1-'Sparkling Model'!D$2:D$38^A8078)</f>
        <v>0.9364349361</v>
      </c>
    </row>
    <row r="8079">
      <c r="A8079" s="6">
        <v>8077.0</v>
      </c>
      <c r="B8079" s="17">
        <f t="array" ref="B8079">SUM(1-'Sparkling Model'!D$2:D$38^A8079)</f>
        <v>36.93494644</v>
      </c>
      <c r="C8079" s="8">
        <f t="array" ref="C8079">PRODUCT(1-'Sparkling Model'!D$2:D$38^A8079)</f>
        <v>0.9364665319</v>
      </c>
    </row>
    <row r="8080">
      <c r="A8080" s="6">
        <v>8078.0</v>
      </c>
      <c r="B8080" s="17">
        <f t="array" ref="B8080">SUM(1-'Sparkling Model'!D$2:D$38^A8080)</f>
        <v>36.93497958</v>
      </c>
      <c r="C8080" s="8">
        <f t="array" ref="C8080">PRODUCT(1-'Sparkling Model'!D$2:D$38^A8080)</f>
        <v>0.9364981121</v>
      </c>
    </row>
    <row r="8081">
      <c r="A8081" s="6">
        <v>8079.0</v>
      </c>
      <c r="B8081" s="17">
        <f t="array" ref="B8081">SUM(1-'Sparkling Model'!D$2:D$38^A8081)</f>
        <v>36.9350127</v>
      </c>
      <c r="C8081" s="8">
        <f t="array" ref="C8081">PRODUCT(1-'Sparkling Model'!D$2:D$38^A8081)</f>
        <v>0.9365296766</v>
      </c>
    </row>
    <row r="8082">
      <c r="A8082" s="6">
        <v>8080.0</v>
      </c>
      <c r="B8082" s="17">
        <f t="array" ref="B8082">SUM(1-'Sparkling Model'!D$2:D$38^A8082)</f>
        <v>36.9350458</v>
      </c>
      <c r="C8082" s="8">
        <f t="array" ref="C8082">PRODUCT(1-'Sparkling Model'!D$2:D$38^A8082)</f>
        <v>0.9365612254</v>
      </c>
    </row>
    <row r="8083">
      <c r="A8083" s="6">
        <v>8081.0</v>
      </c>
      <c r="B8083" s="17">
        <f t="array" ref="B8083">SUM(1-'Sparkling Model'!D$2:D$38^A8083)</f>
        <v>36.93507889</v>
      </c>
      <c r="C8083" s="8">
        <f t="array" ref="C8083">PRODUCT(1-'Sparkling Model'!D$2:D$38^A8083)</f>
        <v>0.9365927586</v>
      </c>
    </row>
    <row r="8084">
      <c r="A8084" s="6">
        <v>8082.0</v>
      </c>
      <c r="B8084" s="17">
        <f t="array" ref="B8084">SUM(1-'Sparkling Model'!D$2:D$38^A8084)</f>
        <v>36.93511196</v>
      </c>
      <c r="C8084" s="8">
        <f t="array" ref="C8084">PRODUCT(1-'Sparkling Model'!D$2:D$38^A8084)</f>
        <v>0.9366242762</v>
      </c>
    </row>
    <row r="8085">
      <c r="A8085" s="6">
        <v>8083.0</v>
      </c>
      <c r="B8085" s="17">
        <f t="array" ref="B8085">SUM(1-'Sparkling Model'!D$2:D$38^A8085)</f>
        <v>36.93514501</v>
      </c>
      <c r="C8085" s="8">
        <f t="array" ref="C8085">PRODUCT(1-'Sparkling Model'!D$2:D$38^A8085)</f>
        <v>0.9366557782</v>
      </c>
    </row>
    <row r="8086">
      <c r="A8086" s="6">
        <v>8084.0</v>
      </c>
      <c r="B8086" s="17">
        <f t="array" ref="B8086">SUM(1-'Sparkling Model'!D$2:D$38^A8086)</f>
        <v>36.93517805</v>
      </c>
      <c r="C8086" s="8">
        <f t="array" ref="C8086">PRODUCT(1-'Sparkling Model'!D$2:D$38^A8086)</f>
        <v>0.9366872645</v>
      </c>
    </row>
    <row r="8087">
      <c r="A8087" s="6">
        <v>8085.0</v>
      </c>
      <c r="B8087" s="17">
        <f t="array" ref="B8087">SUM(1-'Sparkling Model'!D$2:D$38^A8087)</f>
        <v>36.93521107</v>
      </c>
      <c r="C8087" s="8">
        <f t="array" ref="C8087">PRODUCT(1-'Sparkling Model'!D$2:D$38^A8087)</f>
        <v>0.9367187353</v>
      </c>
    </row>
    <row r="8088">
      <c r="A8088" s="6">
        <v>8086.0</v>
      </c>
      <c r="B8088" s="17">
        <f t="array" ref="B8088">SUM(1-'Sparkling Model'!D$2:D$38^A8088)</f>
        <v>36.93524407</v>
      </c>
      <c r="C8088" s="8">
        <f t="array" ref="C8088">PRODUCT(1-'Sparkling Model'!D$2:D$38^A8088)</f>
        <v>0.9367501904</v>
      </c>
    </row>
    <row r="8089">
      <c r="A8089" s="6">
        <v>8087.0</v>
      </c>
      <c r="B8089" s="17">
        <f t="array" ref="B8089">SUM(1-'Sparkling Model'!D$2:D$38^A8089)</f>
        <v>36.93527705</v>
      </c>
      <c r="C8089" s="8">
        <f t="array" ref="C8089">PRODUCT(1-'Sparkling Model'!D$2:D$38^A8089)</f>
        <v>0.9367816299</v>
      </c>
    </row>
    <row r="8090">
      <c r="A8090" s="6">
        <v>8088.0</v>
      </c>
      <c r="B8090" s="17">
        <f t="array" ref="B8090">SUM(1-'Sparkling Model'!D$2:D$38^A8090)</f>
        <v>36.93531002</v>
      </c>
      <c r="C8090" s="8">
        <f t="array" ref="C8090">PRODUCT(1-'Sparkling Model'!D$2:D$38^A8090)</f>
        <v>0.9368130539</v>
      </c>
    </row>
    <row r="8091">
      <c r="A8091" s="6">
        <v>8089.0</v>
      </c>
      <c r="B8091" s="17">
        <f t="array" ref="B8091">SUM(1-'Sparkling Model'!D$2:D$38^A8091)</f>
        <v>36.93534297</v>
      </c>
      <c r="C8091" s="8">
        <f t="array" ref="C8091">PRODUCT(1-'Sparkling Model'!D$2:D$38^A8091)</f>
        <v>0.9368444622</v>
      </c>
    </row>
    <row r="8092">
      <c r="A8092" s="6">
        <v>8090.0</v>
      </c>
      <c r="B8092" s="17">
        <f t="array" ref="B8092">SUM(1-'Sparkling Model'!D$2:D$38^A8092)</f>
        <v>36.9353759</v>
      </c>
      <c r="C8092" s="8">
        <f t="array" ref="C8092">PRODUCT(1-'Sparkling Model'!D$2:D$38^A8092)</f>
        <v>0.936875855</v>
      </c>
    </row>
    <row r="8093">
      <c r="A8093" s="6">
        <v>8091.0</v>
      </c>
      <c r="B8093" s="17">
        <f t="array" ref="B8093">SUM(1-'Sparkling Model'!D$2:D$38^A8093)</f>
        <v>36.93540882</v>
      </c>
      <c r="C8093" s="8">
        <f t="array" ref="C8093">PRODUCT(1-'Sparkling Model'!D$2:D$38^A8093)</f>
        <v>0.9369072323</v>
      </c>
    </row>
    <row r="8094">
      <c r="A8094" s="6">
        <v>8092.0</v>
      </c>
      <c r="B8094" s="17">
        <f t="array" ref="B8094">SUM(1-'Sparkling Model'!D$2:D$38^A8094)</f>
        <v>36.93544171</v>
      </c>
      <c r="C8094" s="8">
        <f t="array" ref="C8094">PRODUCT(1-'Sparkling Model'!D$2:D$38^A8094)</f>
        <v>0.9369385939</v>
      </c>
    </row>
    <row r="8095">
      <c r="A8095" s="6">
        <v>8093.0</v>
      </c>
      <c r="B8095" s="17">
        <f t="array" ref="B8095">SUM(1-'Sparkling Model'!D$2:D$38^A8095)</f>
        <v>36.93547459</v>
      </c>
      <c r="C8095" s="8">
        <f t="array" ref="C8095">PRODUCT(1-'Sparkling Model'!D$2:D$38^A8095)</f>
        <v>0.9369699401</v>
      </c>
    </row>
    <row r="8096">
      <c r="A8096" s="6">
        <v>8094.0</v>
      </c>
      <c r="B8096" s="17">
        <f t="array" ref="B8096">SUM(1-'Sparkling Model'!D$2:D$38^A8096)</f>
        <v>36.93550746</v>
      </c>
      <c r="C8096" s="8">
        <f t="array" ref="C8096">PRODUCT(1-'Sparkling Model'!D$2:D$38^A8096)</f>
        <v>0.9370012707</v>
      </c>
    </row>
    <row r="8097">
      <c r="A8097" s="6">
        <v>8095.0</v>
      </c>
      <c r="B8097" s="17">
        <f t="array" ref="B8097">SUM(1-'Sparkling Model'!D$2:D$38^A8097)</f>
        <v>36.9355403</v>
      </c>
      <c r="C8097" s="8">
        <f t="array" ref="C8097">PRODUCT(1-'Sparkling Model'!D$2:D$38^A8097)</f>
        <v>0.9370325857</v>
      </c>
    </row>
    <row r="8098">
      <c r="A8098" s="6">
        <v>8096.0</v>
      </c>
      <c r="B8098" s="17">
        <f t="array" ref="B8098">SUM(1-'Sparkling Model'!D$2:D$38^A8098)</f>
        <v>36.93557313</v>
      </c>
      <c r="C8098" s="8">
        <f t="array" ref="C8098">PRODUCT(1-'Sparkling Model'!D$2:D$38^A8098)</f>
        <v>0.9370638852</v>
      </c>
    </row>
    <row r="8099">
      <c r="A8099" s="6">
        <v>8097.0</v>
      </c>
      <c r="B8099" s="17">
        <f t="array" ref="B8099">SUM(1-'Sparkling Model'!D$2:D$38^A8099)</f>
        <v>36.93560595</v>
      </c>
      <c r="C8099" s="8">
        <f t="array" ref="C8099">PRODUCT(1-'Sparkling Model'!D$2:D$38^A8099)</f>
        <v>0.9370951692</v>
      </c>
    </row>
    <row r="8100">
      <c r="A8100" s="6">
        <v>8098.0</v>
      </c>
      <c r="B8100" s="17">
        <f t="array" ref="B8100">SUM(1-'Sparkling Model'!D$2:D$38^A8100)</f>
        <v>36.93563874</v>
      </c>
      <c r="C8100" s="8">
        <f t="array" ref="C8100">PRODUCT(1-'Sparkling Model'!D$2:D$38^A8100)</f>
        <v>0.9371264377</v>
      </c>
    </row>
    <row r="8101">
      <c r="A8101" s="6">
        <v>8099.0</v>
      </c>
      <c r="B8101" s="17">
        <f t="array" ref="B8101">SUM(1-'Sparkling Model'!D$2:D$38^A8101)</f>
        <v>36.93567152</v>
      </c>
      <c r="C8101" s="8">
        <f t="array" ref="C8101">PRODUCT(1-'Sparkling Model'!D$2:D$38^A8101)</f>
        <v>0.9371576907</v>
      </c>
    </row>
    <row r="8102">
      <c r="A8102" s="6">
        <v>8100.0</v>
      </c>
      <c r="B8102" s="17">
        <f t="array" ref="B8102">SUM(1-'Sparkling Model'!D$2:D$38^A8102)</f>
        <v>36.93570428</v>
      </c>
      <c r="C8102" s="8">
        <f t="array" ref="C8102">PRODUCT(1-'Sparkling Model'!D$2:D$38^A8102)</f>
        <v>0.9371889282</v>
      </c>
    </row>
    <row r="8103">
      <c r="A8103" s="6">
        <v>8101.0</v>
      </c>
      <c r="B8103" s="17">
        <f t="array" ref="B8103">SUM(1-'Sparkling Model'!D$2:D$38^A8103)</f>
        <v>36.93573702</v>
      </c>
      <c r="C8103" s="8">
        <f t="array" ref="C8103">PRODUCT(1-'Sparkling Model'!D$2:D$38^A8103)</f>
        <v>0.9372201502</v>
      </c>
    </row>
    <row r="8104">
      <c r="A8104" s="6">
        <v>8102.0</v>
      </c>
      <c r="B8104" s="17">
        <f t="array" ref="B8104">SUM(1-'Sparkling Model'!D$2:D$38^A8104)</f>
        <v>36.93576975</v>
      </c>
      <c r="C8104" s="8">
        <f t="array" ref="C8104">PRODUCT(1-'Sparkling Model'!D$2:D$38^A8104)</f>
        <v>0.9372513568</v>
      </c>
    </row>
    <row r="8105">
      <c r="A8105" s="6">
        <v>8103.0</v>
      </c>
      <c r="B8105" s="17">
        <f t="array" ref="B8105">SUM(1-'Sparkling Model'!D$2:D$38^A8105)</f>
        <v>36.93580246</v>
      </c>
      <c r="C8105" s="8">
        <f t="array" ref="C8105">PRODUCT(1-'Sparkling Model'!D$2:D$38^A8105)</f>
        <v>0.9372825478</v>
      </c>
    </row>
    <row r="8106">
      <c r="A8106" s="6">
        <v>8104.0</v>
      </c>
      <c r="B8106" s="17">
        <f t="array" ref="B8106">SUM(1-'Sparkling Model'!D$2:D$38^A8106)</f>
        <v>36.93583515</v>
      </c>
      <c r="C8106" s="8">
        <f t="array" ref="C8106">PRODUCT(1-'Sparkling Model'!D$2:D$38^A8106)</f>
        <v>0.9373137234</v>
      </c>
    </row>
    <row r="8107">
      <c r="A8107" s="6">
        <v>8105.0</v>
      </c>
      <c r="B8107" s="17">
        <f t="array" ref="B8107">SUM(1-'Sparkling Model'!D$2:D$38^A8107)</f>
        <v>36.93586783</v>
      </c>
      <c r="C8107" s="8">
        <f t="array" ref="C8107">PRODUCT(1-'Sparkling Model'!D$2:D$38^A8107)</f>
        <v>0.9373448836</v>
      </c>
    </row>
    <row r="8108">
      <c r="A8108" s="6">
        <v>8106.0</v>
      </c>
      <c r="B8108" s="17">
        <f t="array" ref="B8108">SUM(1-'Sparkling Model'!D$2:D$38^A8108)</f>
        <v>36.93590049</v>
      </c>
      <c r="C8108" s="8">
        <f t="array" ref="C8108">PRODUCT(1-'Sparkling Model'!D$2:D$38^A8108)</f>
        <v>0.9373760282</v>
      </c>
    </row>
    <row r="8109">
      <c r="A8109" s="6">
        <v>8107.0</v>
      </c>
      <c r="B8109" s="17">
        <f t="array" ref="B8109">SUM(1-'Sparkling Model'!D$2:D$38^A8109)</f>
        <v>36.93593313</v>
      </c>
      <c r="C8109" s="8">
        <f t="array" ref="C8109">PRODUCT(1-'Sparkling Model'!D$2:D$38^A8109)</f>
        <v>0.9374071575</v>
      </c>
    </row>
    <row r="8110">
      <c r="A8110" s="6">
        <v>8108.0</v>
      </c>
      <c r="B8110" s="17">
        <f t="array" ref="B8110">SUM(1-'Sparkling Model'!D$2:D$38^A8110)</f>
        <v>36.93596576</v>
      </c>
      <c r="C8110" s="8">
        <f t="array" ref="C8110">PRODUCT(1-'Sparkling Model'!D$2:D$38^A8110)</f>
        <v>0.9374382713</v>
      </c>
    </row>
    <row r="8111">
      <c r="A8111" s="6">
        <v>8109.0</v>
      </c>
      <c r="B8111" s="17">
        <f t="array" ref="B8111">SUM(1-'Sparkling Model'!D$2:D$38^A8111)</f>
        <v>36.93599836</v>
      </c>
      <c r="C8111" s="8">
        <f t="array" ref="C8111">PRODUCT(1-'Sparkling Model'!D$2:D$38^A8111)</f>
        <v>0.9374693697</v>
      </c>
    </row>
    <row r="8112">
      <c r="A8112" s="6">
        <v>8110.0</v>
      </c>
      <c r="B8112" s="17">
        <f t="array" ref="B8112">SUM(1-'Sparkling Model'!D$2:D$38^A8112)</f>
        <v>36.93603096</v>
      </c>
      <c r="C8112" s="8">
        <f t="array" ref="C8112">PRODUCT(1-'Sparkling Model'!D$2:D$38^A8112)</f>
        <v>0.9375004526</v>
      </c>
    </row>
    <row r="8113">
      <c r="A8113" s="6">
        <v>8111.0</v>
      </c>
      <c r="B8113" s="17">
        <f t="array" ref="B8113">SUM(1-'Sparkling Model'!D$2:D$38^A8113)</f>
        <v>36.93606353</v>
      </c>
      <c r="C8113" s="8">
        <f t="array" ref="C8113">PRODUCT(1-'Sparkling Model'!D$2:D$38^A8113)</f>
        <v>0.9375315202</v>
      </c>
    </row>
    <row r="8114">
      <c r="A8114" s="6">
        <v>8112.0</v>
      </c>
      <c r="B8114" s="17">
        <f t="array" ref="B8114">SUM(1-'Sparkling Model'!D$2:D$38^A8114)</f>
        <v>36.93609609</v>
      </c>
      <c r="C8114" s="8">
        <f t="array" ref="C8114">PRODUCT(1-'Sparkling Model'!D$2:D$38^A8114)</f>
        <v>0.9375625723</v>
      </c>
    </row>
    <row r="8115">
      <c r="A8115" s="6">
        <v>8113.0</v>
      </c>
      <c r="B8115" s="17">
        <f t="array" ref="B8115">SUM(1-'Sparkling Model'!D$2:D$38^A8115)</f>
        <v>36.93612863</v>
      </c>
      <c r="C8115" s="8">
        <f t="array" ref="C8115">PRODUCT(1-'Sparkling Model'!D$2:D$38^A8115)</f>
        <v>0.9375936091</v>
      </c>
    </row>
    <row r="8116">
      <c r="A8116" s="6">
        <v>8114.0</v>
      </c>
      <c r="B8116" s="17">
        <f t="array" ref="B8116">SUM(1-'Sparkling Model'!D$2:D$38^A8116)</f>
        <v>36.93616115</v>
      </c>
      <c r="C8116" s="8">
        <f t="array" ref="C8116">PRODUCT(1-'Sparkling Model'!D$2:D$38^A8116)</f>
        <v>0.9376246304</v>
      </c>
    </row>
    <row r="8117">
      <c r="A8117" s="6">
        <v>8115.0</v>
      </c>
      <c r="B8117" s="17">
        <f t="array" ref="B8117">SUM(1-'Sparkling Model'!D$2:D$38^A8117)</f>
        <v>36.93619365</v>
      </c>
      <c r="C8117" s="8">
        <f t="array" ref="C8117">PRODUCT(1-'Sparkling Model'!D$2:D$38^A8117)</f>
        <v>0.9376556364</v>
      </c>
    </row>
    <row r="8118">
      <c r="A8118" s="6">
        <v>8116.0</v>
      </c>
      <c r="B8118" s="17">
        <f t="array" ref="B8118">SUM(1-'Sparkling Model'!D$2:D$38^A8118)</f>
        <v>36.93622614</v>
      </c>
      <c r="C8118" s="8">
        <f t="array" ref="C8118">PRODUCT(1-'Sparkling Model'!D$2:D$38^A8118)</f>
        <v>0.937686627</v>
      </c>
    </row>
    <row r="8119">
      <c r="A8119" s="6">
        <v>8117.0</v>
      </c>
      <c r="B8119" s="17">
        <f t="array" ref="B8119">SUM(1-'Sparkling Model'!D$2:D$38^A8119)</f>
        <v>36.93625862</v>
      </c>
      <c r="C8119" s="8">
        <f t="array" ref="C8119">PRODUCT(1-'Sparkling Model'!D$2:D$38^A8119)</f>
        <v>0.9377176022</v>
      </c>
    </row>
    <row r="8120">
      <c r="A8120" s="6">
        <v>8118.0</v>
      </c>
      <c r="B8120" s="17">
        <f t="array" ref="B8120">SUM(1-'Sparkling Model'!D$2:D$38^A8120)</f>
        <v>36.93629107</v>
      </c>
      <c r="C8120" s="8">
        <f t="array" ref="C8120">PRODUCT(1-'Sparkling Model'!D$2:D$38^A8120)</f>
        <v>0.9377485621</v>
      </c>
    </row>
    <row r="8121">
      <c r="A8121" s="6">
        <v>8119.0</v>
      </c>
      <c r="B8121" s="17">
        <f t="array" ref="B8121">SUM(1-'Sparkling Model'!D$2:D$38^A8121)</f>
        <v>36.93632351</v>
      </c>
      <c r="C8121" s="8">
        <f t="array" ref="C8121">PRODUCT(1-'Sparkling Model'!D$2:D$38^A8121)</f>
        <v>0.9377795066</v>
      </c>
    </row>
    <row r="8122">
      <c r="A8122" s="6">
        <v>8120.0</v>
      </c>
      <c r="B8122" s="17">
        <f t="array" ref="B8122">SUM(1-'Sparkling Model'!D$2:D$38^A8122)</f>
        <v>36.93635593</v>
      </c>
      <c r="C8122" s="8">
        <f t="array" ref="C8122">PRODUCT(1-'Sparkling Model'!D$2:D$38^A8122)</f>
        <v>0.9378104358</v>
      </c>
    </row>
    <row r="8123">
      <c r="A8123" s="6">
        <v>8121.0</v>
      </c>
      <c r="B8123" s="17">
        <f t="array" ref="B8123">SUM(1-'Sparkling Model'!D$2:D$38^A8123)</f>
        <v>36.93638834</v>
      </c>
      <c r="C8123" s="8">
        <f t="array" ref="C8123">PRODUCT(1-'Sparkling Model'!D$2:D$38^A8123)</f>
        <v>0.9378413497</v>
      </c>
    </row>
    <row r="8124">
      <c r="A8124" s="6">
        <v>8122.0</v>
      </c>
      <c r="B8124" s="17">
        <f t="array" ref="B8124">SUM(1-'Sparkling Model'!D$2:D$38^A8124)</f>
        <v>36.93642072</v>
      </c>
      <c r="C8124" s="8">
        <f t="array" ref="C8124">PRODUCT(1-'Sparkling Model'!D$2:D$38^A8124)</f>
        <v>0.9378722482</v>
      </c>
    </row>
    <row r="8125">
      <c r="A8125" s="6">
        <v>8123.0</v>
      </c>
      <c r="B8125" s="17">
        <f t="array" ref="B8125">SUM(1-'Sparkling Model'!D$2:D$38^A8125)</f>
        <v>36.93645309</v>
      </c>
      <c r="C8125" s="8">
        <f t="array" ref="C8125">PRODUCT(1-'Sparkling Model'!D$2:D$38^A8125)</f>
        <v>0.9379031314</v>
      </c>
    </row>
    <row r="8126">
      <c r="A8126" s="6">
        <v>8124.0</v>
      </c>
      <c r="B8126" s="17">
        <f t="array" ref="B8126">SUM(1-'Sparkling Model'!D$2:D$38^A8126)</f>
        <v>36.93648545</v>
      </c>
      <c r="C8126" s="8">
        <f t="array" ref="C8126">PRODUCT(1-'Sparkling Model'!D$2:D$38^A8126)</f>
        <v>0.9379339992</v>
      </c>
    </row>
    <row r="8127">
      <c r="A8127" s="6">
        <v>8125.0</v>
      </c>
      <c r="B8127" s="17">
        <f t="array" ref="B8127">SUM(1-'Sparkling Model'!D$2:D$38^A8127)</f>
        <v>36.93651779</v>
      </c>
      <c r="C8127" s="8">
        <f t="array" ref="C8127">PRODUCT(1-'Sparkling Model'!D$2:D$38^A8127)</f>
        <v>0.9379648518</v>
      </c>
    </row>
    <row r="8128">
      <c r="A8128" s="6">
        <v>8126.0</v>
      </c>
      <c r="B8128" s="17">
        <f t="array" ref="B8128">SUM(1-'Sparkling Model'!D$2:D$38^A8128)</f>
        <v>36.93655011</v>
      </c>
      <c r="C8128" s="8">
        <f t="array" ref="C8128">PRODUCT(1-'Sparkling Model'!D$2:D$38^A8128)</f>
        <v>0.9379956891</v>
      </c>
    </row>
    <row r="8129">
      <c r="A8129" s="6">
        <v>8127.0</v>
      </c>
      <c r="B8129" s="17">
        <f t="array" ref="B8129">SUM(1-'Sparkling Model'!D$2:D$38^A8129)</f>
        <v>36.93658241</v>
      </c>
      <c r="C8129" s="8">
        <f t="array" ref="C8129">PRODUCT(1-'Sparkling Model'!D$2:D$38^A8129)</f>
        <v>0.9380265111</v>
      </c>
    </row>
    <row r="8130">
      <c r="A8130" s="6">
        <v>8128.0</v>
      </c>
      <c r="B8130" s="17">
        <f t="array" ref="B8130">SUM(1-'Sparkling Model'!D$2:D$38^A8130)</f>
        <v>36.9366147</v>
      </c>
      <c r="C8130" s="8">
        <f t="array" ref="C8130">PRODUCT(1-'Sparkling Model'!D$2:D$38^A8130)</f>
        <v>0.9380573177</v>
      </c>
    </row>
    <row r="8131">
      <c r="A8131" s="6">
        <v>8129.0</v>
      </c>
      <c r="B8131" s="17">
        <f t="array" ref="B8131">SUM(1-'Sparkling Model'!D$2:D$38^A8131)</f>
        <v>36.93664697</v>
      </c>
      <c r="C8131" s="8">
        <f t="array" ref="C8131">PRODUCT(1-'Sparkling Model'!D$2:D$38^A8131)</f>
        <v>0.9380881092</v>
      </c>
    </row>
    <row r="8132">
      <c r="A8132" s="6">
        <v>8130.0</v>
      </c>
      <c r="B8132" s="17">
        <f t="array" ref="B8132">SUM(1-'Sparkling Model'!D$2:D$38^A8132)</f>
        <v>36.93667922</v>
      </c>
      <c r="C8132" s="8">
        <f t="array" ref="C8132">PRODUCT(1-'Sparkling Model'!D$2:D$38^A8132)</f>
        <v>0.9381188853</v>
      </c>
    </row>
    <row r="8133">
      <c r="A8133" s="6">
        <v>8131.0</v>
      </c>
      <c r="B8133" s="17">
        <f t="array" ref="B8133">SUM(1-'Sparkling Model'!D$2:D$38^A8133)</f>
        <v>36.93671146</v>
      </c>
      <c r="C8133" s="8">
        <f t="array" ref="C8133">PRODUCT(1-'Sparkling Model'!D$2:D$38^A8133)</f>
        <v>0.9381496462</v>
      </c>
    </row>
    <row r="8134">
      <c r="A8134" s="6">
        <v>8132.0</v>
      </c>
      <c r="B8134" s="17">
        <f t="array" ref="B8134">SUM(1-'Sparkling Model'!D$2:D$38^A8134)</f>
        <v>36.93674368</v>
      </c>
      <c r="C8134" s="8">
        <f t="array" ref="C8134">PRODUCT(1-'Sparkling Model'!D$2:D$38^A8134)</f>
        <v>0.9381803918</v>
      </c>
    </row>
    <row r="8135">
      <c r="A8135" s="6">
        <v>8133.0</v>
      </c>
      <c r="B8135" s="17">
        <f t="array" ref="B8135">SUM(1-'Sparkling Model'!D$2:D$38^A8135)</f>
        <v>36.93677588</v>
      </c>
      <c r="C8135" s="8">
        <f t="array" ref="C8135">PRODUCT(1-'Sparkling Model'!D$2:D$38^A8135)</f>
        <v>0.9382111222</v>
      </c>
    </row>
    <row r="8136">
      <c r="A8136" s="6">
        <v>8134.0</v>
      </c>
      <c r="B8136" s="17">
        <f t="array" ref="B8136">SUM(1-'Sparkling Model'!D$2:D$38^A8136)</f>
        <v>36.93680806</v>
      </c>
      <c r="C8136" s="8">
        <f t="array" ref="C8136">PRODUCT(1-'Sparkling Model'!D$2:D$38^A8136)</f>
        <v>0.9382418374</v>
      </c>
    </row>
    <row r="8137">
      <c r="A8137" s="6">
        <v>8135.0</v>
      </c>
      <c r="B8137" s="17">
        <f t="array" ref="B8137">SUM(1-'Sparkling Model'!D$2:D$38^A8137)</f>
        <v>36.93684023</v>
      </c>
      <c r="C8137" s="8">
        <f t="array" ref="C8137">PRODUCT(1-'Sparkling Model'!D$2:D$38^A8137)</f>
        <v>0.9382725373</v>
      </c>
    </row>
    <row r="8138">
      <c r="A8138" s="6">
        <v>8136.0</v>
      </c>
      <c r="B8138" s="17">
        <f t="array" ref="B8138">SUM(1-'Sparkling Model'!D$2:D$38^A8138)</f>
        <v>36.93687239</v>
      </c>
      <c r="C8138" s="8">
        <f t="array" ref="C8138">PRODUCT(1-'Sparkling Model'!D$2:D$38^A8138)</f>
        <v>0.938303222</v>
      </c>
    </row>
    <row r="8139">
      <c r="A8139" s="6">
        <v>8137.0</v>
      </c>
      <c r="B8139" s="17">
        <f t="array" ref="B8139">SUM(1-'Sparkling Model'!D$2:D$38^A8139)</f>
        <v>36.93690452</v>
      </c>
      <c r="C8139" s="8">
        <f t="array" ref="C8139">PRODUCT(1-'Sparkling Model'!D$2:D$38^A8139)</f>
        <v>0.9383338915</v>
      </c>
    </row>
    <row r="8140">
      <c r="A8140" s="6">
        <v>8138.0</v>
      </c>
      <c r="B8140" s="17">
        <f t="array" ref="B8140">SUM(1-'Sparkling Model'!D$2:D$38^A8140)</f>
        <v>36.93693664</v>
      </c>
      <c r="C8140" s="8">
        <f t="array" ref="C8140">PRODUCT(1-'Sparkling Model'!D$2:D$38^A8140)</f>
        <v>0.9383645457</v>
      </c>
    </row>
    <row r="8141">
      <c r="A8141" s="6">
        <v>8139.0</v>
      </c>
      <c r="B8141" s="17">
        <f t="array" ref="B8141">SUM(1-'Sparkling Model'!D$2:D$38^A8141)</f>
        <v>36.93696874</v>
      </c>
      <c r="C8141" s="8">
        <f t="array" ref="C8141">PRODUCT(1-'Sparkling Model'!D$2:D$38^A8141)</f>
        <v>0.9383951848</v>
      </c>
    </row>
    <row r="8142">
      <c r="A8142" s="6">
        <v>8140.0</v>
      </c>
      <c r="B8142" s="17">
        <f t="array" ref="B8142">SUM(1-'Sparkling Model'!D$2:D$38^A8142)</f>
        <v>36.93700083</v>
      </c>
      <c r="C8142" s="8">
        <f t="array" ref="C8142">PRODUCT(1-'Sparkling Model'!D$2:D$38^A8142)</f>
        <v>0.9384258087</v>
      </c>
    </row>
    <row r="8143">
      <c r="A8143" s="6">
        <v>8141.0</v>
      </c>
      <c r="B8143" s="17">
        <f t="array" ref="B8143">SUM(1-'Sparkling Model'!D$2:D$38^A8143)</f>
        <v>36.9370329</v>
      </c>
      <c r="C8143" s="8">
        <f t="array" ref="C8143">PRODUCT(1-'Sparkling Model'!D$2:D$38^A8143)</f>
        <v>0.9384564173</v>
      </c>
    </row>
    <row r="8144">
      <c r="A8144" s="6">
        <v>8142.0</v>
      </c>
      <c r="B8144" s="17">
        <f t="array" ref="B8144">SUM(1-'Sparkling Model'!D$2:D$38^A8144)</f>
        <v>36.93706495</v>
      </c>
      <c r="C8144" s="8">
        <f t="array" ref="C8144">PRODUCT(1-'Sparkling Model'!D$2:D$38^A8144)</f>
        <v>0.9384870108</v>
      </c>
    </row>
    <row r="8145">
      <c r="A8145" s="6">
        <v>8143.0</v>
      </c>
      <c r="B8145" s="17">
        <f t="array" ref="B8145">SUM(1-'Sparkling Model'!D$2:D$38^A8145)</f>
        <v>36.93709699</v>
      </c>
      <c r="C8145" s="8">
        <f t="array" ref="C8145">PRODUCT(1-'Sparkling Model'!D$2:D$38^A8145)</f>
        <v>0.9385175892</v>
      </c>
    </row>
    <row r="8146">
      <c r="A8146" s="6">
        <v>8144.0</v>
      </c>
      <c r="B8146" s="17">
        <f t="array" ref="B8146">SUM(1-'Sparkling Model'!D$2:D$38^A8146)</f>
        <v>36.937129</v>
      </c>
      <c r="C8146" s="8">
        <f t="array" ref="C8146">PRODUCT(1-'Sparkling Model'!D$2:D$38^A8146)</f>
        <v>0.9385481523</v>
      </c>
    </row>
    <row r="8147">
      <c r="A8147" s="6">
        <v>8145.0</v>
      </c>
      <c r="B8147" s="17">
        <f t="array" ref="B8147">SUM(1-'Sparkling Model'!D$2:D$38^A8147)</f>
        <v>36.93716101</v>
      </c>
      <c r="C8147" s="8">
        <f t="array" ref="C8147">PRODUCT(1-'Sparkling Model'!D$2:D$38^A8147)</f>
        <v>0.9385787003</v>
      </c>
    </row>
    <row r="8148">
      <c r="A8148" s="6">
        <v>8146.0</v>
      </c>
      <c r="B8148" s="17">
        <f t="array" ref="B8148">SUM(1-'Sparkling Model'!D$2:D$38^A8148)</f>
        <v>36.93719299</v>
      </c>
      <c r="C8148" s="8">
        <f t="array" ref="C8148">PRODUCT(1-'Sparkling Model'!D$2:D$38^A8148)</f>
        <v>0.9386092332</v>
      </c>
    </row>
    <row r="8149">
      <c r="A8149" s="6">
        <v>8147.0</v>
      </c>
      <c r="B8149" s="17">
        <f t="array" ref="B8149">SUM(1-'Sparkling Model'!D$2:D$38^A8149)</f>
        <v>36.93722496</v>
      </c>
      <c r="C8149" s="8">
        <f t="array" ref="C8149">PRODUCT(1-'Sparkling Model'!D$2:D$38^A8149)</f>
        <v>0.9386397509</v>
      </c>
    </row>
    <row r="8150">
      <c r="A8150" s="6">
        <v>8148.0</v>
      </c>
      <c r="B8150" s="17">
        <f t="array" ref="B8150">SUM(1-'Sparkling Model'!D$2:D$38^A8150)</f>
        <v>36.93725691</v>
      </c>
      <c r="C8150" s="8">
        <f t="array" ref="C8150">PRODUCT(1-'Sparkling Model'!D$2:D$38^A8150)</f>
        <v>0.9386702535</v>
      </c>
    </row>
    <row r="8151">
      <c r="A8151" s="6">
        <v>8149.0</v>
      </c>
      <c r="B8151" s="17">
        <f t="array" ref="B8151">SUM(1-'Sparkling Model'!D$2:D$38^A8151)</f>
        <v>36.93728885</v>
      </c>
      <c r="C8151" s="8">
        <f t="array" ref="C8151">PRODUCT(1-'Sparkling Model'!D$2:D$38^A8151)</f>
        <v>0.938700741</v>
      </c>
    </row>
    <row r="8152">
      <c r="A8152" s="6">
        <v>8150.0</v>
      </c>
      <c r="B8152" s="17">
        <f t="array" ref="B8152">SUM(1-'Sparkling Model'!D$2:D$38^A8152)</f>
        <v>36.93732077</v>
      </c>
      <c r="C8152" s="8">
        <f t="array" ref="C8152">PRODUCT(1-'Sparkling Model'!D$2:D$38^A8152)</f>
        <v>0.9387312133</v>
      </c>
    </row>
    <row r="8153">
      <c r="A8153" s="6">
        <v>8151.0</v>
      </c>
      <c r="B8153" s="17">
        <f t="array" ref="B8153">SUM(1-'Sparkling Model'!D$2:D$38^A8153)</f>
        <v>36.93735267</v>
      </c>
      <c r="C8153" s="8">
        <f t="array" ref="C8153">PRODUCT(1-'Sparkling Model'!D$2:D$38^A8153)</f>
        <v>0.9387616705</v>
      </c>
    </row>
    <row r="8154">
      <c r="A8154" s="6">
        <v>8152.0</v>
      </c>
      <c r="B8154" s="17">
        <f t="array" ref="B8154">SUM(1-'Sparkling Model'!D$2:D$38^A8154)</f>
        <v>36.93738456</v>
      </c>
      <c r="C8154" s="8">
        <f t="array" ref="C8154">PRODUCT(1-'Sparkling Model'!D$2:D$38^A8154)</f>
        <v>0.9387921126</v>
      </c>
    </row>
    <row r="8155">
      <c r="A8155" s="6">
        <v>8153.0</v>
      </c>
      <c r="B8155" s="17">
        <f t="array" ref="B8155">SUM(1-'Sparkling Model'!D$2:D$38^A8155)</f>
        <v>36.93741643</v>
      </c>
      <c r="C8155" s="8">
        <f t="array" ref="C8155">PRODUCT(1-'Sparkling Model'!D$2:D$38^A8155)</f>
        <v>0.9388225397</v>
      </c>
    </row>
    <row r="8156">
      <c r="A8156" s="6">
        <v>8154.0</v>
      </c>
      <c r="B8156" s="17">
        <f t="array" ref="B8156">SUM(1-'Sparkling Model'!D$2:D$38^A8156)</f>
        <v>36.93744828</v>
      </c>
      <c r="C8156" s="8">
        <f t="array" ref="C8156">PRODUCT(1-'Sparkling Model'!D$2:D$38^A8156)</f>
        <v>0.9388529516</v>
      </c>
    </row>
    <row r="8157">
      <c r="A8157" s="6">
        <v>8155.0</v>
      </c>
      <c r="B8157" s="17">
        <f t="array" ref="B8157">SUM(1-'Sparkling Model'!D$2:D$38^A8157)</f>
        <v>36.93748011</v>
      </c>
      <c r="C8157" s="8">
        <f t="array" ref="C8157">PRODUCT(1-'Sparkling Model'!D$2:D$38^A8157)</f>
        <v>0.9388833484</v>
      </c>
    </row>
    <row r="8158">
      <c r="A8158" s="6">
        <v>8156.0</v>
      </c>
      <c r="B8158" s="17">
        <f t="array" ref="B8158">SUM(1-'Sparkling Model'!D$2:D$38^A8158)</f>
        <v>36.93751193</v>
      </c>
      <c r="C8158" s="8">
        <f t="array" ref="C8158">PRODUCT(1-'Sparkling Model'!D$2:D$38^A8158)</f>
        <v>0.9389137302</v>
      </c>
    </row>
    <row r="8159">
      <c r="A8159" s="6">
        <v>8157.0</v>
      </c>
      <c r="B8159" s="17">
        <f t="array" ref="B8159">SUM(1-'Sparkling Model'!D$2:D$38^A8159)</f>
        <v>36.93754374</v>
      </c>
      <c r="C8159" s="8">
        <f t="array" ref="C8159">PRODUCT(1-'Sparkling Model'!D$2:D$38^A8159)</f>
        <v>0.9389440969</v>
      </c>
    </row>
    <row r="8160">
      <c r="A8160" s="6">
        <v>8158.0</v>
      </c>
      <c r="B8160" s="17">
        <f t="array" ref="B8160">SUM(1-'Sparkling Model'!D$2:D$38^A8160)</f>
        <v>36.93757552</v>
      </c>
      <c r="C8160" s="8">
        <f t="array" ref="C8160">PRODUCT(1-'Sparkling Model'!D$2:D$38^A8160)</f>
        <v>0.9389744486</v>
      </c>
    </row>
    <row r="8161">
      <c r="A8161" s="6">
        <v>8159.0</v>
      </c>
      <c r="B8161" s="17">
        <f t="array" ref="B8161">SUM(1-'Sparkling Model'!D$2:D$38^A8161)</f>
        <v>36.93760729</v>
      </c>
      <c r="C8161" s="8">
        <f t="array" ref="C8161">PRODUCT(1-'Sparkling Model'!D$2:D$38^A8161)</f>
        <v>0.9390047851</v>
      </c>
    </row>
    <row r="8162">
      <c r="A8162" s="6">
        <v>8160.0</v>
      </c>
      <c r="B8162" s="17">
        <f t="array" ref="B8162">SUM(1-'Sparkling Model'!D$2:D$38^A8162)</f>
        <v>36.93763905</v>
      </c>
      <c r="C8162" s="8">
        <f t="array" ref="C8162">PRODUCT(1-'Sparkling Model'!D$2:D$38^A8162)</f>
        <v>0.9390351067</v>
      </c>
    </row>
    <row r="8163">
      <c r="A8163" s="6">
        <v>8161.0</v>
      </c>
      <c r="B8163" s="17">
        <f t="array" ref="B8163">SUM(1-'Sparkling Model'!D$2:D$38^A8163)</f>
        <v>36.93767078</v>
      </c>
      <c r="C8163" s="8">
        <f t="array" ref="C8163">PRODUCT(1-'Sparkling Model'!D$2:D$38^A8163)</f>
        <v>0.9390654132</v>
      </c>
    </row>
    <row r="8164">
      <c r="A8164" s="6">
        <v>8162.0</v>
      </c>
      <c r="B8164" s="17">
        <f t="array" ref="B8164">SUM(1-'Sparkling Model'!D$2:D$38^A8164)</f>
        <v>36.9377025</v>
      </c>
      <c r="C8164" s="8">
        <f t="array" ref="C8164">PRODUCT(1-'Sparkling Model'!D$2:D$38^A8164)</f>
        <v>0.9390957047</v>
      </c>
    </row>
    <row r="8165">
      <c r="A8165" s="6">
        <v>8163.0</v>
      </c>
      <c r="B8165" s="17">
        <f t="array" ref="B8165">SUM(1-'Sparkling Model'!D$2:D$38^A8165)</f>
        <v>36.93773421</v>
      </c>
      <c r="C8165" s="8">
        <f t="array" ref="C8165">PRODUCT(1-'Sparkling Model'!D$2:D$38^A8165)</f>
        <v>0.9391259811</v>
      </c>
    </row>
    <row r="8166">
      <c r="A8166" s="6">
        <v>8164.0</v>
      </c>
      <c r="B8166" s="17">
        <f t="array" ref="B8166">SUM(1-'Sparkling Model'!D$2:D$38^A8166)</f>
        <v>36.93776589</v>
      </c>
      <c r="C8166" s="8">
        <f t="array" ref="C8166">PRODUCT(1-'Sparkling Model'!D$2:D$38^A8166)</f>
        <v>0.9391562426</v>
      </c>
    </row>
    <row r="8167">
      <c r="A8167" s="6">
        <v>8165.0</v>
      </c>
      <c r="B8167" s="17">
        <f t="array" ref="B8167">SUM(1-'Sparkling Model'!D$2:D$38^A8167)</f>
        <v>36.93779756</v>
      </c>
      <c r="C8167" s="8">
        <f t="array" ref="C8167">PRODUCT(1-'Sparkling Model'!D$2:D$38^A8167)</f>
        <v>0.939186489</v>
      </c>
    </row>
    <row r="8168">
      <c r="A8168" s="6">
        <v>8166.0</v>
      </c>
      <c r="B8168" s="17">
        <f t="array" ref="B8168">SUM(1-'Sparkling Model'!D$2:D$38^A8168)</f>
        <v>36.93782922</v>
      </c>
      <c r="C8168" s="8">
        <f t="array" ref="C8168">PRODUCT(1-'Sparkling Model'!D$2:D$38^A8168)</f>
        <v>0.9392167204</v>
      </c>
    </row>
    <row r="8169">
      <c r="A8169" s="6">
        <v>8167.0</v>
      </c>
      <c r="B8169" s="17">
        <f t="array" ref="B8169">SUM(1-'Sparkling Model'!D$2:D$38^A8169)</f>
        <v>36.93786086</v>
      </c>
      <c r="C8169" s="8">
        <f t="array" ref="C8169">PRODUCT(1-'Sparkling Model'!D$2:D$38^A8169)</f>
        <v>0.9392469368</v>
      </c>
    </row>
    <row r="8170">
      <c r="A8170" s="6">
        <v>8168.0</v>
      </c>
      <c r="B8170" s="17">
        <f t="array" ref="B8170">SUM(1-'Sparkling Model'!D$2:D$38^A8170)</f>
        <v>36.93789248</v>
      </c>
      <c r="C8170" s="8">
        <f t="array" ref="C8170">PRODUCT(1-'Sparkling Model'!D$2:D$38^A8170)</f>
        <v>0.9392771383</v>
      </c>
    </row>
    <row r="8171">
      <c r="A8171" s="6">
        <v>8169.0</v>
      </c>
      <c r="B8171" s="17">
        <f t="array" ref="B8171">SUM(1-'Sparkling Model'!D$2:D$38^A8171)</f>
        <v>36.93792408</v>
      </c>
      <c r="C8171" s="8">
        <f t="array" ref="C8171">PRODUCT(1-'Sparkling Model'!D$2:D$38^A8171)</f>
        <v>0.9393073247</v>
      </c>
    </row>
    <row r="8172">
      <c r="A8172" s="6">
        <v>8170.0</v>
      </c>
      <c r="B8172" s="17">
        <f t="array" ref="B8172">SUM(1-'Sparkling Model'!D$2:D$38^A8172)</f>
        <v>36.93795567</v>
      </c>
      <c r="C8172" s="8">
        <f t="array" ref="C8172">PRODUCT(1-'Sparkling Model'!D$2:D$38^A8172)</f>
        <v>0.9393374962</v>
      </c>
    </row>
    <row r="8173">
      <c r="A8173" s="6">
        <v>8171.0</v>
      </c>
      <c r="B8173" s="17">
        <f t="array" ref="B8173">SUM(1-'Sparkling Model'!D$2:D$38^A8173)</f>
        <v>36.93798724</v>
      </c>
      <c r="C8173" s="8">
        <f t="array" ref="C8173">PRODUCT(1-'Sparkling Model'!D$2:D$38^A8173)</f>
        <v>0.9393676528</v>
      </c>
    </row>
    <row r="8174">
      <c r="A8174" s="6">
        <v>8172.0</v>
      </c>
      <c r="B8174" s="17">
        <f t="array" ref="B8174">SUM(1-'Sparkling Model'!D$2:D$38^A8174)</f>
        <v>36.9380188</v>
      </c>
      <c r="C8174" s="8">
        <f t="array" ref="C8174">PRODUCT(1-'Sparkling Model'!D$2:D$38^A8174)</f>
        <v>0.9393977943</v>
      </c>
    </row>
    <row r="8175">
      <c r="A8175" s="6">
        <v>8173.0</v>
      </c>
      <c r="B8175" s="17">
        <f t="array" ref="B8175">SUM(1-'Sparkling Model'!D$2:D$38^A8175)</f>
        <v>36.93805034</v>
      </c>
      <c r="C8175" s="8">
        <f t="array" ref="C8175">PRODUCT(1-'Sparkling Model'!D$2:D$38^A8175)</f>
        <v>0.9394279209</v>
      </c>
    </row>
    <row r="8176">
      <c r="A8176" s="6">
        <v>8174.0</v>
      </c>
      <c r="B8176" s="17">
        <f t="array" ref="B8176">SUM(1-'Sparkling Model'!D$2:D$38^A8176)</f>
        <v>36.93808186</v>
      </c>
      <c r="C8176" s="8">
        <f t="array" ref="C8176">PRODUCT(1-'Sparkling Model'!D$2:D$38^A8176)</f>
        <v>0.9394580326</v>
      </c>
    </row>
    <row r="8177">
      <c r="A8177" s="6">
        <v>8175.0</v>
      </c>
      <c r="B8177" s="17">
        <f t="array" ref="B8177">SUM(1-'Sparkling Model'!D$2:D$38^A8177)</f>
        <v>36.93811337</v>
      </c>
      <c r="C8177" s="8">
        <f t="array" ref="C8177">PRODUCT(1-'Sparkling Model'!D$2:D$38^A8177)</f>
        <v>0.9394881294</v>
      </c>
    </row>
    <row r="8178">
      <c r="A8178" s="6">
        <v>8176.0</v>
      </c>
      <c r="B8178" s="17">
        <f t="array" ref="B8178">SUM(1-'Sparkling Model'!D$2:D$38^A8178)</f>
        <v>36.93814486</v>
      </c>
      <c r="C8178" s="8">
        <f t="array" ref="C8178">PRODUCT(1-'Sparkling Model'!D$2:D$38^A8178)</f>
        <v>0.9395182112</v>
      </c>
    </row>
    <row r="8179">
      <c r="A8179" s="6">
        <v>8177.0</v>
      </c>
      <c r="B8179" s="17">
        <f t="array" ref="B8179">SUM(1-'Sparkling Model'!D$2:D$38^A8179)</f>
        <v>36.93817633</v>
      </c>
      <c r="C8179" s="8">
        <f t="array" ref="C8179">PRODUCT(1-'Sparkling Model'!D$2:D$38^A8179)</f>
        <v>0.9395482781</v>
      </c>
    </row>
    <row r="8180">
      <c r="A8180" s="6">
        <v>8178.0</v>
      </c>
      <c r="B8180" s="17">
        <f t="array" ref="B8180">SUM(1-'Sparkling Model'!D$2:D$38^A8180)</f>
        <v>36.93820779</v>
      </c>
      <c r="C8180" s="8">
        <f t="array" ref="C8180">PRODUCT(1-'Sparkling Model'!D$2:D$38^A8180)</f>
        <v>0.93957833</v>
      </c>
    </row>
    <row r="8181">
      <c r="A8181" s="6">
        <v>8179.0</v>
      </c>
      <c r="B8181" s="17">
        <f t="array" ref="B8181">SUM(1-'Sparkling Model'!D$2:D$38^A8181)</f>
        <v>36.93823923</v>
      </c>
      <c r="C8181" s="8">
        <f t="array" ref="C8181">PRODUCT(1-'Sparkling Model'!D$2:D$38^A8181)</f>
        <v>0.9396083671</v>
      </c>
    </row>
    <row r="8182">
      <c r="A8182" s="6">
        <v>8180.0</v>
      </c>
      <c r="B8182" s="17">
        <f t="array" ref="B8182">SUM(1-'Sparkling Model'!D$2:D$38^A8182)</f>
        <v>36.93827065</v>
      </c>
      <c r="C8182" s="8">
        <f t="array" ref="C8182">PRODUCT(1-'Sparkling Model'!D$2:D$38^A8182)</f>
        <v>0.9396383893</v>
      </c>
    </row>
    <row r="8183">
      <c r="A8183" s="6">
        <v>8181.0</v>
      </c>
      <c r="B8183" s="17">
        <f t="array" ref="B8183">SUM(1-'Sparkling Model'!D$2:D$38^A8183)</f>
        <v>36.93830206</v>
      </c>
      <c r="C8183" s="8">
        <f t="array" ref="C8183">PRODUCT(1-'Sparkling Model'!D$2:D$38^A8183)</f>
        <v>0.9396683966</v>
      </c>
    </row>
    <row r="8184">
      <c r="A8184" s="6">
        <v>8182.0</v>
      </c>
      <c r="B8184" s="17">
        <f t="array" ref="B8184">SUM(1-'Sparkling Model'!D$2:D$38^A8184)</f>
        <v>36.93833345</v>
      </c>
      <c r="C8184" s="8">
        <f t="array" ref="C8184">PRODUCT(1-'Sparkling Model'!D$2:D$38^A8184)</f>
        <v>0.939698389</v>
      </c>
    </row>
    <row r="8185">
      <c r="A8185" s="6">
        <v>8183.0</v>
      </c>
      <c r="B8185" s="17">
        <f t="array" ref="B8185">SUM(1-'Sparkling Model'!D$2:D$38^A8185)</f>
        <v>36.93836483</v>
      </c>
      <c r="C8185" s="8">
        <f t="array" ref="C8185">PRODUCT(1-'Sparkling Model'!D$2:D$38^A8185)</f>
        <v>0.9397283665</v>
      </c>
    </row>
    <row r="8186">
      <c r="A8186" s="6">
        <v>8184.0</v>
      </c>
      <c r="B8186" s="17">
        <f t="array" ref="B8186">SUM(1-'Sparkling Model'!D$2:D$38^A8186)</f>
        <v>36.93839619</v>
      </c>
      <c r="C8186" s="8">
        <f t="array" ref="C8186">PRODUCT(1-'Sparkling Model'!D$2:D$38^A8186)</f>
        <v>0.9397583291</v>
      </c>
    </row>
    <row r="8187">
      <c r="A8187" s="6">
        <v>8185.0</v>
      </c>
      <c r="B8187" s="17">
        <f t="array" ref="B8187">SUM(1-'Sparkling Model'!D$2:D$38^A8187)</f>
        <v>36.93842753</v>
      </c>
      <c r="C8187" s="8">
        <f t="array" ref="C8187">PRODUCT(1-'Sparkling Model'!D$2:D$38^A8187)</f>
        <v>0.9397882769</v>
      </c>
    </row>
    <row r="8188">
      <c r="A8188" s="6">
        <v>8186.0</v>
      </c>
      <c r="B8188" s="17">
        <f t="array" ref="B8188">SUM(1-'Sparkling Model'!D$2:D$38^A8188)</f>
        <v>36.93845886</v>
      </c>
      <c r="C8188" s="8">
        <f t="array" ref="C8188">PRODUCT(1-'Sparkling Model'!D$2:D$38^A8188)</f>
        <v>0.9398182098</v>
      </c>
    </row>
    <row r="8189">
      <c r="A8189" s="6">
        <v>8187.0</v>
      </c>
      <c r="B8189" s="17">
        <f t="array" ref="B8189">SUM(1-'Sparkling Model'!D$2:D$38^A8189)</f>
        <v>36.93849017</v>
      </c>
      <c r="C8189" s="8">
        <f t="array" ref="C8189">PRODUCT(1-'Sparkling Model'!D$2:D$38^A8189)</f>
        <v>0.9398481279</v>
      </c>
    </row>
    <row r="8190">
      <c r="A8190" s="6">
        <v>8188.0</v>
      </c>
      <c r="B8190" s="17">
        <f t="array" ref="B8190">SUM(1-'Sparkling Model'!D$2:D$38^A8190)</f>
        <v>36.93852146</v>
      </c>
      <c r="C8190" s="8">
        <f t="array" ref="C8190">PRODUCT(1-'Sparkling Model'!D$2:D$38^A8190)</f>
        <v>0.9398780312</v>
      </c>
    </row>
    <row r="8191">
      <c r="A8191" s="6">
        <v>8189.0</v>
      </c>
      <c r="B8191" s="17">
        <f t="array" ref="B8191">SUM(1-'Sparkling Model'!D$2:D$38^A8191)</f>
        <v>36.93855274</v>
      </c>
      <c r="C8191" s="8">
        <f t="array" ref="C8191">PRODUCT(1-'Sparkling Model'!D$2:D$38^A8191)</f>
        <v>0.9399079196</v>
      </c>
    </row>
    <row r="8192">
      <c r="A8192" s="6">
        <v>8190.0</v>
      </c>
      <c r="B8192" s="17">
        <f t="array" ref="B8192">SUM(1-'Sparkling Model'!D$2:D$38^A8192)</f>
        <v>36.938584</v>
      </c>
      <c r="C8192" s="8">
        <f t="array" ref="C8192">PRODUCT(1-'Sparkling Model'!D$2:D$38^A8192)</f>
        <v>0.9399377932</v>
      </c>
    </row>
    <row r="8193">
      <c r="A8193" s="6">
        <v>8191.0</v>
      </c>
      <c r="B8193" s="17">
        <f t="array" ref="B8193">SUM(1-'Sparkling Model'!D$2:D$38^A8193)</f>
        <v>36.93861525</v>
      </c>
      <c r="C8193" s="8">
        <f t="array" ref="C8193">PRODUCT(1-'Sparkling Model'!D$2:D$38^A8193)</f>
        <v>0.9399676519</v>
      </c>
    </row>
    <row r="8194">
      <c r="A8194" s="6">
        <v>8192.0</v>
      </c>
      <c r="B8194" s="17">
        <f t="array" ref="B8194">SUM(1-'Sparkling Model'!D$2:D$38^A8194)</f>
        <v>36.93864648</v>
      </c>
      <c r="C8194" s="8">
        <f t="array" ref="C8194">PRODUCT(1-'Sparkling Model'!D$2:D$38^A8194)</f>
        <v>0.9399974959</v>
      </c>
    </row>
    <row r="8195">
      <c r="A8195" s="6">
        <v>8193.0</v>
      </c>
      <c r="B8195" s="17">
        <f t="array" ref="B8195">SUM(1-'Sparkling Model'!D$2:D$38^A8195)</f>
        <v>36.93867769</v>
      </c>
      <c r="C8195" s="8">
        <f t="array" ref="C8195">PRODUCT(1-'Sparkling Model'!D$2:D$38^A8195)</f>
        <v>0.940027325</v>
      </c>
    </row>
    <row r="8196">
      <c r="A8196" s="6">
        <v>8194.0</v>
      </c>
      <c r="B8196" s="17">
        <f t="array" ref="B8196">SUM(1-'Sparkling Model'!D$2:D$38^A8196)</f>
        <v>36.93870889</v>
      </c>
      <c r="C8196" s="8">
        <f t="array" ref="C8196">PRODUCT(1-'Sparkling Model'!D$2:D$38^A8196)</f>
        <v>0.9400571394</v>
      </c>
    </row>
    <row r="8197">
      <c r="A8197" s="6">
        <v>8195.0</v>
      </c>
      <c r="B8197" s="17">
        <f t="array" ref="B8197">SUM(1-'Sparkling Model'!D$2:D$38^A8197)</f>
        <v>36.93874007</v>
      </c>
      <c r="C8197" s="8">
        <f t="array" ref="C8197">PRODUCT(1-'Sparkling Model'!D$2:D$38^A8197)</f>
        <v>0.940086939</v>
      </c>
    </row>
    <row r="8198">
      <c r="A8198" s="6">
        <v>8196.0</v>
      </c>
      <c r="B8198" s="17">
        <f t="array" ref="B8198">SUM(1-'Sparkling Model'!D$2:D$38^A8198)</f>
        <v>36.93877123</v>
      </c>
      <c r="C8198" s="8">
        <f t="array" ref="C8198">PRODUCT(1-'Sparkling Model'!D$2:D$38^A8198)</f>
        <v>0.9401167238</v>
      </c>
    </row>
    <row r="8199">
      <c r="A8199" s="6">
        <v>8197.0</v>
      </c>
      <c r="B8199" s="17">
        <f t="array" ref="B8199">SUM(1-'Sparkling Model'!D$2:D$38^A8199)</f>
        <v>36.93880238</v>
      </c>
      <c r="C8199" s="8">
        <f t="array" ref="C8199">PRODUCT(1-'Sparkling Model'!D$2:D$38^A8199)</f>
        <v>0.9401464938</v>
      </c>
    </row>
    <row r="8200">
      <c r="A8200" s="6">
        <v>8198.0</v>
      </c>
      <c r="B8200" s="17">
        <f t="array" ref="B8200">SUM(1-'Sparkling Model'!D$2:D$38^A8200)</f>
        <v>36.93883351</v>
      </c>
      <c r="C8200" s="8">
        <f t="array" ref="C8200">PRODUCT(1-'Sparkling Model'!D$2:D$38^A8200)</f>
        <v>0.940176249</v>
      </c>
    </row>
    <row r="8201">
      <c r="A8201" s="6">
        <v>8199.0</v>
      </c>
      <c r="B8201" s="17">
        <f t="array" ref="B8201">SUM(1-'Sparkling Model'!D$2:D$38^A8201)</f>
        <v>36.93886463</v>
      </c>
      <c r="C8201" s="8">
        <f t="array" ref="C8201">PRODUCT(1-'Sparkling Model'!D$2:D$38^A8201)</f>
        <v>0.9402059895</v>
      </c>
    </row>
    <row r="8202">
      <c r="A8202" s="6">
        <v>8200.0</v>
      </c>
      <c r="B8202" s="17">
        <f t="array" ref="B8202">SUM(1-'Sparkling Model'!D$2:D$38^A8202)</f>
        <v>36.93889572</v>
      </c>
      <c r="C8202" s="8">
        <f t="array" ref="C8202">PRODUCT(1-'Sparkling Model'!D$2:D$38^A8202)</f>
        <v>0.9402357152</v>
      </c>
    </row>
    <row r="8203">
      <c r="A8203" s="6">
        <v>8201.0</v>
      </c>
      <c r="B8203" s="17">
        <f t="array" ref="B8203">SUM(1-'Sparkling Model'!D$2:D$38^A8203)</f>
        <v>36.93892681</v>
      </c>
      <c r="C8203" s="8">
        <f t="array" ref="C8203">PRODUCT(1-'Sparkling Model'!D$2:D$38^A8203)</f>
        <v>0.9402654262</v>
      </c>
    </row>
    <row r="8204">
      <c r="A8204" s="6">
        <v>8202.0</v>
      </c>
      <c r="B8204" s="17">
        <f t="array" ref="B8204">SUM(1-'Sparkling Model'!D$2:D$38^A8204)</f>
        <v>36.93895788</v>
      </c>
      <c r="C8204" s="8">
        <f t="array" ref="C8204">PRODUCT(1-'Sparkling Model'!D$2:D$38^A8204)</f>
        <v>0.9402951224</v>
      </c>
    </row>
    <row r="8205">
      <c r="A8205" s="6">
        <v>8203.0</v>
      </c>
      <c r="B8205" s="17">
        <f t="array" ref="B8205">SUM(1-'Sparkling Model'!D$2:D$38^A8205)</f>
        <v>36.93898893</v>
      </c>
      <c r="C8205" s="8">
        <f t="array" ref="C8205">PRODUCT(1-'Sparkling Model'!D$2:D$38^A8205)</f>
        <v>0.9403248039</v>
      </c>
    </row>
    <row r="8206">
      <c r="A8206" s="6">
        <v>8204.0</v>
      </c>
      <c r="B8206" s="17">
        <f t="array" ref="B8206">SUM(1-'Sparkling Model'!D$2:D$38^A8206)</f>
        <v>36.93901996</v>
      </c>
      <c r="C8206" s="8">
        <f t="array" ref="C8206">PRODUCT(1-'Sparkling Model'!D$2:D$38^A8206)</f>
        <v>0.9403544707</v>
      </c>
    </row>
    <row r="8207">
      <c r="A8207" s="6">
        <v>8205.0</v>
      </c>
      <c r="B8207" s="17">
        <f t="array" ref="B8207">SUM(1-'Sparkling Model'!D$2:D$38^A8207)</f>
        <v>36.93905098</v>
      </c>
      <c r="C8207" s="8">
        <f t="array" ref="C8207">PRODUCT(1-'Sparkling Model'!D$2:D$38^A8207)</f>
        <v>0.9403841228</v>
      </c>
    </row>
    <row r="8208">
      <c r="A8208" s="6">
        <v>8206.0</v>
      </c>
      <c r="B8208" s="17">
        <f t="array" ref="B8208">SUM(1-'Sparkling Model'!D$2:D$38^A8208)</f>
        <v>36.93908198</v>
      </c>
      <c r="C8208" s="8">
        <f t="array" ref="C8208">PRODUCT(1-'Sparkling Model'!D$2:D$38^A8208)</f>
        <v>0.9404137602</v>
      </c>
    </row>
    <row r="8209">
      <c r="A8209" s="6">
        <v>8207.0</v>
      </c>
      <c r="B8209" s="17">
        <f t="array" ref="B8209">SUM(1-'Sparkling Model'!D$2:D$38^A8209)</f>
        <v>36.93911297</v>
      </c>
      <c r="C8209" s="8">
        <f t="array" ref="C8209">PRODUCT(1-'Sparkling Model'!D$2:D$38^A8209)</f>
        <v>0.9404433828</v>
      </c>
    </row>
    <row r="8210">
      <c r="A8210" s="6">
        <v>8208.0</v>
      </c>
      <c r="B8210" s="17">
        <f t="array" ref="B8210">SUM(1-'Sparkling Model'!D$2:D$38^A8210)</f>
        <v>36.93914394</v>
      </c>
      <c r="C8210" s="8">
        <f t="array" ref="C8210">PRODUCT(1-'Sparkling Model'!D$2:D$38^A8210)</f>
        <v>0.9404729908</v>
      </c>
    </row>
    <row r="8211">
      <c r="A8211" s="6">
        <v>8209.0</v>
      </c>
      <c r="B8211" s="17">
        <f t="array" ref="B8211">SUM(1-'Sparkling Model'!D$2:D$38^A8211)</f>
        <v>36.93917489</v>
      </c>
      <c r="C8211" s="8">
        <f t="array" ref="C8211">PRODUCT(1-'Sparkling Model'!D$2:D$38^A8211)</f>
        <v>0.9405025841</v>
      </c>
    </row>
    <row r="8212">
      <c r="A8212" s="6">
        <v>8210.0</v>
      </c>
      <c r="B8212" s="17">
        <f t="array" ref="B8212">SUM(1-'Sparkling Model'!D$2:D$38^A8212)</f>
        <v>36.93920583</v>
      </c>
      <c r="C8212" s="8">
        <f t="array" ref="C8212">PRODUCT(1-'Sparkling Model'!D$2:D$38^A8212)</f>
        <v>0.9405321627</v>
      </c>
    </row>
    <row r="8213">
      <c r="A8213" s="6">
        <v>8211.0</v>
      </c>
      <c r="B8213" s="17">
        <f t="array" ref="B8213">SUM(1-'Sparkling Model'!D$2:D$38^A8213)</f>
        <v>36.93923675</v>
      </c>
      <c r="C8213" s="8">
        <f t="array" ref="C8213">PRODUCT(1-'Sparkling Model'!D$2:D$38^A8213)</f>
        <v>0.9405617266</v>
      </c>
    </row>
    <row r="8214">
      <c r="A8214" s="6">
        <v>8212.0</v>
      </c>
      <c r="B8214" s="17">
        <f t="array" ref="B8214">SUM(1-'Sparkling Model'!D$2:D$38^A8214)</f>
        <v>36.93926766</v>
      </c>
      <c r="C8214" s="8">
        <f t="array" ref="C8214">PRODUCT(1-'Sparkling Model'!D$2:D$38^A8214)</f>
        <v>0.9405912758</v>
      </c>
    </row>
    <row r="8215">
      <c r="A8215" s="6">
        <v>8213.0</v>
      </c>
      <c r="B8215" s="17">
        <f t="array" ref="B8215">SUM(1-'Sparkling Model'!D$2:D$38^A8215)</f>
        <v>36.93929855</v>
      </c>
      <c r="C8215" s="8">
        <f t="array" ref="C8215">PRODUCT(1-'Sparkling Model'!D$2:D$38^A8215)</f>
        <v>0.9406208104</v>
      </c>
    </row>
    <row r="8216">
      <c r="A8216" s="6">
        <v>8214.0</v>
      </c>
      <c r="B8216" s="17">
        <f t="array" ref="B8216">SUM(1-'Sparkling Model'!D$2:D$38^A8216)</f>
        <v>36.93932942</v>
      </c>
      <c r="C8216" s="8">
        <f t="array" ref="C8216">PRODUCT(1-'Sparkling Model'!D$2:D$38^A8216)</f>
        <v>0.9406503304</v>
      </c>
    </row>
    <row r="8217">
      <c r="A8217" s="6">
        <v>8215.0</v>
      </c>
      <c r="B8217" s="17">
        <f t="array" ref="B8217">SUM(1-'Sparkling Model'!D$2:D$38^A8217)</f>
        <v>36.93936028</v>
      </c>
      <c r="C8217" s="8">
        <f t="array" ref="C8217">PRODUCT(1-'Sparkling Model'!D$2:D$38^A8217)</f>
        <v>0.9406798357</v>
      </c>
    </row>
    <row r="8218">
      <c r="A8218" s="6">
        <v>8216.0</v>
      </c>
      <c r="B8218" s="17">
        <f t="array" ref="B8218">SUM(1-'Sparkling Model'!D$2:D$38^A8218)</f>
        <v>36.93939112</v>
      </c>
      <c r="C8218" s="8">
        <f t="array" ref="C8218">PRODUCT(1-'Sparkling Model'!D$2:D$38^A8218)</f>
        <v>0.9407093263</v>
      </c>
    </row>
    <row r="8219">
      <c r="A8219" s="6">
        <v>8217.0</v>
      </c>
      <c r="B8219" s="17">
        <f t="array" ref="B8219">SUM(1-'Sparkling Model'!D$2:D$38^A8219)</f>
        <v>36.93942195</v>
      </c>
      <c r="C8219" s="8">
        <f t="array" ref="C8219">PRODUCT(1-'Sparkling Model'!D$2:D$38^A8219)</f>
        <v>0.9407388023</v>
      </c>
    </row>
    <row r="8220">
      <c r="A8220" s="6">
        <v>8218.0</v>
      </c>
      <c r="B8220" s="17">
        <f t="array" ref="B8220">SUM(1-'Sparkling Model'!D$2:D$38^A8220)</f>
        <v>36.93945276</v>
      </c>
      <c r="C8220" s="8">
        <f t="array" ref="C8220">PRODUCT(1-'Sparkling Model'!D$2:D$38^A8220)</f>
        <v>0.9407682638</v>
      </c>
    </row>
    <row r="8221">
      <c r="A8221" s="6">
        <v>8219.0</v>
      </c>
      <c r="B8221" s="17">
        <f t="array" ref="B8221">SUM(1-'Sparkling Model'!D$2:D$38^A8221)</f>
        <v>36.93948355</v>
      </c>
      <c r="C8221" s="8">
        <f t="array" ref="C8221">PRODUCT(1-'Sparkling Model'!D$2:D$38^A8221)</f>
        <v>0.9407977105</v>
      </c>
    </row>
    <row r="8222">
      <c r="A8222" s="6">
        <v>8220.0</v>
      </c>
      <c r="B8222" s="17">
        <f t="array" ref="B8222">SUM(1-'Sparkling Model'!D$2:D$38^A8222)</f>
        <v>36.93951433</v>
      </c>
      <c r="C8222" s="8">
        <f t="array" ref="C8222">PRODUCT(1-'Sparkling Model'!D$2:D$38^A8222)</f>
        <v>0.9408271427</v>
      </c>
    </row>
    <row r="8223">
      <c r="A8223" s="6">
        <v>8221.0</v>
      </c>
      <c r="B8223" s="17">
        <f t="array" ref="B8223">SUM(1-'Sparkling Model'!D$2:D$38^A8223)</f>
        <v>36.93954509</v>
      </c>
      <c r="C8223" s="8">
        <f t="array" ref="C8223">PRODUCT(1-'Sparkling Model'!D$2:D$38^A8223)</f>
        <v>0.9408565603</v>
      </c>
    </row>
    <row r="8224">
      <c r="A8224" s="6">
        <v>8222.0</v>
      </c>
      <c r="B8224" s="17">
        <f t="array" ref="B8224">SUM(1-'Sparkling Model'!D$2:D$38^A8224)</f>
        <v>36.93957584</v>
      </c>
      <c r="C8224" s="8">
        <f t="array" ref="C8224">PRODUCT(1-'Sparkling Model'!D$2:D$38^A8224)</f>
        <v>0.9408859633</v>
      </c>
    </row>
    <row r="8225">
      <c r="A8225" s="6">
        <v>8223.0</v>
      </c>
      <c r="B8225" s="17">
        <f t="array" ref="B8225">SUM(1-'Sparkling Model'!D$2:D$38^A8225)</f>
        <v>36.93960657</v>
      </c>
      <c r="C8225" s="8">
        <f t="array" ref="C8225">PRODUCT(1-'Sparkling Model'!D$2:D$38^A8225)</f>
        <v>0.9409153517</v>
      </c>
    </row>
    <row r="8226">
      <c r="A8226" s="6">
        <v>8224.0</v>
      </c>
      <c r="B8226" s="17">
        <f t="array" ref="B8226">SUM(1-'Sparkling Model'!D$2:D$38^A8226)</f>
        <v>36.93963728</v>
      </c>
      <c r="C8226" s="8">
        <f t="array" ref="C8226">PRODUCT(1-'Sparkling Model'!D$2:D$38^A8226)</f>
        <v>0.9409447255</v>
      </c>
    </row>
    <row r="8227">
      <c r="A8227" s="6">
        <v>8225.0</v>
      </c>
      <c r="B8227" s="17">
        <f t="array" ref="B8227">SUM(1-'Sparkling Model'!D$2:D$38^A8227)</f>
        <v>36.93966798</v>
      </c>
      <c r="C8227" s="8">
        <f t="array" ref="C8227">PRODUCT(1-'Sparkling Model'!D$2:D$38^A8227)</f>
        <v>0.9409740847</v>
      </c>
    </row>
    <row r="8228">
      <c r="A8228" s="6">
        <v>8226.0</v>
      </c>
      <c r="B8228" s="17">
        <f t="array" ref="B8228">SUM(1-'Sparkling Model'!D$2:D$38^A8228)</f>
        <v>36.93969866</v>
      </c>
      <c r="C8228" s="8">
        <f t="array" ref="C8228">PRODUCT(1-'Sparkling Model'!D$2:D$38^A8228)</f>
        <v>0.9410034294</v>
      </c>
    </row>
    <row r="8229">
      <c r="A8229" s="6">
        <v>8227.0</v>
      </c>
      <c r="B8229" s="17">
        <f t="array" ref="B8229">SUM(1-'Sparkling Model'!D$2:D$38^A8229)</f>
        <v>36.93972932</v>
      </c>
      <c r="C8229" s="8">
        <f t="array" ref="C8229">PRODUCT(1-'Sparkling Model'!D$2:D$38^A8229)</f>
        <v>0.9410327595</v>
      </c>
    </row>
    <row r="8230">
      <c r="A8230" s="6">
        <v>8228.0</v>
      </c>
      <c r="B8230" s="17">
        <f t="array" ref="B8230">SUM(1-'Sparkling Model'!D$2:D$38^A8230)</f>
        <v>36.93975997</v>
      </c>
      <c r="C8230" s="8">
        <f t="array" ref="C8230">PRODUCT(1-'Sparkling Model'!D$2:D$38^A8230)</f>
        <v>0.9410620751</v>
      </c>
    </row>
    <row r="8231">
      <c r="A8231" s="6">
        <v>8229.0</v>
      </c>
      <c r="B8231" s="17">
        <f t="array" ref="B8231">SUM(1-'Sparkling Model'!D$2:D$38^A8231)</f>
        <v>36.93979061</v>
      </c>
      <c r="C8231" s="8">
        <f t="array" ref="C8231">PRODUCT(1-'Sparkling Model'!D$2:D$38^A8231)</f>
        <v>0.9410913761</v>
      </c>
    </row>
    <row r="8232">
      <c r="A8232" s="6">
        <v>8230.0</v>
      </c>
      <c r="B8232" s="17">
        <f t="array" ref="B8232">SUM(1-'Sparkling Model'!D$2:D$38^A8232)</f>
        <v>36.93982123</v>
      </c>
      <c r="C8232" s="8">
        <f t="array" ref="C8232">PRODUCT(1-'Sparkling Model'!D$2:D$38^A8232)</f>
        <v>0.9411206626</v>
      </c>
    </row>
    <row r="8233">
      <c r="A8233" s="6">
        <v>8231.0</v>
      </c>
      <c r="B8233" s="17">
        <f t="array" ref="B8233">SUM(1-'Sparkling Model'!D$2:D$38^A8233)</f>
        <v>36.93985183</v>
      </c>
      <c r="C8233" s="8">
        <f t="array" ref="C8233">PRODUCT(1-'Sparkling Model'!D$2:D$38^A8233)</f>
        <v>0.9411499346</v>
      </c>
    </row>
    <row r="8234">
      <c r="A8234" s="6">
        <v>8232.0</v>
      </c>
      <c r="B8234" s="17">
        <f t="array" ref="B8234">SUM(1-'Sparkling Model'!D$2:D$38^A8234)</f>
        <v>36.93988242</v>
      </c>
      <c r="C8234" s="8">
        <f t="array" ref="C8234">PRODUCT(1-'Sparkling Model'!D$2:D$38^A8234)</f>
        <v>0.941179192</v>
      </c>
    </row>
    <row r="8235">
      <c r="A8235" s="6">
        <v>8233.0</v>
      </c>
      <c r="B8235" s="17">
        <f t="array" ref="B8235">SUM(1-'Sparkling Model'!D$2:D$38^A8235)</f>
        <v>36.93991299</v>
      </c>
      <c r="C8235" s="8">
        <f t="array" ref="C8235">PRODUCT(1-'Sparkling Model'!D$2:D$38^A8235)</f>
        <v>0.9412084349</v>
      </c>
    </row>
    <row r="8236">
      <c r="A8236" s="6">
        <v>8234.0</v>
      </c>
      <c r="B8236" s="17">
        <f t="array" ref="B8236">SUM(1-'Sparkling Model'!D$2:D$38^A8236)</f>
        <v>36.93994354</v>
      </c>
      <c r="C8236" s="8">
        <f t="array" ref="C8236">PRODUCT(1-'Sparkling Model'!D$2:D$38^A8236)</f>
        <v>0.9412376633</v>
      </c>
    </row>
    <row r="8237">
      <c r="A8237" s="6">
        <v>8235.0</v>
      </c>
      <c r="B8237" s="17">
        <f t="array" ref="B8237">SUM(1-'Sparkling Model'!D$2:D$38^A8237)</f>
        <v>36.93997408</v>
      </c>
      <c r="C8237" s="8">
        <f t="array" ref="C8237">PRODUCT(1-'Sparkling Model'!D$2:D$38^A8237)</f>
        <v>0.9412668772</v>
      </c>
    </row>
    <row r="8238">
      <c r="A8238" s="6">
        <v>8236.0</v>
      </c>
      <c r="B8238" s="17">
        <f t="array" ref="B8238">SUM(1-'Sparkling Model'!D$2:D$38^A8238)</f>
        <v>36.9400046</v>
      </c>
      <c r="C8238" s="8">
        <f t="array" ref="C8238">PRODUCT(1-'Sparkling Model'!D$2:D$38^A8238)</f>
        <v>0.9412960766</v>
      </c>
    </row>
    <row r="8239">
      <c r="A8239" s="6">
        <v>8237.0</v>
      </c>
      <c r="B8239" s="17">
        <f t="array" ref="B8239">SUM(1-'Sparkling Model'!D$2:D$38^A8239)</f>
        <v>36.94003511</v>
      </c>
      <c r="C8239" s="8">
        <f t="array" ref="C8239">PRODUCT(1-'Sparkling Model'!D$2:D$38^A8239)</f>
        <v>0.9413252616</v>
      </c>
    </row>
    <row r="8240">
      <c r="A8240" s="6">
        <v>8238.0</v>
      </c>
      <c r="B8240" s="17">
        <f t="array" ref="B8240">SUM(1-'Sparkling Model'!D$2:D$38^A8240)</f>
        <v>36.9400656</v>
      </c>
      <c r="C8240" s="8">
        <f t="array" ref="C8240">PRODUCT(1-'Sparkling Model'!D$2:D$38^A8240)</f>
        <v>0.941354432</v>
      </c>
    </row>
    <row r="8241">
      <c r="A8241" s="6">
        <v>8239.0</v>
      </c>
      <c r="B8241" s="17">
        <f t="array" ref="B8241">SUM(1-'Sparkling Model'!D$2:D$38^A8241)</f>
        <v>36.94009608</v>
      </c>
      <c r="C8241" s="8">
        <f t="array" ref="C8241">PRODUCT(1-'Sparkling Model'!D$2:D$38^A8241)</f>
        <v>0.941383588</v>
      </c>
    </row>
    <row r="8242">
      <c r="A8242" s="6">
        <v>8240.0</v>
      </c>
      <c r="B8242" s="17">
        <f t="array" ref="B8242">SUM(1-'Sparkling Model'!D$2:D$38^A8242)</f>
        <v>36.94012653</v>
      </c>
      <c r="C8242" s="8">
        <f t="array" ref="C8242">PRODUCT(1-'Sparkling Model'!D$2:D$38^A8242)</f>
        <v>0.9414127295</v>
      </c>
    </row>
    <row r="8243">
      <c r="A8243" s="6">
        <v>8241.0</v>
      </c>
      <c r="B8243" s="17">
        <f t="array" ref="B8243">SUM(1-'Sparkling Model'!D$2:D$38^A8243)</f>
        <v>36.94015698</v>
      </c>
      <c r="C8243" s="8">
        <f t="array" ref="C8243">PRODUCT(1-'Sparkling Model'!D$2:D$38^A8243)</f>
        <v>0.9414418565</v>
      </c>
    </row>
    <row r="8244">
      <c r="A8244" s="6">
        <v>8242.0</v>
      </c>
      <c r="B8244" s="17">
        <f t="array" ref="B8244">SUM(1-'Sparkling Model'!D$2:D$38^A8244)</f>
        <v>36.94018741</v>
      </c>
      <c r="C8244" s="8">
        <f t="array" ref="C8244">PRODUCT(1-'Sparkling Model'!D$2:D$38^A8244)</f>
        <v>0.9414709691</v>
      </c>
    </row>
    <row r="8245">
      <c r="A8245" s="6">
        <v>8243.0</v>
      </c>
      <c r="B8245" s="17">
        <f t="array" ref="B8245">SUM(1-'Sparkling Model'!D$2:D$38^A8245)</f>
        <v>36.94021782</v>
      </c>
      <c r="C8245" s="8">
        <f t="array" ref="C8245">PRODUCT(1-'Sparkling Model'!D$2:D$38^A8245)</f>
        <v>0.9415000673</v>
      </c>
    </row>
    <row r="8246">
      <c r="A8246" s="6">
        <v>8244.0</v>
      </c>
      <c r="B8246" s="17">
        <f t="array" ref="B8246">SUM(1-'Sparkling Model'!D$2:D$38^A8246)</f>
        <v>36.94024821</v>
      </c>
      <c r="C8246" s="8">
        <f t="array" ref="C8246">PRODUCT(1-'Sparkling Model'!D$2:D$38^A8246)</f>
        <v>0.941529151</v>
      </c>
    </row>
    <row r="8247">
      <c r="A8247" s="6">
        <v>8245.0</v>
      </c>
      <c r="B8247" s="17">
        <f t="array" ref="B8247">SUM(1-'Sparkling Model'!D$2:D$38^A8247)</f>
        <v>36.94027859</v>
      </c>
      <c r="C8247" s="8">
        <f t="array" ref="C8247">PRODUCT(1-'Sparkling Model'!D$2:D$38^A8247)</f>
        <v>0.9415582203</v>
      </c>
    </row>
    <row r="8248">
      <c r="A8248" s="6">
        <v>8246.0</v>
      </c>
      <c r="B8248" s="17">
        <f t="array" ref="B8248">SUM(1-'Sparkling Model'!D$2:D$38^A8248)</f>
        <v>36.94030896</v>
      </c>
      <c r="C8248" s="8">
        <f t="array" ref="C8248">PRODUCT(1-'Sparkling Model'!D$2:D$38^A8248)</f>
        <v>0.9415872751</v>
      </c>
    </row>
    <row r="8249">
      <c r="A8249" s="6">
        <v>8247.0</v>
      </c>
      <c r="B8249" s="17">
        <f t="array" ref="B8249">SUM(1-'Sparkling Model'!D$2:D$38^A8249)</f>
        <v>36.94033931</v>
      </c>
      <c r="C8249" s="8">
        <f t="array" ref="C8249">PRODUCT(1-'Sparkling Model'!D$2:D$38^A8249)</f>
        <v>0.9416163156</v>
      </c>
    </row>
    <row r="8250">
      <c r="A8250" s="6">
        <v>8248.0</v>
      </c>
      <c r="B8250" s="17">
        <f t="array" ref="B8250">SUM(1-'Sparkling Model'!D$2:D$38^A8250)</f>
        <v>36.94036964</v>
      </c>
      <c r="C8250" s="8">
        <f t="array" ref="C8250">PRODUCT(1-'Sparkling Model'!D$2:D$38^A8250)</f>
        <v>0.9416453416</v>
      </c>
    </row>
    <row r="8251">
      <c r="A8251" s="6">
        <v>8249.0</v>
      </c>
      <c r="B8251" s="17">
        <f t="array" ref="B8251">SUM(1-'Sparkling Model'!D$2:D$38^A8251)</f>
        <v>36.94039996</v>
      </c>
      <c r="C8251" s="8">
        <f t="array" ref="C8251">PRODUCT(1-'Sparkling Model'!D$2:D$38^A8251)</f>
        <v>0.9416743532</v>
      </c>
    </row>
    <row r="8252">
      <c r="A8252" s="6">
        <v>8250.0</v>
      </c>
      <c r="B8252" s="17">
        <f t="array" ref="B8252">SUM(1-'Sparkling Model'!D$2:D$38^A8252)</f>
        <v>36.94043026</v>
      </c>
      <c r="C8252" s="8">
        <f t="array" ref="C8252">PRODUCT(1-'Sparkling Model'!D$2:D$38^A8252)</f>
        <v>0.9417033505</v>
      </c>
    </row>
    <row r="8253">
      <c r="A8253" s="6">
        <v>8251.0</v>
      </c>
      <c r="B8253" s="17">
        <f t="array" ref="B8253">SUM(1-'Sparkling Model'!D$2:D$38^A8253)</f>
        <v>36.94046055</v>
      </c>
      <c r="C8253" s="8">
        <f t="array" ref="C8253">PRODUCT(1-'Sparkling Model'!D$2:D$38^A8253)</f>
        <v>0.9417323333</v>
      </c>
    </row>
    <row r="8254">
      <c r="A8254" s="6">
        <v>8252.0</v>
      </c>
      <c r="B8254" s="17">
        <f t="array" ref="B8254">SUM(1-'Sparkling Model'!D$2:D$38^A8254)</f>
        <v>36.94049082</v>
      </c>
      <c r="C8254" s="8">
        <f t="array" ref="C8254">PRODUCT(1-'Sparkling Model'!D$2:D$38^A8254)</f>
        <v>0.9417613018</v>
      </c>
    </row>
    <row r="8255">
      <c r="A8255" s="6">
        <v>8253.0</v>
      </c>
      <c r="B8255" s="17">
        <f t="array" ref="B8255">SUM(1-'Sparkling Model'!D$2:D$38^A8255)</f>
        <v>36.94052107</v>
      </c>
      <c r="C8255" s="8">
        <f t="array" ref="C8255">PRODUCT(1-'Sparkling Model'!D$2:D$38^A8255)</f>
        <v>0.9417902559</v>
      </c>
    </row>
    <row r="8256">
      <c r="A8256" s="6">
        <v>8254.0</v>
      </c>
      <c r="B8256" s="17">
        <f t="array" ref="B8256">SUM(1-'Sparkling Model'!D$2:D$38^A8256)</f>
        <v>36.94055131</v>
      </c>
      <c r="C8256" s="8">
        <f t="array" ref="C8256">PRODUCT(1-'Sparkling Model'!D$2:D$38^A8256)</f>
        <v>0.9418191956</v>
      </c>
    </row>
    <row r="8257">
      <c r="A8257" s="6">
        <v>8255.0</v>
      </c>
      <c r="B8257" s="17">
        <f t="array" ref="B8257">SUM(1-'Sparkling Model'!D$2:D$38^A8257)</f>
        <v>36.94058153</v>
      </c>
      <c r="C8257" s="8">
        <f t="array" ref="C8257">PRODUCT(1-'Sparkling Model'!D$2:D$38^A8257)</f>
        <v>0.941848121</v>
      </c>
    </row>
    <row r="8258">
      <c r="A8258" s="6">
        <v>8256.0</v>
      </c>
      <c r="B8258" s="17">
        <f t="array" ref="B8258">SUM(1-'Sparkling Model'!D$2:D$38^A8258)</f>
        <v>36.94061174</v>
      </c>
      <c r="C8258" s="8">
        <f t="array" ref="C8258">PRODUCT(1-'Sparkling Model'!D$2:D$38^A8258)</f>
        <v>0.941877032</v>
      </c>
    </row>
    <row r="8259">
      <c r="A8259" s="6">
        <v>8257.0</v>
      </c>
      <c r="B8259" s="17">
        <f t="array" ref="B8259">SUM(1-'Sparkling Model'!D$2:D$38^A8259)</f>
        <v>36.94064193</v>
      </c>
      <c r="C8259" s="8">
        <f t="array" ref="C8259">PRODUCT(1-'Sparkling Model'!D$2:D$38^A8259)</f>
        <v>0.9419059287</v>
      </c>
    </row>
    <row r="8260">
      <c r="A8260" s="6">
        <v>8258.0</v>
      </c>
      <c r="B8260" s="17">
        <f t="array" ref="B8260">SUM(1-'Sparkling Model'!D$2:D$38^A8260)</f>
        <v>36.94067211</v>
      </c>
      <c r="C8260" s="8">
        <f t="array" ref="C8260">PRODUCT(1-'Sparkling Model'!D$2:D$38^A8260)</f>
        <v>0.941934811</v>
      </c>
    </row>
    <row r="8261">
      <c r="A8261" s="6">
        <v>8259.0</v>
      </c>
      <c r="B8261" s="17">
        <f t="array" ref="B8261">SUM(1-'Sparkling Model'!D$2:D$38^A8261)</f>
        <v>36.94070227</v>
      </c>
      <c r="C8261" s="8">
        <f t="array" ref="C8261">PRODUCT(1-'Sparkling Model'!D$2:D$38^A8261)</f>
        <v>0.941963679</v>
      </c>
    </row>
    <row r="8262">
      <c r="A8262" s="6">
        <v>8260.0</v>
      </c>
      <c r="B8262" s="17">
        <f t="array" ref="B8262">SUM(1-'Sparkling Model'!D$2:D$38^A8262)</f>
        <v>36.94073241</v>
      </c>
      <c r="C8262" s="8">
        <f t="array" ref="C8262">PRODUCT(1-'Sparkling Model'!D$2:D$38^A8262)</f>
        <v>0.9419925327</v>
      </c>
    </row>
    <row r="8263">
      <c r="A8263" s="6">
        <v>8261.0</v>
      </c>
      <c r="B8263" s="17">
        <f t="array" ref="B8263">SUM(1-'Sparkling Model'!D$2:D$38^A8263)</f>
        <v>36.94076254</v>
      </c>
      <c r="C8263" s="8">
        <f t="array" ref="C8263">PRODUCT(1-'Sparkling Model'!D$2:D$38^A8263)</f>
        <v>0.942021372</v>
      </c>
    </row>
    <row r="8264">
      <c r="A8264" s="6">
        <v>8262.0</v>
      </c>
      <c r="B8264" s="17">
        <f t="array" ref="B8264">SUM(1-'Sparkling Model'!D$2:D$38^A8264)</f>
        <v>36.94079265</v>
      </c>
      <c r="C8264" s="8">
        <f t="array" ref="C8264">PRODUCT(1-'Sparkling Model'!D$2:D$38^A8264)</f>
        <v>0.9420501971</v>
      </c>
    </row>
    <row r="8265">
      <c r="A8265" s="6">
        <v>8263.0</v>
      </c>
      <c r="B8265" s="17">
        <f t="array" ref="B8265">SUM(1-'Sparkling Model'!D$2:D$38^A8265)</f>
        <v>36.94082275</v>
      </c>
      <c r="C8265" s="8">
        <f t="array" ref="C8265">PRODUCT(1-'Sparkling Model'!D$2:D$38^A8265)</f>
        <v>0.9420790078</v>
      </c>
    </row>
    <row r="8266">
      <c r="A8266" s="6">
        <v>8264.0</v>
      </c>
      <c r="B8266" s="17">
        <f t="array" ref="B8266">SUM(1-'Sparkling Model'!D$2:D$38^A8266)</f>
        <v>36.94085283</v>
      </c>
      <c r="C8266" s="8">
        <f t="array" ref="C8266">PRODUCT(1-'Sparkling Model'!D$2:D$38^A8266)</f>
        <v>0.9421078042</v>
      </c>
    </row>
    <row r="8267">
      <c r="A8267" s="6">
        <v>8265.0</v>
      </c>
      <c r="B8267" s="17">
        <f t="array" ref="B8267">SUM(1-'Sparkling Model'!D$2:D$38^A8267)</f>
        <v>36.9408829</v>
      </c>
      <c r="C8267" s="8">
        <f t="array" ref="C8267">PRODUCT(1-'Sparkling Model'!D$2:D$38^A8267)</f>
        <v>0.9421365864</v>
      </c>
    </row>
    <row r="8268">
      <c r="A8268" s="6">
        <v>8266.0</v>
      </c>
      <c r="B8268" s="17">
        <f t="array" ref="B8268">SUM(1-'Sparkling Model'!D$2:D$38^A8268)</f>
        <v>36.94091295</v>
      </c>
      <c r="C8268" s="8">
        <f t="array" ref="C8268">PRODUCT(1-'Sparkling Model'!D$2:D$38^A8268)</f>
        <v>0.9421653543</v>
      </c>
    </row>
    <row r="8269">
      <c r="A8269" s="6">
        <v>8267.0</v>
      </c>
      <c r="B8269" s="17">
        <f t="array" ref="B8269">SUM(1-'Sparkling Model'!D$2:D$38^A8269)</f>
        <v>36.94094299</v>
      </c>
      <c r="C8269" s="8">
        <f t="array" ref="C8269">PRODUCT(1-'Sparkling Model'!D$2:D$38^A8269)</f>
        <v>0.9421941079</v>
      </c>
    </row>
    <row r="8270">
      <c r="A8270" s="6">
        <v>8268.0</v>
      </c>
      <c r="B8270" s="17">
        <f t="array" ref="B8270">SUM(1-'Sparkling Model'!D$2:D$38^A8270)</f>
        <v>36.94097301</v>
      </c>
      <c r="C8270" s="8">
        <f t="array" ref="C8270">PRODUCT(1-'Sparkling Model'!D$2:D$38^A8270)</f>
        <v>0.9422228472</v>
      </c>
    </row>
    <row r="8271">
      <c r="A8271" s="6">
        <v>8269.0</v>
      </c>
      <c r="B8271" s="17">
        <f t="array" ref="B8271">SUM(1-'Sparkling Model'!D$2:D$38^A8271)</f>
        <v>36.94100301</v>
      </c>
      <c r="C8271" s="8">
        <f t="array" ref="C8271">PRODUCT(1-'Sparkling Model'!D$2:D$38^A8271)</f>
        <v>0.9422515723</v>
      </c>
    </row>
    <row r="8272">
      <c r="A8272" s="6">
        <v>8270.0</v>
      </c>
      <c r="B8272" s="17">
        <f t="array" ref="B8272">SUM(1-'Sparkling Model'!D$2:D$38^A8272)</f>
        <v>36.941033</v>
      </c>
      <c r="C8272" s="8">
        <f t="array" ref="C8272">PRODUCT(1-'Sparkling Model'!D$2:D$38^A8272)</f>
        <v>0.9422802831</v>
      </c>
    </row>
    <row r="8273">
      <c r="A8273" s="6">
        <v>8271.0</v>
      </c>
      <c r="B8273" s="17">
        <f t="array" ref="B8273">SUM(1-'Sparkling Model'!D$2:D$38^A8273)</f>
        <v>36.94106297</v>
      </c>
      <c r="C8273" s="8">
        <f t="array" ref="C8273">PRODUCT(1-'Sparkling Model'!D$2:D$38^A8273)</f>
        <v>0.9423089797</v>
      </c>
    </row>
    <row r="8274">
      <c r="A8274" s="6">
        <v>8272.0</v>
      </c>
      <c r="B8274" s="17">
        <f t="array" ref="B8274">SUM(1-'Sparkling Model'!D$2:D$38^A8274)</f>
        <v>36.94109293</v>
      </c>
      <c r="C8274" s="8">
        <f t="array" ref="C8274">PRODUCT(1-'Sparkling Model'!D$2:D$38^A8274)</f>
        <v>0.942337662</v>
      </c>
    </row>
    <row r="8275">
      <c r="A8275" s="6">
        <v>8273.0</v>
      </c>
      <c r="B8275" s="17">
        <f t="array" ref="B8275">SUM(1-'Sparkling Model'!D$2:D$38^A8275)</f>
        <v>36.94112287</v>
      </c>
      <c r="C8275" s="8">
        <f t="array" ref="C8275">PRODUCT(1-'Sparkling Model'!D$2:D$38^A8275)</f>
        <v>0.9423663301</v>
      </c>
    </row>
    <row r="8276">
      <c r="A8276" s="6">
        <v>8274.0</v>
      </c>
      <c r="B8276" s="17">
        <f t="array" ref="B8276">SUM(1-'Sparkling Model'!D$2:D$38^A8276)</f>
        <v>36.9411528</v>
      </c>
      <c r="C8276" s="8">
        <f t="array" ref="C8276">PRODUCT(1-'Sparkling Model'!D$2:D$38^A8276)</f>
        <v>0.9423949839</v>
      </c>
    </row>
    <row r="8277">
      <c r="A8277" s="6">
        <v>8275.0</v>
      </c>
      <c r="B8277" s="17">
        <f t="array" ref="B8277">SUM(1-'Sparkling Model'!D$2:D$38^A8277)</f>
        <v>36.94118271</v>
      </c>
      <c r="C8277" s="8">
        <f t="array" ref="C8277">PRODUCT(1-'Sparkling Model'!D$2:D$38^A8277)</f>
        <v>0.9424236236</v>
      </c>
    </row>
    <row r="8278">
      <c r="A8278" s="6">
        <v>8276.0</v>
      </c>
      <c r="B8278" s="17">
        <f t="array" ref="B8278">SUM(1-'Sparkling Model'!D$2:D$38^A8278)</f>
        <v>36.9412126</v>
      </c>
      <c r="C8278" s="8">
        <f t="array" ref="C8278">PRODUCT(1-'Sparkling Model'!D$2:D$38^A8278)</f>
        <v>0.942452249</v>
      </c>
    </row>
    <row r="8279">
      <c r="A8279" s="6">
        <v>8277.0</v>
      </c>
      <c r="B8279" s="17">
        <f t="array" ref="B8279">SUM(1-'Sparkling Model'!D$2:D$38^A8279)</f>
        <v>36.94124248</v>
      </c>
      <c r="C8279" s="8">
        <f t="array" ref="C8279">PRODUCT(1-'Sparkling Model'!D$2:D$38^A8279)</f>
        <v>0.9424808603</v>
      </c>
    </row>
    <row r="8280">
      <c r="A8280" s="6">
        <v>8278.0</v>
      </c>
      <c r="B8280" s="17">
        <f t="array" ref="B8280">SUM(1-'Sparkling Model'!D$2:D$38^A8280)</f>
        <v>36.94127235</v>
      </c>
      <c r="C8280" s="8">
        <f t="array" ref="C8280">PRODUCT(1-'Sparkling Model'!D$2:D$38^A8280)</f>
        <v>0.9425094573</v>
      </c>
    </row>
    <row r="8281">
      <c r="A8281" s="6">
        <v>8279.0</v>
      </c>
      <c r="B8281" s="17">
        <f t="array" ref="B8281">SUM(1-'Sparkling Model'!D$2:D$38^A8281)</f>
        <v>36.94130219</v>
      </c>
      <c r="C8281" s="8">
        <f t="array" ref="C8281">PRODUCT(1-'Sparkling Model'!D$2:D$38^A8281)</f>
        <v>0.9425380401</v>
      </c>
    </row>
    <row r="8282">
      <c r="A8282" s="6">
        <v>8280.0</v>
      </c>
      <c r="B8282" s="17">
        <f t="array" ref="B8282">SUM(1-'Sparkling Model'!D$2:D$38^A8282)</f>
        <v>36.94133203</v>
      </c>
      <c r="C8282" s="8">
        <f t="array" ref="C8282">PRODUCT(1-'Sparkling Model'!D$2:D$38^A8282)</f>
        <v>0.9425666088</v>
      </c>
    </row>
    <row r="8283">
      <c r="A8283" s="6">
        <v>8281.0</v>
      </c>
      <c r="B8283" s="17">
        <f t="array" ref="B8283">SUM(1-'Sparkling Model'!D$2:D$38^A8283)</f>
        <v>36.94136185</v>
      </c>
      <c r="C8283" s="8">
        <f t="array" ref="C8283">PRODUCT(1-'Sparkling Model'!D$2:D$38^A8283)</f>
        <v>0.9425951633</v>
      </c>
    </row>
    <row r="8284">
      <c r="A8284" s="6">
        <v>8282.0</v>
      </c>
      <c r="B8284" s="17">
        <f t="array" ref="B8284">SUM(1-'Sparkling Model'!D$2:D$38^A8284)</f>
        <v>36.94139165</v>
      </c>
      <c r="C8284" s="8">
        <f t="array" ref="C8284">PRODUCT(1-'Sparkling Model'!D$2:D$38^A8284)</f>
        <v>0.9426237036</v>
      </c>
    </row>
    <row r="8285">
      <c r="A8285" s="6">
        <v>8283.0</v>
      </c>
      <c r="B8285" s="17">
        <f t="array" ref="B8285">SUM(1-'Sparkling Model'!D$2:D$38^A8285)</f>
        <v>36.94142143</v>
      </c>
      <c r="C8285" s="8">
        <f t="array" ref="C8285">PRODUCT(1-'Sparkling Model'!D$2:D$38^A8285)</f>
        <v>0.9426522297</v>
      </c>
    </row>
    <row r="8286">
      <c r="A8286" s="6">
        <v>8284.0</v>
      </c>
      <c r="B8286" s="17">
        <f t="array" ref="B8286">SUM(1-'Sparkling Model'!D$2:D$38^A8286)</f>
        <v>36.94145121</v>
      </c>
      <c r="C8286" s="8">
        <f t="array" ref="C8286">PRODUCT(1-'Sparkling Model'!D$2:D$38^A8286)</f>
        <v>0.9426807417</v>
      </c>
    </row>
    <row r="8287">
      <c r="A8287" s="6">
        <v>8285.0</v>
      </c>
      <c r="B8287" s="17">
        <f t="array" ref="B8287">SUM(1-'Sparkling Model'!D$2:D$38^A8287)</f>
        <v>36.94148096</v>
      </c>
      <c r="C8287" s="8">
        <f t="array" ref="C8287">PRODUCT(1-'Sparkling Model'!D$2:D$38^A8287)</f>
        <v>0.9427092396</v>
      </c>
    </row>
    <row r="8288">
      <c r="A8288" s="6">
        <v>8286.0</v>
      </c>
      <c r="B8288" s="17">
        <f t="array" ref="B8288">SUM(1-'Sparkling Model'!D$2:D$38^A8288)</f>
        <v>36.9415107</v>
      </c>
      <c r="C8288" s="8">
        <f t="array" ref="C8288">PRODUCT(1-'Sparkling Model'!D$2:D$38^A8288)</f>
        <v>0.9427377233</v>
      </c>
    </row>
    <row r="8289">
      <c r="A8289" s="6">
        <v>8287.0</v>
      </c>
      <c r="B8289" s="17">
        <f t="array" ref="B8289">SUM(1-'Sparkling Model'!D$2:D$38^A8289)</f>
        <v>36.94154043</v>
      </c>
      <c r="C8289" s="8">
        <f t="array" ref="C8289">PRODUCT(1-'Sparkling Model'!D$2:D$38^A8289)</f>
        <v>0.9427661928</v>
      </c>
    </row>
    <row r="8290">
      <c r="A8290" s="6">
        <v>8288.0</v>
      </c>
      <c r="B8290" s="17">
        <f t="array" ref="B8290">SUM(1-'Sparkling Model'!D$2:D$38^A8290)</f>
        <v>36.94157014</v>
      </c>
      <c r="C8290" s="8">
        <f t="array" ref="C8290">PRODUCT(1-'Sparkling Model'!D$2:D$38^A8290)</f>
        <v>0.9427946483</v>
      </c>
    </row>
    <row r="8291">
      <c r="A8291" s="6">
        <v>8289.0</v>
      </c>
      <c r="B8291" s="17">
        <f t="array" ref="B8291">SUM(1-'Sparkling Model'!D$2:D$38^A8291)</f>
        <v>36.94159983</v>
      </c>
      <c r="C8291" s="8">
        <f t="array" ref="C8291">PRODUCT(1-'Sparkling Model'!D$2:D$38^A8291)</f>
        <v>0.9428230896</v>
      </c>
    </row>
    <row r="8292">
      <c r="A8292" s="6">
        <v>8290.0</v>
      </c>
      <c r="B8292" s="17">
        <f t="array" ref="B8292">SUM(1-'Sparkling Model'!D$2:D$38^A8292)</f>
        <v>36.94162951</v>
      </c>
      <c r="C8292" s="8">
        <f t="array" ref="C8292">PRODUCT(1-'Sparkling Model'!D$2:D$38^A8292)</f>
        <v>0.9428515168</v>
      </c>
    </row>
    <row r="8293">
      <c r="A8293" s="6">
        <v>8291.0</v>
      </c>
      <c r="B8293" s="17">
        <f t="array" ref="B8293">SUM(1-'Sparkling Model'!D$2:D$38^A8293)</f>
        <v>36.94165917</v>
      </c>
      <c r="C8293" s="8">
        <f t="array" ref="C8293">PRODUCT(1-'Sparkling Model'!D$2:D$38^A8293)</f>
        <v>0.9428799299</v>
      </c>
    </row>
    <row r="8294">
      <c r="A8294" s="6">
        <v>8292.0</v>
      </c>
      <c r="B8294" s="17">
        <f t="array" ref="B8294">SUM(1-'Sparkling Model'!D$2:D$38^A8294)</f>
        <v>36.94168882</v>
      </c>
      <c r="C8294" s="8">
        <f t="array" ref="C8294">PRODUCT(1-'Sparkling Model'!D$2:D$38^A8294)</f>
        <v>0.9429083289</v>
      </c>
    </row>
    <row r="8295">
      <c r="A8295" s="6">
        <v>8293.0</v>
      </c>
      <c r="B8295" s="17">
        <f t="array" ref="B8295">SUM(1-'Sparkling Model'!D$2:D$38^A8295)</f>
        <v>36.94171845</v>
      </c>
      <c r="C8295" s="8">
        <f t="array" ref="C8295">PRODUCT(1-'Sparkling Model'!D$2:D$38^A8295)</f>
        <v>0.9429367138</v>
      </c>
    </row>
    <row r="8296">
      <c r="A8296" s="6">
        <v>8294.0</v>
      </c>
      <c r="B8296" s="17">
        <f t="array" ref="B8296">SUM(1-'Sparkling Model'!D$2:D$38^A8296)</f>
        <v>36.94174807</v>
      </c>
      <c r="C8296" s="8">
        <f t="array" ref="C8296">PRODUCT(1-'Sparkling Model'!D$2:D$38^A8296)</f>
        <v>0.9429650846</v>
      </c>
    </row>
    <row r="8297">
      <c r="A8297" s="6">
        <v>8295.0</v>
      </c>
      <c r="B8297" s="17">
        <f t="array" ref="B8297">SUM(1-'Sparkling Model'!D$2:D$38^A8297)</f>
        <v>36.94177767</v>
      </c>
      <c r="C8297" s="8">
        <f t="array" ref="C8297">PRODUCT(1-'Sparkling Model'!D$2:D$38^A8297)</f>
        <v>0.9429934413</v>
      </c>
    </row>
    <row r="8298">
      <c r="A8298" s="6">
        <v>8296.0</v>
      </c>
      <c r="B8298" s="17">
        <f t="array" ref="B8298">SUM(1-'Sparkling Model'!D$2:D$38^A8298)</f>
        <v>36.94180726</v>
      </c>
      <c r="C8298" s="8">
        <f t="array" ref="C8298">PRODUCT(1-'Sparkling Model'!D$2:D$38^A8298)</f>
        <v>0.9430217839</v>
      </c>
    </row>
    <row r="8299">
      <c r="A8299" s="6">
        <v>8297.0</v>
      </c>
      <c r="B8299" s="17">
        <f t="array" ref="B8299">SUM(1-'Sparkling Model'!D$2:D$38^A8299)</f>
        <v>36.94183683</v>
      </c>
      <c r="C8299" s="8">
        <f t="array" ref="C8299">PRODUCT(1-'Sparkling Model'!D$2:D$38^A8299)</f>
        <v>0.9430501125</v>
      </c>
    </row>
    <row r="8300">
      <c r="A8300" s="6">
        <v>8298.0</v>
      </c>
      <c r="B8300" s="17">
        <f t="array" ref="B8300">SUM(1-'Sparkling Model'!D$2:D$38^A8300)</f>
        <v>36.94186638</v>
      </c>
      <c r="C8300" s="8">
        <f t="array" ref="C8300">PRODUCT(1-'Sparkling Model'!D$2:D$38^A8300)</f>
        <v>0.9430784271</v>
      </c>
    </row>
    <row r="8301">
      <c r="A8301" s="6">
        <v>8299.0</v>
      </c>
      <c r="B8301" s="17">
        <f t="array" ref="B8301">SUM(1-'Sparkling Model'!D$2:D$38^A8301)</f>
        <v>36.94189593</v>
      </c>
      <c r="C8301" s="8">
        <f t="array" ref="C8301">PRODUCT(1-'Sparkling Model'!D$2:D$38^A8301)</f>
        <v>0.9431067275</v>
      </c>
    </row>
    <row r="8302">
      <c r="A8302" s="6">
        <v>8300.0</v>
      </c>
      <c r="B8302" s="17">
        <f t="array" ref="B8302">SUM(1-'Sparkling Model'!D$2:D$38^A8302)</f>
        <v>36.94192545</v>
      </c>
      <c r="C8302" s="8">
        <f t="array" ref="C8302">PRODUCT(1-'Sparkling Model'!D$2:D$38^A8302)</f>
        <v>0.943135014</v>
      </c>
    </row>
    <row r="8303">
      <c r="A8303" s="6">
        <v>8301.0</v>
      </c>
      <c r="B8303" s="17">
        <f t="array" ref="B8303">SUM(1-'Sparkling Model'!D$2:D$38^A8303)</f>
        <v>36.94195496</v>
      </c>
      <c r="C8303" s="8">
        <f t="array" ref="C8303">PRODUCT(1-'Sparkling Model'!D$2:D$38^A8303)</f>
        <v>0.9431632864</v>
      </c>
    </row>
    <row r="8304">
      <c r="A8304" s="6">
        <v>8302.0</v>
      </c>
      <c r="B8304" s="17">
        <f t="array" ref="B8304">SUM(1-'Sparkling Model'!D$2:D$38^A8304)</f>
        <v>36.94198445</v>
      </c>
      <c r="C8304" s="8">
        <f t="array" ref="C8304">PRODUCT(1-'Sparkling Model'!D$2:D$38^A8304)</f>
        <v>0.9431915447</v>
      </c>
    </row>
    <row r="8305">
      <c r="A8305" s="6">
        <v>8303.0</v>
      </c>
      <c r="B8305" s="17">
        <f t="array" ref="B8305">SUM(1-'Sparkling Model'!D$2:D$38^A8305)</f>
        <v>36.94201393</v>
      </c>
      <c r="C8305" s="8">
        <f t="array" ref="C8305">PRODUCT(1-'Sparkling Model'!D$2:D$38^A8305)</f>
        <v>0.9432197891</v>
      </c>
    </row>
    <row r="8306">
      <c r="A8306" s="6">
        <v>8304.0</v>
      </c>
      <c r="B8306" s="17">
        <f t="array" ref="B8306">SUM(1-'Sparkling Model'!D$2:D$38^A8306)</f>
        <v>36.9420434</v>
      </c>
      <c r="C8306" s="8">
        <f t="array" ref="C8306">PRODUCT(1-'Sparkling Model'!D$2:D$38^A8306)</f>
        <v>0.9432480194</v>
      </c>
    </row>
    <row r="8307">
      <c r="A8307" s="6">
        <v>8305.0</v>
      </c>
      <c r="B8307" s="17">
        <f t="array" ref="B8307">SUM(1-'Sparkling Model'!D$2:D$38^A8307)</f>
        <v>36.94207285</v>
      </c>
      <c r="C8307" s="8">
        <f t="array" ref="C8307">PRODUCT(1-'Sparkling Model'!D$2:D$38^A8307)</f>
        <v>0.9432762357</v>
      </c>
    </row>
    <row r="8308">
      <c r="A8308" s="6">
        <v>8306.0</v>
      </c>
      <c r="B8308" s="17">
        <f t="array" ref="B8308">SUM(1-'Sparkling Model'!D$2:D$38^A8308)</f>
        <v>36.94210228</v>
      </c>
      <c r="C8308" s="8">
        <f t="array" ref="C8308">PRODUCT(1-'Sparkling Model'!D$2:D$38^A8308)</f>
        <v>0.943304438</v>
      </c>
    </row>
    <row r="8309">
      <c r="A8309" s="6">
        <v>8307.0</v>
      </c>
      <c r="B8309" s="17">
        <f t="array" ref="B8309">SUM(1-'Sparkling Model'!D$2:D$38^A8309)</f>
        <v>36.9421317</v>
      </c>
      <c r="C8309" s="8">
        <f t="array" ref="C8309">PRODUCT(1-'Sparkling Model'!D$2:D$38^A8309)</f>
        <v>0.9433326263</v>
      </c>
    </row>
    <row r="8310">
      <c r="A8310" s="6">
        <v>8308.0</v>
      </c>
      <c r="B8310" s="17">
        <f t="array" ref="B8310">SUM(1-'Sparkling Model'!D$2:D$38^A8310)</f>
        <v>36.9421611</v>
      </c>
      <c r="C8310" s="8">
        <f t="array" ref="C8310">PRODUCT(1-'Sparkling Model'!D$2:D$38^A8310)</f>
        <v>0.9433608006</v>
      </c>
    </row>
    <row r="8311">
      <c r="A8311" s="6">
        <v>8309.0</v>
      </c>
      <c r="B8311" s="17">
        <f t="array" ref="B8311">SUM(1-'Sparkling Model'!D$2:D$38^A8311)</f>
        <v>36.94219049</v>
      </c>
      <c r="C8311" s="8">
        <f t="array" ref="C8311">PRODUCT(1-'Sparkling Model'!D$2:D$38^A8311)</f>
        <v>0.943388961</v>
      </c>
    </row>
    <row r="8312">
      <c r="A8312" s="6">
        <v>8310.0</v>
      </c>
      <c r="B8312" s="17">
        <f t="array" ref="B8312">SUM(1-'Sparkling Model'!D$2:D$38^A8312)</f>
        <v>36.94221986</v>
      </c>
      <c r="C8312" s="8">
        <f t="array" ref="C8312">PRODUCT(1-'Sparkling Model'!D$2:D$38^A8312)</f>
        <v>0.9434171073</v>
      </c>
    </row>
    <row r="8313">
      <c r="A8313" s="6">
        <v>8311.0</v>
      </c>
      <c r="B8313" s="17">
        <f t="array" ref="B8313">SUM(1-'Sparkling Model'!D$2:D$38^A8313)</f>
        <v>36.94224922</v>
      </c>
      <c r="C8313" s="8">
        <f t="array" ref="C8313">PRODUCT(1-'Sparkling Model'!D$2:D$38^A8313)</f>
        <v>0.9434452397</v>
      </c>
    </row>
    <row r="8314">
      <c r="A8314" s="6">
        <v>8312.0</v>
      </c>
      <c r="B8314" s="17">
        <f t="array" ref="B8314">SUM(1-'Sparkling Model'!D$2:D$38^A8314)</f>
        <v>36.94227856</v>
      </c>
      <c r="C8314" s="8">
        <f t="array" ref="C8314">PRODUCT(1-'Sparkling Model'!D$2:D$38^A8314)</f>
        <v>0.9434733581</v>
      </c>
    </row>
    <row r="8315">
      <c r="A8315" s="6">
        <v>8313.0</v>
      </c>
      <c r="B8315" s="17">
        <f t="array" ref="B8315">SUM(1-'Sparkling Model'!D$2:D$38^A8315)</f>
        <v>36.94230788</v>
      </c>
      <c r="C8315" s="8">
        <f t="array" ref="C8315">PRODUCT(1-'Sparkling Model'!D$2:D$38^A8315)</f>
        <v>0.9435014626</v>
      </c>
    </row>
    <row r="8316">
      <c r="A8316" s="6">
        <v>8314.0</v>
      </c>
      <c r="B8316" s="17">
        <f t="array" ref="B8316">SUM(1-'Sparkling Model'!D$2:D$38^A8316)</f>
        <v>36.9423372</v>
      </c>
      <c r="C8316" s="8">
        <f t="array" ref="C8316">PRODUCT(1-'Sparkling Model'!D$2:D$38^A8316)</f>
        <v>0.9435295531</v>
      </c>
    </row>
    <row r="8317">
      <c r="A8317" s="6">
        <v>8315.0</v>
      </c>
      <c r="B8317" s="17">
        <f t="array" ref="B8317">SUM(1-'Sparkling Model'!D$2:D$38^A8317)</f>
        <v>36.94236649</v>
      </c>
      <c r="C8317" s="8">
        <f t="array" ref="C8317">PRODUCT(1-'Sparkling Model'!D$2:D$38^A8317)</f>
        <v>0.9435576297</v>
      </c>
    </row>
    <row r="8318">
      <c r="A8318" s="6">
        <v>8316.0</v>
      </c>
      <c r="B8318" s="17">
        <f t="array" ref="B8318">SUM(1-'Sparkling Model'!D$2:D$38^A8318)</f>
        <v>36.94239577</v>
      </c>
      <c r="C8318" s="8">
        <f t="array" ref="C8318">PRODUCT(1-'Sparkling Model'!D$2:D$38^A8318)</f>
        <v>0.9435856923</v>
      </c>
    </row>
    <row r="8319">
      <c r="A8319" s="6">
        <v>8317.0</v>
      </c>
      <c r="B8319" s="17">
        <f t="array" ref="B8319">SUM(1-'Sparkling Model'!D$2:D$38^A8319)</f>
        <v>36.94242504</v>
      </c>
      <c r="C8319" s="8">
        <f t="array" ref="C8319">PRODUCT(1-'Sparkling Model'!D$2:D$38^A8319)</f>
        <v>0.9436137411</v>
      </c>
    </row>
    <row r="8320">
      <c r="A8320" s="6">
        <v>8318.0</v>
      </c>
      <c r="B8320" s="17">
        <f t="array" ref="B8320">SUM(1-'Sparkling Model'!D$2:D$38^A8320)</f>
        <v>36.94245429</v>
      </c>
      <c r="C8320" s="8">
        <f t="array" ref="C8320">PRODUCT(1-'Sparkling Model'!D$2:D$38^A8320)</f>
        <v>0.9436417759</v>
      </c>
    </row>
    <row r="8321">
      <c r="A8321" s="6">
        <v>8319.0</v>
      </c>
      <c r="B8321" s="17">
        <f t="array" ref="B8321">SUM(1-'Sparkling Model'!D$2:D$38^A8321)</f>
        <v>36.94248352</v>
      </c>
      <c r="C8321" s="8">
        <f t="array" ref="C8321">PRODUCT(1-'Sparkling Model'!D$2:D$38^A8321)</f>
        <v>0.9436697967</v>
      </c>
    </row>
    <row r="8322">
      <c r="A8322" s="6">
        <v>8320.0</v>
      </c>
      <c r="B8322" s="17">
        <f t="array" ref="B8322">SUM(1-'Sparkling Model'!D$2:D$38^A8322)</f>
        <v>36.94251275</v>
      </c>
      <c r="C8322" s="8">
        <f t="array" ref="C8322">PRODUCT(1-'Sparkling Model'!D$2:D$38^A8322)</f>
        <v>0.9436978037</v>
      </c>
    </row>
    <row r="8323">
      <c r="A8323" s="6">
        <v>8321.0</v>
      </c>
      <c r="B8323" s="17">
        <f t="array" ref="B8323">SUM(1-'Sparkling Model'!D$2:D$38^A8323)</f>
        <v>36.94254195</v>
      </c>
      <c r="C8323" s="8">
        <f t="array" ref="C8323">PRODUCT(1-'Sparkling Model'!D$2:D$38^A8323)</f>
        <v>0.9437257968</v>
      </c>
    </row>
    <row r="8324">
      <c r="A8324" s="6">
        <v>8322.0</v>
      </c>
      <c r="B8324" s="17">
        <f t="array" ref="B8324">SUM(1-'Sparkling Model'!D$2:D$38^A8324)</f>
        <v>36.94257114</v>
      </c>
      <c r="C8324" s="8">
        <f t="array" ref="C8324">PRODUCT(1-'Sparkling Model'!D$2:D$38^A8324)</f>
        <v>0.9437537759</v>
      </c>
    </row>
    <row r="8325">
      <c r="A8325" s="6">
        <v>8323.0</v>
      </c>
      <c r="B8325" s="17">
        <f t="array" ref="B8325">SUM(1-'Sparkling Model'!D$2:D$38^A8325)</f>
        <v>36.94260031</v>
      </c>
      <c r="C8325" s="8">
        <f t="array" ref="C8325">PRODUCT(1-'Sparkling Model'!D$2:D$38^A8325)</f>
        <v>0.9437817412</v>
      </c>
    </row>
    <row r="8326">
      <c r="A8326" s="6">
        <v>8324.0</v>
      </c>
      <c r="B8326" s="17">
        <f t="array" ref="B8326">SUM(1-'Sparkling Model'!D$2:D$38^A8326)</f>
        <v>36.94262947</v>
      </c>
      <c r="C8326" s="8">
        <f t="array" ref="C8326">PRODUCT(1-'Sparkling Model'!D$2:D$38^A8326)</f>
        <v>0.9438096926</v>
      </c>
    </row>
    <row r="8327">
      <c r="A8327" s="6">
        <v>8325.0</v>
      </c>
      <c r="B8327" s="17">
        <f t="array" ref="B8327">SUM(1-'Sparkling Model'!D$2:D$38^A8327)</f>
        <v>36.94265862</v>
      </c>
      <c r="C8327" s="8">
        <f t="array" ref="C8327">PRODUCT(1-'Sparkling Model'!D$2:D$38^A8327)</f>
        <v>0.9438376302</v>
      </c>
    </row>
    <row r="8328">
      <c r="A8328" s="6">
        <v>8326.0</v>
      </c>
      <c r="B8328" s="17">
        <f t="array" ref="B8328">SUM(1-'Sparkling Model'!D$2:D$38^A8328)</f>
        <v>36.94268775</v>
      </c>
      <c r="C8328" s="8">
        <f t="array" ref="C8328">PRODUCT(1-'Sparkling Model'!D$2:D$38^A8328)</f>
        <v>0.9438655538</v>
      </c>
    </row>
    <row r="8329">
      <c r="A8329" s="6">
        <v>8327.0</v>
      </c>
      <c r="B8329" s="17">
        <f t="array" ref="B8329">SUM(1-'Sparkling Model'!D$2:D$38^A8329)</f>
        <v>36.94271686</v>
      </c>
      <c r="C8329" s="8">
        <f t="array" ref="C8329">PRODUCT(1-'Sparkling Model'!D$2:D$38^A8329)</f>
        <v>0.9438934637</v>
      </c>
    </row>
    <row r="8330">
      <c r="A8330" s="6">
        <v>8328.0</v>
      </c>
      <c r="B8330" s="17">
        <f t="array" ref="B8330">SUM(1-'Sparkling Model'!D$2:D$38^A8330)</f>
        <v>36.94274596</v>
      </c>
      <c r="C8330" s="8">
        <f t="array" ref="C8330">PRODUCT(1-'Sparkling Model'!D$2:D$38^A8330)</f>
        <v>0.9439213596</v>
      </c>
    </row>
    <row r="8331">
      <c r="A8331" s="6">
        <v>8329.0</v>
      </c>
      <c r="B8331" s="17">
        <f t="array" ref="B8331">SUM(1-'Sparkling Model'!D$2:D$38^A8331)</f>
        <v>36.94277505</v>
      </c>
      <c r="C8331" s="8">
        <f t="array" ref="C8331">PRODUCT(1-'Sparkling Model'!D$2:D$38^A8331)</f>
        <v>0.9439492417</v>
      </c>
    </row>
    <row r="8332">
      <c r="A8332" s="6">
        <v>8330.0</v>
      </c>
      <c r="B8332" s="17">
        <f t="array" ref="B8332">SUM(1-'Sparkling Model'!D$2:D$38^A8332)</f>
        <v>36.94280412</v>
      </c>
      <c r="C8332" s="8">
        <f t="array" ref="C8332">PRODUCT(1-'Sparkling Model'!D$2:D$38^A8332)</f>
        <v>0.94397711</v>
      </c>
    </row>
    <row r="8333">
      <c r="A8333" s="6">
        <v>8331.0</v>
      </c>
      <c r="B8333" s="17">
        <f t="array" ref="B8333">SUM(1-'Sparkling Model'!D$2:D$38^A8333)</f>
        <v>36.94283317</v>
      </c>
      <c r="C8333" s="8">
        <f t="array" ref="C8333">PRODUCT(1-'Sparkling Model'!D$2:D$38^A8333)</f>
        <v>0.9440049644</v>
      </c>
    </row>
    <row r="8334">
      <c r="A8334" s="6">
        <v>8332.0</v>
      </c>
      <c r="B8334" s="17">
        <f t="array" ref="B8334">SUM(1-'Sparkling Model'!D$2:D$38^A8334)</f>
        <v>36.94286221</v>
      </c>
      <c r="C8334" s="8">
        <f t="array" ref="C8334">PRODUCT(1-'Sparkling Model'!D$2:D$38^A8334)</f>
        <v>0.944032805</v>
      </c>
    </row>
    <row r="8335">
      <c r="A8335" s="6">
        <v>8333.0</v>
      </c>
      <c r="B8335" s="17">
        <f t="array" ref="B8335">SUM(1-'Sparkling Model'!D$2:D$38^A8335)</f>
        <v>36.94289123</v>
      </c>
      <c r="C8335" s="8">
        <f t="array" ref="C8335">PRODUCT(1-'Sparkling Model'!D$2:D$38^A8335)</f>
        <v>0.9440606318</v>
      </c>
    </row>
    <row r="8336">
      <c r="A8336" s="6">
        <v>8334.0</v>
      </c>
      <c r="B8336" s="17">
        <f t="array" ref="B8336">SUM(1-'Sparkling Model'!D$2:D$38^A8336)</f>
        <v>36.94292024</v>
      </c>
      <c r="C8336" s="8">
        <f t="array" ref="C8336">PRODUCT(1-'Sparkling Model'!D$2:D$38^A8336)</f>
        <v>0.9440884448</v>
      </c>
    </row>
    <row r="8337">
      <c r="A8337" s="6">
        <v>8335.0</v>
      </c>
      <c r="B8337" s="17">
        <f t="array" ref="B8337">SUM(1-'Sparkling Model'!D$2:D$38^A8337)</f>
        <v>36.94294923</v>
      </c>
      <c r="C8337" s="8">
        <f t="array" ref="C8337">PRODUCT(1-'Sparkling Model'!D$2:D$38^A8337)</f>
        <v>0.944116244</v>
      </c>
    </row>
    <row r="8338">
      <c r="A8338" s="6">
        <v>8336.0</v>
      </c>
      <c r="B8338" s="17">
        <f t="array" ref="B8338">SUM(1-'Sparkling Model'!D$2:D$38^A8338)</f>
        <v>36.94297821</v>
      </c>
      <c r="C8338" s="8">
        <f t="array" ref="C8338">PRODUCT(1-'Sparkling Model'!D$2:D$38^A8338)</f>
        <v>0.9441440293</v>
      </c>
    </row>
    <row r="8339">
      <c r="A8339" s="6">
        <v>8337.0</v>
      </c>
      <c r="B8339" s="17">
        <f t="array" ref="B8339">SUM(1-'Sparkling Model'!D$2:D$38^A8339)</f>
        <v>36.94300718</v>
      </c>
      <c r="C8339" s="8">
        <f t="array" ref="C8339">PRODUCT(1-'Sparkling Model'!D$2:D$38^A8339)</f>
        <v>0.9441718009</v>
      </c>
    </row>
    <row r="8340">
      <c r="A8340" s="6">
        <v>8338.0</v>
      </c>
      <c r="B8340" s="17">
        <f t="array" ref="B8340">SUM(1-'Sparkling Model'!D$2:D$38^A8340)</f>
        <v>36.94303613</v>
      </c>
      <c r="C8340" s="8">
        <f t="array" ref="C8340">PRODUCT(1-'Sparkling Model'!D$2:D$38^A8340)</f>
        <v>0.9441995587</v>
      </c>
    </row>
    <row r="8341">
      <c r="A8341" s="6">
        <v>8339.0</v>
      </c>
      <c r="B8341" s="17">
        <f t="array" ref="B8341">SUM(1-'Sparkling Model'!D$2:D$38^A8341)</f>
        <v>36.94306506</v>
      </c>
      <c r="C8341" s="8">
        <f t="array" ref="C8341">PRODUCT(1-'Sparkling Model'!D$2:D$38^A8341)</f>
        <v>0.9442273027</v>
      </c>
    </row>
    <row r="8342">
      <c r="A8342" s="6">
        <v>8340.0</v>
      </c>
      <c r="B8342" s="17">
        <f t="array" ref="B8342">SUM(1-'Sparkling Model'!D$2:D$38^A8342)</f>
        <v>36.94309398</v>
      </c>
      <c r="C8342" s="8">
        <f t="array" ref="C8342">PRODUCT(1-'Sparkling Model'!D$2:D$38^A8342)</f>
        <v>0.944255033</v>
      </c>
    </row>
    <row r="8343">
      <c r="A8343" s="6">
        <v>8341.0</v>
      </c>
      <c r="B8343" s="17">
        <f t="array" ref="B8343">SUM(1-'Sparkling Model'!D$2:D$38^A8343)</f>
        <v>36.94312288</v>
      </c>
      <c r="C8343" s="8">
        <f t="array" ref="C8343">PRODUCT(1-'Sparkling Model'!D$2:D$38^A8343)</f>
        <v>0.9442827494</v>
      </c>
    </row>
    <row r="8344">
      <c r="A8344" s="6">
        <v>8342.0</v>
      </c>
      <c r="B8344" s="17">
        <f t="array" ref="B8344">SUM(1-'Sparkling Model'!D$2:D$38^A8344)</f>
        <v>36.94315177</v>
      </c>
      <c r="C8344" s="8">
        <f t="array" ref="C8344">PRODUCT(1-'Sparkling Model'!D$2:D$38^A8344)</f>
        <v>0.9443104522</v>
      </c>
    </row>
    <row r="8345">
      <c r="A8345" s="6">
        <v>8343.0</v>
      </c>
      <c r="B8345" s="17">
        <f t="array" ref="B8345">SUM(1-'Sparkling Model'!D$2:D$38^A8345)</f>
        <v>36.94318064</v>
      </c>
      <c r="C8345" s="8">
        <f t="array" ref="C8345">PRODUCT(1-'Sparkling Model'!D$2:D$38^A8345)</f>
        <v>0.9443381411</v>
      </c>
    </row>
    <row r="8346">
      <c r="A8346" s="6">
        <v>8344.0</v>
      </c>
      <c r="B8346" s="17">
        <f t="array" ref="B8346">SUM(1-'Sparkling Model'!D$2:D$38^A8346)</f>
        <v>36.9432095</v>
      </c>
      <c r="C8346" s="8">
        <f t="array" ref="C8346">PRODUCT(1-'Sparkling Model'!D$2:D$38^A8346)</f>
        <v>0.9443658164</v>
      </c>
    </row>
    <row r="8347">
      <c r="A8347" s="6">
        <v>8345.0</v>
      </c>
      <c r="B8347" s="17">
        <f t="array" ref="B8347">SUM(1-'Sparkling Model'!D$2:D$38^A8347)</f>
        <v>36.94323835</v>
      </c>
      <c r="C8347" s="8">
        <f t="array" ref="C8347">PRODUCT(1-'Sparkling Model'!D$2:D$38^A8347)</f>
        <v>0.9443934779</v>
      </c>
    </row>
    <row r="8348">
      <c r="A8348" s="6">
        <v>8346.0</v>
      </c>
      <c r="B8348" s="17">
        <f t="array" ref="B8348">SUM(1-'Sparkling Model'!D$2:D$38^A8348)</f>
        <v>36.94326718</v>
      </c>
      <c r="C8348" s="8">
        <f t="array" ref="C8348">PRODUCT(1-'Sparkling Model'!D$2:D$38^A8348)</f>
        <v>0.9444211256</v>
      </c>
    </row>
    <row r="8349">
      <c r="A8349" s="6">
        <v>8347.0</v>
      </c>
      <c r="B8349" s="17">
        <f t="array" ref="B8349">SUM(1-'Sparkling Model'!D$2:D$38^A8349)</f>
        <v>36.94329599</v>
      </c>
      <c r="C8349" s="8">
        <f t="array" ref="C8349">PRODUCT(1-'Sparkling Model'!D$2:D$38^A8349)</f>
        <v>0.9444487596</v>
      </c>
    </row>
    <row r="8350">
      <c r="A8350" s="6">
        <v>8348.0</v>
      </c>
      <c r="B8350" s="17">
        <f t="array" ref="B8350">SUM(1-'Sparkling Model'!D$2:D$38^A8350)</f>
        <v>36.94332479</v>
      </c>
      <c r="C8350" s="8">
        <f t="array" ref="C8350">PRODUCT(1-'Sparkling Model'!D$2:D$38^A8350)</f>
        <v>0.94447638</v>
      </c>
    </row>
    <row r="8351">
      <c r="A8351" s="6">
        <v>8349.0</v>
      </c>
      <c r="B8351" s="17">
        <f t="array" ref="B8351">SUM(1-'Sparkling Model'!D$2:D$38^A8351)</f>
        <v>36.94335357</v>
      </c>
      <c r="C8351" s="8">
        <f t="array" ref="C8351">PRODUCT(1-'Sparkling Model'!D$2:D$38^A8351)</f>
        <v>0.9445039866</v>
      </c>
    </row>
    <row r="8352">
      <c r="A8352" s="6">
        <v>8350.0</v>
      </c>
      <c r="B8352" s="17">
        <f t="array" ref="B8352">SUM(1-'Sparkling Model'!D$2:D$38^A8352)</f>
        <v>36.94338234</v>
      </c>
      <c r="C8352" s="8">
        <f t="array" ref="C8352">PRODUCT(1-'Sparkling Model'!D$2:D$38^A8352)</f>
        <v>0.9445315795</v>
      </c>
    </row>
    <row r="8353">
      <c r="A8353" s="6">
        <v>8351.0</v>
      </c>
      <c r="B8353" s="17">
        <f t="array" ref="B8353">SUM(1-'Sparkling Model'!D$2:D$38^A8353)</f>
        <v>36.9434111</v>
      </c>
      <c r="C8353" s="8">
        <f t="array" ref="C8353">PRODUCT(1-'Sparkling Model'!D$2:D$38^A8353)</f>
        <v>0.9445591587</v>
      </c>
    </row>
    <row r="8354">
      <c r="A8354" s="6">
        <v>8352.0</v>
      </c>
      <c r="B8354" s="17">
        <f t="array" ref="B8354">SUM(1-'Sparkling Model'!D$2:D$38^A8354)</f>
        <v>36.94343984</v>
      </c>
      <c r="C8354" s="8">
        <f t="array" ref="C8354">PRODUCT(1-'Sparkling Model'!D$2:D$38^A8354)</f>
        <v>0.9445867242</v>
      </c>
    </row>
    <row r="8355">
      <c r="A8355" s="6">
        <v>8353.0</v>
      </c>
      <c r="B8355" s="17">
        <f t="array" ref="B8355">SUM(1-'Sparkling Model'!D$2:D$38^A8355)</f>
        <v>36.94346856</v>
      </c>
      <c r="C8355" s="8">
        <f t="array" ref="C8355">PRODUCT(1-'Sparkling Model'!D$2:D$38^A8355)</f>
        <v>0.944614276</v>
      </c>
    </row>
    <row r="8356">
      <c r="A8356" s="6">
        <v>8354.0</v>
      </c>
      <c r="B8356" s="17">
        <f t="array" ref="B8356">SUM(1-'Sparkling Model'!D$2:D$38^A8356)</f>
        <v>36.94349727</v>
      </c>
      <c r="C8356" s="8">
        <f t="array" ref="C8356">PRODUCT(1-'Sparkling Model'!D$2:D$38^A8356)</f>
        <v>0.9446418142</v>
      </c>
    </row>
    <row r="8357">
      <c r="A8357" s="6">
        <v>8355.0</v>
      </c>
      <c r="B8357" s="17">
        <f t="array" ref="B8357">SUM(1-'Sparkling Model'!D$2:D$38^A8357)</f>
        <v>36.94352596</v>
      </c>
      <c r="C8357" s="8">
        <f t="array" ref="C8357">PRODUCT(1-'Sparkling Model'!D$2:D$38^A8357)</f>
        <v>0.9446693386</v>
      </c>
    </row>
    <row r="8358">
      <c r="A8358" s="6">
        <v>8356.0</v>
      </c>
      <c r="B8358" s="17">
        <f t="array" ref="B8358">SUM(1-'Sparkling Model'!D$2:D$38^A8358)</f>
        <v>36.94355464</v>
      </c>
      <c r="C8358" s="8">
        <f t="array" ref="C8358">PRODUCT(1-'Sparkling Model'!D$2:D$38^A8358)</f>
        <v>0.9446968495</v>
      </c>
    </row>
    <row r="8359">
      <c r="A8359" s="6">
        <v>8357.0</v>
      </c>
      <c r="B8359" s="17">
        <f t="array" ref="B8359">SUM(1-'Sparkling Model'!D$2:D$38^A8359)</f>
        <v>36.94358331</v>
      </c>
      <c r="C8359" s="8">
        <f t="array" ref="C8359">PRODUCT(1-'Sparkling Model'!D$2:D$38^A8359)</f>
        <v>0.9447243466</v>
      </c>
    </row>
    <row r="8360">
      <c r="A8360" s="6">
        <v>8358.0</v>
      </c>
      <c r="B8360" s="17">
        <f t="array" ref="B8360">SUM(1-'Sparkling Model'!D$2:D$38^A8360)</f>
        <v>36.94361196</v>
      </c>
      <c r="C8360" s="8">
        <f t="array" ref="C8360">PRODUCT(1-'Sparkling Model'!D$2:D$38^A8360)</f>
        <v>0.9447518301</v>
      </c>
    </row>
    <row r="8361">
      <c r="A8361" s="6">
        <v>8359.0</v>
      </c>
      <c r="B8361" s="17">
        <f t="array" ref="B8361">SUM(1-'Sparkling Model'!D$2:D$38^A8361)</f>
        <v>36.94364059</v>
      </c>
      <c r="C8361" s="8">
        <f t="array" ref="C8361">PRODUCT(1-'Sparkling Model'!D$2:D$38^A8361)</f>
        <v>0.9447793</v>
      </c>
    </row>
    <row r="8362">
      <c r="A8362" s="6">
        <v>8360.0</v>
      </c>
      <c r="B8362" s="17">
        <f t="array" ref="B8362">SUM(1-'Sparkling Model'!D$2:D$38^A8362)</f>
        <v>36.94366921</v>
      </c>
      <c r="C8362" s="8">
        <f t="array" ref="C8362">PRODUCT(1-'Sparkling Model'!D$2:D$38^A8362)</f>
        <v>0.9448067562</v>
      </c>
    </row>
    <row r="8363">
      <c r="A8363" s="6">
        <v>8361.0</v>
      </c>
      <c r="B8363" s="17">
        <f t="array" ref="B8363">SUM(1-'Sparkling Model'!D$2:D$38^A8363)</f>
        <v>36.94369782</v>
      </c>
      <c r="C8363" s="8">
        <f t="array" ref="C8363">PRODUCT(1-'Sparkling Model'!D$2:D$38^A8363)</f>
        <v>0.9448341988</v>
      </c>
    </row>
    <row r="8364">
      <c r="A8364" s="6">
        <v>8362.0</v>
      </c>
      <c r="B8364" s="17">
        <f t="array" ref="B8364">SUM(1-'Sparkling Model'!D$2:D$38^A8364)</f>
        <v>36.94372641</v>
      </c>
      <c r="C8364" s="8">
        <f t="array" ref="C8364">PRODUCT(1-'Sparkling Model'!D$2:D$38^A8364)</f>
        <v>0.9448616278</v>
      </c>
    </row>
    <row r="8365">
      <c r="A8365" s="6">
        <v>8363.0</v>
      </c>
      <c r="B8365" s="17">
        <f t="array" ref="B8365">SUM(1-'Sparkling Model'!D$2:D$38^A8365)</f>
        <v>36.94375499</v>
      </c>
      <c r="C8365" s="8">
        <f t="array" ref="C8365">PRODUCT(1-'Sparkling Model'!D$2:D$38^A8365)</f>
        <v>0.9448890432</v>
      </c>
    </row>
    <row r="8366">
      <c r="A8366" s="6">
        <v>8364.0</v>
      </c>
      <c r="B8366" s="17">
        <f t="array" ref="B8366">SUM(1-'Sparkling Model'!D$2:D$38^A8366)</f>
        <v>36.94378355</v>
      </c>
      <c r="C8366" s="8">
        <f t="array" ref="C8366">PRODUCT(1-'Sparkling Model'!D$2:D$38^A8366)</f>
        <v>0.9449164449</v>
      </c>
    </row>
    <row r="8367">
      <c r="A8367" s="6">
        <v>8365.0</v>
      </c>
      <c r="B8367" s="17">
        <f t="array" ref="B8367">SUM(1-'Sparkling Model'!D$2:D$38^A8367)</f>
        <v>36.94381209</v>
      </c>
      <c r="C8367" s="8">
        <f t="array" ref="C8367">PRODUCT(1-'Sparkling Model'!D$2:D$38^A8367)</f>
        <v>0.9449438331</v>
      </c>
    </row>
    <row r="8368">
      <c r="A8368" s="6">
        <v>8366.0</v>
      </c>
      <c r="B8368" s="17">
        <f t="array" ref="B8368">SUM(1-'Sparkling Model'!D$2:D$38^A8368)</f>
        <v>36.94384062</v>
      </c>
      <c r="C8368" s="8">
        <f t="array" ref="C8368">PRODUCT(1-'Sparkling Model'!D$2:D$38^A8368)</f>
        <v>0.9449712076</v>
      </c>
    </row>
    <row r="8369">
      <c r="A8369" s="6">
        <v>8367.0</v>
      </c>
      <c r="B8369" s="17">
        <f t="array" ref="B8369">SUM(1-'Sparkling Model'!D$2:D$38^A8369)</f>
        <v>36.94386914</v>
      </c>
      <c r="C8369" s="8">
        <f t="array" ref="C8369">PRODUCT(1-'Sparkling Model'!D$2:D$38^A8369)</f>
        <v>0.9449985686</v>
      </c>
    </row>
    <row r="8370">
      <c r="A8370" s="6">
        <v>8368.0</v>
      </c>
      <c r="B8370" s="17">
        <f t="array" ref="B8370">SUM(1-'Sparkling Model'!D$2:D$38^A8370)</f>
        <v>36.94389764</v>
      </c>
      <c r="C8370" s="8">
        <f t="array" ref="C8370">PRODUCT(1-'Sparkling Model'!D$2:D$38^A8370)</f>
        <v>0.9450259159</v>
      </c>
    </row>
    <row r="8371">
      <c r="A8371" s="6">
        <v>8369.0</v>
      </c>
      <c r="B8371" s="17">
        <f t="array" ref="B8371">SUM(1-'Sparkling Model'!D$2:D$38^A8371)</f>
        <v>36.94392613</v>
      </c>
      <c r="C8371" s="8">
        <f t="array" ref="C8371">PRODUCT(1-'Sparkling Model'!D$2:D$38^A8371)</f>
        <v>0.9450532497</v>
      </c>
    </row>
    <row r="8372">
      <c r="A8372" s="6">
        <v>8370.0</v>
      </c>
      <c r="B8372" s="17">
        <f t="array" ref="B8372">SUM(1-'Sparkling Model'!D$2:D$38^A8372)</f>
        <v>36.9439546</v>
      </c>
      <c r="C8372" s="8">
        <f t="array" ref="C8372">PRODUCT(1-'Sparkling Model'!D$2:D$38^A8372)</f>
        <v>0.94508057</v>
      </c>
    </row>
    <row r="8373">
      <c r="A8373" s="6">
        <v>8371.0</v>
      </c>
      <c r="B8373" s="17">
        <f t="array" ref="B8373">SUM(1-'Sparkling Model'!D$2:D$38^A8373)</f>
        <v>36.94398306</v>
      </c>
      <c r="C8373" s="8">
        <f t="array" ref="C8373">PRODUCT(1-'Sparkling Model'!D$2:D$38^A8373)</f>
        <v>0.9451078766</v>
      </c>
    </row>
    <row r="8374">
      <c r="A8374" s="6">
        <v>8372.0</v>
      </c>
      <c r="B8374" s="17">
        <f t="array" ref="B8374">SUM(1-'Sparkling Model'!D$2:D$38^A8374)</f>
        <v>36.9440115</v>
      </c>
      <c r="C8374" s="8">
        <f t="array" ref="C8374">PRODUCT(1-'Sparkling Model'!D$2:D$38^A8374)</f>
        <v>0.9451351698</v>
      </c>
    </row>
    <row r="8375">
      <c r="A8375" s="6">
        <v>8373.0</v>
      </c>
      <c r="B8375" s="17">
        <f t="array" ref="B8375">SUM(1-'Sparkling Model'!D$2:D$38^A8375)</f>
        <v>36.94403993</v>
      </c>
      <c r="C8375" s="8">
        <f t="array" ref="C8375">PRODUCT(1-'Sparkling Model'!D$2:D$38^A8375)</f>
        <v>0.9451624493</v>
      </c>
    </row>
    <row r="8376">
      <c r="A8376" s="6">
        <v>8374.0</v>
      </c>
      <c r="B8376" s="17">
        <f t="array" ref="B8376">SUM(1-'Sparkling Model'!D$2:D$38^A8376)</f>
        <v>36.94406835</v>
      </c>
      <c r="C8376" s="8">
        <f t="array" ref="C8376">PRODUCT(1-'Sparkling Model'!D$2:D$38^A8376)</f>
        <v>0.9451897153</v>
      </c>
    </row>
    <row r="8377">
      <c r="A8377" s="6">
        <v>8375.0</v>
      </c>
      <c r="B8377" s="17">
        <f t="array" ref="B8377">SUM(1-'Sparkling Model'!D$2:D$38^A8377)</f>
        <v>36.94409674</v>
      </c>
      <c r="C8377" s="8">
        <f t="array" ref="C8377">PRODUCT(1-'Sparkling Model'!D$2:D$38^A8377)</f>
        <v>0.9452169678</v>
      </c>
    </row>
    <row r="8378">
      <c r="A8378" s="6">
        <v>8376.0</v>
      </c>
      <c r="B8378" s="17">
        <f t="array" ref="B8378">SUM(1-'Sparkling Model'!D$2:D$38^A8378)</f>
        <v>36.94412513</v>
      </c>
      <c r="C8378" s="8">
        <f t="array" ref="C8378">PRODUCT(1-'Sparkling Model'!D$2:D$38^A8378)</f>
        <v>0.9452442068</v>
      </c>
    </row>
    <row r="8379">
      <c r="A8379" s="6">
        <v>8377.0</v>
      </c>
      <c r="B8379" s="17">
        <f t="array" ref="B8379">SUM(1-'Sparkling Model'!D$2:D$38^A8379)</f>
        <v>36.9441535</v>
      </c>
      <c r="C8379" s="8">
        <f t="array" ref="C8379">PRODUCT(1-'Sparkling Model'!D$2:D$38^A8379)</f>
        <v>0.9452714322</v>
      </c>
    </row>
    <row r="8380">
      <c r="A8380" s="6">
        <v>8378.0</v>
      </c>
      <c r="B8380" s="17">
        <f t="array" ref="B8380">SUM(1-'Sparkling Model'!D$2:D$38^A8380)</f>
        <v>36.94418185</v>
      </c>
      <c r="C8380" s="8">
        <f t="array" ref="C8380">PRODUCT(1-'Sparkling Model'!D$2:D$38^A8380)</f>
        <v>0.9452986441</v>
      </c>
    </row>
    <row r="8381">
      <c r="A8381" s="6">
        <v>8379.0</v>
      </c>
      <c r="B8381" s="17">
        <f t="array" ref="B8381">SUM(1-'Sparkling Model'!D$2:D$38^A8381)</f>
        <v>36.94421019</v>
      </c>
      <c r="C8381" s="8">
        <f t="array" ref="C8381">PRODUCT(1-'Sparkling Model'!D$2:D$38^A8381)</f>
        <v>0.9453258425</v>
      </c>
    </row>
    <row r="8382">
      <c r="A8382" s="6">
        <v>8380.0</v>
      </c>
      <c r="B8382" s="17">
        <f t="array" ref="B8382">SUM(1-'Sparkling Model'!D$2:D$38^A8382)</f>
        <v>36.94423852</v>
      </c>
      <c r="C8382" s="8">
        <f t="array" ref="C8382">PRODUCT(1-'Sparkling Model'!D$2:D$38^A8382)</f>
        <v>0.9453530274</v>
      </c>
    </row>
    <row r="8383">
      <c r="A8383" s="6">
        <v>8381.0</v>
      </c>
      <c r="B8383" s="17">
        <f t="array" ref="B8383">SUM(1-'Sparkling Model'!D$2:D$38^A8383)</f>
        <v>36.94426683</v>
      </c>
      <c r="C8383" s="8">
        <f t="array" ref="C8383">PRODUCT(1-'Sparkling Model'!D$2:D$38^A8383)</f>
        <v>0.9453801988</v>
      </c>
    </row>
    <row r="8384">
      <c r="A8384" s="6">
        <v>8382.0</v>
      </c>
      <c r="B8384" s="17">
        <f t="array" ref="B8384">SUM(1-'Sparkling Model'!D$2:D$38^A8384)</f>
        <v>36.94429512</v>
      </c>
      <c r="C8384" s="8">
        <f t="array" ref="C8384">PRODUCT(1-'Sparkling Model'!D$2:D$38^A8384)</f>
        <v>0.9454073567</v>
      </c>
    </row>
    <row r="8385">
      <c r="A8385" s="6">
        <v>8383.0</v>
      </c>
      <c r="B8385" s="17">
        <f t="array" ref="B8385">SUM(1-'Sparkling Model'!D$2:D$38^A8385)</f>
        <v>36.9443234</v>
      </c>
      <c r="C8385" s="8">
        <f t="array" ref="C8385">PRODUCT(1-'Sparkling Model'!D$2:D$38^A8385)</f>
        <v>0.9454345012</v>
      </c>
    </row>
    <row r="8386">
      <c r="A8386" s="6">
        <v>8384.0</v>
      </c>
      <c r="B8386" s="17">
        <f t="array" ref="B8386">SUM(1-'Sparkling Model'!D$2:D$38^A8386)</f>
        <v>36.94435167</v>
      </c>
      <c r="C8386" s="8">
        <f t="array" ref="C8386">PRODUCT(1-'Sparkling Model'!D$2:D$38^A8386)</f>
        <v>0.9454616321</v>
      </c>
    </row>
    <row r="8387">
      <c r="A8387" s="6">
        <v>8385.0</v>
      </c>
      <c r="B8387" s="17">
        <f t="array" ref="B8387">SUM(1-'Sparkling Model'!D$2:D$38^A8387)</f>
        <v>36.94437992</v>
      </c>
      <c r="C8387" s="8">
        <f t="array" ref="C8387">PRODUCT(1-'Sparkling Model'!D$2:D$38^A8387)</f>
        <v>0.9454887496</v>
      </c>
    </row>
    <row r="8388">
      <c r="A8388" s="6">
        <v>8386.0</v>
      </c>
      <c r="B8388" s="17">
        <f t="array" ref="B8388">SUM(1-'Sparkling Model'!D$2:D$38^A8388)</f>
        <v>36.94440816</v>
      </c>
      <c r="C8388" s="8">
        <f t="array" ref="C8388">PRODUCT(1-'Sparkling Model'!D$2:D$38^A8388)</f>
        <v>0.9455158536</v>
      </c>
    </row>
    <row r="8389">
      <c r="A8389" s="6">
        <v>8387.0</v>
      </c>
      <c r="B8389" s="17">
        <f t="array" ref="B8389">SUM(1-'Sparkling Model'!D$2:D$38^A8389)</f>
        <v>36.94443638</v>
      </c>
      <c r="C8389" s="8">
        <f t="array" ref="C8389">PRODUCT(1-'Sparkling Model'!D$2:D$38^A8389)</f>
        <v>0.9455429442</v>
      </c>
    </row>
    <row r="8390">
      <c r="A8390" s="6">
        <v>8388.0</v>
      </c>
      <c r="B8390" s="17">
        <f t="array" ref="B8390">SUM(1-'Sparkling Model'!D$2:D$38^A8390)</f>
        <v>36.94446459</v>
      </c>
      <c r="C8390" s="8">
        <f t="array" ref="C8390">PRODUCT(1-'Sparkling Model'!D$2:D$38^A8390)</f>
        <v>0.9455700213</v>
      </c>
    </row>
    <row r="8391">
      <c r="A8391" s="6">
        <v>8389.0</v>
      </c>
      <c r="B8391" s="17">
        <f t="array" ref="B8391">SUM(1-'Sparkling Model'!D$2:D$38^A8391)</f>
        <v>36.94449278</v>
      </c>
      <c r="C8391" s="8">
        <f t="array" ref="C8391">PRODUCT(1-'Sparkling Model'!D$2:D$38^A8391)</f>
        <v>0.945597085</v>
      </c>
    </row>
    <row r="8392">
      <c r="A8392" s="6">
        <v>8390.0</v>
      </c>
      <c r="B8392" s="17">
        <f t="array" ref="B8392">SUM(1-'Sparkling Model'!D$2:D$38^A8392)</f>
        <v>36.94452096</v>
      </c>
      <c r="C8392" s="8">
        <f t="array" ref="C8392">PRODUCT(1-'Sparkling Model'!D$2:D$38^A8392)</f>
        <v>0.9456241352</v>
      </c>
    </row>
    <row r="8393">
      <c r="A8393" s="6">
        <v>8391.0</v>
      </c>
      <c r="B8393" s="17">
        <f t="array" ref="B8393">SUM(1-'Sparkling Model'!D$2:D$38^A8393)</f>
        <v>36.94454913</v>
      </c>
      <c r="C8393" s="8">
        <f t="array" ref="C8393">PRODUCT(1-'Sparkling Model'!D$2:D$38^A8393)</f>
        <v>0.945651172</v>
      </c>
    </row>
    <row r="8394">
      <c r="A8394" s="6">
        <v>8392.0</v>
      </c>
      <c r="B8394" s="17">
        <f t="array" ref="B8394">SUM(1-'Sparkling Model'!D$2:D$38^A8394)</f>
        <v>36.94457728</v>
      </c>
      <c r="C8394" s="8">
        <f t="array" ref="C8394">PRODUCT(1-'Sparkling Model'!D$2:D$38^A8394)</f>
        <v>0.9456781954</v>
      </c>
    </row>
    <row r="8395">
      <c r="A8395" s="6">
        <v>8393.0</v>
      </c>
      <c r="B8395" s="17">
        <f t="array" ref="B8395">SUM(1-'Sparkling Model'!D$2:D$38^A8395)</f>
        <v>36.94460541</v>
      </c>
      <c r="C8395" s="8">
        <f t="array" ref="C8395">PRODUCT(1-'Sparkling Model'!D$2:D$38^A8395)</f>
        <v>0.9457052054</v>
      </c>
    </row>
    <row r="8396">
      <c r="A8396" s="6">
        <v>8394.0</v>
      </c>
      <c r="B8396" s="17">
        <f t="array" ref="B8396">SUM(1-'Sparkling Model'!D$2:D$38^A8396)</f>
        <v>36.94463353</v>
      </c>
      <c r="C8396" s="8">
        <f t="array" ref="C8396">PRODUCT(1-'Sparkling Model'!D$2:D$38^A8396)</f>
        <v>0.9457322019</v>
      </c>
    </row>
    <row r="8397">
      <c r="A8397" s="6">
        <v>8395.0</v>
      </c>
      <c r="B8397" s="17">
        <f t="array" ref="B8397">SUM(1-'Sparkling Model'!D$2:D$38^A8397)</f>
        <v>36.94466164</v>
      </c>
      <c r="C8397" s="8">
        <f t="array" ref="C8397">PRODUCT(1-'Sparkling Model'!D$2:D$38^A8397)</f>
        <v>0.9457591851</v>
      </c>
    </row>
    <row r="8398">
      <c r="A8398" s="6">
        <v>8396.0</v>
      </c>
      <c r="B8398" s="17">
        <f t="array" ref="B8398">SUM(1-'Sparkling Model'!D$2:D$38^A8398)</f>
        <v>36.94468973</v>
      </c>
      <c r="C8398" s="8">
        <f t="array" ref="C8398">PRODUCT(1-'Sparkling Model'!D$2:D$38^A8398)</f>
        <v>0.9457861548</v>
      </c>
    </row>
    <row r="8399">
      <c r="A8399" s="6">
        <v>8397.0</v>
      </c>
      <c r="B8399" s="17">
        <f t="array" ref="B8399">SUM(1-'Sparkling Model'!D$2:D$38^A8399)</f>
        <v>36.94471781</v>
      </c>
      <c r="C8399" s="8">
        <f t="array" ref="C8399">PRODUCT(1-'Sparkling Model'!D$2:D$38^A8399)</f>
        <v>0.9458131112</v>
      </c>
    </row>
    <row r="8400">
      <c r="A8400" s="6">
        <v>8398.0</v>
      </c>
      <c r="B8400" s="17">
        <f t="array" ref="B8400">SUM(1-'Sparkling Model'!D$2:D$38^A8400)</f>
        <v>36.94474587</v>
      </c>
      <c r="C8400" s="8">
        <f t="array" ref="C8400">PRODUCT(1-'Sparkling Model'!D$2:D$38^A8400)</f>
        <v>0.9458400541</v>
      </c>
    </row>
    <row r="8401">
      <c r="A8401" s="6">
        <v>8399.0</v>
      </c>
      <c r="B8401" s="17">
        <f t="array" ref="B8401">SUM(1-'Sparkling Model'!D$2:D$38^A8401)</f>
        <v>36.94477392</v>
      </c>
      <c r="C8401" s="8">
        <f t="array" ref="C8401">PRODUCT(1-'Sparkling Model'!D$2:D$38^A8401)</f>
        <v>0.9458669837</v>
      </c>
    </row>
    <row r="8402">
      <c r="A8402" s="6">
        <v>8400.0</v>
      </c>
      <c r="B8402" s="17">
        <f t="array" ref="B8402">SUM(1-'Sparkling Model'!D$2:D$38^A8402)</f>
        <v>36.94480195</v>
      </c>
      <c r="C8402" s="8">
        <f t="array" ref="C8402">PRODUCT(1-'Sparkling Model'!D$2:D$38^A8402)</f>
        <v>0.9458939</v>
      </c>
    </row>
    <row r="8403">
      <c r="A8403" s="6">
        <v>8401.0</v>
      </c>
      <c r="B8403" s="17">
        <f t="array" ref="B8403">SUM(1-'Sparkling Model'!D$2:D$38^A8403)</f>
        <v>36.94482997</v>
      </c>
      <c r="C8403" s="8">
        <f t="array" ref="C8403">PRODUCT(1-'Sparkling Model'!D$2:D$38^A8403)</f>
        <v>0.9459208028</v>
      </c>
    </row>
    <row r="8404">
      <c r="A8404" s="6">
        <v>8402.0</v>
      </c>
      <c r="B8404" s="17">
        <f t="array" ref="B8404">SUM(1-'Sparkling Model'!D$2:D$38^A8404)</f>
        <v>36.94485797</v>
      </c>
      <c r="C8404" s="8">
        <f t="array" ref="C8404">PRODUCT(1-'Sparkling Model'!D$2:D$38^A8404)</f>
        <v>0.9459476924</v>
      </c>
    </row>
    <row r="8405">
      <c r="A8405" s="6">
        <v>8403.0</v>
      </c>
      <c r="B8405" s="17">
        <f t="array" ref="B8405">SUM(1-'Sparkling Model'!D$2:D$38^A8405)</f>
        <v>36.94488596</v>
      </c>
      <c r="C8405" s="8">
        <f t="array" ref="C8405">PRODUCT(1-'Sparkling Model'!D$2:D$38^A8405)</f>
        <v>0.9459745685</v>
      </c>
    </row>
    <row r="8406">
      <c r="A8406" s="6">
        <v>8404.0</v>
      </c>
      <c r="B8406" s="17">
        <f t="array" ref="B8406">SUM(1-'Sparkling Model'!D$2:D$38^A8406)</f>
        <v>36.94491394</v>
      </c>
      <c r="C8406" s="8">
        <f t="array" ref="C8406">PRODUCT(1-'Sparkling Model'!D$2:D$38^A8406)</f>
        <v>0.9460014313</v>
      </c>
    </row>
    <row r="8407">
      <c r="A8407" s="6">
        <v>8405.0</v>
      </c>
      <c r="B8407" s="17">
        <f t="array" ref="B8407">SUM(1-'Sparkling Model'!D$2:D$38^A8407)</f>
        <v>36.9449419</v>
      </c>
      <c r="C8407" s="8">
        <f t="array" ref="C8407">PRODUCT(1-'Sparkling Model'!D$2:D$38^A8407)</f>
        <v>0.9460282808</v>
      </c>
    </row>
    <row r="8408">
      <c r="A8408" s="6">
        <v>8406.0</v>
      </c>
      <c r="B8408" s="17">
        <f t="array" ref="B8408">SUM(1-'Sparkling Model'!D$2:D$38^A8408)</f>
        <v>36.94496985</v>
      </c>
      <c r="C8408" s="8">
        <f t="array" ref="C8408">PRODUCT(1-'Sparkling Model'!D$2:D$38^A8408)</f>
        <v>0.9460551169</v>
      </c>
    </row>
    <row r="8409">
      <c r="A8409" s="6">
        <v>8407.0</v>
      </c>
      <c r="B8409" s="17">
        <f t="array" ref="B8409">SUM(1-'Sparkling Model'!D$2:D$38^A8409)</f>
        <v>36.94499778</v>
      </c>
      <c r="C8409" s="8">
        <f t="array" ref="C8409">PRODUCT(1-'Sparkling Model'!D$2:D$38^A8409)</f>
        <v>0.9460819398</v>
      </c>
    </row>
    <row r="8410">
      <c r="A8410" s="6">
        <v>8408.0</v>
      </c>
      <c r="B8410" s="17">
        <f t="array" ref="B8410">SUM(1-'Sparkling Model'!D$2:D$38^A8410)</f>
        <v>36.94502569</v>
      </c>
      <c r="C8410" s="8">
        <f t="array" ref="C8410">PRODUCT(1-'Sparkling Model'!D$2:D$38^A8410)</f>
        <v>0.9461087493</v>
      </c>
    </row>
    <row r="8411">
      <c r="A8411" s="6">
        <v>8409.0</v>
      </c>
      <c r="B8411" s="17">
        <f t="array" ref="B8411">SUM(1-'Sparkling Model'!D$2:D$38^A8411)</f>
        <v>36.9450536</v>
      </c>
      <c r="C8411" s="8">
        <f t="array" ref="C8411">PRODUCT(1-'Sparkling Model'!D$2:D$38^A8411)</f>
        <v>0.9461355454</v>
      </c>
    </row>
    <row r="8412">
      <c r="A8412" s="6">
        <v>8410.0</v>
      </c>
      <c r="B8412" s="17">
        <f t="array" ref="B8412">SUM(1-'Sparkling Model'!D$2:D$38^A8412)</f>
        <v>36.94508149</v>
      </c>
      <c r="C8412" s="8">
        <f t="array" ref="C8412">PRODUCT(1-'Sparkling Model'!D$2:D$38^A8412)</f>
        <v>0.9461623283</v>
      </c>
    </row>
    <row r="8413">
      <c r="A8413" s="6">
        <v>8411.0</v>
      </c>
      <c r="B8413" s="17">
        <f t="array" ref="B8413">SUM(1-'Sparkling Model'!D$2:D$38^A8413)</f>
        <v>36.94510936</v>
      </c>
      <c r="C8413" s="8">
        <f t="array" ref="C8413">PRODUCT(1-'Sparkling Model'!D$2:D$38^A8413)</f>
        <v>0.9461890979</v>
      </c>
    </row>
    <row r="8414">
      <c r="A8414" s="6">
        <v>8412.0</v>
      </c>
      <c r="B8414" s="17">
        <f t="array" ref="B8414">SUM(1-'Sparkling Model'!D$2:D$38^A8414)</f>
        <v>36.94513722</v>
      </c>
      <c r="C8414" s="8">
        <f t="array" ref="C8414">PRODUCT(1-'Sparkling Model'!D$2:D$38^A8414)</f>
        <v>0.9462158542</v>
      </c>
    </row>
    <row r="8415">
      <c r="A8415" s="6">
        <v>8413.0</v>
      </c>
      <c r="B8415" s="17">
        <f t="array" ref="B8415">SUM(1-'Sparkling Model'!D$2:D$38^A8415)</f>
        <v>36.94516506</v>
      </c>
      <c r="C8415" s="8">
        <f t="array" ref="C8415">PRODUCT(1-'Sparkling Model'!D$2:D$38^A8415)</f>
        <v>0.9462425972</v>
      </c>
    </row>
    <row r="8416">
      <c r="A8416" s="6">
        <v>8414.0</v>
      </c>
      <c r="B8416" s="17">
        <f t="array" ref="B8416">SUM(1-'Sparkling Model'!D$2:D$38^A8416)</f>
        <v>36.9451929</v>
      </c>
      <c r="C8416" s="8">
        <f t="array" ref="C8416">PRODUCT(1-'Sparkling Model'!D$2:D$38^A8416)</f>
        <v>0.9462693269</v>
      </c>
    </row>
    <row r="8417">
      <c r="A8417" s="6">
        <v>8415.0</v>
      </c>
      <c r="B8417" s="17">
        <f t="array" ref="B8417">SUM(1-'Sparkling Model'!D$2:D$38^A8417)</f>
        <v>36.94522071</v>
      </c>
      <c r="C8417" s="8">
        <f t="array" ref="C8417">PRODUCT(1-'Sparkling Model'!D$2:D$38^A8417)</f>
        <v>0.9462960434</v>
      </c>
    </row>
    <row r="8418">
      <c r="A8418" s="6">
        <v>8416.0</v>
      </c>
      <c r="B8418" s="17">
        <f t="array" ref="B8418">SUM(1-'Sparkling Model'!D$2:D$38^A8418)</f>
        <v>36.94524851</v>
      </c>
      <c r="C8418" s="8">
        <f t="array" ref="C8418">PRODUCT(1-'Sparkling Model'!D$2:D$38^A8418)</f>
        <v>0.9463227466</v>
      </c>
    </row>
    <row r="8419">
      <c r="A8419" s="6">
        <v>8417.0</v>
      </c>
      <c r="B8419" s="17">
        <f t="array" ref="B8419">SUM(1-'Sparkling Model'!D$2:D$38^A8419)</f>
        <v>36.9452763</v>
      </c>
      <c r="C8419" s="8">
        <f t="array" ref="C8419">PRODUCT(1-'Sparkling Model'!D$2:D$38^A8419)</f>
        <v>0.9463494365</v>
      </c>
    </row>
    <row r="8420">
      <c r="A8420" s="6">
        <v>8418.0</v>
      </c>
      <c r="B8420" s="17">
        <f t="array" ref="B8420">SUM(1-'Sparkling Model'!D$2:D$38^A8420)</f>
        <v>36.94530407</v>
      </c>
      <c r="C8420" s="8">
        <f t="array" ref="C8420">PRODUCT(1-'Sparkling Model'!D$2:D$38^A8420)</f>
        <v>0.9463761132</v>
      </c>
    </row>
    <row r="8421">
      <c r="A8421" s="6">
        <v>8419.0</v>
      </c>
      <c r="B8421" s="17">
        <f t="array" ref="B8421">SUM(1-'Sparkling Model'!D$2:D$38^A8421)</f>
        <v>36.94533183</v>
      </c>
      <c r="C8421" s="8">
        <f t="array" ref="C8421">PRODUCT(1-'Sparkling Model'!D$2:D$38^A8421)</f>
        <v>0.9464027766</v>
      </c>
    </row>
    <row r="8422">
      <c r="A8422" s="6">
        <v>8420.0</v>
      </c>
      <c r="B8422" s="17">
        <f t="array" ref="B8422">SUM(1-'Sparkling Model'!D$2:D$38^A8422)</f>
        <v>36.94535958</v>
      </c>
      <c r="C8422" s="8">
        <f t="array" ref="C8422">PRODUCT(1-'Sparkling Model'!D$2:D$38^A8422)</f>
        <v>0.9464294268</v>
      </c>
    </row>
    <row r="8423">
      <c r="A8423" s="6">
        <v>8421.0</v>
      </c>
      <c r="B8423" s="17">
        <f t="array" ref="B8423">SUM(1-'Sparkling Model'!D$2:D$38^A8423)</f>
        <v>36.94538731</v>
      </c>
      <c r="C8423" s="8">
        <f t="array" ref="C8423">PRODUCT(1-'Sparkling Model'!D$2:D$38^A8423)</f>
        <v>0.9464560638</v>
      </c>
    </row>
    <row r="8424">
      <c r="A8424" s="6">
        <v>8422.0</v>
      </c>
      <c r="B8424" s="17">
        <f t="array" ref="B8424">SUM(1-'Sparkling Model'!D$2:D$38^A8424)</f>
        <v>36.94541502</v>
      </c>
      <c r="C8424" s="8">
        <f t="array" ref="C8424">PRODUCT(1-'Sparkling Model'!D$2:D$38^A8424)</f>
        <v>0.9464826875</v>
      </c>
    </row>
    <row r="8425">
      <c r="A8425" s="6">
        <v>8423.0</v>
      </c>
      <c r="B8425" s="17">
        <f t="array" ref="B8425">SUM(1-'Sparkling Model'!D$2:D$38^A8425)</f>
        <v>36.94544272</v>
      </c>
      <c r="C8425" s="8">
        <f t="array" ref="C8425">PRODUCT(1-'Sparkling Model'!D$2:D$38^A8425)</f>
        <v>0.946509298</v>
      </c>
    </row>
    <row r="8426">
      <c r="A8426" s="6">
        <v>8424.0</v>
      </c>
      <c r="B8426" s="17">
        <f t="array" ref="B8426">SUM(1-'Sparkling Model'!D$2:D$38^A8426)</f>
        <v>36.94547041</v>
      </c>
      <c r="C8426" s="8">
        <f t="array" ref="C8426">PRODUCT(1-'Sparkling Model'!D$2:D$38^A8426)</f>
        <v>0.9465358953</v>
      </c>
    </row>
    <row r="8427">
      <c r="A8427" s="6">
        <v>8425.0</v>
      </c>
      <c r="B8427" s="17">
        <f t="array" ref="B8427">SUM(1-'Sparkling Model'!D$2:D$38^A8427)</f>
        <v>36.94549808</v>
      </c>
      <c r="C8427" s="8">
        <f t="array" ref="C8427">PRODUCT(1-'Sparkling Model'!D$2:D$38^A8427)</f>
        <v>0.9465624794</v>
      </c>
    </row>
    <row r="8428">
      <c r="A8428" s="6">
        <v>8426.0</v>
      </c>
      <c r="B8428" s="17">
        <f t="array" ref="B8428">SUM(1-'Sparkling Model'!D$2:D$38^A8428)</f>
        <v>36.94552574</v>
      </c>
      <c r="C8428" s="8">
        <f t="array" ref="C8428">PRODUCT(1-'Sparkling Model'!D$2:D$38^A8428)</f>
        <v>0.9465890503</v>
      </c>
    </row>
    <row r="8429">
      <c r="A8429" s="6">
        <v>8427.0</v>
      </c>
      <c r="B8429" s="17">
        <f t="array" ref="B8429">SUM(1-'Sparkling Model'!D$2:D$38^A8429)</f>
        <v>36.94555339</v>
      </c>
      <c r="C8429" s="8">
        <f t="array" ref="C8429">PRODUCT(1-'Sparkling Model'!D$2:D$38^A8429)</f>
        <v>0.946615608</v>
      </c>
    </row>
    <row r="8430">
      <c r="A8430" s="6">
        <v>8428.0</v>
      </c>
      <c r="B8430" s="17">
        <f t="array" ref="B8430">SUM(1-'Sparkling Model'!D$2:D$38^A8430)</f>
        <v>36.94558102</v>
      </c>
      <c r="C8430" s="8">
        <f t="array" ref="C8430">PRODUCT(1-'Sparkling Model'!D$2:D$38^A8430)</f>
        <v>0.9466421525</v>
      </c>
    </row>
    <row r="8431">
      <c r="A8431" s="6">
        <v>8429.0</v>
      </c>
      <c r="B8431" s="17">
        <f t="array" ref="B8431">SUM(1-'Sparkling Model'!D$2:D$38^A8431)</f>
        <v>36.94560863</v>
      </c>
      <c r="C8431" s="8">
        <f t="array" ref="C8431">PRODUCT(1-'Sparkling Model'!D$2:D$38^A8431)</f>
        <v>0.9466686838</v>
      </c>
    </row>
    <row r="8432">
      <c r="A8432" s="6">
        <v>8430.0</v>
      </c>
      <c r="B8432" s="17">
        <f t="array" ref="B8432">SUM(1-'Sparkling Model'!D$2:D$38^A8432)</f>
        <v>36.94563623</v>
      </c>
      <c r="C8432" s="8">
        <f t="array" ref="C8432">PRODUCT(1-'Sparkling Model'!D$2:D$38^A8432)</f>
        <v>0.946695202</v>
      </c>
    </row>
    <row r="8433">
      <c r="A8433" s="6">
        <v>8431.0</v>
      </c>
      <c r="B8433" s="17">
        <f t="array" ref="B8433">SUM(1-'Sparkling Model'!D$2:D$38^A8433)</f>
        <v>36.94566382</v>
      </c>
      <c r="C8433" s="8">
        <f t="array" ref="C8433">PRODUCT(1-'Sparkling Model'!D$2:D$38^A8433)</f>
        <v>0.946721707</v>
      </c>
    </row>
    <row r="8434">
      <c r="A8434" s="6">
        <v>8432.0</v>
      </c>
      <c r="B8434" s="17">
        <f t="array" ref="B8434">SUM(1-'Sparkling Model'!D$2:D$38^A8434)</f>
        <v>36.94569139</v>
      </c>
      <c r="C8434" s="8">
        <f t="array" ref="C8434">PRODUCT(1-'Sparkling Model'!D$2:D$38^A8434)</f>
        <v>0.9467481988</v>
      </c>
    </row>
    <row r="8435">
      <c r="A8435" s="6">
        <v>8433.0</v>
      </c>
      <c r="B8435" s="17">
        <f t="array" ref="B8435">SUM(1-'Sparkling Model'!D$2:D$38^A8435)</f>
        <v>36.94571895</v>
      </c>
      <c r="C8435" s="8">
        <f t="array" ref="C8435">PRODUCT(1-'Sparkling Model'!D$2:D$38^A8435)</f>
        <v>0.9467746775</v>
      </c>
    </row>
    <row r="8436">
      <c r="A8436" s="6">
        <v>8434.0</v>
      </c>
      <c r="B8436" s="17">
        <f t="array" ref="B8436">SUM(1-'Sparkling Model'!D$2:D$38^A8436)</f>
        <v>36.94574649</v>
      </c>
      <c r="C8436" s="8">
        <f t="array" ref="C8436">PRODUCT(1-'Sparkling Model'!D$2:D$38^A8436)</f>
        <v>0.946801143</v>
      </c>
    </row>
    <row r="8437">
      <c r="A8437" s="6">
        <v>8435.0</v>
      </c>
      <c r="B8437" s="17">
        <f t="array" ref="B8437">SUM(1-'Sparkling Model'!D$2:D$38^A8437)</f>
        <v>36.94577402</v>
      </c>
      <c r="C8437" s="8">
        <f t="array" ref="C8437">PRODUCT(1-'Sparkling Model'!D$2:D$38^A8437)</f>
        <v>0.9468275954</v>
      </c>
    </row>
    <row r="8438">
      <c r="A8438" s="6">
        <v>8436.0</v>
      </c>
      <c r="B8438" s="17">
        <f t="array" ref="B8438">SUM(1-'Sparkling Model'!D$2:D$38^A8438)</f>
        <v>36.94580154</v>
      </c>
      <c r="C8438" s="8">
        <f t="array" ref="C8438">PRODUCT(1-'Sparkling Model'!D$2:D$38^A8438)</f>
        <v>0.9468540346</v>
      </c>
    </row>
    <row r="8439">
      <c r="A8439" s="6">
        <v>8437.0</v>
      </c>
      <c r="B8439" s="17">
        <f t="array" ref="B8439">SUM(1-'Sparkling Model'!D$2:D$38^A8439)</f>
        <v>36.94582904</v>
      </c>
      <c r="C8439" s="8">
        <f t="array" ref="C8439">PRODUCT(1-'Sparkling Model'!D$2:D$38^A8439)</f>
        <v>0.9468804607</v>
      </c>
    </row>
    <row r="8440">
      <c r="A8440" s="6">
        <v>8438.0</v>
      </c>
      <c r="B8440" s="17">
        <f t="array" ref="B8440">SUM(1-'Sparkling Model'!D$2:D$38^A8440)</f>
        <v>36.94585653</v>
      </c>
      <c r="C8440" s="8">
        <f t="array" ref="C8440">PRODUCT(1-'Sparkling Model'!D$2:D$38^A8440)</f>
        <v>0.9469068737</v>
      </c>
    </row>
    <row r="8441">
      <c r="A8441" s="6">
        <v>8439.0</v>
      </c>
      <c r="B8441" s="17">
        <f t="array" ref="B8441">SUM(1-'Sparkling Model'!D$2:D$38^A8441)</f>
        <v>36.945884</v>
      </c>
      <c r="C8441" s="8">
        <f t="array" ref="C8441">PRODUCT(1-'Sparkling Model'!D$2:D$38^A8441)</f>
        <v>0.9469332736</v>
      </c>
    </row>
    <row r="8442">
      <c r="A8442" s="6">
        <v>8440.0</v>
      </c>
      <c r="B8442" s="17">
        <f t="array" ref="B8442">SUM(1-'Sparkling Model'!D$2:D$38^A8442)</f>
        <v>36.94591146</v>
      </c>
      <c r="C8442" s="8">
        <f t="array" ref="C8442">PRODUCT(1-'Sparkling Model'!D$2:D$38^A8442)</f>
        <v>0.9469596603</v>
      </c>
    </row>
    <row r="8443">
      <c r="A8443" s="6">
        <v>8441.0</v>
      </c>
      <c r="B8443" s="17">
        <f t="array" ref="B8443">SUM(1-'Sparkling Model'!D$2:D$38^A8443)</f>
        <v>36.9459389</v>
      </c>
      <c r="C8443" s="8">
        <f t="array" ref="C8443">PRODUCT(1-'Sparkling Model'!D$2:D$38^A8443)</f>
        <v>0.946986034</v>
      </c>
    </row>
    <row r="8444">
      <c r="A8444" s="6">
        <v>8442.0</v>
      </c>
      <c r="B8444" s="17">
        <f t="array" ref="B8444">SUM(1-'Sparkling Model'!D$2:D$38^A8444)</f>
        <v>36.94596633</v>
      </c>
      <c r="C8444" s="8">
        <f t="array" ref="C8444">PRODUCT(1-'Sparkling Model'!D$2:D$38^A8444)</f>
        <v>0.9470123946</v>
      </c>
    </row>
    <row r="8445">
      <c r="A8445" s="6">
        <v>8443.0</v>
      </c>
      <c r="B8445" s="17">
        <f t="array" ref="B8445">SUM(1-'Sparkling Model'!D$2:D$38^A8445)</f>
        <v>36.94599375</v>
      </c>
      <c r="C8445" s="8">
        <f t="array" ref="C8445">PRODUCT(1-'Sparkling Model'!D$2:D$38^A8445)</f>
        <v>0.947038742</v>
      </c>
    </row>
    <row r="8446">
      <c r="A8446" s="6">
        <v>8444.0</v>
      </c>
      <c r="B8446" s="17">
        <f t="array" ref="B8446">SUM(1-'Sparkling Model'!D$2:D$38^A8446)</f>
        <v>36.94602115</v>
      </c>
      <c r="C8446" s="8">
        <f t="array" ref="C8446">PRODUCT(1-'Sparkling Model'!D$2:D$38^A8446)</f>
        <v>0.9470650764</v>
      </c>
    </row>
    <row r="8447">
      <c r="A8447" s="6">
        <v>8445.0</v>
      </c>
      <c r="B8447" s="17">
        <f t="array" ref="B8447">SUM(1-'Sparkling Model'!D$2:D$38^A8447)</f>
        <v>36.94604854</v>
      </c>
      <c r="C8447" s="8">
        <f t="array" ref="C8447">PRODUCT(1-'Sparkling Model'!D$2:D$38^A8447)</f>
        <v>0.9470913977</v>
      </c>
    </row>
    <row r="8448">
      <c r="A8448" s="6">
        <v>8446.0</v>
      </c>
      <c r="B8448" s="17">
        <f t="array" ref="B8448">SUM(1-'Sparkling Model'!D$2:D$38^A8448)</f>
        <v>36.94607591</v>
      </c>
      <c r="C8448" s="8">
        <f t="array" ref="C8448">PRODUCT(1-'Sparkling Model'!D$2:D$38^A8448)</f>
        <v>0.947117706</v>
      </c>
    </row>
    <row r="8449">
      <c r="A8449" s="6">
        <v>8447.0</v>
      </c>
      <c r="B8449" s="17">
        <f t="array" ref="B8449">SUM(1-'Sparkling Model'!D$2:D$38^A8449)</f>
        <v>36.94610327</v>
      </c>
      <c r="C8449" s="8">
        <f t="array" ref="C8449">PRODUCT(1-'Sparkling Model'!D$2:D$38^A8449)</f>
        <v>0.9471440011</v>
      </c>
    </row>
    <row r="8450">
      <c r="A8450" s="6">
        <v>8448.0</v>
      </c>
      <c r="B8450" s="17">
        <f t="array" ref="B8450">SUM(1-'Sparkling Model'!D$2:D$38^A8450)</f>
        <v>36.94613062</v>
      </c>
      <c r="C8450" s="8">
        <f t="array" ref="C8450">PRODUCT(1-'Sparkling Model'!D$2:D$38^A8450)</f>
        <v>0.9471702833</v>
      </c>
    </row>
    <row r="8451">
      <c r="A8451" s="6">
        <v>8449.0</v>
      </c>
      <c r="B8451" s="17">
        <f t="array" ref="B8451">SUM(1-'Sparkling Model'!D$2:D$38^A8451)</f>
        <v>36.94615795</v>
      </c>
      <c r="C8451" s="8">
        <f t="array" ref="C8451">PRODUCT(1-'Sparkling Model'!D$2:D$38^A8451)</f>
        <v>0.9471965523</v>
      </c>
    </row>
    <row r="8452">
      <c r="A8452" s="6">
        <v>8450.0</v>
      </c>
      <c r="B8452" s="17">
        <f t="array" ref="B8452">SUM(1-'Sparkling Model'!D$2:D$38^A8452)</f>
        <v>36.94618526</v>
      </c>
      <c r="C8452" s="8">
        <f t="array" ref="C8452">PRODUCT(1-'Sparkling Model'!D$2:D$38^A8452)</f>
        <v>0.9472228083</v>
      </c>
    </row>
    <row r="8453">
      <c r="A8453" s="6">
        <v>8451.0</v>
      </c>
      <c r="B8453" s="17">
        <f t="array" ref="B8453">SUM(1-'Sparkling Model'!D$2:D$38^A8453)</f>
        <v>36.94621257</v>
      </c>
      <c r="C8453" s="8">
        <f t="array" ref="C8453">PRODUCT(1-'Sparkling Model'!D$2:D$38^A8453)</f>
        <v>0.9472490513</v>
      </c>
    </row>
    <row r="8454">
      <c r="A8454" s="6">
        <v>8452.0</v>
      </c>
      <c r="B8454" s="17">
        <f t="array" ref="B8454">SUM(1-'Sparkling Model'!D$2:D$38^A8454)</f>
        <v>36.94623986</v>
      </c>
      <c r="C8454" s="8">
        <f t="array" ref="C8454">PRODUCT(1-'Sparkling Model'!D$2:D$38^A8454)</f>
        <v>0.9472752813</v>
      </c>
    </row>
    <row r="8455">
      <c r="A8455" s="6">
        <v>8453.0</v>
      </c>
      <c r="B8455" s="17">
        <f t="array" ref="B8455">SUM(1-'Sparkling Model'!D$2:D$38^A8455)</f>
        <v>36.94626713</v>
      </c>
      <c r="C8455" s="8">
        <f t="array" ref="C8455">PRODUCT(1-'Sparkling Model'!D$2:D$38^A8455)</f>
        <v>0.9473014982</v>
      </c>
    </row>
    <row r="8456">
      <c r="A8456" s="6">
        <v>8454.0</v>
      </c>
      <c r="B8456" s="17">
        <f t="array" ref="B8456">SUM(1-'Sparkling Model'!D$2:D$38^A8456)</f>
        <v>36.94629439</v>
      </c>
      <c r="C8456" s="8">
        <f t="array" ref="C8456">PRODUCT(1-'Sparkling Model'!D$2:D$38^A8456)</f>
        <v>0.9473277021</v>
      </c>
    </row>
    <row r="8457">
      <c r="A8457" s="6">
        <v>8455.0</v>
      </c>
      <c r="B8457" s="17">
        <f t="array" ref="B8457">SUM(1-'Sparkling Model'!D$2:D$38^A8457)</f>
        <v>36.94632164</v>
      </c>
      <c r="C8457" s="8">
        <f t="array" ref="C8457">PRODUCT(1-'Sparkling Model'!D$2:D$38^A8457)</f>
        <v>0.947353893</v>
      </c>
    </row>
    <row r="8458">
      <c r="A8458" s="6">
        <v>8456.0</v>
      </c>
      <c r="B8458" s="17">
        <f t="array" ref="B8458">SUM(1-'Sparkling Model'!D$2:D$38^A8458)</f>
        <v>36.94634887</v>
      </c>
      <c r="C8458" s="8">
        <f t="array" ref="C8458">PRODUCT(1-'Sparkling Model'!D$2:D$38^A8458)</f>
        <v>0.9473800709</v>
      </c>
    </row>
    <row r="8459">
      <c r="A8459" s="6">
        <v>8457.0</v>
      </c>
      <c r="B8459" s="17">
        <f t="array" ref="B8459">SUM(1-'Sparkling Model'!D$2:D$38^A8459)</f>
        <v>36.94637609</v>
      </c>
      <c r="C8459" s="8">
        <f t="array" ref="C8459">PRODUCT(1-'Sparkling Model'!D$2:D$38^A8459)</f>
        <v>0.9474062358</v>
      </c>
    </row>
    <row r="8460">
      <c r="A8460" s="6">
        <v>8458.0</v>
      </c>
      <c r="B8460" s="17">
        <f t="array" ref="B8460">SUM(1-'Sparkling Model'!D$2:D$38^A8460)</f>
        <v>36.94640329</v>
      </c>
      <c r="C8460" s="8">
        <f t="array" ref="C8460">PRODUCT(1-'Sparkling Model'!D$2:D$38^A8460)</f>
        <v>0.9474323876</v>
      </c>
    </row>
    <row r="8461">
      <c r="A8461" s="6">
        <v>8459.0</v>
      </c>
      <c r="B8461" s="17">
        <f t="array" ref="B8461">SUM(1-'Sparkling Model'!D$2:D$38^A8461)</f>
        <v>36.94643048</v>
      </c>
      <c r="C8461" s="8">
        <f t="array" ref="C8461">PRODUCT(1-'Sparkling Model'!D$2:D$38^A8461)</f>
        <v>0.9474585265</v>
      </c>
    </row>
    <row r="8462">
      <c r="A8462" s="6">
        <v>8460.0</v>
      </c>
      <c r="B8462" s="17">
        <f t="array" ref="B8462">SUM(1-'Sparkling Model'!D$2:D$38^A8462)</f>
        <v>36.94645766</v>
      </c>
      <c r="C8462" s="8">
        <f t="array" ref="C8462">PRODUCT(1-'Sparkling Model'!D$2:D$38^A8462)</f>
        <v>0.9474846525</v>
      </c>
    </row>
    <row r="8463">
      <c r="A8463" s="6">
        <v>8461.0</v>
      </c>
      <c r="B8463" s="17">
        <f t="array" ref="B8463">SUM(1-'Sparkling Model'!D$2:D$38^A8463)</f>
        <v>36.94648482</v>
      </c>
      <c r="C8463" s="8">
        <f t="array" ref="C8463">PRODUCT(1-'Sparkling Model'!D$2:D$38^A8463)</f>
        <v>0.9475107654</v>
      </c>
    </row>
    <row r="8464">
      <c r="A8464" s="6">
        <v>8462.0</v>
      </c>
      <c r="B8464" s="17">
        <f t="array" ref="B8464">SUM(1-'Sparkling Model'!D$2:D$38^A8464)</f>
        <v>36.94651197</v>
      </c>
      <c r="C8464" s="8">
        <f t="array" ref="C8464">PRODUCT(1-'Sparkling Model'!D$2:D$38^A8464)</f>
        <v>0.9475368654</v>
      </c>
    </row>
    <row r="8465">
      <c r="A8465" s="6">
        <v>8463.0</v>
      </c>
      <c r="B8465" s="17">
        <f t="array" ref="B8465">SUM(1-'Sparkling Model'!D$2:D$38^A8465)</f>
        <v>36.9465391</v>
      </c>
      <c r="C8465" s="8">
        <f t="array" ref="C8465">PRODUCT(1-'Sparkling Model'!D$2:D$38^A8465)</f>
        <v>0.9475629524</v>
      </c>
    </row>
    <row r="8466">
      <c r="A8466" s="6">
        <v>8464.0</v>
      </c>
      <c r="B8466" s="17">
        <f t="array" ref="B8466">SUM(1-'Sparkling Model'!D$2:D$38^A8466)</f>
        <v>36.94656622</v>
      </c>
      <c r="C8466" s="8">
        <f t="array" ref="C8466">PRODUCT(1-'Sparkling Model'!D$2:D$38^A8466)</f>
        <v>0.9475890264</v>
      </c>
    </row>
    <row r="8467">
      <c r="A8467" s="6">
        <v>8465.0</v>
      </c>
      <c r="B8467" s="17">
        <f t="array" ref="B8467">SUM(1-'Sparkling Model'!D$2:D$38^A8467)</f>
        <v>36.94659333</v>
      </c>
      <c r="C8467" s="8">
        <f t="array" ref="C8467">PRODUCT(1-'Sparkling Model'!D$2:D$38^A8467)</f>
        <v>0.9476150876</v>
      </c>
    </row>
    <row r="8468">
      <c r="A8468" s="6">
        <v>8466.0</v>
      </c>
      <c r="B8468" s="17">
        <f t="array" ref="B8468">SUM(1-'Sparkling Model'!D$2:D$38^A8468)</f>
        <v>36.94662042</v>
      </c>
      <c r="C8468" s="8">
        <f t="array" ref="C8468">PRODUCT(1-'Sparkling Model'!D$2:D$38^A8468)</f>
        <v>0.9476411357</v>
      </c>
    </row>
    <row r="8469">
      <c r="A8469" s="6">
        <v>8467.0</v>
      </c>
      <c r="B8469" s="17">
        <f t="array" ref="B8469">SUM(1-'Sparkling Model'!D$2:D$38^A8469)</f>
        <v>36.94664749</v>
      </c>
      <c r="C8469" s="8">
        <f t="array" ref="C8469">PRODUCT(1-'Sparkling Model'!D$2:D$38^A8469)</f>
        <v>0.9476671709</v>
      </c>
    </row>
    <row r="8470">
      <c r="A8470" s="6">
        <v>8468.0</v>
      </c>
      <c r="B8470" s="17">
        <f t="array" ref="B8470">SUM(1-'Sparkling Model'!D$2:D$38^A8470)</f>
        <v>36.94667456</v>
      </c>
      <c r="C8470" s="8">
        <f t="array" ref="C8470">PRODUCT(1-'Sparkling Model'!D$2:D$38^A8470)</f>
        <v>0.9476931932</v>
      </c>
    </row>
    <row r="8471">
      <c r="A8471" s="6">
        <v>8469.0</v>
      </c>
      <c r="B8471" s="17">
        <f t="array" ref="B8471">SUM(1-'Sparkling Model'!D$2:D$38^A8471)</f>
        <v>36.94670161</v>
      </c>
      <c r="C8471" s="8">
        <f t="array" ref="C8471">PRODUCT(1-'Sparkling Model'!D$2:D$38^A8471)</f>
        <v>0.9477192026</v>
      </c>
    </row>
    <row r="8472">
      <c r="A8472" s="6">
        <v>8470.0</v>
      </c>
      <c r="B8472" s="17">
        <f t="array" ref="B8472">SUM(1-'Sparkling Model'!D$2:D$38^A8472)</f>
        <v>36.94672864</v>
      </c>
      <c r="C8472" s="8">
        <f t="array" ref="C8472">PRODUCT(1-'Sparkling Model'!D$2:D$38^A8472)</f>
        <v>0.9477451991</v>
      </c>
    </row>
    <row r="8473">
      <c r="A8473" s="6">
        <v>8471.0</v>
      </c>
      <c r="B8473" s="17">
        <f t="array" ref="B8473">SUM(1-'Sparkling Model'!D$2:D$38^A8473)</f>
        <v>36.94675567</v>
      </c>
      <c r="C8473" s="8">
        <f t="array" ref="C8473">PRODUCT(1-'Sparkling Model'!D$2:D$38^A8473)</f>
        <v>0.9477711826</v>
      </c>
    </row>
    <row r="8474">
      <c r="A8474" s="6">
        <v>8472.0</v>
      </c>
      <c r="B8474" s="17">
        <f t="array" ref="B8474">SUM(1-'Sparkling Model'!D$2:D$38^A8474)</f>
        <v>36.94678267</v>
      </c>
      <c r="C8474" s="8">
        <f t="array" ref="C8474">PRODUCT(1-'Sparkling Model'!D$2:D$38^A8474)</f>
        <v>0.9477971533</v>
      </c>
    </row>
    <row r="8475">
      <c r="A8475" s="6">
        <v>8473.0</v>
      </c>
      <c r="B8475" s="17">
        <f t="array" ref="B8475">SUM(1-'Sparkling Model'!D$2:D$38^A8475)</f>
        <v>36.94680967</v>
      </c>
      <c r="C8475" s="8">
        <f t="array" ref="C8475">PRODUCT(1-'Sparkling Model'!D$2:D$38^A8475)</f>
        <v>0.947823111</v>
      </c>
    </row>
    <row r="8476">
      <c r="A8476" s="6">
        <v>8474.0</v>
      </c>
      <c r="B8476" s="17">
        <f t="array" ref="B8476">SUM(1-'Sparkling Model'!D$2:D$38^A8476)</f>
        <v>36.94683665</v>
      </c>
      <c r="C8476" s="8">
        <f t="array" ref="C8476">PRODUCT(1-'Sparkling Model'!D$2:D$38^A8476)</f>
        <v>0.9478490559</v>
      </c>
    </row>
    <row r="8477">
      <c r="A8477" s="6">
        <v>8475.0</v>
      </c>
      <c r="B8477" s="17">
        <f t="array" ref="B8477">SUM(1-'Sparkling Model'!D$2:D$38^A8477)</f>
        <v>36.94686361</v>
      </c>
      <c r="C8477" s="8">
        <f t="array" ref="C8477">PRODUCT(1-'Sparkling Model'!D$2:D$38^A8477)</f>
        <v>0.9478749878</v>
      </c>
    </row>
    <row r="8478">
      <c r="A8478" s="6">
        <v>8476.0</v>
      </c>
      <c r="B8478" s="17">
        <f t="array" ref="B8478">SUM(1-'Sparkling Model'!D$2:D$38^A8478)</f>
        <v>36.94689056</v>
      </c>
      <c r="C8478" s="8">
        <f t="array" ref="C8478">PRODUCT(1-'Sparkling Model'!D$2:D$38^A8478)</f>
        <v>0.9479009069</v>
      </c>
    </row>
    <row r="8479">
      <c r="A8479" s="6">
        <v>8477.0</v>
      </c>
      <c r="B8479" s="17">
        <f t="array" ref="B8479">SUM(1-'Sparkling Model'!D$2:D$38^A8479)</f>
        <v>36.9469175</v>
      </c>
      <c r="C8479" s="8">
        <f t="array" ref="C8479">PRODUCT(1-'Sparkling Model'!D$2:D$38^A8479)</f>
        <v>0.9479268131</v>
      </c>
    </row>
    <row r="8480">
      <c r="A8480" s="6">
        <v>8478.0</v>
      </c>
      <c r="B8480" s="17">
        <f t="array" ref="B8480">SUM(1-'Sparkling Model'!D$2:D$38^A8480)</f>
        <v>36.94694443</v>
      </c>
      <c r="C8480" s="8">
        <f t="array" ref="C8480">PRODUCT(1-'Sparkling Model'!D$2:D$38^A8480)</f>
        <v>0.9479527065</v>
      </c>
    </row>
    <row r="8481">
      <c r="A8481" s="6">
        <v>8479.0</v>
      </c>
      <c r="B8481" s="17">
        <f t="array" ref="B8481">SUM(1-'Sparkling Model'!D$2:D$38^A8481)</f>
        <v>36.94697134</v>
      </c>
      <c r="C8481" s="8">
        <f t="array" ref="C8481">PRODUCT(1-'Sparkling Model'!D$2:D$38^A8481)</f>
        <v>0.9479785869</v>
      </c>
    </row>
    <row r="8482">
      <c r="A8482" s="6">
        <v>8480.0</v>
      </c>
      <c r="B8482" s="17">
        <f t="array" ref="B8482">SUM(1-'Sparkling Model'!D$2:D$38^A8482)</f>
        <v>36.94699823</v>
      </c>
      <c r="C8482" s="8">
        <f t="array" ref="C8482">PRODUCT(1-'Sparkling Model'!D$2:D$38^A8482)</f>
        <v>0.9480044546</v>
      </c>
    </row>
    <row r="8483">
      <c r="A8483" s="6">
        <v>8481.0</v>
      </c>
      <c r="B8483" s="17">
        <f t="array" ref="B8483">SUM(1-'Sparkling Model'!D$2:D$38^A8483)</f>
        <v>36.94702511</v>
      </c>
      <c r="C8483" s="8">
        <f t="array" ref="C8483">PRODUCT(1-'Sparkling Model'!D$2:D$38^A8483)</f>
        <v>0.9480303094</v>
      </c>
    </row>
    <row r="8484">
      <c r="A8484" s="6">
        <v>8482.0</v>
      </c>
      <c r="B8484" s="17">
        <f t="array" ref="B8484">SUM(1-'Sparkling Model'!D$2:D$38^A8484)</f>
        <v>36.94705198</v>
      </c>
      <c r="C8484" s="8">
        <f t="array" ref="C8484">PRODUCT(1-'Sparkling Model'!D$2:D$38^A8484)</f>
        <v>0.9480561513</v>
      </c>
    </row>
    <row r="8485">
      <c r="A8485" s="6">
        <v>8483.0</v>
      </c>
      <c r="B8485" s="17">
        <f t="array" ref="B8485">SUM(1-'Sparkling Model'!D$2:D$38^A8485)</f>
        <v>36.94707884</v>
      </c>
      <c r="C8485" s="8">
        <f t="array" ref="C8485">PRODUCT(1-'Sparkling Model'!D$2:D$38^A8485)</f>
        <v>0.9480819804</v>
      </c>
    </row>
    <row r="8486">
      <c r="A8486" s="6">
        <v>8484.0</v>
      </c>
      <c r="B8486" s="17">
        <f t="array" ref="B8486">SUM(1-'Sparkling Model'!D$2:D$38^A8486)</f>
        <v>36.94710568</v>
      </c>
      <c r="C8486" s="8">
        <f t="array" ref="C8486">PRODUCT(1-'Sparkling Model'!D$2:D$38^A8486)</f>
        <v>0.9481077967</v>
      </c>
    </row>
    <row r="8487">
      <c r="A8487" s="6">
        <v>8485.0</v>
      </c>
      <c r="B8487" s="17">
        <f t="array" ref="B8487">SUM(1-'Sparkling Model'!D$2:D$38^A8487)</f>
        <v>36.9471325</v>
      </c>
      <c r="C8487" s="8">
        <f t="array" ref="C8487">PRODUCT(1-'Sparkling Model'!D$2:D$38^A8487)</f>
        <v>0.9481336002</v>
      </c>
    </row>
    <row r="8488">
      <c r="A8488" s="6">
        <v>8486.0</v>
      </c>
      <c r="B8488" s="17">
        <f t="array" ref="B8488">SUM(1-'Sparkling Model'!D$2:D$38^A8488)</f>
        <v>36.94715932</v>
      </c>
      <c r="C8488" s="8">
        <f t="array" ref="C8488">PRODUCT(1-'Sparkling Model'!D$2:D$38^A8488)</f>
        <v>0.9481593908</v>
      </c>
    </row>
    <row r="8489">
      <c r="A8489" s="6">
        <v>8487.0</v>
      </c>
      <c r="B8489" s="17">
        <f t="array" ref="B8489">SUM(1-'Sparkling Model'!D$2:D$38^A8489)</f>
        <v>36.94718612</v>
      </c>
      <c r="C8489" s="8">
        <f t="array" ref="C8489">PRODUCT(1-'Sparkling Model'!D$2:D$38^A8489)</f>
        <v>0.9481851686</v>
      </c>
    </row>
    <row r="8490">
      <c r="A8490" s="6">
        <v>8488.0</v>
      </c>
      <c r="B8490" s="17">
        <f t="array" ref="B8490">SUM(1-'Sparkling Model'!D$2:D$38^A8490)</f>
        <v>36.9472129</v>
      </c>
      <c r="C8490" s="8">
        <f t="array" ref="C8490">PRODUCT(1-'Sparkling Model'!D$2:D$38^A8490)</f>
        <v>0.9482109337</v>
      </c>
    </row>
    <row r="8491">
      <c r="A8491" s="6">
        <v>8489.0</v>
      </c>
      <c r="B8491" s="17">
        <f t="array" ref="B8491">SUM(1-'Sparkling Model'!D$2:D$38^A8491)</f>
        <v>36.94723967</v>
      </c>
      <c r="C8491" s="8">
        <f t="array" ref="C8491">PRODUCT(1-'Sparkling Model'!D$2:D$38^A8491)</f>
        <v>0.9482366859</v>
      </c>
    </row>
    <row r="8492">
      <c r="A8492" s="6">
        <v>8490.0</v>
      </c>
      <c r="B8492" s="17">
        <f t="array" ref="B8492">SUM(1-'Sparkling Model'!D$2:D$38^A8492)</f>
        <v>36.94726643</v>
      </c>
      <c r="C8492" s="8">
        <f t="array" ref="C8492">PRODUCT(1-'Sparkling Model'!D$2:D$38^A8492)</f>
        <v>0.9482624253</v>
      </c>
    </row>
    <row r="8493">
      <c r="A8493" s="6">
        <v>8491.0</v>
      </c>
      <c r="B8493" s="17">
        <f t="array" ref="B8493">SUM(1-'Sparkling Model'!D$2:D$38^A8493)</f>
        <v>36.94729317</v>
      </c>
      <c r="C8493" s="8">
        <f t="array" ref="C8493">PRODUCT(1-'Sparkling Model'!D$2:D$38^A8493)</f>
        <v>0.948288152</v>
      </c>
    </row>
    <row r="8494">
      <c r="A8494" s="6">
        <v>8492.0</v>
      </c>
      <c r="B8494" s="17">
        <f t="array" ref="B8494">SUM(1-'Sparkling Model'!D$2:D$38^A8494)</f>
        <v>36.9473199</v>
      </c>
      <c r="C8494" s="8">
        <f t="array" ref="C8494">PRODUCT(1-'Sparkling Model'!D$2:D$38^A8494)</f>
        <v>0.9483138659</v>
      </c>
    </row>
    <row r="8495">
      <c r="A8495" s="6">
        <v>8493.0</v>
      </c>
      <c r="B8495" s="17">
        <f t="array" ref="B8495">SUM(1-'Sparkling Model'!D$2:D$38^A8495)</f>
        <v>36.94734662</v>
      </c>
      <c r="C8495" s="8">
        <f t="array" ref="C8495">PRODUCT(1-'Sparkling Model'!D$2:D$38^A8495)</f>
        <v>0.948339567</v>
      </c>
    </row>
    <row r="8496">
      <c r="A8496" s="6">
        <v>8494.0</v>
      </c>
      <c r="B8496" s="17">
        <f t="array" ref="B8496">SUM(1-'Sparkling Model'!D$2:D$38^A8496)</f>
        <v>36.94737332</v>
      </c>
      <c r="C8496" s="8">
        <f t="array" ref="C8496">PRODUCT(1-'Sparkling Model'!D$2:D$38^A8496)</f>
        <v>0.9483652553</v>
      </c>
    </row>
    <row r="8497">
      <c r="A8497" s="6">
        <v>8495.0</v>
      </c>
      <c r="B8497" s="17">
        <f t="array" ref="B8497">SUM(1-'Sparkling Model'!D$2:D$38^A8497)</f>
        <v>36.94740001</v>
      </c>
      <c r="C8497" s="8">
        <f t="array" ref="C8497">PRODUCT(1-'Sparkling Model'!D$2:D$38^A8497)</f>
        <v>0.9483909309</v>
      </c>
    </row>
    <row r="8498">
      <c r="A8498" s="6">
        <v>8496.0</v>
      </c>
      <c r="B8498" s="17">
        <f t="array" ref="B8498">SUM(1-'Sparkling Model'!D$2:D$38^A8498)</f>
        <v>36.94742668</v>
      </c>
      <c r="C8498" s="8">
        <f t="array" ref="C8498">PRODUCT(1-'Sparkling Model'!D$2:D$38^A8498)</f>
        <v>0.9484165937</v>
      </c>
    </row>
    <row r="8499">
      <c r="A8499" s="6">
        <v>8497.0</v>
      </c>
      <c r="B8499" s="17">
        <f t="array" ref="B8499">SUM(1-'Sparkling Model'!D$2:D$38^A8499)</f>
        <v>36.94745334</v>
      </c>
      <c r="C8499" s="8">
        <f t="array" ref="C8499">PRODUCT(1-'Sparkling Model'!D$2:D$38^A8499)</f>
        <v>0.9484422438</v>
      </c>
    </row>
    <row r="8500">
      <c r="A8500" s="6">
        <v>8498.0</v>
      </c>
      <c r="B8500" s="17">
        <f t="array" ref="B8500">SUM(1-'Sparkling Model'!D$2:D$38^A8500)</f>
        <v>36.94747999</v>
      </c>
      <c r="C8500" s="8">
        <f t="array" ref="C8500">PRODUCT(1-'Sparkling Model'!D$2:D$38^A8500)</f>
        <v>0.9484678811</v>
      </c>
    </row>
    <row r="8501">
      <c r="A8501" s="6">
        <v>8499.0</v>
      </c>
      <c r="B8501" s="17">
        <f t="array" ref="B8501">SUM(1-'Sparkling Model'!D$2:D$38^A8501)</f>
        <v>36.94750662</v>
      </c>
      <c r="C8501" s="8">
        <f t="array" ref="C8501">PRODUCT(1-'Sparkling Model'!D$2:D$38^A8501)</f>
        <v>0.9484935057</v>
      </c>
    </row>
    <row r="8502">
      <c r="A8502" s="6">
        <v>8500.0</v>
      </c>
      <c r="B8502" s="17">
        <f t="array" ref="B8502">SUM(1-'Sparkling Model'!D$2:D$38^A8502)</f>
        <v>36.94753324</v>
      </c>
      <c r="C8502" s="8">
        <f t="array" ref="C8502">PRODUCT(1-'Sparkling Model'!D$2:D$38^A8502)</f>
        <v>0.9485191176</v>
      </c>
    </row>
    <row r="8503">
      <c r="A8503" s="6">
        <v>8501.0</v>
      </c>
      <c r="B8503" s="17">
        <f t="array" ref="B8503">SUM(1-'Sparkling Model'!D$2:D$38^A8503)</f>
        <v>36.94755985</v>
      </c>
      <c r="C8503" s="8">
        <f t="array" ref="C8503">PRODUCT(1-'Sparkling Model'!D$2:D$38^A8503)</f>
        <v>0.9485447168</v>
      </c>
    </row>
    <row r="8504">
      <c r="A8504" s="6">
        <v>8502.0</v>
      </c>
      <c r="B8504" s="17">
        <f t="array" ref="B8504">SUM(1-'Sparkling Model'!D$2:D$38^A8504)</f>
        <v>36.94758644</v>
      </c>
      <c r="C8504" s="8">
        <f t="array" ref="C8504">PRODUCT(1-'Sparkling Model'!D$2:D$38^A8504)</f>
        <v>0.9485703032</v>
      </c>
    </row>
    <row r="8505">
      <c r="A8505" s="6">
        <v>8503.0</v>
      </c>
      <c r="B8505" s="17">
        <f t="array" ref="B8505">SUM(1-'Sparkling Model'!D$2:D$38^A8505)</f>
        <v>36.94761302</v>
      </c>
      <c r="C8505" s="8">
        <f t="array" ref="C8505">PRODUCT(1-'Sparkling Model'!D$2:D$38^A8505)</f>
        <v>0.948595877</v>
      </c>
    </row>
    <row r="8506">
      <c r="A8506" s="6">
        <v>8504.0</v>
      </c>
      <c r="B8506" s="17">
        <f t="array" ref="B8506">SUM(1-'Sparkling Model'!D$2:D$38^A8506)</f>
        <v>36.94763958</v>
      </c>
      <c r="C8506" s="8">
        <f t="array" ref="C8506">PRODUCT(1-'Sparkling Model'!D$2:D$38^A8506)</f>
        <v>0.948621438</v>
      </c>
    </row>
    <row r="8507">
      <c r="A8507" s="6">
        <v>8505.0</v>
      </c>
      <c r="B8507" s="17">
        <f t="array" ref="B8507">SUM(1-'Sparkling Model'!D$2:D$38^A8507)</f>
        <v>36.94766613</v>
      </c>
      <c r="C8507" s="8">
        <f t="array" ref="C8507">PRODUCT(1-'Sparkling Model'!D$2:D$38^A8507)</f>
        <v>0.9486469863</v>
      </c>
    </row>
    <row r="8508">
      <c r="A8508" s="6">
        <v>8506.0</v>
      </c>
      <c r="B8508" s="17">
        <f t="array" ref="B8508">SUM(1-'Sparkling Model'!D$2:D$38^A8508)</f>
        <v>36.94769267</v>
      </c>
      <c r="C8508" s="8">
        <f t="array" ref="C8508">PRODUCT(1-'Sparkling Model'!D$2:D$38^A8508)</f>
        <v>0.948672522</v>
      </c>
    </row>
    <row r="8509">
      <c r="A8509" s="6">
        <v>8507.0</v>
      </c>
      <c r="B8509" s="17">
        <f t="array" ref="B8509">SUM(1-'Sparkling Model'!D$2:D$38^A8509)</f>
        <v>36.94771919</v>
      </c>
      <c r="C8509" s="8">
        <f t="array" ref="C8509">PRODUCT(1-'Sparkling Model'!D$2:D$38^A8509)</f>
        <v>0.9486980449</v>
      </c>
    </row>
    <row r="8510">
      <c r="A8510" s="6">
        <v>8508.0</v>
      </c>
      <c r="B8510" s="17">
        <f t="array" ref="B8510">SUM(1-'Sparkling Model'!D$2:D$38^A8510)</f>
        <v>36.9477457</v>
      </c>
      <c r="C8510" s="8">
        <f t="array" ref="C8510">PRODUCT(1-'Sparkling Model'!D$2:D$38^A8510)</f>
        <v>0.9487235552</v>
      </c>
    </row>
    <row r="8511">
      <c r="A8511" s="6">
        <v>8509.0</v>
      </c>
      <c r="B8511" s="17">
        <f t="array" ref="B8511">SUM(1-'Sparkling Model'!D$2:D$38^A8511)</f>
        <v>36.9477722</v>
      </c>
      <c r="C8511" s="8">
        <f t="array" ref="C8511">PRODUCT(1-'Sparkling Model'!D$2:D$38^A8511)</f>
        <v>0.9487490528</v>
      </c>
    </row>
    <row r="8512">
      <c r="A8512" s="6">
        <v>8510.0</v>
      </c>
      <c r="B8512" s="17">
        <f t="array" ref="B8512">SUM(1-'Sparkling Model'!D$2:D$38^A8512)</f>
        <v>36.94779868</v>
      </c>
      <c r="C8512" s="8">
        <f t="array" ref="C8512">PRODUCT(1-'Sparkling Model'!D$2:D$38^A8512)</f>
        <v>0.9487745378</v>
      </c>
    </row>
    <row r="8513">
      <c r="A8513" s="6">
        <v>8511.0</v>
      </c>
      <c r="B8513" s="17">
        <f t="array" ref="B8513">SUM(1-'Sparkling Model'!D$2:D$38^A8513)</f>
        <v>36.94782515</v>
      </c>
      <c r="C8513" s="8">
        <f t="array" ref="C8513">PRODUCT(1-'Sparkling Model'!D$2:D$38^A8513)</f>
        <v>0.9488000101</v>
      </c>
    </row>
    <row r="8514">
      <c r="A8514" s="6">
        <v>8512.0</v>
      </c>
      <c r="B8514" s="17">
        <f t="array" ref="B8514">SUM(1-'Sparkling Model'!D$2:D$38^A8514)</f>
        <v>36.94785161</v>
      </c>
      <c r="C8514" s="8">
        <f t="array" ref="C8514">PRODUCT(1-'Sparkling Model'!D$2:D$38^A8514)</f>
        <v>0.9488254697</v>
      </c>
    </row>
    <row r="8515">
      <c r="A8515" s="6">
        <v>8513.0</v>
      </c>
      <c r="B8515" s="17">
        <f t="array" ref="B8515">SUM(1-'Sparkling Model'!D$2:D$38^A8515)</f>
        <v>36.94787805</v>
      </c>
      <c r="C8515" s="8">
        <f t="array" ref="C8515">PRODUCT(1-'Sparkling Model'!D$2:D$38^A8515)</f>
        <v>0.9488509167</v>
      </c>
    </row>
    <row r="8516">
      <c r="A8516" s="6">
        <v>8514.0</v>
      </c>
      <c r="B8516" s="17">
        <f t="array" ref="B8516">SUM(1-'Sparkling Model'!D$2:D$38^A8516)</f>
        <v>36.94790447</v>
      </c>
      <c r="C8516" s="8">
        <f t="array" ref="C8516">PRODUCT(1-'Sparkling Model'!D$2:D$38^A8516)</f>
        <v>0.948876351</v>
      </c>
    </row>
    <row r="8517">
      <c r="A8517" s="6">
        <v>8515.0</v>
      </c>
      <c r="B8517" s="17">
        <f t="array" ref="B8517">SUM(1-'Sparkling Model'!D$2:D$38^A8517)</f>
        <v>36.94793089</v>
      </c>
      <c r="C8517" s="8">
        <f t="array" ref="C8517">PRODUCT(1-'Sparkling Model'!D$2:D$38^A8517)</f>
        <v>0.9489017727</v>
      </c>
    </row>
    <row r="8518">
      <c r="A8518" s="6">
        <v>8516.0</v>
      </c>
      <c r="B8518" s="17">
        <f t="array" ref="B8518">SUM(1-'Sparkling Model'!D$2:D$38^A8518)</f>
        <v>36.94795729</v>
      </c>
      <c r="C8518" s="8">
        <f t="array" ref="C8518">PRODUCT(1-'Sparkling Model'!D$2:D$38^A8518)</f>
        <v>0.9489271818</v>
      </c>
    </row>
    <row r="8519">
      <c r="A8519" s="6">
        <v>8517.0</v>
      </c>
      <c r="B8519" s="17">
        <f t="array" ref="B8519">SUM(1-'Sparkling Model'!D$2:D$38^A8519)</f>
        <v>36.94798367</v>
      </c>
      <c r="C8519" s="8">
        <f t="array" ref="C8519">PRODUCT(1-'Sparkling Model'!D$2:D$38^A8519)</f>
        <v>0.9489525783</v>
      </c>
    </row>
    <row r="8520">
      <c r="A8520" s="6">
        <v>8518.0</v>
      </c>
      <c r="B8520" s="17">
        <f t="array" ref="B8520">SUM(1-'Sparkling Model'!D$2:D$38^A8520)</f>
        <v>36.94801005</v>
      </c>
      <c r="C8520" s="8">
        <f t="array" ref="C8520">PRODUCT(1-'Sparkling Model'!D$2:D$38^A8520)</f>
        <v>0.9489779621</v>
      </c>
    </row>
    <row r="8521">
      <c r="A8521" s="6">
        <v>8519.0</v>
      </c>
      <c r="B8521" s="17">
        <f t="array" ref="B8521">SUM(1-'Sparkling Model'!D$2:D$38^A8521)</f>
        <v>36.94803641</v>
      </c>
      <c r="C8521" s="8">
        <f t="array" ref="C8521">PRODUCT(1-'Sparkling Model'!D$2:D$38^A8521)</f>
        <v>0.9490033334</v>
      </c>
    </row>
    <row r="8522">
      <c r="A8522" s="6">
        <v>8520.0</v>
      </c>
      <c r="B8522" s="17">
        <f t="array" ref="B8522">SUM(1-'Sparkling Model'!D$2:D$38^A8522)</f>
        <v>36.94806275</v>
      </c>
      <c r="C8522" s="8">
        <f t="array" ref="C8522">PRODUCT(1-'Sparkling Model'!D$2:D$38^A8522)</f>
        <v>0.949028692</v>
      </c>
    </row>
    <row r="8523">
      <c r="A8523" s="6">
        <v>8521.0</v>
      </c>
      <c r="B8523" s="17">
        <f t="array" ref="B8523">SUM(1-'Sparkling Model'!D$2:D$38^A8523)</f>
        <v>36.94808908</v>
      </c>
      <c r="C8523" s="8">
        <f t="array" ref="C8523">PRODUCT(1-'Sparkling Model'!D$2:D$38^A8523)</f>
        <v>0.9490540381</v>
      </c>
    </row>
    <row r="8524">
      <c r="A8524" s="6">
        <v>8522.0</v>
      </c>
      <c r="B8524" s="17">
        <f t="array" ref="B8524">SUM(1-'Sparkling Model'!D$2:D$38^A8524)</f>
        <v>36.9481154</v>
      </c>
      <c r="C8524" s="8">
        <f t="array" ref="C8524">PRODUCT(1-'Sparkling Model'!D$2:D$38^A8524)</f>
        <v>0.9490793715</v>
      </c>
    </row>
    <row r="8525">
      <c r="A8525" s="6">
        <v>8523.0</v>
      </c>
      <c r="B8525" s="17">
        <f t="array" ref="B8525">SUM(1-'Sparkling Model'!D$2:D$38^A8525)</f>
        <v>36.94814171</v>
      </c>
      <c r="C8525" s="8">
        <f t="array" ref="C8525">PRODUCT(1-'Sparkling Model'!D$2:D$38^A8525)</f>
        <v>0.9491046924</v>
      </c>
    </row>
    <row r="8526">
      <c r="A8526" s="6">
        <v>8524.0</v>
      </c>
      <c r="B8526" s="17">
        <f t="array" ref="B8526">SUM(1-'Sparkling Model'!D$2:D$38^A8526)</f>
        <v>36.948168</v>
      </c>
      <c r="C8526" s="8">
        <f t="array" ref="C8526">PRODUCT(1-'Sparkling Model'!D$2:D$38^A8526)</f>
        <v>0.9491300007</v>
      </c>
    </row>
    <row r="8527">
      <c r="A8527" s="6">
        <v>8525.0</v>
      </c>
      <c r="B8527" s="17">
        <f t="array" ref="B8527">SUM(1-'Sparkling Model'!D$2:D$38^A8527)</f>
        <v>36.94819428</v>
      </c>
      <c r="C8527" s="8">
        <f t="array" ref="C8527">PRODUCT(1-'Sparkling Model'!D$2:D$38^A8527)</f>
        <v>0.9491552964</v>
      </c>
    </row>
    <row r="8528">
      <c r="A8528" s="6">
        <v>8526.0</v>
      </c>
      <c r="B8528" s="17">
        <f t="array" ref="B8528">SUM(1-'Sparkling Model'!D$2:D$38^A8528)</f>
        <v>36.94822054</v>
      </c>
      <c r="C8528" s="8">
        <f t="array" ref="C8528">PRODUCT(1-'Sparkling Model'!D$2:D$38^A8528)</f>
        <v>0.9491805795</v>
      </c>
    </row>
    <row r="8529">
      <c r="A8529" s="6">
        <v>8527.0</v>
      </c>
      <c r="B8529" s="17">
        <f t="array" ref="B8529">SUM(1-'Sparkling Model'!D$2:D$38^A8529)</f>
        <v>36.94824679</v>
      </c>
      <c r="C8529" s="8">
        <f t="array" ref="C8529">PRODUCT(1-'Sparkling Model'!D$2:D$38^A8529)</f>
        <v>0.9492058501</v>
      </c>
    </row>
    <row r="8530">
      <c r="A8530" s="6">
        <v>8528.0</v>
      </c>
      <c r="B8530" s="17">
        <f t="array" ref="B8530">SUM(1-'Sparkling Model'!D$2:D$38^A8530)</f>
        <v>36.94827303</v>
      </c>
      <c r="C8530" s="8">
        <f t="array" ref="C8530">PRODUCT(1-'Sparkling Model'!D$2:D$38^A8530)</f>
        <v>0.9492311082</v>
      </c>
    </row>
    <row r="8531">
      <c r="A8531" s="6">
        <v>8529.0</v>
      </c>
      <c r="B8531" s="17">
        <f t="array" ref="B8531">SUM(1-'Sparkling Model'!D$2:D$38^A8531)</f>
        <v>36.94829925</v>
      </c>
      <c r="C8531" s="8">
        <f t="array" ref="C8531">PRODUCT(1-'Sparkling Model'!D$2:D$38^A8531)</f>
        <v>0.9492563536</v>
      </c>
    </row>
    <row r="8532">
      <c r="A8532" s="6">
        <v>8530.0</v>
      </c>
      <c r="B8532" s="17">
        <f t="array" ref="B8532">SUM(1-'Sparkling Model'!D$2:D$38^A8532)</f>
        <v>36.94832546</v>
      </c>
      <c r="C8532" s="8">
        <f t="array" ref="C8532">PRODUCT(1-'Sparkling Model'!D$2:D$38^A8532)</f>
        <v>0.9492815866</v>
      </c>
    </row>
    <row r="8533">
      <c r="A8533" s="6">
        <v>8531.0</v>
      </c>
      <c r="B8533" s="17">
        <f t="array" ref="B8533">SUM(1-'Sparkling Model'!D$2:D$38^A8533)</f>
        <v>36.94835166</v>
      </c>
      <c r="C8533" s="8">
        <f t="array" ref="C8533">PRODUCT(1-'Sparkling Model'!D$2:D$38^A8533)</f>
        <v>0.949306807</v>
      </c>
    </row>
    <row r="8534">
      <c r="A8534" s="6">
        <v>8532.0</v>
      </c>
      <c r="B8534" s="17">
        <f t="array" ref="B8534">SUM(1-'Sparkling Model'!D$2:D$38^A8534)</f>
        <v>36.94837784</v>
      </c>
      <c r="C8534" s="8">
        <f t="array" ref="C8534">PRODUCT(1-'Sparkling Model'!D$2:D$38^A8534)</f>
        <v>0.9493320149</v>
      </c>
    </row>
    <row r="8535">
      <c r="A8535" s="6">
        <v>8533.0</v>
      </c>
      <c r="B8535" s="17">
        <f t="array" ref="B8535">SUM(1-'Sparkling Model'!D$2:D$38^A8535)</f>
        <v>36.94840401</v>
      </c>
      <c r="C8535" s="8">
        <f t="array" ref="C8535">PRODUCT(1-'Sparkling Model'!D$2:D$38^A8535)</f>
        <v>0.9493572103</v>
      </c>
    </row>
    <row r="8536">
      <c r="A8536" s="6">
        <v>8534.0</v>
      </c>
      <c r="B8536" s="17">
        <f t="array" ref="B8536">SUM(1-'Sparkling Model'!D$2:D$38^A8536)</f>
        <v>36.94843016</v>
      </c>
      <c r="C8536" s="8">
        <f t="array" ref="C8536">PRODUCT(1-'Sparkling Model'!D$2:D$38^A8536)</f>
        <v>0.9493823931</v>
      </c>
    </row>
    <row r="8537">
      <c r="A8537" s="6">
        <v>8535.0</v>
      </c>
      <c r="B8537" s="17">
        <f t="array" ref="B8537">SUM(1-'Sparkling Model'!D$2:D$38^A8537)</f>
        <v>36.94845631</v>
      </c>
      <c r="C8537" s="8">
        <f t="array" ref="C8537">PRODUCT(1-'Sparkling Model'!D$2:D$38^A8537)</f>
        <v>0.9494075634</v>
      </c>
    </row>
    <row r="8538">
      <c r="A8538" s="6">
        <v>8536.0</v>
      </c>
      <c r="B8538" s="17">
        <f t="array" ref="B8538">SUM(1-'Sparkling Model'!D$2:D$38^A8538)</f>
        <v>36.94848243</v>
      </c>
      <c r="C8538" s="8">
        <f t="array" ref="C8538">PRODUCT(1-'Sparkling Model'!D$2:D$38^A8538)</f>
        <v>0.9494327213</v>
      </c>
    </row>
    <row r="8539">
      <c r="A8539" s="6">
        <v>8537.0</v>
      </c>
      <c r="B8539" s="17">
        <f t="array" ref="B8539">SUM(1-'Sparkling Model'!D$2:D$38^A8539)</f>
        <v>36.94850855</v>
      </c>
      <c r="C8539" s="8">
        <f t="array" ref="C8539">PRODUCT(1-'Sparkling Model'!D$2:D$38^A8539)</f>
        <v>0.9494578666</v>
      </c>
    </row>
    <row r="8540">
      <c r="A8540" s="6">
        <v>8538.0</v>
      </c>
      <c r="B8540" s="17">
        <f t="array" ref="B8540">SUM(1-'Sparkling Model'!D$2:D$38^A8540)</f>
        <v>36.94853465</v>
      </c>
      <c r="C8540" s="8">
        <f t="array" ref="C8540">PRODUCT(1-'Sparkling Model'!D$2:D$38^A8540)</f>
        <v>0.9494829995</v>
      </c>
    </row>
    <row r="8541">
      <c r="A8541" s="6">
        <v>8539.0</v>
      </c>
      <c r="B8541" s="17">
        <f t="array" ref="B8541">SUM(1-'Sparkling Model'!D$2:D$38^A8541)</f>
        <v>36.94856074</v>
      </c>
      <c r="C8541" s="8">
        <f t="array" ref="C8541">PRODUCT(1-'Sparkling Model'!D$2:D$38^A8541)</f>
        <v>0.9495081198</v>
      </c>
    </row>
    <row r="8542">
      <c r="A8542" s="6">
        <v>8540.0</v>
      </c>
      <c r="B8542" s="17">
        <f t="array" ref="B8542">SUM(1-'Sparkling Model'!D$2:D$38^A8542)</f>
        <v>36.94858681</v>
      </c>
      <c r="C8542" s="8">
        <f t="array" ref="C8542">PRODUCT(1-'Sparkling Model'!D$2:D$38^A8542)</f>
        <v>0.9495332277</v>
      </c>
    </row>
    <row r="8543">
      <c r="A8543" s="6">
        <v>8541.0</v>
      </c>
      <c r="B8543" s="17">
        <f t="array" ref="B8543">SUM(1-'Sparkling Model'!D$2:D$38^A8543)</f>
        <v>36.94861288</v>
      </c>
      <c r="C8543" s="8">
        <f t="array" ref="C8543">PRODUCT(1-'Sparkling Model'!D$2:D$38^A8543)</f>
        <v>0.9495583231</v>
      </c>
    </row>
    <row r="8544">
      <c r="A8544" s="6">
        <v>8542.0</v>
      </c>
      <c r="B8544" s="17">
        <f t="array" ref="B8544">SUM(1-'Sparkling Model'!D$2:D$38^A8544)</f>
        <v>36.94863892</v>
      </c>
      <c r="C8544" s="8">
        <f t="array" ref="C8544">PRODUCT(1-'Sparkling Model'!D$2:D$38^A8544)</f>
        <v>0.949583406</v>
      </c>
    </row>
    <row r="8545">
      <c r="A8545" s="6">
        <v>8543.0</v>
      </c>
      <c r="B8545" s="17">
        <f t="array" ref="B8545">SUM(1-'Sparkling Model'!D$2:D$38^A8545)</f>
        <v>36.94866496</v>
      </c>
      <c r="C8545" s="8">
        <f t="array" ref="C8545">PRODUCT(1-'Sparkling Model'!D$2:D$38^A8545)</f>
        <v>0.9496084765</v>
      </c>
    </row>
    <row r="8546">
      <c r="A8546" s="6">
        <v>8544.0</v>
      </c>
      <c r="B8546" s="17">
        <f t="array" ref="B8546">SUM(1-'Sparkling Model'!D$2:D$38^A8546)</f>
        <v>36.94869098</v>
      </c>
      <c r="C8546" s="8">
        <f t="array" ref="C8546">PRODUCT(1-'Sparkling Model'!D$2:D$38^A8546)</f>
        <v>0.9496335346</v>
      </c>
    </row>
    <row r="8547">
      <c r="A8547" s="6">
        <v>8545.0</v>
      </c>
      <c r="B8547" s="17">
        <f t="array" ref="B8547">SUM(1-'Sparkling Model'!D$2:D$38^A8547)</f>
        <v>36.94871699</v>
      </c>
      <c r="C8547" s="8">
        <f t="array" ref="C8547">PRODUCT(1-'Sparkling Model'!D$2:D$38^A8547)</f>
        <v>0.9496585801</v>
      </c>
    </row>
    <row r="8548">
      <c r="A8548" s="6">
        <v>8546.0</v>
      </c>
      <c r="B8548" s="17">
        <f t="array" ref="B8548">SUM(1-'Sparkling Model'!D$2:D$38^A8548)</f>
        <v>36.94874298</v>
      </c>
      <c r="C8548" s="8">
        <f t="array" ref="C8548">PRODUCT(1-'Sparkling Model'!D$2:D$38^A8548)</f>
        <v>0.9496836133</v>
      </c>
    </row>
    <row r="8549">
      <c r="A8549" s="6">
        <v>8547.0</v>
      </c>
      <c r="B8549" s="17">
        <f t="array" ref="B8549">SUM(1-'Sparkling Model'!D$2:D$38^A8549)</f>
        <v>36.94876896</v>
      </c>
      <c r="C8549" s="8">
        <f t="array" ref="C8549">PRODUCT(1-'Sparkling Model'!D$2:D$38^A8549)</f>
        <v>0.949708634</v>
      </c>
    </row>
    <row r="8550">
      <c r="A8550" s="6">
        <v>8548.0</v>
      </c>
      <c r="B8550" s="17">
        <f t="array" ref="B8550">SUM(1-'Sparkling Model'!D$2:D$38^A8550)</f>
        <v>36.94879493</v>
      </c>
      <c r="C8550" s="8">
        <f t="array" ref="C8550">PRODUCT(1-'Sparkling Model'!D$2:D$38^A8550)</f>
        <v>0.9497336422</v>
      </c>
    </row>
    <row r="8551">
      <c r="A8551" s="6">
        <v>8549.0</v>
      </c>
      <c r="B8551" s="17">
        <f t="array" ref="B8551">SUM(1-'Sparkling Model'!D$2:D$38^A8551)</f>
        <v>36.94882088</v>
      </c>
      <c r="C8551" s="8">
        <f t="array" ref="C8551">PRODUCT(1-'Sparkling Model'!D$2:D$38^A8551)</f>
        <v>0.9497586381</v>
      </c>
    </row>
    <row r="8552">
      <c r="A8552" s="6">
        <v>8550.0</v>
      </c>
      <c r="B8552" s="17">
        <f t="array" ref="B8552">SUM(1-'Sparkling Model'!D$2:D$38^A8552)</f>
        <v>36.94884682</v>
      </c>
      <c r="C8552" s="8">
        <f t="array" ref="C8552">PRODUCT(1-'Sparkling Model'!D$2:D$38^A8552)</f>
        <v>0.9497836215</v>
      </c>
    </row>
    <row r="8553">
      <c r="A8553" s="6">
        <v>8551.0</v>
      </c>
      <c r="B8553" s="17">
        <f t="array" ref="B8553">SUM(1-'Sparkling Model'!D$2:D$38^A8553)</f>
        <v>36.94887275</v>
      </c>
      <c r="C8553" s="8">
        <f t="array" ref="C8553">PRODUCT(1-'Sparkling Model'!D$2:D$38^A8553)</f>
        <v>0.9498085925</v>
      </c>
    </row>
    <row r="8554">
      <c r="A8554" s="6">
        <v>8552.0</v>
      </c>
      <c r="B8554" s="17">
        <f t="array" ref="B8554">SUM(1-'Sparkling Model'!D$2:D$38^A8554)</f>
        <v>36.94889866</v>
      </c>
      <c r="C8554" s="8">
        <f t="array" ref="C8554">PRODUCT(1-'Sparkling Model'!D$2:D$38^A8554)</f>
        <v>0.9498335511</v>
      </c>
    </row>
    <row r="8555">
      <c r="A8555" s="6">
        <v>8553.0</v>
      </c>
      <c r="B8555" s="17">
        <f t="array" ref="B8555">SUM(1-'Sparkling Model'!D$2:D$38^A8555)</f>
        <v>36.94892456</v>
      </c>
      <c r="C8555" s="8">
        <f t="array" ref="C8555">PRODUCT(1-'Sparkling Model'!D$2:D$38^A8555)</f>
        <v>0.9498584973</v>
      </c>
    </row>
    <row r="8556">
      <c r="A8556" s="6">
        <v>8554.0</v>
      </c>
      <c r="B8556" s="17">
        <f t="array" ref="B8556">SUM(1-'Sparkling Model'!D$2:D$38^A8556)</f>
        <v>36.94895045</v>
      </c>
      <c r="C8556" s="8">
        <f t="array" ref="C8556">PRODUCT(1-'Sparkling Model'!D$2:D$38^A8556)</f>
        <v>0.9498834312</v>
      </c>
    </row>
    <row r="8557">
      <c r="A8557" s="6">
        <v>8555.0</v>
      </c>
      <c r="B8557" s="17">
        <f t="array" ref="B8557">SUM(1-'Sparkling Model'!D$2:D$38^A8557)</f>
        <v>36.94897632</v>
      </c>
      <c r="C8557" s="8">
        <f t="array" ref="C8557">PRODUCT(1-'Sparkling Model'!D$2:D$38^A8557)</f>
        <v>0.9499083526</v>
      </c>
    </row>
    <row r="8558">
      <c r="A8558" s="6">
        <v>8556.0</v>
      </c>
      <c r="B8558" s="17">
        <f t="array" ref="B8558">SUM(1-'Sparkling Model'!D$2:D$38^A8558)</f>
        <v>36.94900218</v>
      </c>
      <c r="C8558" s="8">
        <f t="array" ref="C8558">PRODUCT(1-'Sparkling Model'!D$2:D$38^A8558)</f>
        <v>0.9499332616</v>
      </c>
    </row>
    <row r="8559">
      <c r="A8559" s="6">
        <v>8557.0</v>
      </c>
      <c r="B8559" s="17">
        <f t="array" ref="B8559">SUM(1-'Sparkling Model'!D$2:D$38^A8559)</f>
        <v>36.94902803</v>
      </c>
      <c r="C8559" s="8">
        <f t="array" ref="C8559">PRODUCT(1-'Sparkling Model'!D$2:D$38^A8559)</f>
        <v>0.9499581583</v>
      </c>
    </row>
    <row r="8560">
      <c r="A8560" s="6">
        <v>8558.0</v>
      </c>
      <c r="B8560" s="17">
        <f t="array" ref="B8560">SUM(1-'Sparkling Model'!D$2:D$38^A8560)</f>
        <v>36.94905386</v>
      </c>
      <c r="C8560" s="8">
        <f t="array" ref="C8560">PRODUCT(1-'Sparkling Model'!D$2:D$38^A8560)</f>
        <v>0.9499830426</v>
      </c>
    </row>
    <row r="8561">
      <c r="A8561" s="6">
        <v>8559.0</v>
      </c>
      <c r="B8561" s="17">
        <f t="array" ref="B8561">SUM(1-'Sparkling Model'!D$2:D$38^A8561)</f>
        <v>36.94907968</v>
      </c>
      <c r="C8561" s="8">
        <f t="array" ref="C8561">PRODUCT(1-'Sparkling Model'!D$2:D$38^A8561)</f>
        <v>0.9500079146</v>
      </c>
    </row>
    <row r="8562">
      <c r="A8562" s="6">
        <v>8560.0</v>
      </c>
      <c r="B8562" s="17">
        <f t="array" ref="B8562">SUM(1-'Sparkling Model'!D$2:D$38^A8562)</f>
        <v>36.94910549</v>
      </c>
      <c r="C8562" s="8">
        <f t="array" ref="C8562">PRODUCT(1-'Sparkling Model'!D$2:D$38^A8562)</f>
        <v>0.9500327741</v>
      </c>
    </row>
    <row r="8563">
      <c r="A8563" s="6">
        <v>8561.0</v>
      </c>
      <c r="B8563" s="17">
        <f t="array" ref="B8563">SUM(1-'Sparkling Model'!D$2:D$38^A8563)</f>
        <v>36.94913128</v>
      </c>
      <c r="C8563" s="8">
        <f t="array" ref="C8563">PRODUCT(1-'Sparkling Model'!D$2:D$38^A8563)</f>
        <v>0.9500576214</v>
      </c>
    </row>
    <row r="8564">
      <c r="A8564" s="6">
        <v>8562.0</v>
      </c>
      <c r="B8564" s="17">
        <f t="array" ref="B8564">SUM(1-'Sparkling Model'!D$2:D$38^A8564)</f>
        <v>36.94915706</v>
      </c>
      <c r="C8564" s="8">
        <f t="array" ref="C8564">PRODUCT(1-'Sparkling Model'!D$2:D$38^A8564)</f>
        <v>0.9500824563</v>
      </c>
    </row>
    <row r="8565">
      <c r="A8565" s="6">
        <v>8563.0</v>
      </c>
      <c r="B8565" s="17">
        <f t="array" ref="B8565">SUM(1-'Sparkling Model'!D$2:D$38^A8565)</f>
        <v>36.94918283</v>
      </c>
      <c r="C8565" s="8">
        <f t="array" ref="C8565">PRODUCT(1-'Sparkling Model'!D$2:D$38^A8565)</f>
        <v>0.9501072788</v>
      </c>
    </row>
    <row r="8566">
      <c r="A8566" s="6">
        <v>8564.0</v>
      </c>
      <c r="B8566" s="17">
        <f t="array" ref="B8566">SUM(1-'Sparkling Model'!D$2:D$38^A8566)</f>
        <v>36.94920858</v>
      </c>
      <c r="C8566" s="8">
        <f t="array" ref="C8566">PRODUCT(1-'Sparkling Model'!D$2:D$38^A8566)</f>
        <v>0.950132089</v>
      </c>
    </row>
    <row r="8567">
      <c r="A8567" s="6">
        <v>8565.0</v>
      </c>
      <c r="B8567" s="17">
        <f t="array" ref="B8567">SUM(1-'Sparkling Model'!D$2:D$38^A8567)</f>
        <v>36.94923432</v>
      </c>
      <c r="C8567" s="8">
        <f t="array" ref="C8567">PRODUCT(1-'Sparkling Model'!D$2:D$38^A8567)</f>
        <v>0.9501568869</v>
      </c>
    </row>
    <row r="8568">
      <c r="A8568" s="6">
        <v>8566.0</v>
      </c>
      <c r="B8568" s="17">
        <f t="array" ref="B8568">SUM(1-'Sparkling Model'!D$2:D$38^A8568)</f>
        <v>36.94926005</v>
      </c>
      <c r="C8568" s="8">
        <f t="array" ref="C8568">PRODUCT(1-'Sparkling Model'!D$2:D$38^A8568)</f>
        <v>0.9501816725</v>
      </c>
    </row>
    <row r="8569">
      <c r="A8569" s="6">
        <v>8567.0</v>
      </c>
      <c r="B8569" s="17">
        <f t="array" ref="B8569">SUM(1-'Sparkling Model'!D$2:D$38^A8569)</f>
        <v>36.94928576</v>
      </c>
      <c r="C8569" s="8">
        <f t="array" ref="C8569">PRODUCT(1-'Sparkling Model'!D$2:D$38^A8569)</f>
        <v>0.9502064458</v>
      </c>
    </row>
    <row r="8570">
      <c r="A8570" s="6">
        <v>8568.0</v>
      </c>
      <c r="B8570" s="17">
        <f t="array" ref="B8570">SUM(1-'Sparkling Model'!D$2:D$38^A8570)</f>
        <v>36.94931146</v>
      </c>
      <c r="C8570" s="8">
        <f t="array" ref="C8570">PRODUCT(1-'Sparkling Model'!D$2:D$38^A8570)</f>
        <v>0.9502312067</v>
      </c>
    </row>
    <row r="8571">
      <c r="A8571" s="6">
        <v>8569.0</v>
      </c>
      <c r="B8571" s="17">
        <f t="array" ref="B8571">SUM(1-'Sparkling Model'!D$2:D$38^A8571)</f>
        <v>36.94933715</v>
      </c>
      <c r="C8571" s="8">
        <f t="array" ref="C8571">PRODUCT(1-'Sparkling Model'!D$2:D$38^A8571)</f>
        <v>0.9502559554</v>
      </c>
    </row>
    <row r="8572">
      <c r="A8572" s="6">
        <v>8570.0</v>
      </c>
      <c r="B8572" s="17">
        <f t="array" ref="B8572">SUM(1-'Sparkling Model'!D$2:D$38^A8572)</f>
        <v>36.94936282</v>
      </c>
      <c r="C8572" s="8">
        <f t="array" ref="C8572">PRODUCT(1-'Sparkling Model'!D$2:D$38^A8572)</f>
        <v>0.9502806917</v>
      </c>
    </row>
    <row r="8573">
      <c r="A8573" s="6">
        <v>8571.0</v>
      </c>
      <c r="B8573" s="17">
        <f t="array" ref="B8573">SUM(1-'Sparkling Model'!D$2:D$38^A8573)</f>
        <v>36.94938848</v>
      </c>
      <c r="C8573" s="8">
        <f t="array" ref="C8573">PRODUCT(1-'Sparkling Model'!D$2:D$38^A8573)</f>
        <v>0.9503054158</v>
      </c>
    </row>
    <row r="8574">
      <c r="A8574" s="6">
        <v>8572.0</v>
      </c>
      <c r="B8574" s="17">
        <f t="array" ref="B8574">SUM(1-'Sparkling Model'!D$2:D$38^A8574)</f>
        <v>36.94941413</v>
      </c>
      <c r="C8574" s="8">
        <f t="array" ref="C8574">PRODUCT(1-'Sparkling Model'!D$2:D$38^A8574)</f>
        <v>0.9503301276</v>
      </c>
    </row>
    <row r="8575">
      <c r="A8575" s="6">
        <v>8573.0</v>
      </c>
      <c r="B8575" s="17">
        <f t="array" ref="B8575">SUM(1-'Sparkling Model'!D$2:D$38^A8575)</f>
        <v>36.94943977</v>
      </c>
      <c r="C8575" s="8">
        <f t="array" ref="C8575">PRODUCT(1-'Sparkling Model'!D$2:D$38^A8575)</f>
        <v>0.9503548271</v>
      </c>
    </row>
    <row r="8576">
      <c r="A8576" s="6">
        <v>8574.0</v>
      </c>
      <c r="B8576" s="17">
        <f t="array" ref="B8576">SUM(1-'Sparkling Model'!D$2:D$38^A8576)</f>
        <v>36.94946539</v>
      </c>
      <c r="C8576" s="8">
        <f t="array" ref="C8576">PRODUCT(1-'Sparkling Model'!D$2:D$38^A8576)</f>
        <v>0.9503795143</v>
      </c>
    </row>
    <row r="8577">
      <c r="A8577" s="6">
        <v>8575.0</v>
      </c>
      <c r="B8577" s="17">
        <f t="array" ref="B8577">SUM(1-'Sparkling Model'!D$2:D$38^A8577)</f>
        <v>36.94949099</v>
      </c>
      <c r="C8577" s="8">
        <f t="array" ref="C8577">PRODUCT(1-'Sparkling Model'!D$2:D$38^A8577)</f>
        <v>0.9504041893</v>
      </c>
    </row>
    <row r="8578">
      <c r="A8578" s="6">
        <v>8576.0</v>
      </c>
      <c r="B8578" s="17">
        <f t="array" ref="B8578">SUM(1-'Sparkling Model'!D$2:D$38^A8578)</f>
        <v>36.94951659</v>
      </c>
      <c r="C8578" s="8">
        <f t="array" ref="C8578">PRODUCT(1-'Sparkling Model'!D$2:D$38^A8578)</f>
        <v>0.950428852</v>
      </c>
    </row>
    <row r="8579">
      <c r="A8579" s="6">
        <v>8577.0</v>
      </c>
      <c r="B8579" s="17">
        <f t="array" ref="B8579">SUM(1-'Sparkling Model'!D$2:D$38^A8579)</f>
        <v>36.94954217</v>
      </c>
      <c r="C8579" s="8">
        <f t="array" ref="C8579">PRODUCT(1-'Sparkling Model'!D$2:D$38^A8579)</f>
        <v>0.9504535024</v>
      </c>
    </row>
    <row r="8580">
      <c r="A8580" s="6">
        <v>8578.0</v>
      </c>
      <c r="B8580" s="17">
        <f t="array" ref="B8580">SUM(1-'Sparkling Model'!D$2:D$38^A8580)</f>
        <v>36.94956774</v>
      </c>
      <c r="C8580" s="8">
        <f t="array" ref="C8580">PRODUCT(1-'Sparkling Model'!D$2:D$38^A8580)</f>
        <v>0.9504781406</v>
      </c>
    </row>
    <row r="8581">
      <c r="A8581" s="6">
        <v>8579.0</v>
      </c>
      <c r="B8581" s="17">
        <f t="array" ref="B8581">SUM(1-'Sparkling Model'!D$2:D$38^A8581)</f>
        <v>36.94959329</v>
      </c>
      <c r="C8581" s="8">
        <f t="array" ref="C8581">PRODUCT(1-'Sparkling Model'!D$2:D$38^A8581)</f>
        <v>0.9505027666</v>
      </c>
    </row>
    <row r="8582">
      <c r="A8582" s="6">
        <v>8580.0</v>
      </c>
      <c r="B8582" s="17">
        <f t="array" ref="B8582">SUM(1-'Sparkling Model'!D$2:D$38^A8582)</f>
        <v>36.94961883</v>
      </c>
      <c r="C8582" s="8">
        <f t="array" ref="C8582">PRODUCT(1-'Sparkling Model'!D$2:D$38^A8582)</f>
        <v>0.9505273803</v>
      </c>
    </row>
    <row r="8583">
      <c r="A8583" s="6">
        <v>8581.0</v>
      </c>
      <c r="B8583" s="17">
        <f t="array" ref="B8583">SUM(1-'Sparkling Model'!D$2:D$38^A8583)</f>
        <v>36.94964436</v>
      </c>
      <c r="C8583" s="8">
        <f t="array" ref="C8583">PRODUCT(1-'Sparkling Model'!D$2:D$38^A8583)</f>
        <v>0.9505519818</v>
      </c>
    </row>
    <row r="8584">
      <c r="A8584" s="6">
        <v>8582.0</v>
      </c>
      <c r="B8584" s="17">
        <f t="array" ref="B8584">SUM(1-'Sparkling Model'!D$2:D$38^A8584)</f>
        <v>36.94966988</v>
      </c>
      <c r="C8584" s="8">
        <f t="array" ref="C8584">PRODUCT(1-'Sparkling Model'!D$2:D$38^A8584)</f>
        <v>0.9505765711</v>
      </c>
    </row>
    <row r="8585">
      <c r="A8585" s="6">
        <v>8583.0</v>
      </c>
      <c r="B8585" s="17">
        <f t="array" ref="B8585">SUM(1-'Sparkling Model'!D$2:D$38^A8585)</f>
        <v>36.94969538</v>
      </c>
      <c r="C8585" s="8">
        <f t="array" ref="C8585">PRODUCT(1-'Sparkling Model'!D$2:D$38^A8585)</f>
        <v>0.9506011482</v>
      </c>
    </row>
    <row r="8586">
      <c r="A8586" s="6">
        <v>8584.0</v>
      </c>
      <c r="B8586" s="17">
        <f t="array" ref="B8586">SUM(1-'Sparkling Model'!D$2:D$38^A8586)</f>
        <v>36.94972087</v>
      </c>
      <c r="C8586" s="8">
        <f t="array" ref="C8586">PRODUCT(1-'Sparkling Model'!D$2:D$38^A8586)</f>
        <v>0.950625713</v>
      </c>
    </row>
    <row r="8587">
      <c r="A8587" s="6">
        <v>8585.0</v>
      </c>
      <c r="B8587" s="17">
        <f t="array" ref="B8587">SUM(1-'Sparkling Model'!D$2:D$38^A8587)</f>
        <v>36.94974634</v>
      </c>
      <c r="C8587" s="8">
        <f t="array" ref="C8587">PRODUCT(1-'Sparkling Model'!D$2:D$38^A8587)</f>
        <v>0.9506502657</v>
      </c>
    </row>
    <row r="8588">
      <c r="A8588" s="6">
        <v>8586.0</v>
      </c>
      <c r="B8588" s="17">
        <f t="array" ref="B8588">SUM(1-'Sparkling Model'!D$2:D$38^A8588)</f>
        <v>36.94977181</v>
      </c>
      <c r="C8588" s="8">
        <f t="array" ref="C8588">PRODUCT(1-'Sparkling Model'!D$2:D$38^A8588)</f>
        <v>0.9506748061</v>
      </c>
    </row>
    <row r="8589">
      <c r="A8589" s="6">
        <v>8587.0</v>
      </c>
      <c r="B8589" s="17">
        <f t="array" ref="B8589">SUM(1-'Sparkling Model'!D$2:D$38^A8589)</f>
        <v>36.94979726</v>
      </c>
      <c r="C8589" s="8">
        <f t="array" ref="C8589">PRODUCT(1-'Sparkling Model'!D$2:D$38^A8589)</f>
        <v>0.9506993344</v>
      </c>
    </row>
    <row r="8590">
      <c r="A8590" s="6">
        <v>8588.0</v>
      </c>
      <c r="B8590" s="17">
        <f t="array" ref="B8590">SUM(1-'Sparkling Model'!D$2:D$38^A8590)</f>
        <v>36.94982269</v>
      </c>
      <c r="C8590" s="8">
        <f t="array" ref="C8590">PRODUCT(1-'Sparkling Model'!D$2:D$38^A8590)</f>
        <v>0.9507238504</v>
      </c>
    </row>
    <row r="8591">
      <c r="A8591" s="6">
        <v>8589.0</v>
      </c>
      <c r="B8591" s="17">
        <f t="array" ref="B8591">SUM(1-'Sparkling Model'!D$2:D$38^A8591)</f>
        <v>36.94984811</v>
      </c>
      <c r="C8591" s="8">
        <f t="array" ref="C8591">PRODUCT(1-'Sparkling Model'!D$2:D$38^A8591)</f>
        <v>0.9507483543</v>
      </c>
    </row>
    <row r="8592">
      <c r="A8592" s="6">
        <v>8590.0</v>
      </c>
      <c r="B8592" s="17">
        <f t="array" ref="B8592">SUM(1-'Sparkling Model'!D$2:D$38^A8592)</f>
        <v>36.94987352</v>
      </c>
      <c r="C8592" s="8">
        <f t="array" ref="C8592">PRODUCT(1-'Sparkling Model'!D$2:D$38^A8592)</f>
        <v>0.950772846</v>
      </c>
    </row>
    <row r="8593">
      <c r="A8593" s="6">
        <v>8591.0</v>
      </c>
      <c r="B8593" s="17">
        <f t="array" ref="B8593">SUM(1-'Sparkling Model'!D$2:D$38^A8593)</f>
        <v>36.94989892</v>
      </c>
      <c r="C8593" s="8">
        <f t="array" ref="C8593">PRODUCT(1-'Sparkling Model'!D$2:D$38^A8593)</f>
        <v>0.9507973256</v>
      </c>
    </row>
    <row r="8594">
      <c r="A8594" s="6">
        <v>8592.0</v>
      </c>
      <c r="B8594" s="17">
        <f t="array" ref="B8594">SUM(1-'Sparkling Model'!D$2:D$38^A8594)</f>
        <v>36.94992431</v>
      </c>
      <c r="C8594" s="8">
        <f t="array" ref="C8594">PRODUCT(1-'Sparkling Model'!D$2:D$38^A8594)</f>
        <v>0.9508217929</v>
      </c>
    </row>
    <row r="8595">
      <c r="A8595" s="6">
        <v>8593.0</v>
      </c>
      <c r="B8595" s="17">
        <f t="array" ref="B8595">SUM(1-'Sparkling Model'!D$2:D$38^A8595)</f>
        <v>36.94994968</v>
      </c>
      <c r="C8595" s="8">
        <f t="array" ref="C8595">PRODUCT(1-'Sparkling Model'!D$2:D$38^A8595)</f>
        <v>0.9508462481</v>
      </c>
    </row>
    <row r="8596">
      <c r="A8596" s="6">
        <v>8594.0</v>
      </c>
      <c r="B8596" s="17">
        <f t="array" ref="B8596">SUM(1-'Sparkling Model'!D$2:D$38^A8596)</f>
        <v>36.94997503</v>
      </c>
      <c r="C8596" s="8">
        <f t="array" ref="C8596">PRODUCT(1-'Sparkling Model'!D$2:D$38^A8596)</f>
        <v>0.9508706912</v>
      </c>
    </row>
    <row r="8597">
      <c r="A8597" s="6">
        <v>8595.0</v>
      </c>
      <c r="B8597" s="17">
        <f t="array" ref="B8597">SUM(1-'Sparkling Model'!D$2:D$38^A8597)</f>
        <v>36.95000038</v>
      </c>
      <c r="C8597" s="8">
        <f t="array" ref="C8597">PRODUCT(1-'Sparkling Model'!D$2:D$38^A8597)</f>
        <v>0.9508951221</v>
      </c>
    </row>
    <row r="8598">
      <c r="A8598" s="6">
        <v>8596.0</v>
      </c>
      <c r="B8598" s="17">
        <f t="array" ref="B8598">SUM(1-'Sparkling Model'!D$2:D$38^A8598)</f>
        <v>36.95002571</v>
      </c>
      <c r="C8598" s="8">
        <f t="array" ref="C8598">PRODUCT(1-'Sparkling Model'!D$2:D$38^A8598)</f>
        <v>0.9509195409</v>
      </c>
    </row>
    <row r="8599">
      <c r="A8599" s="6">
        <v>8597.0</v>
      </c>
      <c r="B8599" s="17">
        <f t="array" ref="B8599">SUM(1-'Sparkling Model'!D$2:D$38^A8599)</f>
        <v>36.95005103</v>
      </c>
      <c r="C8599" s="8">
        <f t="array" ref="C8599">PRODUCT(1-'Sparkling Model'!D$2:D$38^A8599)</f>
        <v>0.9509439476</v>
      </c>
    </row>
    <row r="8600">
      <c r="A8600" s="6">
        <v>8598.0</v>
      </c>
      <c r="B8600" s="17">
        <f t="array" ref="B8600">SUM(1-'Sparkling Model'!D$2:D$38^A8600)</f>
        <v>36.95007633</v>
      </c>
      <c r="C8600" s="8">
        <f t="array" ref="C8600">PRODUCT(1-'Sparkling Model'!D$2:D$38^A8600)</f>
        <v>0.9509683421</v>
      </c>
    </row>
    <row r="8601">
      <c r="A8601" s="6">
        <v>8599.0</v>
      </c>
      <c r="B8601" s="17">
        <f t="array" ref="B8601">SUM(1-'Sparkling Model'!D$2:D$38^A8601)</f>
        <v>36.95010162</v>
      </c>
      <c r="C8601" s="8">
        <f t="array" ref="C8601">PRODUCT(1-'Sparkling Model'!D$2:D$38^A8601)</f>
        <v>0.9509927245</v>
      </c>
    </row>
    <row r="8602">
      <c r="A8602" s="6">
        <v>8600.0</v>
      </c>
      <c r="B8602" s="17">
        <f t="array" ref="B8602">SUM(1-'Sparkling Model'!D$2:D$38^A8602)</f>
        <v>36.9501269</v>
      </c>
      <c r="C8602" s="8">
        <f t="array" ref="C8602">PRODUCT(1-'Sparkling Model'!D$2:D$38^A8602)</f>
        <v>0.9510170948</v>
      </c>
    </row>
    <row r="8603">
      <c r="A8603" s="6">
        <v>8601.0</v>
      </c>
      <c r="B8603" s="17">
        <f t="array" ref="B8603">SUM(1-'Sparkling Model'!D$2:D$38^A8603)</f>
        <v>36.95015217</v>
      </c>
      <c r="C8603" s="8">
        <f t="array" ref="C8603">PRODUCT(1-'Sparkling Model'!D$2:D$38^A8603)</f>
        <v>0.951041453</v>
      </c>
    </row>
    <row r="8604">
      <c r="A8604" s="6">
        <v>8602.0</v>
      </c>
      <c r="B8604" s="17">
        <f t="array" ref="B8604">SUM(1-'Sparkling Model'!D$2:D$38^A8604)</f>
        <v>36.95017742</v>
      </c>
      <c r="C8604" s="8">
        <f t="array" ref="C8604">PRODUCT(1-'Sparkling Model'!D$2:D$38^A8604)</f>
        <v>0.951065799</v>
      </c>
    </row>
    <row r="8605">
      <c r="A8605" s="6">
        <v>8603.0</v>
      </c>
      <c r="B8605" s="17">
        <f t="array" ref="B8605">SUM(1-'Sparkling Model'!D$2:D$38^A8605)</f>
        <v>36.95020266</v>
      </c>
      <c r="C8605" s="8">
        <f t="array" ref="C8605">PRODUCT(1-'Sparkling Model'!D$2:D$38^A8605)</f>
        <v>0.951090133</v>
      </c>
    </row>
    <row r="8606">
      <c r="A8606" s="6">
        <v>8604.0</v>
      </c>
      <c r="B8606" s="17">
        <f t="array" ref="B8606">SUM(1-'Sparkling Model'!D$2:D$38^A8606)</f>
        <v>36.95022789</v>
      </c>
      <c r="C8606" s="8">
        <f t="array" ref="C8606">PRODUCT(1-'Sparkling Model'!D$2:D$38^A8606)</f>
        <v>0.9511144549</v>
      </c>
    </row>
    <row r="8607">
      <c r="A8607" s="6">
        <v>8605.0</v>
      </c>
      <c r="B8607" s="17">
        <f t="array" ref="B8607">SUM(1-'Sparkling Model'!D$2:D$38^A8607)</f>
        <v>36.9502531</v>
      </c>
      <c r="C8607" s="8">
        <f t="array" ref="C8607">PRODUCT(1-'Sparkling Model'!D$2:D$38^A8607)</f>
        <v>0.9511387647</v>
      </c>
    </row>
    <row r="8608">
      <c r="A8608" s="6">
        <v>8606.0</v>
      </c>
      <c r="B8608" s="17">
        <f t="array" ref="B8608">SUM(1-'Sparkling Model'!D$2:D$38^A8608)</f>
        <v>36.95027831</v>
      </c>
      <c r="C8608" s="8">
        <f t="array" ref="C8608">PRODUCT(1-'Sparkling Model'!D$2:D$38^A8608)</f>
        <v>0.9511630624</v>
      </c>
    </row>
    <row r="8609">
      <c r="A8609" s="6">
        <v>8607.0</v>
      </c>
      <c r="B8609" s="17">
        <f t="array" ref="B8609">SUM(1-'Sparkling Model'!D$2:D$38^A8609)</f>
        <v>36.95030349</v>
      </c>
      <c r="C8609" s="8">
        <f t="array" ref="C8609">PRODUCT(1-'Sparkling Model'!D$2:D$38^A8609)</f>
        <v>0.9511873481</v>
      </c>
    </row>
    <row r="8610">
      <c r="A8610" s="6">
        <v>8608.0</v>
      </c>
      <c r="B8610" s="17">
        <f t="array" ref="B8610">SUM(1-'Sparkling Model'!D$2:D$38^A8610)</f>
        <v>36.95032867</v>
      </c>
      <c r="C8610" s="8">
        <f t="array" ref="C8610">PRODUCT(1-'Sparkling Model'!D$2:D$38^A8610)</f>
        <v>0.9512116217</v>
      </c>
    </row>
    <row r="8611">
      <c r="A8611" s="6">
        <v>8609.0</v>
      </c>
      <c r="B8611" s="17">
        <f t="array" ref="B8611">SUM(1-'Sparkling Model'!D$2:D$38^A8611)</f>
        <v>36.95035383</v>
      </c>
      <c r="C8611" s="8">
        <f t="array" ref="C8611">PRODUCT(1-'Sparkling Model'!D$2:D$38^A8611)</f>
        <v>0.9512358832</v>
      </c>
    </row>
    <row r="8612">
      <c r="A8612" s="6">
        <v>8610.0</v>
      </c>
      <c r="B8612" s="17">
        <f t="array" ref="B8612">SUM(1-'Sparkling Model'!D$2:D$38^A8612)</f>
        <v>36.95037898</v>
      </c>
      <c r="C8612" s="8">
        <f t="array" ref="C8612">PRODUCT(1-'Sparkling Model'!D$2:D$38^A8612)</f>
        <v>0.9512601327</v>
      </c>
    </row>
    <row r="8613">
      <c r="A8613" s="6">
        <v>8611.0</v>
      </c>
      <c r="B8613" s="17">
        <f t="array" ref="B8613">SUM(1-'Sparkling Model'!D$2:D$38^A8613)</f>
        <v>36.95040412</v>
      </c>
      <c r="C8613" s="8">
        <f t="array" ref="C8613">PRODUCT(1-'Sparkling Model'!D$2:D$38^A8613)</f>
        <v>0.9512843701</v>
      </c>
    </row>
    <row r="8614">
      <c r="A8614" s="6">
        <v>8612.0</v>
      </c>
      <c r="B8614" s="17">
        <f t="array" ref="B8614">SUM(1-'Sparkling Model'!D$2:D$38^A8614)</f>
        <v>36.95042924</v>
      </c>
      <c r="C8614" s="8">
        <f t="array" ref="C8614">PRODUCT(1-'Sparkling Model'!D$2:D$38^A8614)</f>
        <v>0.9513085954</v>
      </c>
    </row>
    <row r="8615">
      <c r="A8615" s="6">
        <v>8613.0</v>
      </c>
      <c r="B8615" s="17">
        <f t="array" ref="B8615">SUM(1-'Sparkling Model'!D$2:D$38^A8615)</f>
        <v>36.95045435</v>
      </c>
      <c r="C8615" s="8">
        <f t="array" ref="C8615">PRODUCT(1-'Sparkling Model'!D$2:D$38^A8615)</f>
        <v>0.9513328088</v>
      </c>
    </row>
    <row r="8616">
      <c r="A8616" s="6">
        <v>8614.0</v>
      </c>
      <c r="B8616" s="17">
        <f t="array" ref="B8616">SUM(1-'Sparkling Model'!D$2:D$38^A8616)</f>
        <v>36.95047945</v>
      </c>
      <c r="C8616" s="8">
        <f t="array" ref="C8616">PRODUCT(1-'Sparkling Model'!D$2:D$38^A8616)</f>
        <v>0.9513570101</v>
      </c>
    </row>
    <row r="8617">
      <c r="A8617" s="6">
        <v>8615.0</v>
      </c>
      <c r="B8617" s="17">
        <f t="array" ref="B8617">SUM(1-'Sparkling Model'!D$2:D$38^A8617)</f>
        <v>36.95050453</v>
      </c>
      <c r="C8617" s="8">
        <f t="array" ref="C8617">PRODUCT(1-'Sparkling Model'!D$2:D$38^A8617)</f>
        <v>0.9513811994</v>
      </c>
    </row>
    <row r="8618">
      <c r="A8618" s="6">
        <v>8616.0</v>
      </c>
      <c r="B8618" s="17">
        <f t="array" ref="B8618">SUM(1-'Sparkling Model'!D$2:D$38^A8618)</f>
        <v>36.9505296</v>
      </c>
      <c r="C8618" s="8">
        <f t="array" ref="C8618">PRODUCT(1-'Sparkling Model'!D$2:D$38^A8618)</f>
        <v>0.9514053766</v>
      </c>
    </row>
    <row r="8619">
      <c r="A8619" s="6">
        <v>8617.0</v>
      </c>
      <c r="B8619" s="17">
        <f t="array" ref="B8619">SUM(1-'Sparkling Model'!D$2:D$38^A8619)</f>
        <v>36.95055466</v>
      </c>
      <c r="C8619" s="8">
        <f t="array" ref="C8619">PRODUCT(1-'Sparkling Model'!D$2:D$38^A8619)</f>
        <v>0.9514295419</v>
      </c>
    </row>
    <row r="8620">
      <c r="A8620" s="6">
        <v>8618.0</v>
      </c>
      <c r="B8620" s="17">
        <f t="array" ref="B8620">SUM(1-'Sparkling Model'!D$2:D$38^A8620)</f>
        <v>36.9505797</v>
      </c>
      <c r="C8620" s="8">
        <f t="array" ref="C8620">PRODUCT(1-'Sparkling Model'!D$2:D$38^A8620)</f>
        <v>0.9514536951</v>
      </c>
    </row>
    <row r="8621">
      <c r="A8621" s="6">
        <v>8619.0</v>
      </c>
      <c r="B8621" s="17">
        <f t="array" ref="B8621">SUM(1-'Sparkling Model'!D$2:D$38^A8621)</f>
        <v>36.95060474</v>
      </c>
      <c r="C8621" s="8">
        <f t="array" ref="C8621">PRODUCT(1-'Sparkling Model'!D$2:D$38^A8621)</f>
        <v>0.9514778363</v>
      </c>
    </row>
    <row r="8622">
      <c r="A8622" s="6">
        <v>8620.0</v>
      </c>
      <c r="B8622" s="17">
        <f t="array" ref="B8622">SUM(1-'Sparkling Model'!D$2:D$38^A8622)</f>
        <v>36.95062976</v>
      </c>
      <c r="C8622" s="8">
        <f t="array" ref="C8622">PRODUCT(1-'Sparkling Model'!D$2:D$38^A8622)</f>
        <v>0.9515019656</v>
      </c>
    </row>
    <row r="8623">
      <c r="A8623" s="6">
        <v>8621.0</v>
      </c>
      <c r="B8623" s="17">
        <f t="array" ref="B8623">SUM(1-'Sparkling Model'!D$2:D$38^A8623)</f>
        <v>36.95065476</v>
      </c>
      <c r="C8623" s="8">
        <f t="array" ref="C8623">PRODUCT(1-'Sparkling Model'!D$2:D$38^A8623)</f>
        <v>0.9515260828</v>
      </c>
    </row>
    <row r="8624">
      <c r="A8624" s="6">
        <v>8622.0</v>
      </c>
      <c r="B8624" s="17">
        <f t="array" ref="B8624">SUM(1-'Sparkling Model'!D$2:D$38^A8624)</f>
        <v>36.95067976</v>
      </c>
      <c r="C8624" s="8">
        <f t="array" ref="C8624">PRODUCT(1-'Sparkling Model'!D$2:D$38^A8624)</f>
        <v>0.9515501881</v>
      </c>
    </row>
    <row r="8625">
      <c r="A8625" s="6">
        <v>8623.0</v>
      </c>
      <c r="B8625" s="17">
        <f t="array" ref="B8625">SUM(1-'Sparkling Model'!D$2:D$38^A8625)</f>
        <v>36.95070474</v>
      </c>
      <c r="C8625" s="8">
        <f t="array" ref="C8625">PRODUCT(1-'Sparkling Model'!D$2:D$38^A8625)</f>
        <v>0.9515742814</v>
      </c>
    </row>
    <row r="8626">
      <c r="A8626" s="6">
        <v>8624.0</v>
      </c>
      <c r="B8626" s="17">
        <f t="array" ref="B8626">SUM(1-'Sparkling Model'!D$2:D$38^A8626)</f>
        <v>36.95072971</v>
      </c>
      <c r="C8626" s="8">
        <f t="array" ref="C8626">PRODUCT(1-'Sparkling Model'!D$2:D$38^A8626)</f>
        <v>0.9515983627</v>
      </c>
    </row>
    <row r="8627">
      <c r="A8627" s="6">
        <v>8625.0</v>
      </c>
      <c r="B8627" s="17">
        <f t="array" ref="B8627">SUM(1-'Sparkling Model'!D$2:D$38^A8627)</f>
        <v>36.95075466</v>
      </c>
      <c r="C8627" s="8">
        <f t="array" ref="C8627">PRODUCT(1-'Sparkling Model'!D$2:D$38^A8627)</f>
        <v>0.951622432</v>
      </c>
    </row>
    <row r="8628">
      <c r="A8628" s="6">
        <v>8626.0</v>
      </c>
      <c r="B8628" s="17">
        <f t="array" ref="B8628">SUM(1-'Sparkling Model'!D$2:D$38^A8628)</f>
        <v>36.9507796</v>
      </c>
      <c r="C8628" s="8">
        <f t="array" ref="C8628">PRODUCT(1-'Sparkling Model'!D$2:D$38^A8628)</f>
        <v>0.9516464894</v>
      </c>
    </row>
    <row r="8629">
      <c r="A8629" s="6">
        <v>8627.0</v>
      </c>
      <c r="B8629" s="17">
        <f t="array" ref="B8629">SUM(1-'Sparkling Model'!D$2:D$38^A8629)</f>
        <v>36.95080453</v>
      </c>
      <c r="C8629" s="8">
        <f t="array" ref="C8629">PRODUCT(1-'Sparkling Model'!D$2:D$38^A8629)</f>
        <v>0.9516705348</v>
      </c>
    </row>
    <row r="8630">
      <c r="A8630" s="6">
        <v>8628.0</v>
      </c>
      <c r="B8630" s="17">
        <f t="array" ref="B8630">SUM(1-'Sparkling Model'!D$2:D$38^A8630)</f>
        <v>36.95082945</v>
      </c>
      <c r="C8630" s="8">
        <f t="array" ref="C8630">PRODUCT(1-'Sparkling Model'!D$2:D$38^A8630)</f>
        <v>0.9516945683</v>
      </c>
    </row>
    <row r="8631">
      <c r="A8631" s="6">
        <v>8629.0</v>
      </c>
      <c r="B8631" s="17">
        <f t="array" ref="B8631">SUM(1-'Sparkling Model'!D$2:D$38^A8631)</f>
        <v>36.95085435</v>
      </c>
      <c r="C8631" s="8">
        <f t="array" ref="C8631">PRODUCT(1-'Sparkling Model'!D$2:D$38^A8631)</f>
        <v>0.9517185899</v>
      </c>
    </row>
    <row r="8632">
      <c r="A8632" s="6">
        <v>8630.0</v>
      </c>
      <c r="B8632" s="17">
        <f t="array" ref="B8632">SUM(1-'Sparkling Model'!D$2:D$38^A8632)</f>
        <v>36.95087924</v>
      </c>
      <c r="C8632" s="8">
        <f t="array" ref="C8632">PRODUCT(1-'Sparkling Model'!D$2:D$38^A8632)</f>
        <v>0.9517425995</v>
      </c>
    </row>
    <row r="8633">
      <c r="A8633" s="6">
        <v>8631.0</v>
      </c>
      <c r="B8633" s="17">
        <f t="array" ref="B8633">SUM(1-'Sparkling Model'!D$2:D$38^A8633)</f>
        <v>36.95090412</v>
      </c>
      <c r="C8633" s="8">
        <f t="array" ref="C8633">PRODUCT(1-'Sparkling Model'!D$2:D$38^A8633)</f>
        <v>0.9517665971</v>
      </c>
    </row>
    <row r="8634">
      <c r="A8634" s="6">
        <v>8632.0</v>
      </c>
      <c r="B8634" s="17">
        <f t="array" ref="B8634">SUM(1-'Sparkling Model'!D$2:D$38^A8634)</f>
        <v>36.95092899</v>
      </c>
      <c r="C8634" s="8">
        <f t="array" ref="C8634">PRODUCT(1-'Sparkling Model'!D$2:D$38^A8634)</f>
        <v>0.9517905829</v>
      </c>
    </row>
    <row r="8635">
      <c r="A8635" s="6">
        <v>8633.0</v>
      </c>
      <c r="B8635" s="17">
        <f t="array" ref="B8635">SUM(1-'Sparkling Model'!D$2:D$38^A8635)</f>
        <v>36.95095384</v>
      </c>
      <c r="C8635" s="8">
        <f t="array" ref="C8635">PRODUCT(1-'Sparkling Model'!D$2:D$38^A8635)</f>
        <v>0.9518145567</v>
      </c>
    </row>
    <row r="8636">
      <c r="A8636" s="6">
        <v>8634.0</v>
      </c>
      <c r="B8636" s="17">
        <f t="array" ref="B8636">SUM(1-'Sparkling Model'!D$2:D$38^A8636)</f>
        <v>36.95097868</v>
      </c>
      <c r="C8636" s="8">
        <f t="array" ref="C8636">PRODUCT(1-'Sparkling Model'!D$2:D$38^A8636)</f>
        <v>0.9518385186</v>
      </c>
    </row>
    <row r="8637">
      <c r="A8637" s="6">
        <v>8635.0</v>
      </c>
      <c r="B8637" s="17">
        <f t="array" ref="B8637">SUM(1-'Sparkling Model'!D$2:D$38^A8637)</f>
        <v>36.95100351</v>
      </c>
      <c r="C8637" s="8">
        <f t="array" ref="C8637">PRODUCT(1-'Sparkling Model'!D$2:D$38^A8637)</f>
        <v>0.9518624686</v>
      </c>
    </row>
    <row r="8638">
      <c r="A8638" s="6">
        <v>8636.0</v>
      </c>
      <c r="B8638" s="17">
        <f t="array" ref="B8638">SUM(1-'Sparkling Model'!D$2:D$38^A8638)</f>
        <v>36.95102832</v>
      </c>
      <c r="C8638" s="8">
        <f t="array" ref="C8638">PRODUCT(1-'Sparkling Model'!D$2:D$38^A8638)</f>
        <v>0.9518864067</v>
      </c>
    </row>
    <row r="8639">
      <c r="A8639" s="6">
        <v>8637.0</v>
      </c>
      <c r="B8639" s="17">
        <f t="array" ref="B8639">SUM(1-'Sparkling Model'!D$2:D$38^A8639)</f>
        <v>36.95105312</v>
      </c>
      <c r="C8639" s="8">
        <f t="array" ref="C8639">PRODUCT(1-'Sparkling Model'!D$2:D$38^A8639)</f>
        <v>0.9519103329</v>
      </c>
    </row>
    <row r="8640">
      <c r="A8640" s="6">
        <v>8638.0</v>
      </c>
      <c r="B8640" s="17">
        <f t="array" ref="B8640">SUM(1-'Sparkling Model'!D$2:D$38^A8640)</f>
        <v>36.95107791</v>
      </c>
      <c r="C8640" s="8">
        <f t="array" ref="C8640">PRODUCT(1-'Sparkling Model'!D$2:D$38^A8640)</f>
        <v>0.9519342473</v>
      </c>
    </row>
    <row r="8641">
      <c r="A8641" s="6">
        <v>8639.0</v>
      </c>
      <c r="B8641" s="17">
        <f t="array" ref="B8641">SUM(1-'Sparkling Model'!D$2:D$38^A8641)</f>
        <v>36.95110268</v>
      </c>
      <c r="C8641" s="8">
        <f t="array" ref="C8641">PRODUCT(1-'Sparkling Model'!D$2:D$38^A8641)</f>
        <v>0.9519581497</v>
      </c>
    </row>
    <row r="8642">
      <c r="A8642" s="6">
        <v>8640.0</v>
      </c>
      <c r="B8642" s="17">
        <f t="array" ref="B8642">SUM(1-'Sparkling Model'!D$2:D$38^A8642)</f>
        <v>36.95112745</v>
      </c>
      <c r="C8642" s="8">
        <f t="array" ref="C8642">PRODUCT(1-'Sparkling Model'!D$2:D$38^A8642)</f>
        <v>0.9519820403</v>
      </c>
    </row>
    <row r="8643">
      <c r="A8643" s="6">
        <v>8641.0</v>
      </c>
      <c r="B8643" s="17">
        <f t="array" ref="B8643">SUM(1-'Sparkling Model'!D$2:D$38^A8643)</f>
        <v>36.9511522</v>
      </c>
      <c r="C8643" s="8">
        <f t="array" ref="C8643">PRODUCT(1-'Sparkling Model'!D$2:D$38^A8643)</f>
        <v>0.9520059189</v>
      </c>
    </row>
    <row r="8644">
      <c r="A8644" s="6">
        <v>8642.0</v>
      </c>
      <c r="B8644" s="17">
        <f t="array" ref="B8644">SUM(1-'Sparkling Model'!D$2:D$38^A8644)</f>
        <v>36.95117693</v>
      </c>
      <c r="C8644" s="8">
        <f t="array" ref="C8644">PRODUCT(1-'Sparkling Model'!D$2:D$38^A8644)</f>
        <v>0.9520297858</v>
      </c>
    </row>
    <row r="8645">
      <c r="A8645" s="6">
        <v>8643.0</v>
      </c>
      <c r="B8645" s="17">
        <f t="array" ref="B8645">SUM(1-'Sparkling Model'!D$2:D$38^A8645)</f>
        <v>36.95120166</v>
      </c>
      <c r="C8645" s="8">
        <f t="array" ref="C8645">PRODUCT(1-'Sparkling Model'!D$2:D$38^A8645)</f>
        <v>0.9520536407</v>
      </c>
    </row>
    <row r="8646">
      <c r="A8646" s="6">
        <v>8644.0</v>
      </c>
      <c r="B8646" s="17">
        <f t="array" ref="B8646">SUM(1-'Sparkling Model'!D$2:D$38^A8646)</f>
        <v>36.95122637</v>
      </c>
      <c r="C8646" s="8">
        <f t="array" ref="C8646">PRODUCT(1-'Sparkling Model'!D$2:D$38^A8646)</f>
        <v>0.9520774838</v>
      </c>
    </row>
    <row r="8647">
      <c r="A8647" s="6">
        <v>8645.0</v>
      </c>
      <c r="B8647" s="17">
        <f t="array" ref="B8647">SUM(1-'Sparkling Model'!D$2:D$38^A8647)</f>
        <v>36.95125107</v>
      </c>
      <c r="C8647" s="8">
        <f t="array" ref="C8647">PRODUCT(1-'Sparkling Model'!D$2:D$38^A8647)</f>
        <v>0.9521013151</v>
      </c>
    </row>
    <row r="8648">
      <c r="A8648" s="6">
        <v>8646.0</v>
      </c>
      <c r="B8648" s="17">
        <f t="array" ref="B8648">SUM(1-'Sparkling Model'!D$2:D$38^A8648)</f>
        <v>36.95127576</v>
      </c>
      <c r="C8648" s="8">
        <f t="array" ref="C8648">PRODUCT(1-'Sparkling Model'!D$2:D$38^A8648)</f>
        <v>0.9521251345</v>
      </c>
    </row>
    <row r="8649">
      <c r="A8649" s="6">
        <v>8647.0</v>
      </c>
      <c r="B8649" s="17">
        <f t="array" ref="B8649">SUM(1-'Sparkling Model'!D$2:D$38^A8649)</f>
        <v>36.95130043</v>
      </c>
      <c r="C8649" s="8">
        <f t="array" ref="C8649">PRODUCT(1-'Sparkling Model'!D$2:D$38^A8649)</f>
        <v>0.9521489421</v>
      </c>
    </row>
    <row r="8650">
      <c r="A8650" s="6">
        <v>8648.0</v>
      </c>
      <c r="B8650" s="17">
        <f t="array" ref="B8650">SUM(1-'Sparkling Model'!D$2:D$38^A8650)</f>
        <v>36.95132509</v>
      </c>
      <c r="C8650" s="8">
        <f t="array" ref="C8650">PRODUCT(1-'Sparkling Model'!D$2:D$38^A8650)</f>
        <v>0.9521727378</v>
      </c>
    </row>
    <row r="8651">
      <c r="A8651" s="6">
        <v>8649.0</v>
      </c>
      <c r="B8651" s="17">
        <f t="array" ref="B8651">SUM(1-'Sparkling Model'!D$2:D$38^A8651)</f>
        <v>36.95134974</v>
      </c>
      <c r="C8651" s="8">
        <f t="array" ref="C8651">PRODUCT(1-'Sparkling Model'!D$2:D$38^A8651)</f>
        <v>0.9521965217</v>
      </c>
    </row>
    <row r="8652">
      <c r="A8652" s="6">
        <v>8650.0</v>
      </c>
      <c r="B8652" s="17">
        <f t="array" ref="B8652">SUM(1-'Sparkling Model'!D$2:D$38^A8652)</f>
        <v>36.95137437</v>
      </c>
      <c r="C8652" s="8">
        <f t="array" ref="C8652">PRODUCT(1-'Sparkling Model'!D$2:D$38^A8652)</f>
        <v>0.9522202938</v>
      </c>
    </row>
    <row r="8653">
      <c r="A8653" s="6">
        <v>8651.0</v>
      </c>
      <c r="B8653" s="17">
        <f t="array" ref="B8653">SUM(1-'Sparkling Model'!D$2:D$38^A8653)</f>
        <v>36.951399</v>
      </c>
      <c r="C8653" s="8">
        <f t="array" ref="C8653">PRODUCT(1-'Sparkling Model'!D$2:D$38^A8653)</f>
        <v>0.9522440541</v>
      </c>
    </row>
    <row r="8654">
      <c r="A8654" s="6">
        <v>8652.0</v>
      </c>
      <c r="B8654" s="17">
        <f t="array" ref="B8654">SUM(1-'Sparkling Model'!D$2:D$38^A8654)</f>
        <v>36.95142361</v>
      </c>
      <c r="C8654" s="8">
        <f t="array" ref="C8654">PRODUCT(1-'Sparkling Model'!D$2:D$38^A8654)</f>
        <v>0.9522678026</v>
      </c>
    </row>
    <row r="8655">
      <c r="A8655" s="6">
        <v>8653.0</v>
      </c>
      <c r="B8655" s="17">
        <f t="array" ref="B8655">SUM(1-'Sparkling Model'!D$2:D$38^A8655)</f>
        <v>36.9514482</v>
      </c>
      <c r="C8655" s="8">
        <f t="array" ref="C8655">PRODUCT(1-'Sparkling Model'!D$2:D$38^A8655)</f>
        <v>0.9522915392</v>
      </c>
    </row>
    <row r="8656">
      <c r="A8656" s="6">
        <v>8654.0</v>
      </c>
      <c r="B8656" s="17">
        <f t="array" ref="B8656">SUM(1-'Sparkling Model'!D$2:D$38^A8656)</f>
        <v>36.95147279</v>
      </c>
      <c r="C8656" s="8">
        <f t="array" ref="C8656">PRODUCT(1-'Sparkling Model'!D$2:D$38^A8656)</f>
        <v>0.9523152641</v>
      </c>
    </row>
    <row r="8657">
      <c r="A8657" s="6">
        <v>8655.0</v>
      </c>
      <c r="B8657" s="17">
        <f t="array" ref="B8657">SUM(1-'Sparkling Model'!D$2:D$38^A8657)</f>
        <v>36.95149736</v>
      </c>
      <c r="C8657" s="8">
        <f t="array" ref="C8657">PRODUCT(1-'Sparkling Model'!D$2:D$38^A8657)</f>
        <v>0.9523389772</v>
      </c>
    </row>
    <row r="8658">
      <c r="A8658" s="6">
        <v>8656.0</v>
      </c>
      <c r="B8658" s="17">
        <f t="array" ref="B8658">SUM(1-'Sparkling Model'!D$2:D$38^A8658)</f>
        <v>36.95152192</v>
      </c>
      <c r="C8658" s="8">
        <f t="array" ref="C8658">PRODUCT(1-'Sparkling Model'!D$2:D$38^A8658)</f>
        <v>0.9523626785</v>
      </c>
    </row>
    <row r="8659">
      <c r="A8659" s="6">
        <v>8657.0</v>
      </c>
      <c r="B8659" s="17">
        <f t="array" ref="B8659">SUM(1-'Sparkling Model'!D$2:D$38^A8659)</f>
        <v>36.95154647</v>
      </c>
      <c r="C8659" s="8">
        <f t="array" ref="C8659">PRODUCT(1-'Sparkling Model'!D$2:D$38^A8659)</f>
        <v>0.952386368</v>
      </c>
    </row>
    <row r="8660">
      <c r="A8660" s="6">
        <v>8658.0</v>
      </c>
      <c r="B8660" s="17">
        <f t="array" ref="B8660">SUM(1-'Sparkling Model'!D$2:D$38^A8660)</f>
        <v>36.951571</v>
      </c>
      <c r="C8660" s="8">
        <f t="array" ref="C8660">PRODUCT(1-'Sparkling Model'!D$2:D$38^A8660)</f>
        <v>0.9524100458</v>
      </c>
    </row>
    <row r="8661">
      <c r="A8661" s="6">
        <v>8659.0</v>
      </c>
      <c r="B8661" s="17">
        <f t="array" ref="B8661">SUM(1-'Sparkling Model'!D$2:D$38^A8661)</f>
        <v>36.95159552</v>
      </c>
      <c r="C8661" s="8">
        <f t="array" ref="C8661">PRODUCT(1-'Sparkling Model'!D$2:D$38^A8661)</f>
        <v>0.9524337118</v>
      </c>
    </row>
    <row r="8662">
      <c r="A8662" s="6">
        <v>8660.0</v>
      </c>
      <c r="B8662" s="17">
        <f t="array" ref="B8662">SUM(1-'Sparkling Model'!D$2:D$38^A8662)</f>
        <v>36.95162003</v>
      </c>
      <c r="C8662" s="8">
        <f t="array" ref="C8662">PRODUCT(1-'Sparkling Model'!D$2:D$38^A8662)</f>
        <v>0.952457366</v>
      </c>
    </row>
    <row r="8663">
      <c r="A8663" s="6">
        <v>8661.0</v>
      </c>
      <c r="B8663" s="17">
        <f t="array" ref="B8663">SUM(1-'Sparkling Model'!D$2:D$38^A8663)</f>
        <v>36.95164453</v>
      </c>
      <c r="C8663" s="8">
        <f t="array" ref="C8663">PRODUCT(1-'Sparkling Model'!D$2:D$38^A8663)</f>
        <v>0.9524810085</v>
      </c>
    </row>
    <row r="8664">
      <c r="A8664" s="6">
        <v>8662.0</v>
      </c>
      <c r="B8664" s="17">
        <f t="array" ref="B8664">SUM(1-'Sparkling Model'!D$2:D$38^A8664)</f>
        <v>36.95166901</v>
      </c>
      <c r="C8664" s="8">
        <f t="array" ref="C8664">PRODUCT(1-'Sparkling Model'!D$2:D$38^A8664)</f>
        <v>0.9525046392</v>
      </c>
    </row>
    <row r="8665">
      <c r="A8665" s="6">
        <v>8663.0</v>
      </c>
      <c r="B8665" s="17">
        <f t="array" ref="B8665">SUM(1-'Sparkling Model'!D$2:D$38^A8665)</f>
        <v>36.95169348</v>
      </c>
      <c r="C8665" s="8">
        <f t="array" ref="C8665">PRODUCT(1-'Sparkling Model'!D$2:D$38^A8665)</f>
        <v>0.9525282581</v>
      </c>
    </row>
    <row r="8666">
      <c r="A8666" s="6">
        <v>8664.0</v>
      </c>
      <c r="B8666" s="17">
        <f t="array" ref="B8666">SUM(1-'Sparkling Model'!D$2:D$38^A8666)</f>
        <v>36.95171794</v>
      </c>
      <c r="C8666" s="8">
        <f t="array" ref="C8666">PRODUCT(1-'Sparkling Model'!D$2:D$38^A8666)</f>
        <v>0.9525518654</v>
      </c>
    </row>
    <row r="8667">
      <c r="A8667" s="6">
        <v>8665.0</v>
      </c>
      <c r="B8667" s="17">
        <f t="array" ref="B8667">SUM(1-'Sparkling Model'!D$2:D$38^A8667)</f>
        <v>36.95174238</v>
      </c>
      <c r="C8667" s="8">
        <f t="array" ref="C8667">PRODUCT(1-'Sparkling Model'!D$2:D$38^A8667)</f>
        <v>0.9525754609</v>
      </c>
    </row>
    <row r="8668">
      <c r="A8668" s="6">
        <v>8666.0</v>
      </c>
      <c r="B8668" s="17">
        <f t="array" ref="B8668">SUM(1-'Sparkling Model'!D$2:D$38^A8668)</f>
        <v>36.95176682</v>
      </c>
      <c r="C8668" s="8">
        <f t="array" ref="C8668">PRODUCT(1-'Sparkling Model'!D$2:D$38^A8668)</f>
        <v>0.9525990446</v>
      </c>
    </row>
    <row r="8669">
      <c r="A8669" s="6">
        <v>8667.0</v>
      </c>
      <c r="B8669" s="17">
        <f t="array" ref="B8669">SUM(1-'Sparkling Model'!D$2:D$38^A8669)</f>
        <v>36.95179124</v>
      </c>
      <c r="C8669" s="8">
        <f t="array" ref="C8669">PRODUCT(1-'Sparkling Model'!D$2:D$38^A8669)</f>
        <v>0.9526226167</v>
      </c>
    </row>
    <row r="8670">
      <c r="A8670" s="6">
        <v>8668.0</v>
      </c>
      <c r="B8670" s="17">
        <f t="array" ref="B8670">SUM(1-'Sparkling Model'!D$2:D$38^A8670)</f>
        <v>36.95181564</v>
      </c>
      <c r="C8670" s="8">
        <f t="array" ref="C8670">PRODUCT(1-'Sparkling Model'!D$2:D$38^A8670)</f>
        <v>0.952646177</v>
      </c>
    </row>
    <row r="8671">
      <c r="A8671" s="6">
        <v>8669.0</v>
      </c>
      <c r="B8671" s="17">
        <f t="array" ref="B8671">SUM(1-'Sparkling Model'!D$2:D$38^A8671)</f>
        <v>36.95184004</v>
      </c>
      <c r="C8671" s="8">
        <f t="array" ref="C8671">PRODUCT(1-'Sparkling Model'!D$2:D$38^A8671)</f>
        <v>0.9526697257</v>
      </c>
    </row>
    <row r="8672">
      <c r="A8672" s="6">
        <v>8670.0</v>
      </c>
      <c r="B8672" s="17">
        <f t="array" ref="B8672">SUM(1-'Sparkling Model'!D$2:D$38^A8672)</f>
        <v>36.95186442</v>
      </c>
      <c r="C8672" s="8">
        <f t="array" ref="C8672">PRODUCT(1-'Sparkling Model'!D$2:D$38^A8672)</f>
        <v>0.9526932626</v>
      </c>
    </row>
    <row r="8673">
      <c r="A8673" s="6">
        <v>8671.0</v>
      </c>
      <c r="B8673" s="17">
        <f t="array" ref="B8673">SUM(1-'Sparkling Model'!D$2:D$38^A8673)</f>
        <v>36.95188879</v>
      </c>
      <c r="C8673" s="8">
        <f t="array" ref="C8673">PRODUCT(1-'Sparkling Model'!D$2:D$38^A8673)</f>
        <v>0.9527167878</v>
      </c>
    </row>
    <row r="8674">
      <c r="A8674" s="6">
        <v>8672.0</v>
      </c>
      <c r="B8674" s="17">
        <f t="array" ref="B8674">SUM(1-'Sparkling Model'!D$2:D$38^A8674)</f>
        <v>36.95191315</v>
      </c>
      <c r="C8674" s="8">
        <f t="array" ref="C8674">PRODUCT(1-'Sparkling Model'!D$2:D$38^A8674)</f>
        <v>0.9527403014</v>
      </c>
    </row>
    <row r="8675">
      <c r="A8675" s="6">
        <v>8673.0</v>
      </c>
      <c r="B8675" s="17">
        <f t="array" ref="B8675">SUM(1-'Sparkling Model'!D$2:D$38^A8675)</f>
        <v>36.95193749</v>
      </c>
      <c r="C8675" s="8">
        <f t="array" ref="C8675">PRODUCT(1-'Sparkling Model'!D$2:D$38^A8675)</f>
        <v>0.9527638032</v>
      </c>
    </row>
    <row r="8676">
      <c r="A8676" s="6">
        <v>8674.0</v>
      </c>
      <c r="B8676" s="17">
        <f t="array" ref="B8676">SUM(1-'Sparkling Model'!D$2:D$38^A8676)</f>
        <v>36.95196183</v>
      </c>
      <c r="C8676" s="8">
        <f t="array" ref="C8676">PRODUCT(1-'Sparkling Model'!D$2:D$38^A8676)</f>
        <v>0.9527872934</v>
      </c>
    </row>
    <row r="8677">
      <c r="A8677" s="6">
        <v>8675.0</v>
      </c>
      <c r="B8677" s="17">
        <f t="array" ref="B8677">SUM(1-'Sparkling Model'!D$2:D$38^A8677)</f>
        <v>36.95198615</v>
      </c>
      <c r="C8677" s="8">
        <f t="array" ref="C8677">PRODUCT(1-'Sparkling Model'!D$2:D$38^A8677)</f>
        <v>0.9528107719</v>
      </c>
    </row>
    <row r="8678">
      <c r="A8678" s="6">
        <v>8676.0</v>
      </c>
      <c r="B8678" s="17">
        <f t="array" ref="B8678">SUM(1-'Sparkling Model'!D$2:D$38^A8678)</f>
        <v>36.95201045</v>
      </c>
      <c r="C8678" s="8">
        <f t="array" ref="C8678">PRODUCT(1-'Sparkling Model'!D$2:D$38^A8678)</f>
        <v>0.9528342387</v>
      </c>
    </row>
    <row r="8679">
      <c r="A8679" s="6">
        <v>8677.0</v>
      </c>
      <c r="B8679" s="17">
        <f t="array" ref="B8679">SUM(1-'Sparkling Model'!D$2:D$38^A8679)</f>
        <v>36.95203475</v>
      </c>
      <c r="C8679" s="8">
        <f t="array" ref="C8679">PRODUCT(1-'Sparkling Model'!D$2:D$38^A8679)</f>
        <v>0.9528576939</v>
      </c>
    </row>
    <row r="8680">
      <c r="A8680" s="6">
        <v>8678.0</v>
      </c>
      <c r="B8680" s="17">
        <f t="array" ref="B8680">SUM(1-'Sparkling Model'!D$2:D$38^A8680)</f>
        <v>36.95205903</v>
      </c>
      <c r="C8680" s="8">
        <f t="array" ref="C8680">PRODUCT(1-'Sparkling Model'!D$2:D$38^A8680)</f>
        <v>0.9528811374</v>
      </c>
    </row>
    <row r="8681">
      <c r="A8681" s="6">
        <v>8679.0</v>
      </c>
      <c r="B8681" s="17">
        <f t="array" ref="B8681">SUM(1-'Sparkling Model'!D$2:D$38^A8681)</f>
        <v>36.9520833</v>
      </c>
      <c r="C8681" s="8">
        <f t="array" ref="C8681">PRODUCT(1-'Sparkling Model'!D$2:D$38^A8681)</f>
        <v>0.9529045692</v>
      </c>
    </row>
    <row r="8682">
      <c r="A8682" s="6">
        <v>8680.0</v>
      </c>
      <c r="B8682" s="17">
        <f t="array" ref="B8682">SUM(1-'Sparkling Model'!D$2:D$38^A8682)</f>
        <v>36.95210756</v>
      </c>
      <c r="C8682" s="8">
        <f t="array" ref="C8682">PRODUCT(1-'Sparkling Model'!D$2:D$38^A8682)</f>
        <v>0.9529279894</v>
      </c>
    </row>
    <row r="8683">
      <c r="A8683" s="6">
        <v>8681.0</v>
      </c>
      <c r="B8683" s="17">
        <f t="array" ref="B8683">SUM(1-'Sparkling Model'!D$2:D$38^A8683)</f>
        <v>36.9521318</v>
      </c>
      <c r="C8683" s="8">
        <f t="array" ref="C8683">PRODUCT(1-'Sparkling Model'!D$2:D$38^A8683)</f>
        <v>0.952951398</v>
      </c>
    </row>
    <row r="8684">
      <c r="A8684" s="6">
        <v>8682.0</v>
      </c>
      <c r="B8684" s="17">
        <f t="array" ref="B8684">SUM(1-'Sparkling Model'!D$2:D$38^A8684)</f>
        <v>36.95215603</v>
      </c>
      <c r="C8684" s="8">
        <f t="array" ref="C8684">PRODUCT(1-'Sparkling Model'!D$2:D$38^A8684)</f>
        <v>0.9529747949</v>
      </c>
    </row>
    <row r="8685">
      <c r="A8685" s="6">
        <v>8683.0</v>
      </c>
      <c r="B8685" s="17">
        <f t="array" ref="B8685">SUM(1-'Sparkling Model'!D$2:D$38^A8685)</f>
        <v>36.95218025</v>
      </c>
      <c r="C8685" s="8">
        <f t="array" ref="C8685">PRODUCT(1-'Sparkling Model'!D$2:D$38^A8685)</f>
        <v>0.9529981802</v>
      </c>
    </row>
    <row r="8686">
      <c r="A8686" s="6">
        <v>8684.0</v>
      </c>
      <c r="B8686" s="17">
        <f t="array" ref="B8686">SUM(1-'Sparkling Model'!D$2:D$38^A8686)</f>
        <v>36.95220446</v>
      </c>
      <c r="C8686" s="8">
        <f t="array" ref="C8686">PRODUCT(1-'Sparkling Model'!D$2:D$38^A8686)</f>
        <v>0.9530215539</v>
      </c>
    </row>
    <row r="8687">
      <c r="A8687" s="6">
        <v>8685.0</v>
      </c>
      <c r="B8687" s="17">
        <f t="array" ref="B8687">SUM(1-'Sparkling Model'!D$2:D$38^A8687)</f>
        <v>36.95222866</v>
      </c>
      <c r="C8687" s="8">
        <f t="array" ref="C8687">PRODUCT(1-'Sparkling Model'!D$2:D$38^A8687)</f>
        <v>0.953044916</v>
      </c>
    </row>
    <row r="8688">
      <c r="A8688" s="6">
        <v>8686.0</v>
      </c>
      <c r="B8688" s="17">
        <f t="array" ref="B8688">SUM(1-'Sparkling Model'!D$2:D$38^A8688)</f>
        <v>36.95225284</v>
      </c>
      <c r="C8688" s="8">
        <f t="array" ref="C8688">PRODUCT(1-'Sparkling Model'!D$2:D$38^A8688)</f>
        <v>0.9530682664</v>
      </c>
    </row>
    <row r="8689">
      <c r="A8689" s="6">
        <v>8687.0</v>
      </c>
      <c r="B8689" s="17">
        <f t="array" ref="B8689">SUM(1-'Sparkling Model'!D$2:D$38^A8689)</f>
        <v>36.95227701</v>
      </c>
      <c r="C8689" s="8">
        <f t="array" ref="C8689">PRODUCT(1-'Sparkling Model'!D$2:D$38^A8689)</f>
        <v>0.9530916053</v>
      </c>
    </row>
    <row r="8690">
      <c r="A8690" s="6">
        <v>8688.0</v>
      </c>
      <c r="B8690" s="17">
        <f t="array" ref="B8690">SUM(1-'Sparkling Model'!D$2:D$38^A8690)</f>
        <v>36.95230117</v>
      </c>
      <c r="C8690" s="8">
        <f t="array" ref="C8690">PRODUCT(1-'Sparkling Model'!D$2:D$38^A8690)</f>
        <v>0.9531149325</v>
      </c>
    </row>
    <row r="8691">
      <c r="A8691" s="6">
        <v>8689.0</v>
      </c>
      <c r="B8691" s="17">
        <f t="array" ref="B8691">SUM(1-'Sparkling Model'!D$2:D$38^A8691)</f>
        <v>36.95232531</v>
      </c>
      <c r="C8691" s="8">
        <f t="array" ref="C8691">PRODUCT(1-'Sparkling Model'!D$2:D$38^A8691)</f>
        <v>0.9531382482</v>
      </c>
    </row>
    <row r="8692">
      <c r="A8692" s="6">
        <v>8690.0</v>
      </c>
      <c r="B8692" s="17">
        <f t="array" ref="B8692">SUM(1-'Sparkling Model'!D$2:D$38^A8692)</f>
        <v>36.95234944</v>
      </c>
      <c r="C8692" s="8">
        <f t="array" ref="C8692">PRODUCT(1-'Sparkling Model'!D$2:D$38^A8692)</f>
        <v>0.9531615523</v>
      </c>
    </row>
    <row r="8693">
      <c r="A8693" s="6">
        <v>8691.0</v>
      </c>
      <c r="B8693" s="17">
        <f t="array" ref="B8693">SUM(1-'Sparkling Model'!D$2:D$38^A8693)</f>
        <v>36.95237356</v>
      </c>
      <c r="C8693" s="8">
        <f t="array" ref="C8693">PRODUCT(1-'Sparkling Model'!D$2:D$38^A8693)</f>
        <v>0.9531848447</v>
      </c>
    </row>
    <row r="8694">
      <c r="A8694" s="6">
        <v>8692.0</v>
      </c>
      <c r="B8694" s="17">
        <f t="array" ref="B8694">SUM(1-'Sparkling Model'!D$2:D$38^A8694)</f>
        <v>36.95239767</v>
      </c>
      <c r="C8694" s="8">
        <f t="array" ref="C8694">PRODUCT(1-'Sparkling Model'!D$2:D$38^A8694)</f>
        <v>0.9532081257</v>
      </c>
    </row>
    <row r="8695">
      <c r="A8695" s="6">
        <v>8693.0</v>
      </c>
      <c r="B8695" s="17">
        <f t="array" ref="B8695">SUM(1-'Sparkling Model'!D$2:D$38^A8695)</f>
        <v>36.95242177</v>
      </c>
      <c r="C8695" s="8">
        <f t="array" ref="C8695">PRODUCT(1-'Sparkling Model'!D$2:D$38^A8695)</f>
        <v>0.953231395</v>
      </c>
    </row>
    <row r="8696">
      <c r="A8696" s="6">
        <v>8694.0</v>
      </c>
      <c r="B8696" s="17">
        <f t="array" ref="B8696">SUM(1-'Sparkling Model'!D$2:D$38^A8696)</f>
        <v>36.95244585</v>
      </c>
      <c r="C8696" s="8">
        <f t="array" ref="C8696">PRODUCT(1-'Sparkling Model'!D$2:D$38^A8696)</f>
        <v>0.9532546528</v>
      </c>
    </row>
    <row r="8697">
      <c r="A8697" s="6">
        <v>8695.0</v>
      </c>
      <c r="B8697" s="17">
        <f t="array" ref="B8697">SUM(1-'Sparkling Model'!D$2:D$38^A8697)</f>
        <v>36.95246992</v>
      </c>
      <c r="C8697" s="8">
        <f t="array" ref="C8697">PRODUCT(1-'Sparkling Model'!D$2:D$38^A8697)</f>
        <v>0.953277899</v>
      </c>
    </row>
    <row r="8698">
      <c r="A8698" s="6">
        <v>8696.0</v>
      </c>
      <c r="B8698" s="17">
        <f t="array" ref="B8698">SUM(1-'Sparkling Model'!D$2:D$38^A8698)</f>
        <v>36.95249398</v>
      </c>
      <c r="C8698" s="8">
        <f t="array" ref="C8698">PRODUCT(1-'Sparkling Model'!D$2:D$38^A8698)</f>
        <v>0.9533011336</v>
      </c>
    </row>
    <row r="8699">
      <c r="A8699" s="6">
        <v>8697.0</v>
      </c>
      <c r="B8699" s="17">
        <f t="array" ref="B8699">SUM(1-'Sparkling Model'!D$2:D$38^A8699)</f>
        <v>36.95251802</v>
      </c>
      <c r="C8699" s="8">
        <f t="array" ref="C8699">PRODUCT(1-'Sparkling Model'!D$2:D$38^A8699)</f>
        <v>0.9533243567</v>
      </c>
    </row>
    <row r="8700">
      <c r="A8700" s="6">
        <v>8698.0</v>
      </c>
      <c r="B8700" s="17">
        <f t="array" ref="B8700">SUM(1-'Sparkling Model'!D$2:D$38^A8700)</f>
        <v>36.95254206</v>
      </c>
      <c r="C8700" s="8">
        <f t="array" ref="C8700">PRODUCT(1-'Sparkling Model'!D$2:D$38^A8700)</f>
        <v>0.9533475683</v>
      </c>
    </row>
    <row r="8701">
      <c r="A8701" s="6">
        <v>8699.0</v>
      </c>
      <c r="B8701" s="17">
        <f t="array" ref="B8701">SUM(1-'Sparkling Model'!D$2:D$38^A8701)</f>
        <v>36.95256608</v>
      </c>
      <c r="C8701" s="8">
        <f t="array" ref="C8701">PRODUCT(1-'Sparkling Model'!D$2:D$38^A8701)</f>
        <v>0.9533707683</v>
      </c>
    </row>
    <row r="8702">
      <c r="A8702" s="6">
        <v>8700.0</v>
      </c>
      <c r="B8702" s="17">
        <f t="array" ref="B8702">SUM(1-'Sparkling Model'!D$2:D$38^A8702)</f>
        <v>36.95259009</v>
      </c>
      <c r="C8702" s="8">
        <f t="array" ref="C8702">PRODUCT(1-'Sparkling Model'!D$2:D$38^A8702)</f>
        <v>0.9533939568</v>
      </c>
    </row>
    <row r="8703">
      <c r="A8703" s="6">
        <v>8701.0</v>
      </c>
      <c r="B8703" s="17">
        <f t="array" ref="B8703">SUM(1-'Sparkling Model'!D$2:D$38^A8703)</f>
        <v>36.95261408</v>
      </c>
      <c r="C8703" s="8">
        <f t="array" ref="C8703">PRODUCT(1-'Sparkling Model'!D$2:D$38^A8703)</f>
        <v>0.9534171338</v>
      </c>
    </row>
    <row r="8704">
      <c r="A8704" s="6">
        <v>8702.0</v>
      </c>
      <c r="B8704" s="17">
        <f t="array" ref="B8704">SUM(1-'Sparkling Model'!D$2:D$38^A8704)</f>
        <v>36.95263807</v>
      </c>
      <c r="C8704" s="8">
        <f t="array" ref="C8704">PRODUCT(1-'Sparkling Model'!D$2:D$38^A8704)</f>
        <v>0.9534402992</v>
      </c>
    </row>
    <row r="8705">
      <c r="A8705" s="6">
        <v>8703.0</v>
      </c>
      <c r="B8705" s="17">
        <f t="array" ref="B8705">SUM(1-'Sparkling Model'!D$2:D$38^A8705)</f>
        <v>36.95266204</v>
      </c>
      <c r="C8705" s="8">
        <f t="array" ref="C8705">PRODUCT(1-'Sparkling Model'!D$2:D$38^A8705)</f>
        <v>0.9534634532</v>
      </c>
    </row>
    <row r="8706">
      <c r="A8706" s="6">
        <v>8704.0</v>
      </c>
      <c r="B8706" s="17">
        <f t="array" ref="B8706">SUM(1-'Sparkling Model'!D$2:D$38^A8706)</f>
        <v>36.952686</v>
      </c>
      <c r="C8706" s="8">
        <f t="array" ref="C8706">PRODUCT(1-'Sparkling Model'!D$2:D$38^A8706)</f>
        <v>0.9534865956</v>
      </c>
    </row>
    <row r="8707">
      <c r="A8707" s="6">
        <v>8705.0</v>
      </c>
      <c r="B8707" s="17">
        <f t="array" ref="B8707">SUM(1-'Sparkling Model'!D$2:D$38^A8707)</f>
        <v>36.95270994</v>
      </c>
      <c r="C8707" s="8">
        <f t="array" ref="C8707">PRODUCT(1-'Sparkling Model'!D$2:D$38^A8707)</f>
        <v>0.9535097265</v>
      </c>
    </row>
    <row r="8708">
      <c r="A8708" s="6">
        <v>8706.0</v>
      </c>
      <c r="B8708" s="17">
        <f t="array" ref="B8708">SUM(1-'Sparkling Model'!D$2:D$38^A8708)</f>
        <v>36.95273388</v>
      </c>
      <c r="C8708" s="8">
        <f t="array" ref="C8708">PRODUCT(1-'Sparkling Model'!D$2:D$38^A8708)</f>
        <v>0.953532846</v>
      </c>
    </row>
    <row r="8709">
      <c r="A8709" s="6">
        <v>8707.0</v>
      </c>
      <c r="B8709" s="17">
        <f t="array" ref="B8709">SUM(1-'Sparkling Model'!D$2:D$38^A8709)</f>
        <v>36.9527578</v>
      </c>
      <c r="C8709" s="8">
        <f t="array" ref="C8709">PRODUCT(1-'Sparkling Model'!D$2:D$38^A8709)</f>
        <v>0.9535559539</v>
      </c>
    </row>
    <row r="8710">
      <c r="A8710" s="6">
        <v>8708.0</v>
      </c>
      <c r="B8710" s="17">
        <f t="array" ref="B8710">SUM(1-'Sparkling Model'!D$2:D$38^A8710)</f>
        <v>36.95278171</v>
      </c>
      <c r="C8710" s="8">
        <f t="array" ref="C8710">PRODUCT(1-'Sparkling Model'!D$2:D$38^A8710)</f>
        <v>0.9535790504</v>
      </c>
    </row>
    <row r="8711">
      <c r="A8711" s="6">
        <v>8709.0</v>
      </c>
      <c r="B8711" s="17">
        <f t="array" ref="B8711">SUM(1-'Sparkling Model'!D$2:D$38^A8711)</f>
        <v>36.95280561</v>
      </c>
      <c r="C8711" s="8">
        <f t="array" ref="C8711">PRODUCT(1-'Sparkling Model'!D$2:D$38^A8711)</f>
        <v>0.9536021353</v>
      </c>
    </row>
    <row r="8712">
      <c r="A8712" s="6">
        <v>8710.0</v>
      </c>
      <c r="B8712" s="17">
        <f t="array" ref="B8712">SUM(1-'Sparkling Model'!D$2:D$38^A8712)</f>
        <v>36.95282949</v>
      </c>
      <c r="C8712" s="8">
        <f t="array" ref="C8712">PRODUCT(1-'Sparkling Model'!D$2:D$38^A8712)</f>
        <v>0.9536252088</v>
      </c>
    </row>
    <row r="8713">
      <c r="A8713" s="6">
        <v>8711.0</v>
      </c>
      <c r="B8713" s="17">
        <f t="array" ref="B8713">SUM(1-'Sparkling Model'!D$2:D$38^A8713)</f>
        <v>36.95285336</v>
      </c>
      <c r="C8713" s="8">
        <f t="array" ref="C8713">PRODUCT(1-'Sparkling Model'!D$2:D$38^A8713)</f>
        <v>0.9536482709</v>
      </c>
    </row>
    <row r="8714">
      <c r="A8714" s="6">
        <v>8712.0</v>
      </c>
      <c r="B8714" s="17">
        <f t="array" ref="B8714">SUM(1-'Sparkling Model'!D$2:D$38^A8714)</f>
        <v>36.95287722</v>
      </c>
      <c r="C8714" s="8">
        <f t="array" ref="C8714">PRODUCT(1-'Sparkling Model'!D$2:D$38^A8714)</f>
        <v>0.9536713214</v>
      </c>
    </row>
    <row r="8715">
      <c r="A8715" s="6">
        <v>8713.0</v>
      </c>
      <c r="B8715" s="17">
        <f t="array" ref="B8715">SUM(1-'Sparkling Model'!D$2:D$38^A8715)</f>
        <v>36.95290107</v>
      </c>
      <c r="C8715" s="8">
        <f t="array" ref="C8715">PRODUCT(1-'Sparkling Model'!D$2:D$38^A8715)</f>
        <v>0.9536943605</v>
      </c>
    </row>
    <row r="8716">
      <c r="A8716" s="6">
        <v>8714.0</v>
      </c>
      <c r="B8716" s="17">
        <f t="array" ref="B8716">SUM(1-'Sparkling Model'!D$2:D$38^A8716)</f>
        <v>36.95292491</v>
      </c>
      <c r="C8716" s="8">
        <f t="array" ref="C8716">PRODUCT(1-'Sparkling Model'!D$2:D$38^A8716)</f>
        <v>0.9537173882</v>
      </c>
    </row>
    <row r="8717">
      <c r="A8717" s="6">
        <v>8715.0</v>
      </c>
      <c r="B8717" s="17">
        <f t="array" ref="B8717">SUM(1-'Sparkling Model'!D$2:D$38^A8717)</f>
        <v>36.95294873</v>
      </c>
      <c r="C8717" s="8">
        <f t="array" ref="C8717">PRODUCT(1-'Sparkling Model'!D$2:D$38^A8717)</f>
        <v>0.9537404044</v>
      </c>
    </row>
    <row r="8718">
      <c r="A8718" s="6">
        <v>8716.0</v>
      </c>
      <c r="B8718" s="17">
        <f t="array" ref="B8718">SUM(1-'Sparkling Model'!D$2:D$38^A8718)</f>
        <v>36.95297254</v>
      </c>
      <c r="C8718" s="8">
        <f t="array" ref="C8718">PRODUCT(1-'Sparkling Model'!D$2:D$38^A8718)</f>
        <v>0.9537634092</v>
      </c>
    </row>
    <row r="8719">
      <c r="A8719" s="6">
        <v>8717.0</v>
      </c>
      <c r="B8719" s="17">
        <f t="array" ref="B8719">SUM(1-'Sparkling Model'!D$2:D$38^A8719)</f>
        <v>36.95299634</v>
      </c>
      <c r="C8719" s="8">
        <f t="array" ref="C8719">PRODUCT(1-'Sparkling Model'!D$2:D$38^A8719)</f>
        <v>0.9537864025</v>
      </c>
    </row>
    <row r="8720">
      <c r="A8720" s="6">
        <v>8718.0</v>
      </c>
      <c r="B8720" s="17">
        <f t="array" ref="B8720">SUM(1-'Sparkling Model'!D$2:D$38^A8720)</f>
        <v>36.95302013</v>
      </c>
      <c r="C8720" s="8">
        <f t="array" ref="C8720">PRODUCT(1-'Sparkling Model'!D$2:D$38^A8720)</f>
        <v>0.9538093844</v>
      </c>
    </row>
    <row r="8721">
      <c r="A8721" s="6">
        <v>8719.0</v>
      </c>
      <c r="B8721" s="17">
        <f t="array" ref="B8721">SUM(1-'Sparkling Model'!D$2:D$38^A8721)</f>
        <v>36.9530439</v>
      </c>
      <c r="C8721" s="8">
        <f t="array" ref="C8721">PRODUCT(1-'Sparkling Model'!D$2:D$38^A8721)</f>
        <v>0.9538323549</v>
      </c>
    </row>
    <row r="8722">
      <c r="A8722" s="6">
        <v>8720.0</v>
      </c>
      <c r="B8722" s="17">
        <f t="array" ref="B8722">SUM(1-'Sparkling Model'!D$2:D$38^A8722)</f>
        <v>36.95306767</v>
      </c>
      <c r="C8722" s="8">
        <f t="array" ref="C8722">PRODUCT(1-'Sparkling Model'!D$2:D$38^A8722)</f>
        <v>0.9538553139</v>
      </c>
    </row>
    <row r="8723">
      <c r="A8723" s="6">
        <v>8721.0</v>
      </c>
      <c r="B8723" s="17">
        <f t="array" ref="B8723">SUM(1-'Sparkling Model'!D$2:D$38^A8723)</f>
        <v>36.95309142</v>
      </c>
      <c r="C8723" s="8">
        <f t="array" ref="C8723">PRODUCT(1-'Sparkling Model'!D$2:D$38^A8723)</f>
        <v>0.9538782616</v>
      </c>
    </row>
    <row r="8724">
      <c r="A8724" s="6">
        <v>8722.0</v>
      </c>
      <c r="B8724" s="17">
        <f t="array" ref="B8724">SUM(1-'Sparkling Model'!D$2:D$38^A8724)</f>
        <v>36.95311515</v>
      </c>
      <c r="C8724" s="8">
        <f t="array" ref="C8724">PRODUCT(1-'Sparkling Model'!D$2:D$38^A8724)</f>
        <v>0.9539011978</v>
      </c>
    </row>
    <row r="8725">
      <c r="A8725" s="6">
        <v>8723.0</v>
      </c>
      <c r="B8725" s="17">
        <f t="array" ref="B8725">SUM(1-'Sparkling Model'!D$2:D$38^A8725)</f>
        <v>36.95313888</v>
      </c>
      <c r="C8725" s="8">
        <f t="array" ref="C8725">PRODUCT(1-'Sparkling Model'!D$2:D$38^A8725)</f>
        <v>0.9539241227</v>
      </c>
    </row>
    <row r="8726">
      <c r="A8726" s="6">
        <v>8724.0</v>
      </c>
      <c r="B8726" s="17">
        <f t="array" ref="B8726">SUM(1-'Sparkling Model'!D$2:D$38^A8726)</f>
        <v>36.95316259</v>
      </c>
      <c r="C8726" s="8">
        <f t="array" ref="C8726">PRODUCT(1-'Sparkling Model'!D$2:D$38^A8726)</f>
        <v>0.9539470361</v>
      </c>
    </row>
    <row r="8727">
      <c r="A8727" s="6">
        <v>8725.0</v>
      </c>
      <c r="B8727" s="17">
        <f t="array" ref="B8727">SUM(1-'Sparkling Model'!D$2:D$38^A8727)</f>
        <v>36.95318629</v>
      </c>
      <c r="C8727" s="8">
        <f t="array" ref="C8727">PRODUCT(1-'Sparkling Model'!D$2:D$38^A8727)</f>
        <v>0.9539699382</v>
      </c>
    </row>
    <row r="8728">
      <c r="A8728" s="6">
        <v>8726.0</v>
      </c>
      <c r="B8728" s="17">
        <f t="array" ref="B8728">SUM(1-'Sparkling Model'!D$2:D$38^A8728)</f>
        <v>36.95320998</v>
      </c>
      <c r="C8728" s="8">
        <f t="array" ref="C8728">PRODUCT(1-'Sparkling Model'!D$2:D$38^A8728)</f>
        <v>0.9539928289</v>
      </c>
    </row>
    <row r="8729">
      <c r="A8729" s="6">
        <v>8727.0</v>
      </c>
      <c r="B8729" s="17">
        <f t="array" ref="B8729">SUM(1-'Sparkling Model'!D$2:D$38^A8729)</f>
        <v>36.95323366</v>
      </c>
      <c r="C8729" s="8">
        <f t="array" ref="C8729">PRODUCT(1-'Sparkling Model'!D$2:D$38^A8729)</f>
        <v>0.9540157082</v>
      </c>
    </row>
    <row r="8730">
      <c r="A8730" s="6">
        <v>8728.0</v>
      </c>
      <c r="B8730" s="17">
        <f t="array" ref="B8730">SUM(1-'Sparkling Model'!D$2:D$38^A8730)</f>
        <v>36.95325732</v>
      </c>
      <c r="C8730" s="8">
        <f t="array" ref="C8730">PRODUCT(1-'Sparkling Model'!D$2:D$38^A8730)</f>
        <v>0.9540385761</v>
      </c>
    </row>
    <row r="8731">
      <c r="A8731" s="6">
        <v>8729.0</v>
      </c>
      <c r="B8731" s="17">
        <f t="array" ref="B8731">SUM(1-'Sparkling Model'!D$2:D$38^A8731)</f>
        <v>36.95328098</v>
      </c>
      <c r="C8731" s="8">
        <f t="array" ref="C8731">PRODUCT(1-'Sparkling Model'!D$2:D$38^A8731)</f>
        <v>0.9540614326</v>
      </c>
    </row>
    <row r="8732">
      <c r="A8732" s="6">
        <v>8730.0</v>
      </c>
      <c r="B8732" s="17">
        <f t="array" ref="B8732">SUM(1-'Sparkling Model'!D$2:D$38^A8732)</f>
        <v>36.95330462</v>
      </c>
      <c r="C8732" s="8">
        <f t="array" ref="C8732">PRODUCT(1-'Sparkling Model'!D$2:D$38^A8732)</f>
        <v>0.9540842778</v>
      </c>
    </row>
    <row r="8733">
      <c r="A8733" s="6">
        <v>8731.0</v>
      </c>
      <c r="B8733" s="17">
        <f t="array" ref="B8733">SUM(1-'Sparkling Model'!D$2:D$38^A8733)</f>
        <v>36.95332825</v>
      </c>
      <c r="C8733" s="8">
        <f t="array" ref="C8733">PRODUCT(1-'Sparkling Model'!D$2:D$38^A8733)</f>
        <v>0.9541071117</v>
      </c>
    </row>
    <row r="8734">
      <c r="A8734" s="6">
        <v>8732.0</v>
      </c>
      <c r="B8734" s="17">
        <f t="array" ref="B8734">SUM(1-'Sparkling Model'!D$2:D$38^A8734)</f>
        <v>36.95335186</v>
      </c>
      <c r="C8734" s="8">
        <f t="array" ref="C8734">PRODUCT(1-'Sparkling Model'!D$2:D$38^A8734)</f>
        <v>0.9541299342</v>
      </c>
    </row>
    <row r="8735">
      <c r="A8735" s="6">
        <v>8733.0</v>
      </c>
      <c r="B8735" s="17">
        <f t="array" ref="B8735">SUM(1-'Sparkling Model'!D$2:D$38^A8735)</f>
        <v>36.95337547</v>
      </c>
      <c r="C8735" s="8">
        <f t="array" ref="C8735">PRODUCT(1-'Sparkling Model'!D$2:D$38^A8735)</f>
        <v>0.9541527453</v>
      </c>
    </row>
    <row r="8736">
      <c r="A8736" s="6">
        <v>8734.0</v>
      </c>
      <c r="B8736" s="17">
        <f t="array" ref="B8736">SUM(1-'Sparkling Model'!D$2:D$38^A8736)</f>
        <v>36.95339906</v>
      </c>
      <c r="C8736" s="8">
        <f t="array" ref="C8736">PRODUCT(1-'Sparkling Model'!D$2:D$38^A8736)</f>
        <v>0.9541755451</v>
      </c>
    </row>
    <row r="8737">
      <c r="A8737" s="6">
        <v>8735.0</v>
      </c>
      <c r="B8737" s="17">
        <f t="array" ref="B8737">SUM(1-'Sparkling Model'!D$2:D$38^A8737)</f>
        <v>36.95342264</v>
      </c>
      <c r="C8737" s="8">
        <f t="array" ref="C8737">PRODUCT(1-'Sparkling Model'!D$2:D$38^A8737)</f>
        <v>0.9541983336</v>
      </c>
    </row>
    <row r="8738">
      <c r="A8738" s="6">
        <v>8736.0</v>
      </c>
      <c r="B8738" s="17">
        <f t="array" ref="B8738">SUM(1-'Sparkling Model'!D$2:D$38^A8738)</f>
        <v>36.9534462</v>
      </c>
      <c r="C8738" s="8">
        <f t="array" ref="C8738">PRODUCT(1-'Sparkling Model'!D$2:D$38^A8738)</f>
        <v>0.9542211107</v>
      </c>
    </row>
    <row r="8739">
      <c r="A8739" s="6">
        <v>8737.0</v>
      </c>
      <c r="B8739" s="17">
        <f t="array" ref="B8739">SUM(1-'Sparkling Model'!D$2:D$38^A8739)</f>
        <v>36.95346976</v>
      </c>
      <c r="C8739" s="8">
        <f t="array" ref="C8739">PRODUCT(1-'Sparkling Model'!D$2:D$38^A8739)</f>
        <v>0.9542438766</v>
      </c>
    </row>
    <row r="8740">
      <c r="A8740" s="6">
        <v>8738.0</v>
      </c>
      <c r="B8740" s="17">
        <f t="array" ref="B8740">SUM(1-'Sparkling Model'!D$2:D$38^A8740)</f>
        <v>36.9534933</v>
      </c>
      <c r="C8740" s="8">
        <f t="array" ref="C8740">PRODUCT(1-'Sparkling Model'!D$2:D$38^A8740)</f>
        <v>0.9542666311</v>
      </c>
    </row>
    <row r="8741">
      <c r="A8741" s="6">
        <v>8739.0</v>
      </c>
      <c r="B8741" s="17">
        <f t="array" ref="B8741">SUM(1-'Sparkling Model'!D$2:D$38^A8741)</f>
        <v>36.95351683</v>
      </c>
      <c r="C8741" s="8">
        <f t="array" ref="C8741">PRODUCT(1-'Sparkling Model'!D$2:D$38^A8741)</f>
        <v>0.9542893742</v>
      </c>
    </row>
    <row r="8742">
      <c r="A8742" s="6">
        <v>8740.0</v>
      </c>
      <c r="B8742" s="17">
        <f t="array" ref="B8742">SUM(1-'Sparkling Model'!D$2:D$38^A8742)</f>
        <v>36.95354035</v>
      </c>
      <c r="C8742" s="8">
        <f t="array" ref="C8742">PRODUCT(1-'Sparkling Model'!D$2:D$38^A8742)</f>
        <v>0.9543121061</v>
      </c>
    </row>
    <row r="8743">
      <c r="A8743" s="6">
        <v>8741.0</v>
      </c>
      <c r="B8743" s="17">
        <f t="array" ref="B8743">SUM(1-'Sparkling Model'!D$2:D$38^A8743)</f>
        <v>36.95356386</v>
      </c>
      <c r="C8743" s="8">
        <f t="array" ref="C8743">PRODUCT(1-'Sparkling Model'!D$2:D$38^A8743)</f>
        <v>0.9543348267</v>
      </c>
    </row>
    <row r="8744">
      <c r="A8744" s="6">
        <v>8742.0</v>
      </c>
      <c r="B8744" s="17">
        <f t="array" ref="B8744">SUM(1-'Sparkling Model'!D$2:D$38^A8744)</f>
        <v>36.95358735</v>
      </c>
      <c r="C8744" s="8">
        <f t="array" ref="C8744">PRODUCT(1-'Sparkling Model'!D$2:D$38^A8744)</f>
        <v>0.954357536</v>
      </c>
    </row>
    <row r="8745">
      <c r="A8745" s="6">
        <v>8743.0</v>
      </c>
      <c r="B8745" s="17">
        <f t="array" ref="B8745">SUM(1-'Sparkling Model'!D$2:D$38^A8745)</f>
        <v>36.95361084</v>
      </c>
      <c r="C8745" s="8">
        <f t="array" ref="C8745">PRODUCT(1-'Sparkling Model'!D$2:D$38^A8745)</f>
        <v>0.954380234</v>
      </c>
    </row>
    <row r="8746">
      <c r="A8746" s="6">
        <v>8744.0</v>
      </c>
      <c r="B8746" s="17">
        <f t="array" ref="B8746">SUM(1-'Sparkling Model'!D$2:D$38^A8746)</f>
        <v>36.95363431</v>
      </c>
      <c r="C8746" s="8">
        <f t="array" ref="C8746">PRODUCT(1-'Sparkling Model'!D$2:D$38^A8746)</f>
        <v>0.9544029207</v>
      </c>
    </row>
    <row r="8747">
      <c r="A8747" s="6">
        <v>8745.0</v>
      </c>
      <c r="B8747" s="17">
        <f t="array" ref="B8747">SUM(1-'Sparkling Model'!D$2:D$38^A8747)</f>
        <v>36.95365776</v>
      </c>
      <c r="C8747" s="8">
        <f t="array" ref="C8747">PRODUCT(1-'Sparkling Model'!D$2:D$38^A8747)</f>
        <v>0.9544255962</v>
      </c>
    </row>
    <row r="8748">
      <c r="A8748" s="6">
        <v>8746.0</v>
      </c>
      <c r="B8748" s="17">
        <f t="array" ref="B8748">SUM(1-'Sparkling Model'!D$2:D$38^A8748)</f>
        <v>36.95368121</v>
      </c>
      <c r="C8748" s="8">
        <f t="array" ref="C8748">PRODUCT(1-'Sparkling Model'!D$2:D$38^A8748)</f>
        <v>0.9544482604</v>
      </c>
    </row>
    <row r="8749">
      <c r="A8749" s="6">
        <v>8747.0</v>
      </c>
      <c r="B8749" s="17">
        <f t="array" ref="B8749">SUM(1-'Sparkling Model'!D$2:D$38^A8749)</f>
        <v>36.95370464</v>
      </c>
      <c r="C8749" s="8">
        <f t="array" ref="C8749">PRODUCT(1-'Sparkling Model'!D$2:D$38^A8749)</f>
        <v>0.9544709133</v>
      </c>
    </row>
    <row r="8750">
      <c r="A8750" s="6">
        <v>8748.0</v>
      </c>
      <c r="B8750" s="17">
        <f t="array" ref="B8750">SUM(1-'Sparkling Model'!D$2:D$38^A8750)</f>
        <v>36.95372807</v>
      </c>
      <c r="C8750" s="8">
        <f t="array" ref="C8750">PRODUCT(1-'Sparkling Model'!D$2:D$38^A8750)</f>
        <v>0.9544935549</v>
      </c>
    </row>
    <row r="8751">
      <c r="A8751" s="6">
        <v>8749.0</v>
      </c>
      <c r="B8751" s="17">
        <f t="array" ref="B8751">SUM(1-'Sparkling Model'!D$2:D$38^A8751)</f>
        <v>36.95375148</v>
      </c>
      <c r="C8751" s="8">
        <f t="array" ref="C8751">PRODUCT(1-'Sparkling Model'!D$2:D$38^A8751)</f>
        <v>0.9545161853</v>
      </c>
    </row>
    <row r="8752">
      <c r="A8752" s="6">
        <v>8750.0</v>
      </c>
      <c r="B8752" s="17">
        <f t="array" ref="B8752">SUM(1-'Sparkling Model'!D$2:D$38^A8752)</f>
        <v>36.95377487</v>
      </c>
      <c r="C8752" s="8">
        <f t="array" ref="C8752">PRODUCT(1-'Sparkling Model'!D$2:D$38^A8752)</f>
        <v>0.9545388044</v>
      </c>
    </row>
    <row r="8753">
      <c r="A8753" s="6">
        <v>8751.0</v>
      </c>
      <c r="B8753" s="17">
        <f t="array" ref="B8753">SUM(1-'Sparkling Model'!D$2:D$38^A8753)</f>
        <v>36.95379826</v>
      </c>
      <c r="C8753" s="8">
        <f t="array" ref="C8753">PRODUCT(1-'Sparkling Model'!D$2:D$38^A8753)</f>
        <v>0.9545614123</v>
      </c>
    </row>
    <row r="8754">
      <c r="A8754" s="6">
        <v>8752.0</v>
      </c>
      <c r="B8754" s="17">
        <f t="array" ref="B8754">SUM(1-'Sparkling Model'!D$2:D$38^A8754)</f>
        <v>36.95382163</v>
      </c>
      <c r="C8754" s="8">
        <f t="array" ref="C8754">PRODUCT(1-'Sparkling Model'!D$2:D$38^A8754)</f>
        <v>0.954584009</v>
      </c>
    </row>
    <row r="8755">
      <c r="A8755" s="6">
        <v>8753.0</v>
      </c>
      <c r="B8755" s="17">
        <f t="array" ref="B8755">SUM(1-'Sparkling Model'!D$2:D$38^A8755)</f>
        <v>36.953845</v>
      </c>
      <c r="C8755" s="8">
        <f t="array" ref="C8755">PRODUCT(1-'Sparkling Model'!D$2:D$38^A8755)</f>
        <v>0.9546065944</v>
      </c>
    </row>
    <row r="8756">
      <c r="A8756" s="6">
        <v>8754.0</v>
      </c>
      <c r="B8756" s="17">
        <f t="array" ref="B8756">SUM(1-'Sparkling Model'!D$2:D$38^A8756)</f>
        <v>36.95386835</v>
      </c>
      <c r="C8756" s="8">
        <f t="array" ref="C8756">PRODUCT(1-'Sparkling Model'!D$2:D$38^A8756)</f>
        <v>0.9546291686</v>
      </c>
    </row>
    <row r="8757">
      <c r="A8757" s="6">
        <v>8755.0</v>
      </c>
      <c r="B8757" s="17">
        <f t="array" ref="B8757">SUM(1-'Sparkling Model'!D$2:D$38^A8757)</f>
        <v>36.95389168</v>
      </c>
      <c r="C8757" s="8">
        <f t="array" ref="C8757">PRODUCT(1-'Sparkling Model'!D$2:D$38^A8757)</f>
        <v>0.9546517316</v>
      </c>
    </row>
    <row r="8758">
      <c r="A8758" s="6">
        <v>8756.0</v>
      </c>
      <c r="B8758" s="17">
        <f t="array" ref="B8758">SUM(1-'Sparkling Model'!D$2:D$38^A8758)</f>
        <v>36.95391501</v>
      </c>
      <c r="C8758" s="8">
        <f t="array" ref="C8758">PRODUCT(1-'Sparkling Model'!D$2:D$38^A8758)</f>
        <v>0.9546742833</v>
      </c>
    </row>
    <row r="8759">
      <c r="A8759" s="6">
        <v>8757.0</v>
      </c>
      <c r="B8759" s="17">
        <f t="array" ref="B8759">SUM(1-'Sparkling Model'!D$2:D$38^A8759)</f>
        <v>36.95393832</v>
      </c>
      <c r="C8759" s="8">
        <f t="array" ref="C8759">PRODUCT(1-'Sparkling Model'!D$2:D$38^A8759)</f>
        <v>0.9546968239</v>
      </c>
    </row>
    <row r="8760">
      <c r="A8760" s="6">
        <v>8758.0</v>
      </c>
      <c r="B8760" s="17">
        <f t="array" ref="B8760">SUM(1-'Sparkling Model'!D$2:D$38^A8760)</f>
        <v>36.95396163</v>
      </c>
      <c r="C8760" s="8">
        <f t="array" ref="C8760">PRODUCT(1-'Sparkling Model'!D$2:D$38^A8760)</f>
        <v>0.9547193532</v>
      </c>
    </row>
    <row r="8761">
      <c r="A8761" s="6">
        <v>8759.0</v>
      </c>
      <c r="B8761" s="17">
        <f t="array" ref="B8761">SUM(1-'Sparkling Model'!D$2:D$38^A8761)</f>
        <v>36.95398492</v>
      </c>
      <c r="C8761" s="8">
        <f t="array" ref="C8761">PRODUCT(1-'Sparkling Model'!D$2:D$38^A8761)</f>
        <v>0.9547418714</v>
      </c>
    </row>
    <row r="8762">
      <c r="A8762" s="6">
        <v>8760.0</v>
      </c>
      <c r="B8762" s="17">
        <f t="array" ref="B8762">SUM(1-'Sparkling Model'!D$2:D$38^A8762)</f>
        <v>36.95400819</v>
      </c>
      <c r="C8762" s="8">
        <f t="array" ref="C8762">PRODUCT(1-'Sparkling Model'!D$2:D$38^A8762)</f>
        <v>0.9547643783</v>
      </c>
    </row>
    <row r="8763">
      <c r="A8763" s="6">
        <v>8761.0</v>
      </c>
      <c r="B8763" s="17">
        <f t="array" ref="B8763">SUM(1-'Sparkling Model'!D$2:D$38^A8763)</f>
        <v>36.95403146</v>
      </c>
      <c r="C8763" s="8">
        <f t="array" ref="C8763">PRODUCT(1-'Sparkling Model'!D$2:D$38^A8763)</f>
        <v>0.9547868741</v>
      </c>
    </row>
    <row r="8764">
      <c r="A8764" s="6">
        <v>8762.0</v>
      </c>
      <c r="B8764" s="17">
        <f t="array" ref="B8764">SUM(1-'Sparkling Model'!D$2:D$38^A8764)</f>
        <v>36.95405471</v>
      </c>
      <c r="C8764" s="8">
        <f t="array" ref="C8764">PRODUCT(1-'Sparkling Model'!D$2:D$38^A8764)</f>
        <v>0.9548093586</v>
      </c>
    </row>
    <row r="8765">
      <c r="A8765" s="6">
        <v>8763.0</v>
      </c>
      <c r="B8765" s="17">
        <f t="array" ref="B8765">SUM(1-'Sparkling Model'!D$2:D$38^A8765)</f>
        <v>36.95407796</v>
      </c>
      <c r="C8765" s="8">
        <f t="array" ref="C8765">PRODUCT(1-'Sparkling Model'!D$2:D$38^A8765)</f>
        <v>0.954831832</v>
      </c>
    </row>
    <row r="8766">
      <c r="A8766" s="6">
        <v>8764.0</v>
      </c>
      <c r="B8766" s="17">
        <f t="array" ref="B8766">SUM(1-'Sparkling Model'!D$2:D$38^A8766)</f>
        <v>36.95410119</v>
      </c>
      <c r="C8766" s="8">
        <f t="array" ref="C8766">PRODUCT(1-'Sparkling Model'!D$2:D$38^A8766)</f>
        <v>0.9548542942</v>
      </c>
    </row>
    <row r="8767">
      <c r="A8767" s="6">
        <v>8765.0</v>
      </c>
      <c r="B8767" s="17">
        <f t="array" ref="B8767">SUM(1-'Sparkling Model'!D$2:D$38^A8767)</f>
        <v>36.9541244</v>
      </c>
      <c r="C8767" s="8">
        <f t="array" ref="C8767">PRODUCT(1-'Sparkling Model'!D$2:D$38^A8767)</f>
        <v>0.9548767453</v>
      </c>
    </row>
    <row r="8768">
      <c r="A8768" s="6">
        <v>8766.0</v>
      </c>
      <c r="B8768" s="17">
        <f t="array" ref="B8768">SUM(1-'Sparkling Model'!D$2:D$38^A8768)</f>
        <v>36.95414761</v>
      </c>
      <c r="C8768" s="8">
        <f t="array" ref="C8768">PRODUCT(1-'Sparkling Model'!D$2:D$38^A8768)</f>
        <v>0.9548991852</v>
      </c>
    </row>
    <row r="8769">
      <c r="A8769" s="6">
        <v>8767.0</v>
      </c>
      <c r="B8769" s="17">
        <f t="array" ref="B8769">SUM(1-'Sparkling Model'!D$2:D$38^A8769)</f>
        <v>36.9541708</v>
      </c>
      <c r="C8769" s="8">
        <f t="array" ref="C8769">PRODUCT(1-'Sparkling Model'!D$2:D$38^A8769)</f>
        <v>0.9549216139</v>
      </c>
    </row>
    <row r="8770">
      <c r="A8770" s="6">
        <v>8768.0</v>
      </c>
      <c r="B8770" s="17">
        <f t="array" ref="B8770">SUM(1-'Sparkling Model'!D$2:D$38^A8770)</f>
        <v>36.95419399</v>
      </c>
      <c r="C8770" s="8">
        <f t="array" ref="C8770">PRODUCT(1-'Sparkling Model'!D$2:D$38^A8770)</f>
        <v>0.9549440315</v>
      </c>
    </row>
    <row r="8771">
      <c r="A8771" s="6">
        <v>8769.0</v>
      </c>
      <c r="B8771" s="17">
        <f t="array" ref="B8771">SUM(1-'Sparkling Model'!D$2:D$38^A8771)</f>
        <v>36.95421716</v>
      </c>
      <c r="C8771" s="8">
        <f t="array" ref="C8771">PRODUCT(1-'Sparkling Model'!D$2:D$38^A8771)</f>
        <v>0.954966438</v>
      </c>
    </row>
    <row r="8772">
      <c r="A8772" s="6">
        <v>8770.0</v>
      </c>
      <c r="B8772" s="17">
        <f t="array" ref="B8772">SUM(1-'Sparkling Model'!D$2:D$38^A8772)</f>
        <v>36.95424031</v>
      </c>
      <c r="C8772" s="8">
        <f t="array" ref="C8772">PRODUCT(1-'Sparkling Model'!D$2:D$38^A8772)</f>
        <v>0.9549888333</v>
      </c>
    </row>
    <row r="8773">
      <c r="A8773" s="6">
        <v>8771.0</v>
      </c>
      <c r="B8773" s="17">
        <f t="array" ref="B8773">SUM(1-'Sparkling Model'!D$2:D$38^A8773)</f>
        <v>36.95426346</v>
      </c>
      <c r="C8773" s="8">
        <f t="array" ref="C8773">PRODUCT(1-'Sparkling Model'!D$2:D$38^A8773)</f>
        <v>0.9550112175</v>
      </c>
    </row>
    <row r="8774">
      <c r="A8774" s="6">
        <v>8772.0</v>
      </c>
      <c r="B8774" s="17">
        <f t="array" ref="B8774">SUM(1-'Sparkling Model'!D$2:D$38^A8774)</f>
        <v>36.9542866</v>
      </c>
      <c r="C8774" s="8">
        <f t="array" ref="C8774">PRODUCT(1-'Sparkling Model'!D$2:D$38^A8774)</f>
        <v>0.9550335905</v>
      </c>
    </row>
    <row r="8775">
      <c r="A8775" s="6">
        <v>8773.0</v>
      </c>
      <c r="B8775" s="17">
        <f t="array" ref="B8775">SUM(1-'Sparkling Model'!D$2:D$38^A8775)</f>
        <v>36.95430972</v>
      </c>
      <c r="C8775" s="8">
        <f t="array" ref="C8775">PRODUCT(1-'Sparkling Model'!D$2:D$38^A8775)</f>
        <v>0.9550559524</v>
      </c>
    </row>
    <row r="8776">
      <c r="A8776" s="6">
        <v>8774.0</v>
      </c>
      <c r="B8776" s="17">
        <f t="array" ref="B8776">SUM(1-'Sparkling Model'!D$2:D$38^A8776)</f>
        <v>36.95433283</v>
      </c>
      <c r="C8776" s="8">
        <f t="array" ref="C8776">PRODUCT(1-'Sparkling Model'!D$2:D$38^A8776)</f>
        <v>0.9550783032</v>
      </c>
    </row>
    <row r="8777">
      <c r="A8777" s="6">
        <v>8775.0</v>
      </c>
      <c r="B8777" s="17">
        <f t="array" ref="B8777">SUM(1-'Sparkling Model'!D$2:D$38^A8777)</f>
        <v>36.95435593</v>
      </c>
      <c r="C8777" s="8">
        <f t="array" ref="C8777">PRODUCT(1-'Sparkling Model'!D$2:D$38^A8777)</f>
        <v>0.9551006429</v>
      </c>
    </row>
    <row r="8778">
      <c r="A8778" s="6">
        <v>8776.0</v>
      </c>
      <c r="B8778" s="17">
        <f t="array" ref="B8778">SUM(1-'Sparkling Model'!D$2:D$38^A8778)</f>
        <v>36.95437901</v>
      </c>
      <c r="C8778" s="8">
        <f t="array" ref="C8778">PRODUCT(1-'Sparkling Model'!D$2:D$38^A8778)</f>
        <v>0.9551229715</v>
      </c>
    </row>
    <row r="8779">
      <c r="A8779" s="6">
        <v>8777.0</v>
      </c>
      <c r="B8779" s="17">
        <f t="array" ref="B8779">SUM(1-'Sparkling Model'!D$2:D$38^A8779)</f>
        <v>36.95440209</v>
      </c>
      <c r="C8779" s="8">
        <f t="array" ref="C8779">PRODUCT(1-'Sparkling Model'!D$2:D$38^A8779)</f>
        <v>0.955145289</v>
      </c>
    </row>
    <row r="8780">
      <c r="A8780" s="6">
        <v>8778.0</v>
      </c>
      <c r="B8780" s="17">
        <f t="array" ref="B8780">SUM(1-'Sparkling Model'!D$2:D$38^A8780)</f>
        <v>36.95442515</v>
      </c>
      <c r="C8780" s="8">
        <f t="array" ref="C8780">PRODUCT(1-'Sparkling Model'!D$2:D$38^A8780)</f>
        <v>0.9551675954</v>
      </c>
    </row>
    <row r="8781">
      <c r="A8781" s="6">
        <v>8779.0</v>
      </c>
      <c r="B8781" s="17">
        <f t="array" ref="B8781">SUM(1-'Sparkling Model'!D$2:D$38^A8781)</f>
        <v>36.9544482</v>
      </c>
      <c r="C8781" s="8">
        <f t="array" ref="C8781">PRODUCT(1-'Sparkling Model'!D$2:D$38^A8781)</f>
        <v>0.9551898907</v>
      </c>
    </row>
    <row r="8782">
      <c r="A8782" s="6">
        <v>8780.0</v>
      </c>
      <c r="B8782" s="17">
        <f t="array" ref="B8782">SUM(1-'Sparkling Model'!D$2:D$38^A8782)</f>
        <v>36.95447124</v>
      </c>
      <c r="C8782" s="8">
        <f t="array" ref="C8782">PRODUCT(1-'Sparkling Model'!D$2:D$38^A8782)</f>
        <v>0.9552121749</v>
      </c>
    </row>
    <row r="8783">
      <c r="A8783" s="6">
        <v>8781.0</v>
      </c>
      <c r="B8783" s="17">
        <f t="array" ref="B8783">SUM(1-'Sparkling Model'!D$2:D$38^A8783)</f>
        <v>36.95449427</v>
      </c>
      <c r="C8783" s="8">
        <f t="array" ref="C8783">PRODUCT(1-'Sparkling Model'!D$2:D$38^A8783)</f>
        <v>0.955234448</v>
      </c>
    </row>
    <row r="8784">
      <c r="A8784" s="6">
        <v>8782.0</v>
      </c>
      <c r="B8784" s="17">
        <f t="array" ref="B8784">SUM(1-'Sparkling Model'!D$2:D$38^A8784)</f>
        <v>36.95451729</v>
      </c>
      <c r="C8784" s="8">
        <f t="array" ref="C8784">PRODUCT(1-'Sparkling Model'!D$2:D$38^A8784)</f>
        <v>0.9552567101</v>
      </c>
    </row>
    <row r="8785">
      <c r="A8785" s="6">
        <v>8783.0</v>
      </c>
      <c r="B8785" s="17">
        <f t="array" ref="B8785">SUM(1-'Sparkling Model'!D$2:D$38^A8785)</f>
        <v>36.95454029</v>
      </c>
      <c r="C8785" s="8">
        <f t="array" ref="C8785">PRODUCT(1-'Sparkling Model'!D$2:D$38^A8785)</f>
        <v>0.9552789611</v>
      </c>
    </row>
    <row r="8786">
      <c r="A8786" s="6">
        <v>8784.0</v>
      </c>
      <c r="B8786" s="17">
        <f t="array" ref="B8786">SUM(1-'Sparkling Model'!D$2:D$38^A8786)</f>
        <v>36.95456328</v>
      </c>
      <c r="C8786" s="8">
        <f t="array" ref="C8786">PRODUCT(1-'Sparkling Model'!D$2:D$38^A8786)</f>
        <v>0.955301201</v>
      </c>
    </row>
    <row r="8787">
      <c r="A8787" s="6">
        <v>8785.0</v>
      </c>
      <c r="B8787" s="17">
        <f t="array" ref="B8787">SUM(1-'Sparkling Model'!D$2:D$38^A8787)</f>
        <v>36.95458626</v>
      </c>
      <c r="C8787" s="8">
        <f t="array" ref="C8787">PRODUCT(1-'Sparkling Model'!D$2:D$38^A8787)</f>
        <v>0.9553234299</v>
      </c>
    </row>
    <row r="8788">
      <c r="A8788" s="6">
        <v>8786.0</v>
      </c>
      <c r="B8788" s="17">
        <f t="array" ref="B8788">SUM(1-'Sparkling Model'!D$2:D$38^A8788)</f>
        <v>36.95460923</v>
      </c>
      <c r="C8788" s="8">
        <f t="array" ref="C8788">PRODUCT(1-'Sparkling Model'!D$2:D$38^A8788)</f>
        <v>0.9553456477</v>
      </c>
    </row>
    <row r="8789">
      <c r="A8789" s="6">
        <v>8787.0</v>
      </c>
      <c r="B8789" s="17">
        <f t="array" ref="B8789">SUM(1-'Sparkling Model'!D$2:D$38^A8789)</f>
        <v>36.95463219</v>
      </c>
      <c r="C8789" s="8">
        <f t="array" ref="C8789">PRODUCT(1-'Sparkling Model'!D$2:D$38^A8789)</f>
        <v>0.9553678545</v>
      </c>
    </row>
    <row r="8790">
      <c r="A8790" s="6">
        <v>8788.0</v>
      </c>
      <c r="B8790" s="17">
        <f t="array" ref="B8790">SUM(1-'Sparkling Model'!D$2:D$38^A8790)</f>
        <v>36.95465513</v>
      </c>
      <c r="C8790" s="8">
        <f t="array" ref="C8790">PRODUCT(1-'Sparkling Model'!D$2:D$38^A8790)</f>
        <v>0.9553900503</v>
      </c>
    </row>
    <row r="8791">
      <c r="A8791" s="6">
        <v>8789.0</v>
      </c>
      <c r="B8791" s="17">
        <f t="array" ref="B8791">SUM(1-'Sparkling Model'!D$2:D$38^A8791)</f>
        <v>36.95467807</v>
      </c>
      <c r="C8791" s="8">
        <f t="array" ref="C8791">PRODUCT(1-'Sparkling Model'!D$2:D$38^A8791)</f>
        <v>0.955412235</v>
      </c>
    </row>
    <row r="8792">
      <c r="A8792" s="6">
        <v>8790.0</v>
      </c>
      <c r="B8792" s="17">
        <f t="array" ref="B8792">SUM(1-'Sparkling Model'!D$2:D$38^A8792)</f>
        <v>36.95470099</v>
      </c>
      <c r="C8792" s="8">
        <f t="array" ref="C8792">PRODUCT(1-'Sparkling Model'!D$2:D$38^A8792)</f>
        <v>0.9554344086</v>
      </c>
    </row>
    <row r="8793">
      <c r="A8793" s="6">
        <v>8791.0</v>
      </c>
      <c r="B8793" s="17">
        <f t="array" ref="B8793">SUM(1-'Sparkling Model'!D$2:D$38^A8793)</f>
        <v>36.9547239</v>
      </c>
      <c r="C8793" s="8">
        <f t="array" ref="C8793">PRODUCT(1-'Sparkling Model'!D$2:D$38^A8793)</f>
        <v>0.9554565713</v>
      </c>
    </row>
    <row r="8794">
      <c r="A8794" s="6">
        <v>8792.0</v>
      </c>
      <c r="B8794" s="17">
        <f t="array" ref="B8794">SUM(1-'Sparkling Model'!D$2:D$38^A8794)</f>
        <v>36.95474679</v>
      </c>
      <c r="C8794" s="8">
        <f t="array" ref="C8794">PRODUCT(1-'Sparkling Model'!D$2:D$38^A8794)</f>
        <v>0.9554787229</v>
      </c>
    </row>
    <row r="8795">
      <c r="A8795" s="6">
        <v>8793.0</v>
      </c>
      <c r="B8795" s="17">
        <f t="array" ref="B8795">SUM(1-'Sparkling Model'!D$2:D$38^A8795)</f>
        <v>36.95476968</v>
      </c>
      <c r="C8795" s="8">
        <f t="array" ref="C8795">PRODUCT(1-'Sparkling Model'!D$2:D$38^A8795)</f>
        <v>0.9555008635</v>
      </c>
    </row>
    <row r="8796">
      <c r="A8796" s="6">
        <v>8794.0</v>
      </c>
      <c r="B8796" s="17">
        <f t="array" ref="B8796">SUM(1-'Sparkling Model'!D$2:D$38^A8796)</f>
        <v>36.95479255</v>
      </c>
      <c r="C8796" s="8">
        <f t="array" ref="C8796">PRODUCT(1-'Sparkling Model'!D$2:D$38^A8796)</f>
        <v>0.9555229932</v>
      </c>
    </row>
    <row r="8797">
      <c r="A8797" s="6">
        <v>8795.0</v>
      </c>
      <c r="B8797" s="17">
        <f t="array" ref="B8797">SUM(1-'Sparkling Model'!D$2:D$38^A8797)</f>
        <v>36.95481542</v>
      </c>
      <c r="C8797" s="8">
        <f t="array" ref="C8797">PRODUCT(1-'Sparkling Model'!D$2:D$38^A8797)</f>
        <v>0.9555451118</v>
      </c>
    </row>
    <row r="8798">
      <c r="A8798" s="6">
        <v>8796.0</v>
      </c>
      <c r="B8798" s="17">
        <f t="array" ref="B8798">SUM(1-'Sparkling Model'!D$2:D$38^A8798)</f>
        <v>36.95483827</v>
      </c>
      <c r="C8798" s="8">
        <f t="array" ref="C8798">PRODUCT(1-'Sparkling Model'!D$2:D$38^A8798)</f>
        <v>0.9555672194</v>
      </c>
    </row>
    <row r="8799">
      <c r="A8799" s="6">
        <v>8797.0</v>
      </c>
      <c r="B8799" s="17">
        <f t="array" ref="B8799">SUM(1-'Sparkling Model'!D$2:D$38^A8799)</f>
        <v>36.95486111</v>
      </c>
      <c r="C8799" s="8">
        <f t="array" ref="C8799">PRODUCT(1-'Sparkling Model'!D$2:D$38^A8799)</f>
        <v>0.955589316</v>
      </c>
    </row>
    <row r="8800">
      <c r="A8800" s="6">
        <v>8798.0</v>
      </c>
      <c r="B8800" s="17">
        <f t="array" ref="B8800">SUM(1-'Sparkling Model'!D$2:D$38^A8800)</f>
        <v>36.95488393</v>
      </c>
      <c r="C8800" s="8">
        <f t="array" ref="C8800">PRODUCT(1-'Sparkling Model'!D$2:D$38^A8800)</f>
        <v>0.9556114016</v>
      </c>
    </row>
    <row r="8801">
      <c r="A8801" s="6">
        <v>8799.0</v>
      </c>
      <c r="B8801" s="17">
        <f t="array" ref="B8801">SUM(1-'Sparkling Model'!D$2:D$38^A8801)</f>
        <v>36.95490675</v>
      </c>
      <c r="C8801" s="8">
        <f t="array" ref="C8801">PRODUCT(1-'Sparkling Model'!D$2:D$38^A8801)</f>
        <v>0.9556334763</v>
      </c>
    </row>
    <row r="8802">
      <c r="A8802" s="6">
        <v>8800.0</v>
      </c>
      <c r="B8802" s="17">
        <f t="array" ref="B8802">SUM(1-'Sparkling Model'!D$2:D$38^A8802)</f>
        <v>36.95492955</v>
      </c>
      <c r="C8802" s="8">
        <f t="array" ref="C8802">PRODUCT(1-'Sparkling Model'!D$2:D$38^A8802)</f>
        <v>0.95565554</v>
      </c>
    </row>
    <row r="8803">
      <c r="A8803" s="6">
        <v>8801.0</v>
      </c>
      <c r="B8803" s="17">
        <f t="array" ref="B8803">SUM(1-'Sparkling Model'!D$2:D$38^A8803)</f>
        <v>36.95495234</v>
      </c>
      <c r="C8803" s="8">
        <f t="array" ref="C8803">PRODUCT(1-'Sparkling Model'!D$2:D$38^A8803)</f>
        <v>0.9556775927</v>
      </c>
    </row>
    <row r="8804">
      <c r="A8804" s="6">
        <v>8802.0</v>
      </c>
      <c r="B8804" s="17">
        <f t="array" ref="B8804">SUM(1-'Sparkling Model'!D$2:D$38^A8804)</f>
        <v>36.95497512</v>
      </c>
      <c r="C8804" s="8">
        <f t="array" ref="C8804">PRODUCT(1-'Sparkling Model'!D$2:D$38^A8804)</f>
        <v>0.9556996344</v>
      </c>
    </row>
    <row r="8805">
      <c r="A8805" s="6">
        <v>8803.0</v>
      </c>
      <c r="B8805" s="17">
        <f t="array" ref="B8805">SUM(1-'Sparkling Model'!D$2:D$38^A8805)</f>
        <v>36.95499789</v>
      </c>
      <c r="C8805" s="8">
        <f t="array" ref="C8805">PRODUCT(1-'Sparkling Model'!D$2:D$38^A8805)</f>
        <v>0.9557216652</v>
      </c>
    </row>
    <row r="8806">
      <c r="A8806" s="6">
        <v>8804.0</v>
      </c>
      <c r="B8806" s="17">
        <f t="array" ref="B8806">SUM(1-'Sparkling Model'!D$2:D$38^A8806)</f>
        <v>36.95502065</v>
      </c>
      <c r="C8806" s="8">
        <f t="array" ref="C8806">PRODUCT(1-'Sparkling Model'!D$2:D$38^A8806)</f>
        <v>0.9557436851</v>
      </c>
    </row>
    <row r="8807">
      <c r="A8807" s="6">
        <v>8805.0</v>
      </c>
      <c r="B8807" s="17">
        <f t="array" ref="B8807">SUM(1-'Sparkling Model'!D$2:D$38^A8807)</f>
        <v>36.95504339</v>
      </c>
      <c r="C8807" s="8">
        <f t="array" ref="C8807">PRODUCT(1-'Sparkling Model'!D$2:D$38^A8807)</f>
        <v>0.9557656939</v>
      </c>
    </row>
    <row r="8808">
      <c r="A8808" s="6">
        <v>8806.0</v>
      </c>
      <c r="B8808" s="17">
        <f t="array" ref="B8808">SUM(1-'Sparkling Model'!D$2:D$38^A8808)</f>
        <v>36.95506613</v>
      </c>
      <c r="C8808" s="8">
        <f t="array" ref="C8808">PRODUCT(1-'Sparkling Model'!D$2:D$38^A8808)</f>
        <v>0.9557876919</v>
      </c>
    </row>
    <row r="8809">
      <c r="A8809" s="6">
        <v>8807.0</v>
      </c>
      <c r="B8809" s="17">
        <f t="array" ref="B8809">SUM(1-'Sparkling Model'!D$2:D$38^A8809)</f>
        <v>36.95508885</v>
      </c>
      <c r="C8809" s="8">
        <f t="array" ref="C8809">PRODUCT(1-'Sparkling Model'!D$2:D$38^A8809)</f>
        <v>0.9558096789</v>
      </c>
    </row>
    <row r="8810">
      <c r="A8810" s="6">
        <v>8808.0</v>
      </c>
      <c r="B8810" s="17">
        <f t="array" ref="B8810">SUM(1-'Sparkling Model'!D$2:D$38^A8810)</f>
        <v>36.95511156</v>
      </c>
      <c r="C8810" s="8">
        <f t="array" ref="C8810">PRODUCT(1-'Sparkling Model'!D$2:D$38^A8810)</f>
        <v>0.955831655</v>
      </c>
    </row>
    <row r="8811">
      <c r="A8811" s="6">
        <v>8809.0</v>
      </c>
      <c r="B8811" s="17">
        <f t="array" ref="B8811">SUM(1-'Sparkling Model'!D$2:D$38^A8811)</f>
        <v>36.95513426</v>
      </c>
      <c r="C8811" s="8">
        <f t="array" ref="C8811">PRODUCT(1-'Sparkling Model'!D$2:D$38^A8811)</f>
        <v>0.9558536201</v>
      </c>
    </row>
    <row r="8812">
      <c r="A8812" s="6">
        <v>8810.0</v>
      </c>
      <c r="B8812" s="17">
        <f t="array" ref="B8812">SUM(1-'Sparkling Model'!D$2:D$38^A8812)</f>
        <v>36.95515694</v>
      </c>
      <c r="C8812" s="8">
        <f t="array" ref="C8812">PRODUCT(1-'Sparkling Model'!D$2:D$38^A8812)</f>
        <v>0.9558755743</v>
      </c>
    </row>
    <row r="8813">
      <c r="A8813" s="6">
        <v>8811.0</v>
      </c>
      <c r="B8813" s="17">
        <f t="array" ref="B8813">SUM(1-'Sparkling Model'!D$2:D$38^A8813)</f>
        <v>36.95517962</v>
      </c>
      <c r="C8813" s="8">
        <f t="array" ref="C8813">PRODUCT(1-'Sparkling Model'!D$2:D$38^A8813)</f>
        <v>0.9558975177</v>
      </c>
    </row>
    <row r="8814">
      <c r="A8814" s="6">
        <v>8812.0</v>
      </c>
      <c r="B8814" s="17">
        <f t="array" ref="B8814">SUM(1-'Sparkling Model'!D$2:D$38^A8814)</f>
        <v>36.95520228</v>
      </c>
      <c r="C8814" s="8">
        <f t="array" ref="C8814">PRODUCT(1-'Sparkling Model'!D$2:D$38^A8814)</f>
        <v>0.9559194501</v>
      </c>
    </row>
    <row r="8815">
      <c r="A8815" s="6">
        <v>8813.0</v>
      </c>
      <c r="B8815" s="17">
        <f t="array" ref="B8815">SUM(1-'Sparkling Model'!D$2:D$38^A8815)</f>
        <v>36.95522493</v>
      </c>
      <c r="C8815" s="8">
        <f t="array" ref="C8815">PRODUCT(1-'Sparkling Model'!D$2:D$38^A8815)</f>
        <v>0.9559413716</v>
      </c>
    </row>
    <row r="8816">
      <c r="A8816" s="6">
        <v>8814.0</v>
      </c>
      <c r="B8816" s="17">
        <f t="array" ref="B8816">SUM(1-'Sparkling Model'!D$2:D$38^A8816)</f>
        <v>36.95524757</v>
      </c>
      <c r="C8816" s="8">
        <f t="array" ref="C8816">PRODUCT(1-'Sparkling Model'!D$2:D$38^A8816)</f>
        <v>0.9559632822</v>
      </c>
    </row>
    <row r="8817">
      <c r="A8817" s="6">
        <v>8815.0</v>
      </c>
      <c r="B8817" s="17">
        <f t="array" ref="B8817">SUM(1-'Sparkling Model'!D$2:D$38^A8817)</f>
        <v>36.9552702</v>
      </c>
      <c r="C8817" s="8">
        <f t="array" ref="C8817">PRODUCT(1-'Sparkling Model'!D$2:D$38^A8817)</f>
        <v>0.9559851819</v>
      </c>
    </row>
    <row r="8818">
      <c r="A8818" s="6">
        <v>8816.0</v>
      </c>
      <c r="B8818" s="17">
        <f t="array" ref="B8818">SUM(1-'Sparkling Model'!D$2:D$38^A8818)</f>
        <v>36.95529282</v>
      </c>
      <c r="C8818" s="8">
        <f t="array" ref="C8818">PRODUCT(1-'Sparkling Model'!D$2:D$38^A8818)</f>
        <v>0.9560070707</v>
      </c>
    </row>
    <row r="8819">
      <c r="A8819" s="6">
        <v>8817.0</v>
      </c>
      <c r="B8819" s="17">
        <f t="array" ref="B8819">SUM(1-'Sparkling Model'!D$2:D$38^A8819)</f>
        <v>36.95531542</v>
      </c>
      <c r="C8819" s="8">
        <f t="array" ref="C8819">PRODUCT(1-'Sparkling Model'!D$2:D$38^A8819)</f>
        <v>0.9560289486</v>
      </c>
    </row>
    <row r="8820">
      <c r="A8820" s="6">
        <v>8818.0</v>
      </c>
      <c r="B8820" s="17">
        <f t="array" ref="B8820">SUM(1-'Sparkling Model'!D$2:D$38^A8820)</f>
        <v>36.95533802</v>
      </c>
      <c r="C8820" s="8">
        <f t="array" ref="C8820">PRODUCT(1-'Sparkling Model'!D$2:D$38^A8820)</f>
        <v>0.9560508157</v>
      </c>
    </row>
    <row r="8821">
      <c r="A8821" s="6">
        <v>8819.0</v>
      </c>
      <c r="B8821" s="17">
        <f t="array" ref="B8821">SUM(1-'Sparkling Model'!D$2:D$38^A8821)</f>
        <v>36.9553606</v>
      </c>
      <c r="C8821" s="8">
        <f t="array" ref="C8821">PRODUCT(1-'Sparkling Model'!D$2:D$38^A8821)</f>
        <v>0.9560726718</v>
      </c>
    </row>
    <row r="8822">
      <c r="A8822" s="6">
        <v>8820.0</v>
      </c>
      <c r="B8822" s="17">
        <f t="array" ref="B8822">SUM(1-'Sparkling Model'!D$2:D$38^A8822)</f>
        <v>36.95538317</v>
      </c>
      <c r="C8822" s="8">
        <f t="array" ref="C8822">PRODUCT(1-'Sparkling Model'!D$2:D$38^A8822)</f>
        <v>0.9560945172</v>
      </c>
    </row>
    <row r="8823">
      <c r="A8823" s="6">
        <v>8821.0</v>
      </c>
      <c r="B8823" s="17">
        <f t="array" ref="B8823">SUM(1-'Sparkling Model'!D$2:D$38^A8823)</f>
        <v>36.95540573</v>
      </c>
      <c r="C8823" s="8">
        <f t="array" ref="C8823">PRODUCT(1-'Sparkling Model'!D$2:D$38^A8823)</f>
        <v>0.9561163516</v>
      </c>
    </row>
    <row r="8824">
      <c r="A8824" s="6">
        <v>8822.0</v>
      </c>
      <c r="B8824" s="17">
        <f t="array" ref="B8824">SUM(1-'Sparkling Model'!D$2:D$38^A8824)</f>
        <v>36.95542827</v>
      </c>
      <c r="C8824" s="8">
        <f t="array" ref="C8824">PRODUCT(1-'Sparkling Model'!D$2:D$38^A8824)</f>
        <v>0.9561381752</v>
      </c>
    </row>
    <row r="8825">
      <c r="A8825" s="6">
        <v>8823.0</v>
      </c>
      <c r="B8825" s="17">
        <f t="array" ref="B8825">SUM(1-'Sparkling Model'!D$2:D$38^A8825)</f>
        <v>36.95545081</v>
      </c>
      <c r="C8825" s="8">
        <f t="array" ref="C8825">PRODUCT(1-'Sparkling Model'!D$2:D$38^A8825)</f>
        <v>0.9561599879</v>
      </c>
    </row>
    <row r="8826">
      <c r="A8826" s="6">
        <v>8824.0</v>
      </c>
      <c r="B8826" s="17">
        <f t="array" ref="B8826">SUM(1-'Sparkling Model'!D$2:D$38^A8826)</f>
        <v>36.95547333</v>
      </c>
      <c r="C8826" s="8">
        <f t="array" ref="C8826">PRODUCT(1-'Sparkling Model'!D$2:D$38^A8826)</f>
        <v>0.9561817898</v>
      </c>
    </row>
    <row r="8827">
      <c r="A8827" s="6">
        <v>8825.0</v>
      </c>
      <c r="B8827" s="17">
        <f t="array" ref="B8827">SUM(1-'Sparkling Model'!D$2:D$38^A8827)</f>
        <v>36.95549584</v>
      </c>
      <c r="C8827" s="8">
        <f t="array" ref="C8827">PRODUCT(1-'Sparkling Model'!D$2:D$38^A8827)</f>
        <v>0.9562035809</v>
      </c>
    </row>
    <row r="8828">
      <c r="A8828" s="6">
        <v>8826.0</v>
      </c>
      <c r="B8828" s="17">
        <f t="array" ref="B8828">SUM(1-'Sparkling Model'!D$2:D$38^A8828)</f>
        <v>36.95551834</v>
      </c>
      <c r="C8828" s="8">
        <f t="array" ref="C8828">PRODUCT(1-'Sparkling Model'!D$2:D$38^A8828)</f>
        <v>0.9562253611</v>
      </c>
    </row>
    <row r="8829">
      <c r="A8829" s="6">
        <v>8827.0</v>
      </c>
      <c r="B8829" s="17">
        <f t="array" ref="B8829">SUM(1-'Sparkling Model'!D$2:D$38^A8829)</f>
        <v>36.95554083</v>
      </c>
      <c r="C8829" s="8">
        <f t="array" ref="C8829">PRODUCT(1-'Sparkling Model'!D$2:D$38^A8829)</f>
        <v>0.9562471305</v>
      </c>
    </row>
    <row r="8830">
      <c r="A8830" s="6">
        <v>8828.0</v>
      </c>
      <c r="B8830" s="17">
        <f t="array" ref="B8830">SUM(1-'Sparkling Model'!D$2:D$38^A8830)</f>
        <v>36.95556331</v>
      </c>
      <c r="C8830" s="8">
        <f t="array" ref="C8830">PRODUCT(1-'Sparkling Model'!D$2:D$38^A8830)</f>
        <v>0.9562688891</v>
      </c>
    </row>
    <row r="8831">
      <c r="A8831" s="6">
        <v>8829.0</v>
      </c>
      <c r="B8831" s="17">
        <f t="array" ref="B8831">SUM(1-'Sparkling Model'!D$2:D$38^A8831)</f>
        <v>36.95558578</v>
      </c>
      <c r="C8831" s="8">
        <f t="array" ref="C8831">PRODUCT(1-'Sparkling Model'!D$2:D$38^A8831)</f>
        <v>0.9562906368</v>
      </c>
    </row>
    <row r="8832">
      <c r="A8832" s="6">
        <v>8830.0</v>
      </c>
      <c r="B8832" s="17">
        <f t="array" ref="B8832">SUM(1-'Sparkling Model'!D$2:D$38^A8832)</f>
        <v>36.95560823</v>
      </c>
      <c r="C8832" s="8">
        <f t="array" ref="C8832">PRODUCT(1-'Sparkling Model'!D$2:D$38^A8832)</f>
        <v>0.9563123738</v>
      </c>
    </row>
    <row r="8833">
      <c r="A8833" s="6">
        <v>8831.0</v>
      </c>
      <c r="B8833" s="17">
        <f t="array" ref="B8833">SUM(1-'Sparkling Model'!D$2:D$38^A8833)</f>
        <v>36.95563067</v>
      </c>
      <c r="C8833" s="8">
        <f t="array" ref="C8833">PRODUCT(1-'Sparkling Model'!D$2:D$38^A8833)</f>
        <v>0.9563340999</v>
      </c>
    </row>
    <row r="8834">
      <c r="A8834" s="6">
        <v>8832.0</v>
      </c>
      <c r="B8834" s="17">
        <f t="array" ref="B8834">SUM(1-'Sparkling Model'!D$2:D$38^A8834)</f>
        <v>36.95565311</v>
      </c>
      <c r="C8834" s="8">
        <f t="array" ref="C8834">PRODUCT(1-'Sparkling Model'!D$2:D$38^A8834)</f>
        <v>0.9563558152</v>
      </c>
    </row>
    <row r="8835">
      <c r="A8835" s="6">
        <v>8833.0</v>
      </c>
      <c r="B8835" s="17">
        <f t="array" ref="B8835">SUM(1-'Sparkling Model'!D$2:D$38^A8835)</f>
        <v>36.95567553</v>
      </c>
      <c r="C8835" s="8">
        <f t="array" ref="C8835">PRODUCT(1-'Sparkling Model'!D$2:D$38^A8835)</f>
        <v>0.9563775198</v>
      </c>
    </row>
    <row r="8836">
      <c r="A8836" s="6">
        <v>8834.0</v>
      </c>
      <c r="B8836" s="17">
        <f t="array" ref="B8836">SUM(1-'Sparkling Model'!D$2:D$38^A8836)</f>
        <v>36.95569793</v>
      </c>
      <c r="C8836" s="8">
        <f t="array" ref="C8836">PRODUCT(1-'Sparkling Model'!D$2:D$38^A8836)</f>
        <v>0.9563992135</v>
      </c>
    </row>
    <row r="8837">
      <c r="A8837" s="6">
        <v>8835.0</v>
      </c>
      <c r="B8837" s="17">
        <f t="array" ref="B8837">SUM(1-'Sparkling Model'!D$2:D$38^A8837)</f>
        <v>36.95572033</v>
      </c>
      <c r="C8837" s="8">
        <f t="array" ref="C8837">PRODUCT(1-'Sparkling Model'!D$2:D$38^A8837)</f>
        <v>0.9564208965</v>
      </c>
    </row>
    <row r="8838">
      <c r="A8838" s="6">
        <v>8836.0</v>
      </c>
      <c r="B8838" s="17">
        <f t="array" ref="B8838">SUM(1-'Sparkling Model'!D$2:D$38^A8838)</f>
        <v>36.95574272</v>
      </c>
      <c r="C8838" s="8">
        <f t="array" ref="C8838">PRODUCT(1-'Sparkling Model'!D$2:D$38^A8838)</f>
        <v>0.9564425686</v>
      </c>
    </row>
    <row r="8839">
      <c r="A8839" s="6">
        <v>8837.0</v>
      </c>
      <c r="B8839" s="17">
        <f t="array" ref="B8839">SUM(1-'Sparkling Model'!D$2:D$38^A8839)</f>
        <v>36.95576509</v>
      </c>
      <c r="C8839" s="8">
        <f t="array" ref="C8839">PRODUCT(1-'Sparkling Model'!D$2:D$38^A8839)</f>
        <v>0.95646423</v>
      </c>
    </row>
    <row r="8840">
      <c r="A8840" s="6">
        <v>8838.0</v>
      </c>
      <c r="B8840" s="17">
        <f t="array" ref="B8840">SUM(1-'Sparkling Model'!D$2:D$38^A8840)</f>
        <v>36.95578745</v>
      </c>
      <c r="C8840" s="8">
        <f t="array" ref="C8840">PRODUCT(1-'Sparkling Model'!D$2:D$38^A8840)</f>
        <v>0.9564858807</v>
      </c>
    </row>
    <row r="8841">
      <c r="A8841" s="6">
        <v>8839.0</v>
      </c>
      <c r="B8841" s="17">
        <f t="array" ref="B8841">SUM(1-'Sparkling Model'!D$2:D$38^A8841)</f>
        <v>36.9558098</v>
      </c>
      <c r="C8841" s="8">
        <f t="array" ref="C8841">PRODUCT(1-'Sparkling Model'!D$2:D$38^A8841)</f>
        <v>0.9565075205</v>
      </c>
    </row>
    <row r="8842">
      <c r="A8842" s="6">
        <v>8840.0</v>
      </c>
      <c r="B8842" s="17">
        <f t="array" ref="B8842">SUM(1-'Sparkling Model'!D$2:D$38^A8842)</f>
        <v>36.95583214</v>
      </c>
      <c r="C8842" s="8">
        <f t="array" ref="C8842">PRODUCT(1-'Sparkling Model'!D$2:D$38^A8842)</f>
        <v>0.9565291496</v>
      </c>
    </row>
    <row r="8843">
      <c r="A8843" s="6">
        <v>8841.0</v>
      </c>
      <c r="B8843" s="17">
        <f t="array" ref="B8843">SUM(1-'Sparkling Model'!D$2:D$38^A8843)</f>
        <v>36.95585447</v>
      </c>
      <c r="C8843" s="8">
        <f t="array" ref="C8843">PRODUCT(1-'Sparkling Model'!D$2:D$38^A8843)</f>
        <v>0.956550768</v>
      </c>
    </row>
    <row r="8844">
      <c r="A8844" s="6">
        <v>8842.0</v>
      </c>
      <c r="B8844" s="17">
        <f t="array" ref="B8844">SUM(1-'Sparkling Model'!D$2:D$38^A8844)</f>
        <v>36.95587678</v>
      </c>
      <c r="C8844" s="8">
        <f t="array" ref="C8844">PRODUCT(1-'Sparkling Model'!D$2:D$38^A8844)</f>
        <v>0.9565723755</v>
      </c>
    </row>
    <row r="8845">
      <c r="A8845" s="6">
        <v>8843.0</v>
      </c>
      <c r="B8845" s="17">
        <f t="array" ref="B8845">SUM(1-'Sparkling Model'!D$2:D$38^A8845)</f>
        <v>36.95589909</v>
      </c>
      <c r="C8845" s="8">
        <f t="array" ref="C8845">PRODUCT(1-'Sparkling Model'!D$2:D$38^A8845)</f>
        <v>0.9565939724</v>
      </c>
    </row>
    <row r="8846">
      <c r="A8846" s="6">
        <v>8844.0</v>
      </c>
      <c r="B8846" s="17">
        <f t="array" ref="B8846">SUM(1-'Sparkling Model'!D$2:D$38^A8846)</f>
        <v>36.95592138</v>
      </c>
      <c r="C8846" s="8">
        <f t="array" ref="C8846">PRODUCT(1-'Sparkling Model'!D$2:D$38^A8846)</f>
        <v>0.9566155585</v>
      </c>
    </row>
    <row r="8847">
      <c r="A8847" s="6">
        <v>8845.0</v>
      </c>
      <c r="B8847" s="17">
        <f t="array" ref="B8847">SUM(1-'Sparkling Model'!D$2:D$38^A8847)</f>
        <v>36.95594366</v>
      </c>
      <c r="C8847" s="8">
        <f t="array" ref="C8847">PRODUCT(1-'Sparkling Model'!D$2:D$38^A8847)</f>
        <v>0.9566371339</v>
      </c>
    </row>
    <row r="8848">
      <c r="A8848" s="6">
        <v>8846.0</v>
      </c>
      <c r="B8848" s="17">
        <f t="array" ref="B8848">SUM(1-'Sparkling Model'!D$2:D$38^A8848)</f>
        <v>36.95596594</v>
      </c>
      <c r="C8848" s="8">
        <f t="array" ref="C8848">PRODUCT(1-'Sparkling Model'!D$2:D$38^A8848)</f>
        <v>0.9566586985</v>
      </c>
    </row>
    <row r="8849">
      <c r="A8849" s="6">
        <v>8847.0</v>
      </c>
      <c r="B8849" s="17">
        <f t="array" ref="B8849">SUM(1-'Sparkling Model'!D$2:D$38^A8849)</f>
        <v>36.95598819</v>
      </c>
      <c r="C8849" s="8">
        <f t="array" ref="C8849">PRODUCT(1-'Sparkling Model'!D$2:D$38^A8849)</f>
        <v>0.9566802525</v>
      </c>
    </row>
    <row r="8850">
      <c r="A8850" s="6">
        <v>8848.0</v>
      </c>
      <c r="B8850" s="17">
        <f t="array" ref="B8850">SUM(1-'Sparkling Model'!D$2:D$38^A8850)</f>
        <v>36.95601044</v>
      </c>
      <c r="C8850" s="8">
        <f t="array" ref="C8850">PRODUCT(1-'Sparkling Model'!D$2:D$38^A8850)</f>
        <v>0.9567017957</v>
      </c>
    </row>
    <row r="8851">
      <c r="A8851" s="6">
        <v>8849.0</v>
      </c>
      <c r="B8851" s="17">
        <f t="array" ref="B8851">SUM(1-'Sparkling Model'!D$2:D$38^A8851)</f>
        <v>36.95603268</v>
      </c>
      <c r="C8851" s="8">
        <f t="array" ref="C8851">PRODUCT(1-'Sparkling Model'!D$2:D$38^A8851)</f>
        <v>0.9567233282</v>
      </c>
    </row>
    <row r="8852">
      <c r="A8852" s="6">
        <v>8850.0</v>
      </c>
      <c r="B8852" s="17">
        <f t="array" ref="B8852">SUM(1-'Sparkling Model'!D$2:D$38^A8852)</f>
        <v>36.9560549</v>
      </c>
      <c r="C8852" s="8">
        <f t="array" ref="C8852">PRODUCT(1-'Sparkling Model'!D$2:D$38^A8852)</f>
        <v>0.95674485</v>
      </c>
    </row>
    <row r="8853">
      <c r="A8853" s="6">
        <v>8851.0</v>
      </c>
      <c r="B8853" s="17">
        <f t="array" ref="B8853">SUM(1-'Sparkling Model'!D$2:D$38^A8853)</f>
        <v>36.95607712</v>
      </c>
      <c r="C8853" s="8">
        <f t="array" ref="C8853">PRODUCT(1-'Sparkling Model'!D$2:D$38^A8853)</f>
        <v>0.956766361</v>
      </c>
    </row>
    <row r="8854">
      <c r="A8854" s="6">
        <v>8852.0</v>
      </c>
      <c r="B8854" s="17">
        <f t="array" ref="B8854">SUM(1-'Sparkling Model'!D$2:D$38^A8854)</f>
        <v>36.95609932</v>
      </c>
      <c r="C8854" s="8">
        <f t="array" ref="C8854">PRODUCT(1-'Sparkling Model'!D$2:D$38^A8854)</f>
        <v>0.9567878614</v>
      </c>
    </row>
    <row r="8855">
      <c r="A8855" s="6">
        <v>8853.0</v>
      </c>
      <c r="B8855" s="17">
        <f t="array" ref="B8855">SUM(1-'Sparkling Model'!D$2:D$38^A8855)</f>
        <v>36.95612151</v>
      </c>
      <c r="C8855" s="8">
        <f t="array" ref="C8855">PRODUCT(1-'Sparkling Model'!D$2:D$38^A8855)</f>
        <v>0.9568093511</v>
      </c>
    </row>
    <row r="8856">
      <c r="A8856" s="6">
        <v>8854.0</v>
      </c>
      <c r="B8856" s="17">
        <f t="array" ref="B8856">SUM(1-'Sparkling Model'!D$2:D$38^A8856)</f>
        <v>36.95614369</v>
      </c>
      <c r="C8856" s="8">
        <f t="array" ref="C8856">PRODUCT(1-'Sparkling Model'!D$2:D$38^A8856)</f>
        <v>0.9568308302</v>
      </c>
    </row>
    <row r="8857">
      <c r="A8857" s="6">
        <v>8855.0</v>
      </c>
      <c r="B8857" s="17">
        <f t="array" ref="B8857">SUM(1-'Sparkling Model'!D$2:D$38^A8857)</f>
        <v>36.95616585</v>
      </c>
      <c r="C8857" s="8">
        <f t="array" ref="C8857">PRODUCT(1-'Sparkling Model'!D$2:D$38^A8857)</f>
        <v>0.9568522985</v>
      </c>
    </row>
    <row r="8858">
      <c r="A8858" s="6">
        <v>8856.0</v>
      </c>
      <c r="B8858" s="17">
        <f t="array" ref="B8858">SUM(1-'Sparkling Model'!D$2:D$38^A8858)</f>
        <v>36.95618801</v>
      </c>
      <c r="C8858" s="8">
        <f t="array" ref="C8858">PRODUCT(1-'Sparkling Model'!D$2:D$38^A8858)</f>
        <v>0.9568737561</v>
      </c>
    </row>
    <row r="8859">
      <c r="A8859" s="6">
        <v>8857.0</v>
      </c>
      <c r="B8859" s="17">
        <f t="array" ref="B8859">SUM(1-'Sparkling Model'!D$2:D$38^A8859)</f>
        <v>36.95621016</v>
      </c>
      <c r="C8859" s="8">
        <f t="array" ref="C8859">PRODUCT(1-'Sparkling Model'!D$2:D$38^A8859)</f>
        <v>0.9568952031</v>
      </c>
    </row>
    <row r="8860">
      <c r="A8860" s="6">
        <v>8858.0</v>
      </c>
      <c r="B8860" s="17">
        <f t="array" ref="B8860">SUM(1-'Sparkling Model'!D$2:D$38^A8860)</f>
        <v>36.95623229</v>
      </c>
      <c r="C8860" s="8">
        <f t="array" ref="C8860">PRODUCT(1-'Sparkling Model'!D$2:D$38^A8860)</f>
        <v>0.9569166395</v>
      </c>
    </row>
    <row r="8861">
      <c r="A8861" s="6">
        <v>8859.0</v>
      </c>
      <c r="B8861" s="17">
        <f t="array" ref="B8861">SUM(1-'Sparkling Model'!D$2:D$38^A8861)</f>
        <v>36.95625441</v>
      </c>
      <c r="C8861" s="8">
        <f t="array" ref="C8861">PRODUCT(1-'Sparkling Model'!D$2:D$38^A8861)</f>
        <v>0.9569380651</v>
      </c>
    </row>
    <row r="8862">
      <c r="A8862" s="6">
        <v>8860.0</v>
      </c>
      <c r="B8862" s="17">
        <f t="array" ref="B8862">SUM(1-'Sparkling Model'!D$2:D$38^A8862)</f>
        <v>36.95627652</v>
      </c>
      <c r="C8862" s="8">
        <f t="array" ref="C8862">PRODUCT(1-'Sparkling Model'!D$2:D$38^A8862)</f>
        <v>0.9569594801</v>
      </c>
    </row>
    <row r="8863">
      <c r="A8863" s="6">
        <v>8861.0</v>
      </c>
      <c r="B8863" s="17">
        <f t="array" ref="B8863">SUM(1-'Sparkling Model'!D$2:D$38^A8863)</f>
        <v>36.95629862</v>
      </c>
      <c r="C8863" s="8">
        <f t="array" ref="C8863">PRODUCT(1-'Sparkling Model'!D$2:D$38^A8863)</f>
        <v>0.9569808845</v>
      </c>
    </row>
    <row r="8864">
      <c r="A8864" s="6">
        <v>8862.0</v>
      </c>
      <c r="B8864" s="17">
        <f t="array" ref="B8864">SUM(1-'Sparkling Model'!D$2:D$38^A8864)</f>
        <v>36.95632071</v>
      </c>
      <c r="C8864" s="8">
        <f t="array" ref="C8864">PRODUCT(1-'Sparkling Model'!D$2:D$38^A8864)</f>
        <v>0.9570022782</v>
      </c>
    </row>
    <row r="8865">
      <c r="A8865" s="6">
        <v>8863.0</v>
      </c>
      <c r="B8865" s="17">
        <f t="array" ref="B8865">SUM(1-'Sparkling Model'!D$2:D$38^A8865)</f>
        <v>36.95634279</v>
      </c>
      <c r="C8865" s="8">
        <f t="array" ref="C8865">PRODUCT(1-'Sparkling Model'!D$2:D$38^A8865)</f>
        <v>0.9570236613</v>
      </c>
    </row>
    <row r="8866">
      <c r="A8866" s="6">
        <v>8864.0</v>
      </c>
      <c r="B8866" s="17">
        <f t="array" ref="B8866">SUM(1-'Sparkling Model'!D$2:D$38^A8866)</f>
        <v>36.95636485</v>
      </c>
      <c r="C8866" s="8">
        <f t="array" ref="C8866">PRODUCT(1-'Sparkling Model'!D$2:D$38^A8866)</f>
        <v>0.9570450337</v>
      </c>
    </row>
    <row r="8867">
      <c r="A8867" s="6">
        <v>8865.0</v>
      </c>
      <c r="B8867" s="17">
        <f t="array" ref="B8867">SUM(1-'Sparkling Model'!D$2:D$38^A8867)</f>
        <v>36.9563869</v>
      </c>
      <c r="C8867" s="8">
        <f t="array" ref="C8867">PRODUCT(1-'Sparkling Model'!D$2:D$38^A8867)</f>
        <v>0.9570663956</v>
      </c>
    </row>
    <row r="8868">
      <c r="A8868" s="6">
        <v>8866.0</v>
      </c>
      <c r="B8868" s="17">
        <f t="array" ref="B8868">SUM(1-'Sparkling Model'!D$2:D$38^A8868)</f>
        <v>36.95640895</v>
      </c>
      <c r="C8868" s="8">
        <f t="array" ref="C8868">PRODUCT(1-'Sparkling Model'!D$2:D$38^A8868)</f>
        <v>0.9570877468</v>
      </c>
    </row>
    <row r="8869">
      <c r="A8869" s="6">
        <v>8867.0</v>
      </c>
      <c r="B8869" s="17">
        <f t="array" ref="B8869">SUM(1-'Sparkling Model'!D$2:D$38^A8869)</f>
        <v>36.95643098</v>
      </c>
      <c r="C8869" s="8">
        <f t="array" ref="C8869">PRODUCT(1-'Sparkling Model'!D$2:D$38^A8869)</f>
        <v>0.9571090873</v>
      </c>
    </row>
    <row r="8870">
      <c r="A8870" s="6">
        <v>8868.0</v>
      </c>
      <c r="B8870" s="17">
        <f t="array" ref="B8870">SUM(1-'Sparkling Model'!D$2:D$38^A8870)</f>
        <v>36.956453</v>
      </c>
      <c r="C8870" s="8">
        <f t="array" ref="C8870">PRODUCT(1-'Sparkling Model'!D$2:D$38^A8870)</f>
        <v>0.9571304173</v>
      </c>
    </row>
    <row r="8871">
      <c r="A8871" s="6">
        <v>8869.0</v>
      </c>
      <c r="B8871" s="17">
        <f t="array" ref="B8871">SUM(1-'Sparkling Model'!D$2:D$38^A8871)</f>
        <v>36.95647501</v>
      </c>
      <c r="C8871" s="8">
        <f t="array" ref="C8871">PRODUCT(1-'Sparkling Model'!D$2:D$38^A8871)</f>
        <v>0.9571517367</v>
      </c>
    </row>
    <row r="8872">
      <c r="A8872" s="6">
        <v>8870.0</v>
      </c>
      <c r="B8872" s="17">
        <f t="array" ref="B8872">SUM(1-'Sparkling Model'!D$2:D$38^A8872)</f>
        <v>36.956497</v>
      </c>
      <c r="C8872" s="8">
        <f t="array" ref="C8872">PRODUCT(1-'Sparkling Model'!D$2:D$38^A8872)</f>
        <v>0.9571730454</v>
      </c>
    </row>
    <row r="8873">
      <c r="A8873" s="6">
        <v>8871.0</v>
      </c>
      <c r="B8873" s="17">
        <f t="array" ref="B8873">SUM(1-'Sparkling Model'!D$2:D$38^A8873)</f>
        <v>36.95651899</v>
      </c>
      <c r="C8873" s="8">
        <f t="array" ref="C8873">PRODUCT(1-'Sparkling Model'!D$2:D$38^A8873)</f>
        <v>0.9571943436</v>
      </c>
    </row>
    <row r="8874">
      <c r="A8874" s="6">
        <v>8872.0</v>
      </c>
      <c r="B8874" s="17">
        <f t="array" ref="B8874">SUM(1-'Sparkling Model'!D$2:D$38^A8874)</f>
        <v>36.95654096</v>
      </c>
      <c r="C8874" s="8">
        <f t="array" ref="C8874">PRODUCT(1-'Sparkling Model'!D$2:D$38^A8874)</f>
        <v>0.9572156312</v>
      </c>
    </row>
    <row r="8875">
      <c r="A8875" s="6">
        <v>8873.0</v>
      </c>
      <c r="B8875" s="17">
        <f t="array" ref="B8875">SUM(1-'Sparkling Model'!D$2:D$38^A8875)</f>
        <v>36.95656293</v>
      </c>
      <c r="C8875" s="8">
        <f t="array" ref="C8875">PRODUCT(1-'Sparkling Model'!D$2:D$38^A8875)</f>
        <v>0.9572369081</v>
      </c>
    </row>
    <row r="8876">
      <c r="A8876" s="6">
        <v>8874.0</v>
      </c>
      <c r="B8876" s="17">
        <f t="array" ref="B8876">SUM(1-'Sparkling Model'!D$2:D$38^A8876)</f>
        <v>36.95658488</v>
      </c>
      <c r="C8876" s="8">
        <f t="array" ref="C8876">PRODUCT(1-'Sparkling Model'!D$2:D$38^A8876)</f>
        <v>0.9572581745</v>
      </c>
    </row>
    <row r="8877">
      <c r="A8877" s="6">
        <v>8875.0</v>
      </c>
      <c r="B8877" s="17">
        <f t="array" ref="B8877">SUM(1-'Sparkling Model'!D$2:D$38^A8877)</f>
        <v>36.95660682</v>
      </c>
      <c r="C8877" s="8">
        <f t="array" ref="C8877">PRODUCT(1-'Sparkling Model'!D$2:D$38^A8877)</f>
        <v>0.9572794304</v>
      </c>
    </row>
    <row r="8878">
      <c r="A8878" s="6">
        <v>8876.0</v>
      </c>
      <c r="B8878" s="17">
        <f t="array" ref="B8878">SUM(1-'Sparkling Model'!D$2:D$38^A8878)</f>
        <v>36.95662875</v>
      </c>
      <c r="C8878" s="8">
        <f t="array" ref="C8878">PRODUCT(1-'Sparkling Model'!D$2:D$38^A8878)</f>
        <v>0.9573006756</v>
      </c>
    </row>
    <row r="8879">
      <c r="A8879" s="6">
        <v>8877.0</v>
      </c>
      <c r="B8879" s="17">
        <f t="array" ref="B8879">SUM(1-'Sparkling Model'!D$2:D$38^A8879)</f>
        <v>36.95665067</v>
      </c>
      <c r="C8879" s="8">
        <f t="array" ref="C8879">PRODUCT(1-'Sparkling Model'!D$2:D$38^A8879)</f>
        <v>0.9573219103</v>
      </c>
    </row>
    <row r="8880">
      <c r="A8880" s="6">
        <v>8878.0</v>
      </c>
      <c r="B8880" s="17">
        <f t="array" ref="B8880">SUM(1-'Sparkling Model'!D$2:D$38^A8880)</f>
        <v>36.95667258</v>
      </c>
      <c r="C8880" s="8">
        <f t="array" ref="C8880">PRODUCT(1-'Sparkling Model'!D$2:D$38^A8880)</f>
        <v>0.9573431345</v>
      </c>
    </row>
    <row r="8881">
      <c r="A8881" s="6">
        <v>8879.0</v>
      </c>
      <c r="B8881" s="17">
        <f t="array" ref="B8881">SUM(1-'Sparkling Model'!D$2:D$38^A8881)</f>
        <v>36.95669447</v>
      </c>
      <c r="C8881" s="8">
        <f t="array" ref="C8881">PRODUCT(1-'Sparkling Model'!D$2:D$38^A8881)</f>
        <v>0.957364348</v>
      </c>
    </row>
    <row r="8882">
      <c r="A8882" s="6">
        <v>8880.0</v>
      </c>
      <c r="B8882" s="17">
        <f t="array" ref="B8882">SUM(1-'Sparkling Model'!D$2:D$38^A8882)</f>
        <v>36.95671636</v>
      </c>
      <c r="C8882" s="8">
        <f t="array" ref="C8882">PRODUCT(1-'Sparkling Model'!D$2:D$38^A8882)</f>
        <v>0.9573855511</v>
      </c>
    </row>
    <row r="8883">
      <c r="A8883" s="6">
        <v>8881.0</v>
      </c>
      <c r="B8883" s="17">
        <f t="array" ref="B8883">SUM(1-'Sparkling Model'!D$2:D$38^A8883)</f>
        <v>36.95673823</v>
      </c>
      <c r="C8883" s="8">
        <f t="array" ref="C8883">PRODUCT(1-'Sparkling Model'!D$2:D$38^A8883)</f>
        <v>0.9574067436</v>
      </c>
    </row>
    <row r="8884">
      <c r="A8884" s="6">
        <v>8882.0</v>
      </c>
      <c r="B8884" s="17">
        <f t="array" ref="B8884">SUM(1-'Sparkling Model'!D$2:D$38^A8884)</f>
        <v>36.95676009</v>
      </c>
      <c r="C8884" s="8">
        <f t="array" ref="C8884">PRODUCT(1-'Sparkling Model'!D$2:D$38^A8884)</f>
        <v>0.9574279255</v>
      </c>
    </row>
    <row r="8885">
      <c r="A8885" s="6">
        <v>8883.0</v>
      </c>
      <c r="B8885" s="17">
        <f t="array" ref="B8885">SUM(1-'Sparkling Model'!D$2:D$38^A8885)</f>
        <v>36.95678194</v>
      </c>
      <c r="C8885" s="8">
        <f t="array" ref="C8885">PRODUCT(1-'Sparkling Model'!D$2:D$38^A8885)</f>
        <v>0.9574490969</v>
      </c>
    </row>
    <row r="8886">
      <c r="A8886" s="6">
        <v>8884.0</v>
      </c>
      <c r="B8886" s="17">
        <f t="array" ref="B8886">SUM(1-'Sparkling Model'!D$2:D$38^A8886)</f>
        <v>36.95680378</v>
      </c>
      <c r="C8886" s="8">
        <f t="array" ref="C8886">PRODUCT(1-'Sparkling Model'!D$2:D$38^A8886)</f>
        <v>0.9574702578</v>
      </c>
    </row>
    <row r="8887">
      <c r="A8887" s="6">
        <v>8885.0</v>
      </c>
      <c r="B8887" s="17">
        <f t="array" ref="B8887">SUM(1-'Sparkling Model'!D$2:D$38^A8887)</f>
        <v>36.95682561</v>
      </c>
      <c r="C8887" s="8">
        <f t="array" ref="C8887">PRODUCT(1-'Sparkling Model'!D$2:D$38^A8887)</f>
        <v>0.9574914082</v>
      </c>
    </row>
    <row r="8888">
      <c r="A8888" s="6">
        <v>8886.0</v>
      </c>
      <c r="B8888" s="17">
        <f t="array" ref="B8888">SUM(1-'Sparkling Model'!D$2:D$38^A8888)</f>
        <v>36.95684743</v>
      </c>
      <c r="C8888" s="8">
        <f t="array" ref="C8888">PRODUCT(1-'Sparkling Model'!D$2:D$38^A8888)</f>
        <v>0.957512548</v>
      </c>
    </row>
    <row r="8889">
      <c r="A8889" s="6">
        <v>8887.0</v>
      </c>
      <c r="B8889" s="17">
        <f t="array" ref="B8889">SUM(1-'Sparkling Model'!D$2:D$38^A8889)</f>
        <v>36.95686923</v>
      </c>
      <c r="C8889" s="8">
        <f t="array" ref="C8889">PRODUCT(1-'Sparkling Model'!D$2:D$38^A8889)</f>
        <v>0.9575336774</v>
      </c>
    </row>
    <row r="8890">
      <c r="A8890" s="6">
        <v>8888.0</v>
      </c>
      <c r="B8890" s="17">
        <f t="array" ref="B8890">SUM(1-'Sparkling Model'!D$2:D$38^A8890)</f>
        <v>36.95689103</v>
      </c>
      <c r="C8890" s="8">
        <f t="array" ref="C8890">PRODUCT(1-'Sparkling Model'!D$2:D$38^A8890)</f>
        <v>0.9575547962</v>
      </c>
    </row>
    <row r="8891">
      <c r="A8891" s="6">
        <v>8889.0</v>
      </c>
      <c r="B8891" s="17">
        <f t="array" ref="B8891">SUM(1-'Sparkling Model'!D$2:D$38^A8891)</f>
        <v>36.95691281</v>
      </c>
      <c r="C8891" s="8">
        <f t="array" ref="C8891">PRODUCT(1-'Sparkling Model'!D$2:D$38^A8891)</f>
        <v>0.9575759045</v>
      </c>
    </row>
    <row r="8892">
      <c r="A8892" s="6">
        <v>8890.0</v>
      </c>
      <c r="B8892" s="17">
        <f t="array" ref="B8892">SUM(1-'Sparkling Model'!D$2:D$38^A8892)</f>
        <v>36.95693458</v>
      </c>
      <c r="C8892" s="8">
        <f t="array" ref="C8892">PRODUCT(1-'Sparkling Model'!D$2:D$38^A8892)</f>
        <v>0.9575970023</v>
      </c>
    </row>
    <row r="8893">
      <c r="A8893" s="6">
        <v>8891.0</v>
      </c>
      <c r="B8893" s="17">
        <f t="array" ref="B8893">SUM(1-'Sparkling Model'!D$2:D$38^A8893)</f>
        <v>36.95695635</v>
      </c>
      <c r="C8893" s="8">
        <f t="array" ref="C8893">PRODUCT(1-'Sparkling Model'!D$2:D$38^A8893)</f>
        <v>0.9576180897</v>
      </c>
    </row>
    <row r="8894">
      <c r="A8894" s="6">
        <v>8892.0</v>
      </c>
      <c r="B8894" s="17">
        <f t="array" ref="B8894">SUM(1-'Sparkling Model'!D$2:D$38^A8894)</f>
        <v>36.9569781</v>
      </c>
      <c r="C8894" s="8">
        <f t="array" ref="C8894">PRODUCT(1-'Sparkling Model'!D$2:D$38^A8894)</f>
        <v>0.9576391665</v>
      </c>
    </row>
    <row r="8895">
      <c r="A8895" s="6">
        <v>8893.0</v>
      </c>
      <c r="B8895" s="17">
        <f t="array" ref="B8895">SUM(1-'Sparkling Model'!D$2:D$38^A8895)</f>
        <v>36.95699983</v>
      </c>
      <c r="C8895" s="8">
        <f t="array" ref="C8895">PRODUCT(1-'Sparkling Model'!D$2:D$38^A8895)</f>
        <v>0.9576602329</v>
      </c>
    </row>
    <row r="8896">
      <c r="A8896" s="6">
        <v>8894.0</v>
      </c>
      <c r="B8896" s="17">
        <f t="array" ref="B8896">SUM(1-'Sparkling Model'!D$2:D$38^A8896)</f>
        <v>36.95702156</v>
      </c>
      <c r="C8896" s="8">
        <f t="array" ref="C8896">PRODUCT(1-'Sparkling Model'!D$2:D$38^A8896)</f>
        <v>0.9576812888</v>
      </c>
    </row>
    <row r="8897">
      <c r="A8897" s="6">
        <v>8895.0</v>
      </c>
      <c r="B8897" s="17">
        <f t="array" ref="B8897">SUM(1-'Sparkling Model'!D$2:D$38^A8897)</f>
        <v>36.95704328</v>
      </c>
      <c r="C8897" s="8">
        <f t="array" ref="C8897">PRODUCT(1-'Sparkling Model'!D$2:D$38^A8897)</f>
        <v>0.9577023342</v>
      </c>
    </row>
    <row r="8898">
      <c r="A8898" s="6">
        <v>8896.0</v>
      </c>
      <c r="B8898" s="17">
        <f t="array" ref="B8898">SUM(1-'Sparkling Model'!D$2:D$38^A8898)</f>
        <v>36.95706498</v>
      </c>
      <c r="C8898" s="8">
        <f t="array" ref="C8898">PRODUCT(1-'Sparkling Model'!D$2:D$38^A8898)</f>
        <v>0.9577233691</v>
      </c>
    </row>
    <row r="8899">
      <c r="A8899" s="6">
        <v>8897.0</v>
      </c>
      <c r="B8899" s="17">
        <f t="array" ref="B8899">SUM(1-'Sparkling Model'!D$2:D$38^A8899)</f>
        <v>36.95708668</v>
      </c>
      <c r="C8899" s="8">
        <f t="array" ref="C8899">PRODUCT(1-'Sparkling Model'!D$2:D$38^A8899)</f>
        <v>0.9577443936</v>
      </c>
    </row>
    <row r="8900">
      <c r="A8900" s="6">
        <v>8898.0</v>
      </c>
      <c r="B8900" s="17">
        <f t="array" ref="B8900">SUM(1-'Sparkling Model'!D$2:D$38^A8900)</f>
        <v>36.95710836</v>
      </c>
      <c r="C8900" s="8">
        <f t="array" ref="C8900">PRODUCT(1-'Sparkling Model'!D$2:D$38^A8900)</f>
        <v>0.9577654077</v>
      </c>
    </row>
    <row r="8901">
      <c r="A8901" s="6">
        <v>8899.0</v>
      </c>
      <c r="B8901" s="17">
        <f t="array" ref="B8901">SUM(1-'Sparkling Model'!D$2:D$38^A8901)</f>
        <v>36.95713003</v>
      </c>
      <c r="C8901" s="8">
        <f t="array" ref="C8901">PRODUCT(1-'Sparkling Model'!D$2:D$38^A8901)</f>
        <v>0.9577864112</v>
      </c>
    </row>
    <row r="8902">
      <c r="A8902" s="6">
        <v>8900.0</v>
      </c>
      <c r="B8902" s="17">
        <f t="array" ref="B8902">SUM(1-'Sparkling Model'!D$2:D$38^A8902)</f>
        <v>36.95715169</v>
      </c>
      <c r="C8902" s="8">
        <f t="array" ref="C8902">PRODUCT(1-'Sparkling Model'!D$2:D$38^A8902)</f>
        <v>0.9578074044</v>
      </c>
    </row>
    <row r="8903">
      <c r="A8903" s="6">
        <v>8901.0</v>
      </c>
      <c r="B8903" s="17">
        <f t="array" ref="B8903">SUM(1-'Sparkling Model'!D$2:D$38^A8903)</f>
        <v>36.95717334</v>
      </c>
      <c r="C8903" s="8">
        <f t="array" ref="C8903">PRODUCT(1-'Sparkling Model'!D$2:D$38^A8903)</f>
        <v>0.9578283871</v>
      </c>
    </row>
    <row r="8904">
      <c r="A8904" s="6">
        <v>8902.0</v>
      </c>
      <c r="B8904" s="17">
        <f t="array" ref="B8904">SUM(1-'Sparkling Model'!D$2:D$38^A8904)</f>
        <v>36.95719498</v>
      </c>
      <c r="C8904" s="8">
        <f t="array" ref="C8904">PRODUCT(1-'Sparkling Model'!D$2:D$38^A8904)</f>
        <v>0.9578493593</v>
      </c>
    </row>
    <row r="8905">
      <c r="A8905" s="6">
        <v>8903.0</v>
      </c>
      <c r="B8905" s="17">
        <f t="array" ref="B8905">SUM(1-'Sparkling Model'!D$2:D$38^A8905)</f>
        <v>36.95721661</v>
      </c>
      <c r="C8905" s="8">
        <f t="array" ref="C8905">PRODUCT(1-'Sparkling Model'!D$2:D$38^A8905)</f>
        <v>0.9578703212</v>
      </c>
    </row>
    <row r="8906">
      <c r="A8906" s="6">
        <v>8904.0</v>
      </c>
      <c r="B8906" s="17">
        <f t="array" ref="B8906">SUM(1-'Sparkling Model'!D$2:D$38^A8906)</f>
        <v>36.95723823</v>
      </c>
      <c r="C8906" s="8">
        <f t="array" ref="C8906">PRODUCT(1-'Sparkling Model'!D$2:D$38^A8906)</f>
        <v>0.9578912726</v>
      </c>
    </row>
    <row r="8907">
      <c r="A8907" s="6">
        <v>8905.0</v>
      </c>
      <c r="B8907" s="17">
        <f t="array" ref="B8907">SUM(1-'Sparkling Model'!D$2:D$38^A8907)</f>
        <v>36.95725983</v>
      </c>
      <c r="C8907" s="8">
        <f t="array" ref="C8907">PRODUCT(1-'Sparkling Model'!D$2:D$38^A8907)</f>
        <v>0.9579122136</v>
      </c>
    </row>
    <row r="8908">
      <c r="A8908" s="6">
        <v>8906.0</v>
      </c>
      <c r="B8908" s="17">
        <f t="array" ref="B8908">SUM(1-'Sparkling Model'!D$2:D$38^A8908)</f>
        <v>36.95728143</v>
      </c>
      <c r="C8908" s="8">
        <f t="array" ref="C8908">PRODUCT(1-'Sparkling Model'!D$2:D$38^A8908)</f>
        <v>0.9579331442</v>
      </c>
    </row>
    <row r="8909">
      <c r="A8909" s="6">
        <v>8907.0</v>
      </c>
      <c r="B8909" s="17">
        <f t="array" ref="B8909">SUM(1-'Sparkling Model'!D$2:D$38^A8909)</f>
        <v>36.95730301</v>
      </c>
      <c r="C8909" s="8">
        <f t="array" ref="C8909">PRODUCT(1-'Sparkling Model'!D$2:D$38^A8909)</f>
        <v>0.9579540643</v>
      </c>
    </row>
    <row r="8910">
      <c r="A8910" s="6">
        <v>8908.0</v>
      </c>
      <c r="B8910" s="17">
        <f t="array" ref="B8910">SUM(1-'Sparkling Model'!D$2:D$38^A8910)</f>
        <v>36.95732458</v>
      </c>
      <c r="C8910" s="8">
        <f t="array" ref="C8910">PRODUCT(1-'Sparkling Model'!D$2:D$38^A8910)</f>
        <v>0.9579749741</v>
      </c>
    </row>
    <row r="8911">
      <c r="A8911" s="6">
        <v>8909.0</v>
      </c>
      <c r="B8911" s="17">
        <f t="array" ref="B8911">SUM(1-'Sparkling Model'!D$2:D$38^A8911)</f>
        <v>36.95734614</v>
      </c>
      <c r="C8911" s="8">
        <f t="array" ref="C8911">PRODUCT(1-'Sparkling Model'!D$2:D$38^A8911)</f>
        <v>0.9579958735</v>
      </c>
    </row>
    <row r="8912">
      <c r="A8912" s="6">
        <v>8910.0</v>
      </c>
      <c r="B8912" s="17">
        <f t="array" ref="B8912">SUM(1-'Sparkling Model'!D$2:D$38^A8912)</f>
        <v>36.95736769</v>
      </c>
      <c r="C8912" s="8">
        <f t="array" ref="C8912">PRODUCT(1-'Sparkling Model'!D$2:D$38^A8912)</f>
        <v>0.9580167624</v>
      </c>
    </row>
    <row r="8913">
      <c r="A8913" s="6">
        <v>8911.0</v>
      </c>
      <c r="B8913" s="17">
        <f t="array" ref="B8913">SUM(1-'Sparkling Model'!D$2:D$38^A8913)</f>
        <v>36.95738923</v>
      </c>
      <c r="C8913" s="8">
        <f t="array" ref="C8913">PRODUCT(1-'Sparkling Model'!D$2:D$38^A8913)</f>
        <v>0.958037641</v>
      </c>
    </row>
    <row r="8914">
      <c r="A8914" s="6">
        <v>8912.0</v>
      </c>
      <c r="B8914" s="17">
        <f t="array" ref="B8914">SUM(1-'Sparkling Model'!D$2:D$38^A8914)</f>
        <v>36.95741076</v>
      </c>
      <c r="C8914" s="8">
        <f t="array" ref="C8914">PRODUCT(1-'Sparkling Model'!D$2:D$38^A8914)</f>
        <v>0.9580585092</v>
      </c>
    </row>
    <row r="8915">
      <c r="A8915" s="6">
        <v>8913.0</v>
      </c>
      <c r="B8915" s="17">
        <f t="array" ref="B8915">SUM(1-'Sparkling Model'!D$2:D$38^A8915)</f>
        <v>36.95743227</v>
      </c>
      <c r="C8915" s="8">
        <f t="array" ref="C8915">PRODUCT(1-'Sparkling Model'!D$2:D$38^A8915)</f>
        <v>0.958079367</v>
      </c>
    </row>
    <row r="8916">
      <c r="A8916" s="6">
        <v>8914.0</v>
      </c>
      <c r="B8916" s="17">
        <f t="array" ref="B8916">SUM(1-'Sparkling Model'!D$2:D$38^A8916)</f>
        <v>36.95745378</v>
      </c>
      <c r="C8916" s="8">
        <f t="array" ref="C8916">PRODUCT(1-'Sparkling Model'!D$2:D$38^A8916)</f>
        <v>0.9581002145</v>
      </c>
    </row>
    <row r="8917">
      <c r="A8917" s="6">
        <v>8915.0</v>
      </c>
      <c r="B8917" s="17">
        <f t="array" ref="B8917">SUM(1-'Sparkling Model'!D$2:D$38^A8917)</f>
        <v>36.95747527</v>
      </c>
      <c r="C8917" s="8">
        <f t="array" ref="C8917">PRODUCT(1-'Sparkling Model'!D$2:D$38^A8917)</f>
        <v>0.9581210516</v>
      </c>
    </row>
    <row r="8918">
      <c r="A8918" s="6">
        <v>8916.0</v>
      </c>
      <c r="B8918" s="17">
        <f t="array" ref="B8918">SUM(1-'Sparkling Model'!D$2:D$38^A8918)</f>
        <v>36.95749676</v>
      </c>
      <c r="C8918" s="8">
        <f t="array" ref="C8918">PRODUCT(1-'Sparkling Model'!D$2:D$38^A8918)</f>
        <v>0.9581418783</v>
      </c>
    </row>
    <row r="8919">
      <c r="A8919" s="6">
        <v>8917.0</v>
      </c>
      <c r="B8919" s="17">
        <f t="array" ref="B8919">SUM(1-'Sparkling Model'!D$2:D$38^A8919)</f>
        <v>36.95751823</v>
      </c>
      <c r="C8919" s="8">
        <f t="array" ref="C8919">PRODUCT(1-'Sparkling Model'!D$2:D$38^A8919)</f>
        <v>0.9581626946</v>
      </c>
    </row>
    <row r="8920">
      <c r="A8920" s="6">
        <v>8918.0</v>
      </c>
      <c r="B8920" s="17">
        <f t="array" ref="B8920">SUM(1-'Sparkling Model'!D$2:D$38^A8920)</f>
        <v>36.95753969</v>
      </c>
      <c r="C8920" s="8">
        <f t="array" ref="C8920">PRODUCT(1-'Sparkling Model'!D$2:D$38^A8920)</f>
        <v>0.9581835006</v>
      </c>
    </row>
    <row r="8921">
      <c r="A8921" s="6">
        <v>8919.0</v>
      </c>
      <c r="B8921" s="17">
        <f t="array" ref="B8921">SUM(1-'Sparkling Model'!D$2:D$38^A8921)</f>
        <v>36.95756114</v>
      </c>
      <c r="C8921" s="8">
        <f t="array" ref="C8921">PRODUCT(1-'Sparkling Model'!D$2:D$38^A8921)</f>
        <v>0.9582042963</v>
      </c>
    </row>
    <row r="8922">
      <c r="A8922" s="6">
        <v>8920.0</v>
      </c>
      <c r="B8922" s="17">
        <f t="array" ref="B8922">SUM(1-'Sparkling Model'!D$2:D$38^A8922)</f>
        <v>36.95758258</v>
      </c>
      <c r="C8922" s="8">
        <f t="array" ref="C8922">PRODUCT(1-'Sparkling Model'!D$2:D$38^A8922)</f>
        <v>0.9582250816</v>
      </c>
    </row>
    <row r="8923">
      <c r="A8923" s="6">
        <v>8921.0</v>
      </c>
      <c r="B8923" s="17">
        <f t="array" ref="B8923">SUM(1-'Sparkling Model'!D$2:D$38^A8923)</f>
        <v>36.95760401</v>
      </c>
      <c r="C8923" s="8">
        <f t="array" ref="C8923">PRODUCT(1-'Sparkling Model'!D$2:D$38^A8923)</f>
        <v>0.9582458566</v>
      </c>
    </row>
    <row r="8924">
      <c r="A8924" s="6">
        <v>8922.0</v>
      </c>
      <c r="B8924" s="17">
        <f t="array" ref="B8924">SUM(1-'Sparkling Model'!D$2:D$38^A8924)</f>
        <v>36.95762543</v>
      </c>
      <c r="C8924" s="8">
        <f t="array" ref="C8924">PRODUCT(1-'Sparkling Model'!D$2:D$38^A8924)</f>
        <v>0.9582666212</v>
      </c>
    </row>
    <row r="8925">
      <c r="A8925" s="6">
        <v>8923.0</v>
      </c>
      <c r="B8925" s="17">
        <f t="array" ref="B8925">SUM(1-'Sparkling Model'!D$2:D$38^A8925)</f>
        <v>36.95764683</v>
      </c>
      <c r="C8925" s="8">
        <f t="array" ref="C8925">PRODUCT(1-'Sparkling Model'!D$2:D$38^A8925)</f>
        <v>0.9582873756</v>
      </c>
    </row>
    <row r="8926">
      <c r="A8926" s="6">
        <v>8924.0</v>
      </c>
      <c r="B8926" s="17">
        <f t="array" ref="B8926">SUM(1-'Sparkling Model'!D$2:D$38^A8926)</f>
        <v>36.95766823</v>
      </c>
      <c r="C8926" s="8">
        <f t="array" ref="C8926">PRODUCT(1-'Sparkling Model'!D$2:D$38^A8926)</f>
        <v>0.9583081196</v>
      </c>
    </row>
    <row r="8927">
      <c r="A8927" s="6">
        <v>8925.0</v>
      </c>
      <c r="B8927" s="17">
        <f t="array" ref="B8927">SUM(1-'Sparkling Model'!D$2:D$38^A8927)</f>
        <v>36.95768961</v>
      </c>
      <c r="C8927" s="8">
        <f t="array" ref="C8927">PRODUCT(1-'Sparkling Model'!D$2:D$38^A8927)</f>
        <v>0.9583288532</v>
      </c>
    </row>
    <row r="8928">
      <c r="A8928" s="6">
        <v>8926.0</v>
      </c>
      <c r="B8928" s="17">
        <f t="array" ref="B8928">SUM(1-'Sparkling Model'!D$2:D$38^A8928)</f>
        <v>36.95771099</v>
      </c>
      <c r="C8928" s="8">
        <f t="array" ref="C8928">PRODUCT(1-'Sparkling Model'!D$2:D$38^A8928)</f>
        <v>0.9583495766</v>
      </c>
    </row>
    <row r="8929">
      <c r="A8929" s="6">
        <v>8927.0</v>
      </c>
      <c r="B8929" s="17">
        <f t="array" ref="B8929">SUM(1-'Sparkling Model'!D$2:D$38^A8929)</f>
        <v>36.95773235</v>
      </c>
      <c r="C8929" s="8">
        <f t="array" ref="C8929">PRODUCT(1-'Sparkling Model'!D$2:D$38^A8929)</f>
        <v>0.9583702897</v>
      </c>
    </row>
    <row r="8930">
      <c r="A8930" s="6">
        <v>8928.0</v>
      </c>
      <c r="B8930" s="17">
        <f t="array" ref="B8930">SUM(1-'Sparkling Model'!D$2:D$38^A8930)</f>
        <v>36.9577537</v>
      </c>
      <c r="C8930" s="8">
        <f t="array" ref="C8930">PRODUCT(1-'Sparkling Model'!D$2:D$38^A8930)</f>
        <v>0.9583909924</v>
      </c>
    </row>
    <row r="8931">
      <c r="A8931" s="6">
        <v>8929.0</v>
      </c>
      <c r="B8931" s="17">
        <f t="array" ref="B8931">SUM(1-'Sparkling Model'!D$2:D$38^A8931)</f>
        <v>36.95777504</v>
      </c>
      <c r="C8931" s="8">
        <f t="array" ref="C8931">PRODUCT(1-'Sparkling Model'!D$2:D$38^A8931)</f>
        <v>0.9584116849</v>
      </c>
    </row>
    <row r="8932">
      <c r="A8932" s="6">
        <v>8930.0</v>
      </c>
      <c r="B8932" s="17">
        <f t="array" ref="B8932">SUM(1-'Sparkling Model'!D$2:D$38^A8932)</f>
        <v>36.95779637</v>
      </c>
      <c r="C8932" s="8">
        <f t="array" ref="C8932">PRODUCT(1-'Sparkling Model'!D$2:D$38^A8932)</f>
        <v>0.9584323671</v>
      </c>
    </row>
    <row r="8933">
      <c r="A8933" s="6">
        <v>8931.0</v>
      </c>
      <c r="B8933" s="17">
        <f t="array" ref="B8933">SUM(1-'Sparkling Model'!D$2:D$38^A8933)</f>
        <v>36.95781769</v>
      </c>
      <c r="C8933" s="8">
        <f t="array" ref="C8933">PRODUCT(1-'Sparkling Model'!D$2:D$38^A8933)</f>
        <v>0.958453039</v>
      </c>
    </row>
    <row r="8934">
      <c r="A8934" s="6">
        <v>8932.0</v>
      </c>
      <c r="B8934" s="17">
        <f t="array" ref="B8934">SUM(1-'Sparkling Model'!D$2:D$38^A8934)</f>
        <v>36.957839</v>
      </c>
      <c r="C8934" s="8">
        <f t="array" ref="C8934">PRODUCT(1-'Sparkling Model'!D$2:D$38^A8934)</f>
        <v>0.9584737006</v>
      </c>
    </row>
    <row r="8935">
      <c r="A8935" s="6">
        <v>8933.0</v>
      </c>
      <c r="B8935" s="17">
        <f t="array" ref="B8935">SUM(1-'Sparkling Model'!D$2:D$38^A8935)</f>
        <v>36.9578603</v>
      </c>
      <c r="C8935" s="8">
        <f t="array" ref="C8935">PRODUCT(1-'Sparkling Model'!D$2:D$38^A8935)</f>
        <v>0.9584943519</v>
      </c>
    </row>
    <row r="8936">
      <c r="A8936" s="6">
        <v>8934.0</v>
      </c>
      <c r="B8936" s="17">
        <f t="array" ref="B8936">SUM(1-'Sparkling Model'!D$2:D$38^A8936)</f>
        <v>36.95788158</v>
      </c>
      <c r="C8936" s="8">
        <f t="array" ref="C8936">PRODUCT(1-'Sparkling Model'!D$2:D$38^A8936)</f>
        <v>0.9585149929</v>
      </c>
    </row>
    <row r="8937">
      <c r="A8937" s="6">
        <v>8935.0</v>
      </c>
      <c r="B8937" s="17">
        <f t="array" ref="B8937">SUM(1-'Sparkling Model'!D$2:D$38^A8937)</f>
        <v>36.95790286</v>
      </c>
      <c r="C8937" s="8">
        <f t="array" ref="C8937">PRODUCT(1-'Sparkling Model'!D$2:D$38^A8937)</f>
        <v>0.9585356237</v>
      </c>
    </row>
    <row r="8938">
      <c r="A8938" s="6">
        <v>8936.0</v>
      </c>
      <c r="B8938" s="17">
        <f t="array" ref="B8938">SUM(1-'Sparkling Model'!D$2:D$38^A8938)</f>
        <v>36.95792412</v>
      </c>
      <c r="C8938" s="8">
        <f t="array" ref="C8938">PRODUCT(1-'Sparkling Model'!D$2:D$38^A8938)</f>
        <v>0.9585562443</v>
      </c>
    </row>
    <row r="8939">
      <c r="A8939" s="6">
        <v>8937.0</v>
      </c>
      <c r="B8939" s="17">
        <f t="array" ref="B8939">SUM(1-'Sparkling Model'!D$2:D$38^A8939)</f>
        <v>36.95794537</v>
      </c>
      <c r="C8939" s="8">
        <f t="array" ref="C8939">PRODUCT(1-'Sparkling Model'!D$2:D$38^A8939)</f>
        <v>0.9585768545</v>
      </c>
    </row>
    <row r="8940">
      <c r="A8940" s="6">
        <v>8938.0</v>
      </c>
      <c r="B8940" s="17">
        <f t="array" ref="B8940">SUM(1-'Sparkling Model'!D$2:D$38^A8940)</f>
        <v>36.95796662</v>
      </c>
      <c r="C8940" s="8">
        <f t="array" ref="C8940">PRODUCT(1-'Sparkling Model'!D$2:D$38^A8940)</f>
        <v>0.9585974546</v>
      </c>
    </row>
    <row r="8941">
      <c r="A8941" s="6">
        <v>8939.0</v>
      </c>
      <c r="B8941" s="17">
        <f t="array" ref="B8941">SUM(1-'Sparkling Model'!D$2:D$38^A8941)</f>
        <v>36.95798785</v>
      </c>
      <c r="C8941" s="8">
        <f t="array" ref="C8941">PRODUCT(1-'Sparkling Model'!D$2:D$38^A8941)</f>
        <v>0.9586180444</v>
      </c>
    </row>
    <row r="8942">
      <c r="A8942" s="6">
        <v>8940.0</v>
      </c>
      <c r="B8942" s="17">
        <f t="array" ref="B8942">SUM(1-'Sparkling Model'!D$2:D$38^A8942)</f>
        <v>36.95800907</v>
      </c>
      <c r="C8942" s="8">
        <f t="array" ref="C8942">PRODUCT(1-'Sparkling Model'!D$2:D$38^A8942)</f>
        <v>0.9586386239</v>
      </c>
    </row>
    <row r="8943">
      <c r="A8943" s="6">
        <v>8941.0</v>
      </c>
      <c r="B8943" s="17">
        <f t="array" ref="B8943">SUM(1-'Sparkling Model'!D$2:D$38^A8943)</f>
        <v>36.95803028</v>
      </c>
      <c r="C8943" s="8">
        <f t="array" ref="C8943">PRODUCT(1-'Sparkling Model'!D$2:D$38^A8943)</f>
        <v>0.9586591932</v>
      </c>
    </row>
    <row r="8944">
      <c r="A8944" s="6">
        <v>8942.0</v>
      </c>
      <c r="B8944" s="17">
        <f t="array" ref="B8944">SUM(1-'Sparkling Model'!D$2:D$38^A8944)</f>
        <v>36.95805147</v>
      </c>
      <c r="C8944" s="8">
        <f t="array" ref="C8944">PRODUCT(1-'Sparkling Model'!D$2:D$38^A8944)</f>
        <v>0.9586797523</v>
      </c>
    </row>
    <row r="8945">
      <c r="A8945" s="6">
        <v>8943.0</v>
      </c>
      <c r="B8945" s="17">
        <f t="array" ref="B8945">SUM(1-'Sparkling Model'!D$2:D$38^A8945)</f>
        <v>36.95807266</v>
      </c>
      <c r="C8945" s="8">
        <f t="array" ref="C8945">PRODUCT(1-'Sparkling Model'!D$2:D$38^A8945)</f>
        <v>0.9587003011</v>
      </c>
    </row>
    <row r="8946">
      <c r="A8946" s="6">
        <v>8944.0</v>
      </c>
      <c r="B8946" s="17">
        <f t="array" ref="B8946">SUM(1-'Sparkling Model'!D$2:D$38^A8946)</f>
        <v>36.95809384</v>
      </c>
      <c r="C8946" s="8">
        <f t="array" ref="C8946">PRODUCT(1-'Sparkling Model'!D$2:D$38^A8946)</f>
        <v>0.9587208397</v>
      </c>
    </row>
    <row r="8947">
      <c r="A8947" s="6">
        <v>8945.0</v>
      </c>
      <c r="B8947" s="17">
        <f t="array" ref="B8947">SUM(1-'Sparkling Model'!D$2:D$38^A8947)</f>
        <v>36.95811501</v>
      </c>
      <c r="C8947" s="8">
        <f t="array" ref="C8947">PRODUCT(1-'Sparkling Model'!D$2:D$38^A8947)</f>
        <v>0.9587413682</v>
      </c>
    </row>
    <row r="8948">
      <c r="A8948" s="6">
        <v>8946.0</v>
      </c>
      <c r="B8948" s="17">
        <f t="array" ref="B8948">SUM(1-'Sparkling Model'!D$2:D$38^A8948)</f>
        <v>36.95813616</v>
      </c>
      <c r="C8948" s="8">
        <f t="array" ref="C8948">PRODUCT(1-'Sparkling Model'!D$2:D$38^A8948)</f>
        <v>0.9587618864</v>
      </c>
    </row>
    <row r="8949">
      <c r="A8949" s="6">
        <v>8947.0</v>
      </c>
      <c r="B8949" s="17">
        <f t="array" ref="B8949">SUM(1-'Sparkling Model'!D$2:D$38^A8949)</f>
        <v>36.9581573</v>
      </c>
      <c r="C8949" s="8">
        <f t="array" ref="C8949">PRODUCT(1-'Sparkling Model'!D$2:D$38^A8949)</f>
        <v>0.9587823944</v>
      </c>
    </row>
    <row r="8950">
      <c r="A8950" s="6">
        <v>8948.0</v>
      </c>
      <c r="B8950" s="17">
        <f t="array" ref="B8950">SUM(1-'Sparkling Model'!D$2:D$38^A8950)</f>
        <v>36.95817844</v>
      </c>
      <c r="C8950" s="8">
        <f t="array" ref="C8950">PRODUCT(1-'Sparkling Model'!D$2:D$38^A8950)</f>
        <v>0.9588028922</v>
      </c>
    </row>
    <row r="8951">
      <c r="A8951" s="6">
        <v>8949.0</v>
      </c>
      <c r="B8951" s="17">
        <f t="array" ref="B8951">SUM(1-'Sparkling Model'!D$2:D$38^A8951)</f>
        <v>36.95819956</v>
      </c>
      <c r="C8951" s="8">
        <f t="array" ref="C8951">PRODUCT(1-'Sparkling Model'!D$2:D$38^A8951)</f>
        <v>0.9588233798</v>
      </c>
    </row>
    <row r="8952">
      <c r="A8952" s="6">
        <v>8950.0</v>
      </c>
      <c r="B8952" s="17">
        <f t="array" ref="B8952">SUM(1-'Sparkling Model'!D$2:D$38^A8952)</f>
        <v>36.95822067</v>
      </c>
      <c r="C8952" s="8">
        <f t="array" ref="C8952">PRODUCT(1-'Sparkling Model'!D$2:D$38^A8952)</f>
        <v>0.9588438572</v>
      </c>
    </row>
    <row r="8953">
      <c r="A8953" s="6">
        <v>8951.0</v>
      </c>
      <c r="B8953" s="17">
        <f t="array" ref="B8953">SUM(1-'Sparkling Model'!D$2:D$38^A8953)</f>
        <v>36.95824177</v>
      </c>
      <c r="C8953" s="8">
        <f t="array" ref="C8953">PRODUCT(1-'Sparkling Model'!D$2:D$38^A8953)</f>
        <v>0.9588643244</v>
      </c>
    </row>
    <row r="8954">
      <c r="A8954" s="6">
        <v>8952.0</v>
      </c>
      <c r="B8954" s="17">
        <f t="array" ref="B8954">SUM(1-'Sparkling Model'!D$2:D$38^A8954)</f>
        <v>36.95826286</v>
      </c>
      <c r="C8954" s="8">
        <f t="array" ref="C8954">PRODUCT(1-'Sparkling Model'!D$2:D$38^A8954)</f>
        <v>0.9588847815</v>
      </c>
    </row>
    <row r="8955">
      <c r="A8955" s="6">
        <v>8953.0</v>
      </c>
      <c r="B8955" s="17">
        <f t="array" ref="B8955">SUM(1-'Sparkling Model'!D$2:D$38^A8955)</f>
        <v>36.95828394</v>
      </c>
      <c r="C8955" s="8">
        <f t="array" ref="C8955">PRODUCT(1-'Sparkling Model'!D$2:D$38^A8955)</f>
        <v>0.9589052283</v>
      </c>
    </row>
    <row r="8956">
      <c r="A8956" s="6">
        <v>8954.0</v>
      </c>
      <c r="B8956" s="17">
        <f t="array" ref="B8956">SUM(1-'Sparkling Model'!D$2:D$38^A8956)</f>
        <v>36.95830501</v>
      </c>
      <c r="C8956" s="8">
        <f t="array" ref="C8956">PRODUCT(1-'Sparkling Model'!D$2:D$38^A8956)</f>
        <v>0.958925665</v>
      </c>
    </row>
    <row r="8957">
      <c r="A8957" s="6">
        <v>8955.0</v>
      </c>
      <c r="B8957" s="17">
        <f t="array" ref="B8957">SUM(1-'Sparkling Model'!D$2:D$38^A8957)</f>
        <v>36.95832607</v>
      </c>
      <c r="C8957" s="8">
        <f t="array" ref="C8957">PRODUCT(1-'Sparkling Model'!D$2:D$38^A8957)</f>
        <v>0.9589460916</v>
      </c>
    </row>
    <row r="8958">
      <c r="A8958" s="6">
        <v>8956.0</v>
      </c>
      <c r="B8958" s="17">
        <f t="array" ref="B8958">SUM(1-'Sparkling Model'!D$2:D$38^A8958)</f>
        <v>36.95834712</v>
      </c>
      <c r="C8958" s="8">
        <f t="array" ref="C8958">PRODUCT(1-'Sparkling Model'!D$2:D$38^A8958)</f>
        <v>0.9589665079</v>
      </c>
    </row>
    <row r="8959">
      <c r="A8959" s="6">
        <v>8957.0</v>
      </c>
      <c r="B8959" s="17">
        <f t="array" ref="B8959">SUM(1-'Sparkling Model'!D$2:D$38^A8959)</f>
        <v>36.95836815</v>
      </c>
      <c r="C8959" s="8">
        <f t="array" ref="C8959">PRODUCT(1-'Sparkling Model'!D$2:D$38^A8959)</f>
        <v>0.9589869142</v>
      </c>
    </row>
    <row r="8960">
      <c r="A8960" s="6">
        <v>8958.0</v>
      </c>
      <c r="B8960" s="17">
        <f t="array" ref="B8960">SUM(1-'Sparkling Model'!D$2:D$38^A8960)</f>
        <v>36.95838918</v>
      </c>
      <c r="C8960" s="8">
        <f t="array" ref="C8960">PRODUCT(1-'Sparkling Model'!D$2:D$38^A8960)</f>
        <v>0.9590073102</v>
      </c>
    </row>
    <row r="8961">
      <c r="A8961" s="6">
        <v>8959.0</v>
      </c>
      <c r="B8961" s="17">
        <f t="array" ref="B8961">SUM(1-'Sparkling Model'!D$2:D$38^A8961)</f>
        <v>36.95841019</v>
      </c>
      <c r="C8961" s="8">
        <f t="array" ref="C8961">PRODUCT(1-'Sparkling Model'!D$2:D$38^A8961)</f>
        <v>0.9590276962</v>
      </c>
    </row>
    <row r="8962">
      <c r="A8962" s="6">
        <v>8960.0</v>
      </c>
      <c r="B8962" s="17">
        <f t="array" ref="B8962">SUM(1-'Sparkling Model'!D$2:D$38^A8962)</f>
        <v>36.95843119</v>
      </c>
      <c r="C8962" s="8">
        <f t="array" ref="C8962">PRODUCT(1-'Sparkling Model'!D$2:D$38^A8962)</f>
        <v>0.959048072</v>
      </c>
    </row>
    <row r="8963">
      <c r="A8963" s="6">
        <v>8961.0</v>
      </c>
      <c r="B8963" s="17">
        <f t="array" ref="B8963">SUM(1-'Sparkling Model'!D$2:D$38^A8963)</f>
        <v>36.95845219</v>
      </c>
      <c r="C8963" s="8">
        <f t="array" ref="C8963">PRODUCT(1-'Sparkling Model'!D$2:D$38^A8963)</f>
        <v>0.9590684376</v>
      </c>
    </row>
    <row r="8964">
      <c r="A8964" s="6">
        <v>8962.0</v>
      </c>
      <c r="B8964" s="17">
        <f t="array" ref="B8964">SUM(1-'Sparkling Model'!D$2:D$38^A8964)</f>
        <v>36.95847317</v>
      </c>
      <c r="C8964" s="8">
        <f t="array" ref="C8964">PRODUCT(1-'Sparkling Model'!D$2:D$38^A8964)</f>
        <v>0.9590887932</v>
      </c>
    </row>
    <row r="8965">
      <c r="A8965" s="6">
        <v>8963.0</v>
      </c>
      <c r="B8965" s="17">
        <f t="array" ref="B8965">SUM(1-'Sparkling Model'!D$2:D$38^A8965)</f>
        <v>36.95849414</v>
      </c>
      <c r="C8965" s="8">
        <f t="array" ref="C8965">PRODUCT(1-'Sparkling Model'!D$2:D$38^A8965)</f>
        <v>0.9591091386</v>
      </c>
    </row>
    <row r="8966">
      <c r="A8966" s="6">
        <v>8964.0</v>
      </c>
      <c r="B8966" s="17">
        <f t="array" ref="B8966">SUM(1-'Sparkling Model'!D$2:D$38^A8966)</f>
        <v>36.9585151</v>
      </c>
      <c r="C8966" s="8">
        <f t="array" ref="C8966">PRODUCT(1-'Sparkling Model'!D$2:D$38^A8966)</f>
        <v>0.9591294738</v>
      </c>
    </row>
    <row r="8967">
      <c r="A8967" s="6">
        <v>8965.0</v>
      </c>
      <c r="B8967" s="17">
        <f t="array" ref="B8967">SUM(1-'Sparkling Model'!D$2:D$38^A8967)</f>
        <v>36.95853605</v>
      </c>
      <c r="C8967" s="8">
        <f t="array" ref="C8967">PRODUCT(1-'Sparkling Model'!D$2:D$38^A8967)</f>
        <v>0.959149799</v>
      </c>
    </row>
    <row r="8968">
      <c r="A8968" s="6">
        <v>8966.0</v>
      </c>
      <c r="B8968" s="17">
        <f t="array" ref="B8968">SUM(1-'Sparkling Model'!D$2:D$38^A8968)</f>
        <v>36.95855699</v>
      </c>
      <c r="C8968" s="8">
        <f t="array" ref="C8968">PRODUCT(1-'Sparkling Model'!D$2:D$38^A8968)</f>
        <v>0.9591701141</v>
      </c>
    </row>
    <row r="8969">
      <c r="A8969" s="6">
        <v>8967.0</v>
      </c>
      <c r="B8969" s="17">
        <f t="array" ref="B8969">SUM(1-'Sparkling Model'!D$2:D$38^A8969)</f>
        <v>36.95857792</v>
      </c>
      <c r="C8969" s="8">
        <f t="array" ref="C8969">PRODUCT(1-'Sparkling Model'!D$2:D$38^A8969)</f>
        <v>0.959190419</v>
      </c>
    </row>
    <row r="8970">
      <c r="A8970" s="6">
        <v>8968.0</v>
      </c>
      <c r="B8970" s="17">
        <f t="array" ref="B8970">SUM(1-'Sparkling Model'!D$2:D$38^A8970)</f>
        <v>36.95859884</v>
      </c>
      <c r="C8970" s="8">
        <f t="array" ref="C8970">PRODUCT(1-'Sparkling Model'!D$2:D$38^A8970)</f>
        <v>0.9592107139</v>
      </c>
    </row>
    <row r="8971">
      <c r="A8971" s="6">
        <v>8969.0</v>
      </c>
      <c r="B8971" s="17">
        <f t="array" ref="B8971">SUM(1-'Sparkling Model'!D$2:D$38^A8971)</f>
        <v>36.95861974</v>
      </c>
      <c r="C8971" s="8">
        <f t="array" ref="C8971">PRODUCT(1-'Sparkling Model'!D$2:D$38^A8971)</f>
        <v>0.9592309986</v>
      </c>
    </row>
    <row r="8972">
      <c r="A8972" s="6">
        <v>8970.0</v>
      </c>
      <c r="B8972" s="17">
        <f t="array" ref="B8972">SUM(1-'Sparkling Model'!D$2:D$38^A8972)</f>
        <v>36.95864064</v>
      </c>
      <c r="C8972" s="8">
        <f t="array" ref="C8972">PRODUCT(1-'Sparkling Model'!D$2:D$38^A8972)</f>
        <v>0.9592512733</v>
      </c>
    </row>
    <row r="8973">
      <c r="A8973" s="6">
        <v>8971.0</v>
      </c>
      <c r="B8973" s="17">
        <f t="array" ref="B8973">SUM(1-'Sparkling Model'!D$2:D$38^A8973)</f>
        <v>36.95866152</v>
      </c>
      <c r="C8973" s="8">
        <f t="array" ref="C8973">PRODUCT(1-'Sparkling Model'!D$2:D$38^A8973)</f>
        <v>0.9592715379</v>
      </c>
    </row>
    <row r="8974">
      <c r="A8974" s="6">
        <v>8972.0</v>
      </c>
      <c r="B8974" s="17">
        <f t="array" ref="B8974">SUM(1-'Sparkling Model'!D$2:D$38^A8974)</f>
        <v>36.9586824</v>
      </c>
      <c r="C8974" s="8">
        <f t="array" ref="C8974">PRODUCT(1-'Sparkling Model'!D$2:D$38^A8974)</f>
        <v>0.9592917924</v>
      </c>
    </row>
    <row r="8975">
      <c r="A8975" s="6">
        <v>8973.0</v>
      </c>
      <c r="B8975" s="17">
        <f t="array" ref="B8975">SUM(1-'Sparkling Model'!D$2:D$38^A8975)</f>
        <v>36.95870326</v>
      </c>
      <c r="C8975" s="8">
        <f t="array" ref="C8975">PRODUCT(1-'Sparkling Model'!D$2:D$38^A8975)</f>
        <v>0.9593120368</v>
      </c>
    </row>
    <row r="8976">
      <c r="A8976" s="6">
        <v>8974.0</v>
      </c>
      <c r="B8976" s="17">
        <f t="array" ref="B8976">SUM(1-'Sparkling Model'!D$2:D$38^A8976)</f>
        <v>36.95872412</v>
      </c>
      <c r="C8976" s="8">
        <f t="array" ref="C8976">PRODUCT(1-'Sparkling Model'!D$2:D$38^A8976)</f>
        <v>0.9593322712</v>
      </c>
    </row>
    <row r="8977">
      <c r="A8977" s="6">
        <v>8975.0</v>
      </c>
      <c r="B8977" s="17">
        <f t="array" ref="B8977">SUM(1-'Sparkling Model'!D$2:D$38^A8977)</f>
        <v>36.95874496</v>
      </c>
      <c r="C8977" s="8">
        <f t="array" ref="C8977">PRODUCT(1-'Sparkling Model'!D$2:D$38^A8977)</f>
        <v>0.9593524955</v>
      </c>
    </row>
    <row r="8978">
      <c r="A8978" s="6">
        <v>8976.0</v>
      </c>
      <c r="B8978" s="17">
        <f t="array" ref="B8978">SUM(1-'Sparkling Model'!D$2:D$38^A8978)</f>
        <v>36.95876579</v>
      </c>
      <c r="C8978" s="8">
        <f t="array" ref="C8978">PRODUCT(1-'Sparkling Model'!D$2:D$38^A8978)</f>
        <v>0.9593727097</v>
      </c>
    </row>
    <row r="8979">
      <c r="A8979" s="6">
        <v>8977.0</v>
      </c>
      <c r="B8979" s="17">
        <f t="array" ref="B8979">SUM(1-'Sparkling Model'!D$2:D$38^A8979)</f>
        <v>36.95878661</v>
      </c>
      <c r="C8979" s="8">
        <f t="array" ref="C8979">PRODUCT(1-'Sparkling Model'!D$2:D$38^A8979)</f>
        <v>0.9593929139</v>
      </c>
    </row>
    <row r="8980">
      <c r="A8980" s="6">
        <v>8978.0</v>
      </c>
      <c r="B8980" s="17">
        <f t="array" ref="B8980">SUM(1-'Sparkling Model'!D$2:D$38^A8980)</f>
        <v>36.95880742</v>
      </c>
      <c r="C8980" s="8">
        <f t="array" ref="C8980">PRODUCT(1-'Sparkling Model'!D$2:D$38^A8980)</f>
        <v>0.9594131081</v>
      </c>
    </row>
    <row r="8981">
      <c r="A8981" s="6">
        <v>8979.0</v>
      </c>
      <c r="B8981" s="17">
        <f t="array" ref="B8981">SUM(1-'Sparkling Model'!D$2:D$38^A8981)</f>
        <v>36.95882822</v>
      </c>
      <c r="C8981" s="8">
        <f t="array" ref="C8981">PRODUCT(1-'Sparkling Model'!D$2:D$38^A8981)</f>
        <v>0.9594332921</v>
      </c>
    </row>
    <row r="8982">
      <c r="A8982" s="6">
        <v>8980.0</v>
      </c>
      <c r="B8982" s="17">
        <f t="array" ref="B8982">SUM(1-'Sparkling Model'!D$2:D$38^A8982)</f>
        <v>36.95884901</v>
      </c>
      <c r="C8982" s="8">
        <f t="array" ref="C8982">PRODUCT(1-'Sparkling Model'!D$2:D$38^A8982)</f>
        <v>0.9594534662</v>
      </c>
    </row>
    <row r="8983">
      <c r="A8983" s="6">
        <v>8981.0</v>
      </c>
      <c r="B8983" s="17">
        <f t="array" ref="B8983">SUM(1-'Sparkling Model'!D$2:D$38^A8983)</f>
        <v>36.95886979</v>
      </c>
      <c r="C8983" s="8">
        <f t="array" ref="C8983">PRODUCT(1-'Sparkling Model'!D$2:D$38^A8983)</f>
        <v>0.9594736302</v>
      </c>
    </row>
    <row r="8984">
      <c r="A8984" s="6">
        <v>8982.0</v>
      </c>
      <c r="B8984" s="17">
        <f t="array" ref="B8984">SUM(1-'Sparkling Model'!D$2:D$38^A8984)</f>
        <v>36.95889056</v>
      </c>
      <c r="C8984" s="8">
        <f t="array" ref="C8984">PRODUCT(1-'Sparkling Model'!D$2:D$38^A8984)</f>
        <v>0.9594937842</v>
      </c>
    </row>
    <row r="8985">
      <c r="A8985" s="6">
        <v>8983.0</v>
      </c>
      <c r="B8985" s="17">
        <f t="array" ref="B8985">SUM(1-'Sparkling Model'!D$2:D$38^A8985)</f>
        <v>36.95891131</v>
      </c>
      <c r="C8985" s="8">
        <f t="array" ref="C8985">PRODUCT(1-'Sparkling Model'!D$2:D$38^A8985)</f>
        <v>0.9595139282</v>
      </c>
    </row>
    <row r="8986">
      <c r="A8986" s="6">
        <v>8984.0</v>
      </c>
      <c r="B8986" s="17">
        <f t="array" ref="B8986">SUM(1-'Sparkling Model'!D$2:D$38^A8986)</f>
        <v>36.95893206</v>
      </c>
      <c r="C8986" s="8">
        <f t="array" ref="C8986">PRODUCT(1-'Sparkling Model'!D$2:D$38^A8986)</f>
        <v>0.9595340621</v>
      </c>
    </row>
    <row r="8987">
      <c r="A8987" s="6">
        <v>8985.0</v>
      </c>
      <c r="B8987" s="17">
        <f t="array" ref="B8987">SUM(1-'Sparkling Model'!D$2:D$38^A8987)</f>
        <v>36.9589528</v>
      </c>
      <c r="C8987" s="8">
        <f t="array" ref="C8987">PRODUCT(1-'Sparkling Model'!D$2:D$38^A8987)</f>
        <v>0.959554186</v>
      </c>
    </row>
    <row r="8988">
      <c r="A8988" s="6">
        <v>8986.0</v>
      </c>
      <c r="B8988" s="17">
        <f t="array" ref="B8988">SUM(1-'Sparkling Model'!D$2:D$38^A8988)</f>
        <v>36.95897352</v>
      </c>
      <c r="C8988" s="8">
        <f t="array" ref="C8988">PRODUCT(1-'Sparkling Model'!D$2:D$38^A8988)</f>
        <v>0.9595742999</v>
      </c>
    </row>
    <row r="8989">
      <c r="A8989" s="6">
        <v>8987.0</v>
      </c>
      <c r="B8989" s="17">
        <f t="array" ref="B8989">SUM(1-'Sparkling Model'!D$2:D$38^A8989)</f>
        <v>36.95899424</v>
      </c>
      <c r="C8989" s="8">
        <f t="array" ref="C8989">PRODUCT(1-'Sparkling Model'!D$2:D$38^A8989)</f>
        <v>0.9595944039</v>
      </c>
    </row>
    <row r="8990">
      <c r="A8990" s="6">
        <v>8988.0</v>
      </c>
      <c r="B8990" s="17">
        <f t="array" ref="B8990">SUM(1-'Sparkling Model'!D$2:D$38^A8990)</f>
        <v>36.95901494</v>
      </c>
      <c r="C8990" s="8">
        <f t="array" ref="C8990">PRODUCT(1-'Sparkling Model'!D$2:D$38^A8990)</f>
        <v>0.9596144978</v>
      </c>
    </row>
    <row r="8991">
      <c r="A8991" s="6">
        <v>8989.0</v>
      </c>
      <c r="B8991" s="17">
        <f t="array" ref="B8991">SUM(1-'Sparkling Model'!D$2:D$38^A8991)</f>
        <v>36.95903563</v>
      </c>
      <c r="C8991" s="8">
        <f t="array" ref="C8991">PRODUCT(1-'Sparkling Model'!D$2:D$38^A8991)</f>
        <v>0.9596345817</v>
      </c>
    </row>
    <row r="8992">
      <c r="A8992" s="6">
        <v>8990.0</v>
      </c>
      <c r="B8992" s="17">
        <f t="array" ref="B8992">SUM(1-'Sparkling Model'!D$2:D$38^A8992)</f>
        <v>36.95905632</v>
      </c>
      <c r="C8992" s="8">
        <f t="array" ref="C8992">PRODUCT(1-'Sparkling Model'!D$2:D$38^A8992)</f>
        <v>0.9596546556</v>
      </c>
    </row>
    <row r="8993">
      <c r="A8993" s="6">
        <v>8991.0</v>
      </c>
      <c r="B8993" s="17">
        <f t="array" ref="B8993">SUM(1-'Sparkling Model'!D$2:D$38^A8993)</f>
        <v>36.95907699</v>
      </c>
      <c r="C8993" s="8">
        <f t="array" ref="C8993">PRODUCT(1-'Sparkling Model'!D$2:D$38^A8993)</f>
        <v>0.9596747196</v>
      </c>
    </row>
    <row r="8994">
      <c r="A8994" s="6">
        <v>8992.0</v>
      </c>
      <c r="B8994" s="17">
        <f t="array" ref="B8994">SUM(1-'Sparkling Model'!D$2:D$38^A8994)</f>
        <v>36.95909765</v>
      </c>
      <c r="C8994" s="8">
        <f t="array" ref="C8994">PRODUCT(1-'Sparkling Model'!D$2:D$38^A8994)</f>
        <v>0.9596947735</v>
      </c>
    </row>
    <row r="8995">
      <c r="A8995" s="6">
        <v>8993.0</v>
      </c>
      <c r="B8995" s="17">
        <f t="array" ref="B8995">SUM(1-'Sparkling Model'!D$2:D$38^A8995)</f>
        <v>36.9591183</v>
      </c>
      <c r="C8995" s="8">
        <f t="array" ref="C8995">PRODUCT(1-'Sparkling Model'!D$2:D$38^A8995)</f>
        <v>0.9597148175</v>
      </c>
    </row>
    <row r="8996">
      <c r="A8996" s="6">
        <v>8994.0</v>
      </c>
      <c r="B8996" s="17">
        <f t="array" ref="B8996">SUM(1-'Sparkling Model'!D$2:D$38^A8996)</f>
        <v>36.95913894</v>
      </c>
      <c r="C8996" s="8">
        <f t="array" ref="C8996">PRODUCT(1-'Sparkling Model'!D$2:D$38^A8996)</f>
        <v>0.9597348515</v>
      </c>
    </row>
    <row r="8997">
      <c r="A8997" s="6">
        <v>8995.0</v>
      </c>
      <c r="B8997" s="17">
        <f t="array" ref="B8997">SUM(1-'Sparkling Model'!D$2:D$38^A8997)</f>
        <v>36.95915957</v>
      </c>
      <c r="C8997" s="8">
        <f t="array" ref="C8997">PRODUCT(1-'Sparkling Model'!D$2:D$38^A8997)</f>
        <v>0.9597548756</v>
      </c>
    </row>
    <row r="8998">
      <c r="A8998" s="6">
        <v>8996.0</v>
      </c>
      <c r="B8998" s="17">
        <f t="array" ref="B8998">SUM(1-'Sparkling Model'!D$2:D$38^A8998)</f>
        <v>36.95918019</v>
      </c>
      <c r="C8998" s="8">
        <f t="array" ref="C8998">PRODUCT(1-'Sparkling Model'!D$2:D$38^A8998)</f>
        <v>0.9597748897</v>
      </c>
    </row>
    <row r="8999">
      <c r="A8999" s="6">
        <v>8997.0</v>
      </c>
      <c r="B8999" s="17">
        <f t="array" ref="B8999">SUM(1-'Sparkling Model'!D$2:D$38^A8999)</f>
        <v>36.9592008</v>
      </c>
      <c r="C8999" s="8">
        <f t="array" ref="C8999">PRODUCT(1-'Sparkling Model'!D$2:D$38^A8999)</f>
        <v>0.9597948938</v>
      </c>
    </row>
    <row r="9000">
      <c r="A9000" s="6">
        <v>8998.0</v>
      </c>
      <c r="B9000" s="17">
        <f t="array" ref="B9000">SUM(1-'Sparkling Model'!D$2:D$38^A9000)</f>
        <v>36.9592214</v>
      </c>
      <c r="C9000" s="8">
        <f t="array" ref="C9000">PRODUCT(1-'Sparkling Model'!D$2:D$38^A9000)</f>
        <v>0.959814888</v>
      </c>
    </row>
    <row r="9001">
      <c r="A9001" s="6">
        <v>8999.0</v>
      </c>
      <c r="B9001" s="17">
        <f t="array" ref="B9001">SUM(1-'Sparkling Model'!D$2:D$38^A9001)</f>
        <v>36.95924198</v>
      </c>
      <c r="C9001" s="8">
        <f t="array" ref="C9001">PRODUCT(1-'Sparkling Model'!D$2:D$38^A9001)</f>
        <v>0.9598348722</v>
      </c>
    </row>
    <row r="9002">
      <c r="A9002" s="6">
        <v>9000.0</v>
      </c>
      <c r="B9002" s="17">
        <f t="array" ref="B9002">SUM(1-'Sparkling Model'!D$2:D$38^A9002)</f>
        <v>36.95926256</v>
      </c>
      <c r="C9002" s="8">
        <f t="array" ref="C9002">PRODUCT(1-'Sparkling Model'!D$2:D$38^A9002)</f>
        <v>0.9598548465</v>
      </c>
    </row>
    <row r="9003">
      <c r="A9003" s="6">
        <v>9001.0</v>
      </c>
      <c r="B9003" s="17">
        <f t="array" ref="B9003">SUM(1-'Sparkling Model'!D$2:D$38^A9003)</f>
        <v>36.95928313</v>
      </c>
      <c r="C9003" s="8">
        <f t="array" ref="C9003">PRODUCT(1-'Sparkling Model'!D$2:D$38^A9003)</f>
        <v>0.9598748109</v>
      </c>
    </row>
    <row r="9004">
      <c r="A9004" s="6">
        <v>9002.0</v>
      </c>
      <c r="B9004" s="17">
        <f t="array" ref="B9004">SUM(1-'Sparkling Model'!D$2:D$38^A9004)</f>
        <v>36.95930368</v>
      </c>
      <c r="C9004" s="8">
        <f t="array" ref="C9004">PRODUCT(1-'Sparkling Model'!D$2:D$38^A9004)</f>
        <v>0.9598947653</v>
      </c>
    </row>
    <row r="9005">
      <c r="A9005" s="6">
        <v>9003.0</v>
      </c>
      <c r="B9005" s="17">
        <f t="array" ref="B9005">SUM(1-'Sparkling Model'!D$2:D$38^A9005)</f>
        <v>36.95932423</v>
      </c>
      <c r="C9005" s="8">
        <f t="array" ref="C9005">PRODUCT(1-'Sparkling Model'!D$2:D$38^A9005)</f>
        <v>0.9599147098</v>
      </c>
    </row>
    <row r="9006">
      <c r="A9006" s="6">
        <v>9004.0</v>
      </c>
      <c r="B9006" s="17">
        <f t="array" ref="B9006">SUM(1-'Sparkling Model'!D$2:D$38^A9006)</f>
        <v>36.95934476</v>
      </c>
      <c r="C9006" s="8">
        <f t="array" ref="C9006">PRODUCT(1-'Sparkling Model'!D$2:D$38^A9006)</f>
        <v>0.9599346444</v>
      </c>
    </row>
    <row r="9007">
      <c r="A9007" s="6">
        <v>9005.0</v>
      </c>
      <c r="B9007" s="17">
        <f t="array" ref="B9007">SUM(1-'Sparkling Model'!D$2:D$38^A9007)</f>
        <v>36.95936529</v>
      </c>
      <c r="C9007" s="8">
        <f t="array" ref="C9007">PRODUCT(1-'Sparkling Model'!D$2:D$38^A9007)</f>
        <v>0.9599545691</v>
      </c>
    </row>
    <row r="9008">
      <c r="A9008" s="6">
        <v>9006.0</v>
      </c>
      <c r="B9008" s="17">
        <f t="array" ref="B9008">SUM(1-'Sparkling Model'!D$2:D$38^A9008)</f>
        <v>36.9593858</v>
      </c>
      <c r="C9008" s="8">
        <f t="array" ref="C9008">PRODUCT(1-'Sparkling Model'!D$2:D$38^A9008)</f>
        <v>0.9599744838</v>
      </c>
    </row>
    <row r="9009">
      <c r="A9009" s="6">
        <v>9007.0</v>
      </c>
      <c r="B9009" s="17">
        <f t="array" ref="B9009">SUM(1-'Sparkling Model'!D$2:D$38^A9009)</f>
        <v>36.9594063</v>
      </c>
      <c r="C9009" s="8">
        <f t="array" ref="C9009">PRODUCT(1-'Sparkling Model'!D$2:D$38^A9009)</f>
        <v>0.9599943887</v>
      </c>
    </row>
    <row r="9010">
      <c r="A9010" s="6">
        <v>9008.0</v>
      </c>
      <c r="B9010" s="17">
        <f t="array" ref="B9010">SUM(1-'Sparkling Model'!D$2:D$38^A9010)</f>
        <v>36.9594268</v>
      </c>
      <c r="C9010" s="8">
        <f t="array" ref="C9010">PRODUCT(1-'Sparkling Model'!D$2:D$38^A9010)</f>
        <v>0.9600142836</v>
      </c>
    </row>
    <row r="9011">
      <c r="A9011" s="6">
        <v>9009.0</v>
      </c>
      <c r="B9011" s="17">
        <f t="array" ref="B9011">SUM(1-'Sparkling Model'!D$2:D$38^A9011)</f>
        <v>36.95944728</v>
      </c>
      <c r="C9011" s="8">
        <f t="array" ref="C9011">PRODUCT(1-'Sparkling Model'!D$2:D$38^A9011)</f>
        <v>0.9600341687</v>
      </c>
    </row>
    <row r="9012">
      <c r="A9012" s="6">
        <v>9010.0</v>
      </c>
      <c r="B9012" s="17">
        <f t="array" ref="B9012">SUM(1-'Sparkling Model'!D$2:D$38^A9012)</f>
        <v>36.95946775</v>
      </c>
      <c r="C9012" s="8">
        <f t="array" ref="C9012">PRODUCT(1-'Sparkling Model'!D$2:D$38^A9012)</f>
        <v>0.9600540438</v>
      </c>
    </row>
    <row r="9013">
      <c r="A9013" s="6">
        <v>9011.0</v>
      </c>
      <c r="B9013" s="17">
        <f t="array" ref="B9013">SUM(1-'Sparkling Model'!D$2:D$38^A9013)</f>
        <v>36.95948821</v>
      </c>
      <c r="C9013" s="8">
        <f t="array" ref="C9013">PRODUCT(1-'Sparkling Model'!D$2:D$38^A9013)</f>
        <v>0.9600739091</v>
      </c>
    </row>
    <row r="9014">
      <c r="A9014" s="6">
        <v>9012.0</v>
      </c>
      <c r="B9014" s="17">
        <f t="array" ref="B9014">SUM(1-'Sparkling Model'!D$2:D$38^A9014)</f>
        <v>36.95950866</v>
      </c>
      <c r="C9014" s="8">
        <f t="array" ref="C9014">PRODUCT(1-'Sparkling Model'!D$2:D$38^A9014)</f>
        <v>0.9600937645</v>
      </c>
    </row>
    <row r="9015">
      <c r="A9015" s="6">
        <v>9013.0</v>
      </c>
      <c r="B9015" s="17">
        <f t="array" ref="B9015">SUM(1-'Sparkling Model'!D$2:D$38^A9015)</f>
        <v>36.9595291</v>
      </c>
      <c r="C9015" s="8">
        <f t="array" ref="C9015">PRODUCT(1-'Sparkling Model'!D$2:D$38^A9015)</f>
        <v>0.96011361</v>
      </c>
    </row>
    <row r="9016">
      <c r="A9016" s="6">
        <v>9014.0</v>
      </c>
      <c r="B9016" s="17">
        <f t="array" ref="B9016">SUM(1-'Sparkling Model'!D$2:D$38^A9016)</f>
        <v>36.95954953</v>
      </c>
      <c r="C9016" s="8">
        <f t="array" ref="C9016">PRODUCT(1-'Sparkling Model'!D$2:D$38^A9016)</f>
        <v>0.9601334457</v>
      </c>
    </row>
    <row r="9017">
      <c r="A9017" s="6">
        <v>9015.0</v>
      </c>
      <c r="B9017" s="17">
        <f t="array" ref="B9017">SUM(1-'Sparkling Model'!D$2:D$38^A9017)</f>
        <v>36.95956995</v>
      </c>
      <c r="C9017" s="8">
        <f t="array" ref="C9017">PRODUCT(1-'Sparkling Model'!D$2:D$38^A9017)</f>
        <v>0.9601532715</v>
      </c>
    </row>
    <row r="9018">
      <c r="A9018" s="6">
        <v>9016.0</v>
      </c>
      <c r="B9018" s="17">
        <f t="array" ref="B9018">SUM(1-'Sparkling Model'!D$2:D$38^A9018)</f>
        <v>36.95959036</v>
      </c>
      <c r="C9018" s="8">
        <f t="array" ref="C9018">PRODUCT(1-'Sparkling Model'!D$2:D$38^A9018)</f>
        <v>0.9601730874</v>
      </c>
    </row>
    <row r="9019">
      <c r="A9019" s="6">
        <v>9017.0</v>
      </c>
      <c r="B9019" s="17">
        <f t="array" ref="B9019">SUM(1-'Sparkling Model'!D$2:D$38^A9019)</f>
        <v>36.95961076</v>
      </c>
      <c r="C9019" s="8">
        <f t="array" ref="C9019">PRODUCT(1-'Sparkling Model'!D$2:D$38^A9019)</f>
        <v>0.9601928934</v>
      </c>
    </row>
    <row r="9020">
      <c r="A9020" s="6">
        <v>9018.0</v>
      </c>
      <c r="B9020" s="17">
        <f t="array" ref="B9020">SUM(1-'Sparkling Model'!D$2:D$38^A9020)</f>
        <v>36.95963115</v>
      </c>
      <c r="C9020" s="8">
        <f t="array" ref="C9020">PRODUCT(1-'Sparkling Model'!D$2:D$38^A9020)</f>
        <v>0.9602126896</v>
      </c>
    </row>
    <row r="9021">
      <c r="A9021" s="6">
        <v>9019.0</v>
      </c>
      <c r="B9021" s="17">
        <f t="array" ref="B9021">SUM(1-'Sparkling Model'!D$2:D$38^A9021)</f>
        <v>36.95965152</v>
      </c>
      <c r="C9021" s="8">
        <f t="array" ref="C9021">PRODUCT(1-'Sparkling Model'!D$2:D$38^A9021)</f>
        <v>0.960232476</v>
      </c>
    </row>
    <row r="9022">
      <c r="A9022" s="6">
        <v>9020.0</v>
      </c>
      <c r="B9022" s="17">
        <f t="array" ref="B9022">SUM(1-'Sparkling Model'!D$2:D$38^A9022)</f>
        <v>36.95967189</v>
      </c>
      <c r="C9022" s="8">
        <f t="array" ref="C9022">PRODUCT(1-'Sparkling Model'!D$2:D$38^A9022)</f>
        <v>0.9602522525</v>
      </c>
    </row>
    <row r="9023">
      <c r="A9023" s="6">
        <v>9021.0</v>
      </c>
      <c r="B9023" s="17">
        <f t="array" ref="B9023">SUM(1-'Sparkling Model'!D$2:D$38^A9023)</f>
        <v>36.95969225</v>
      </c>
      <c r="C9023" s="8">
        <f t="array" ref="C9023">PRODUCT(1-'Sparkling Model'!D$2:D$38^A9023)</f>
        <v>0.9602720192</v>
      </c>
    </row>
    <row r="9024">
      <c r="A9024" s="6">
        <v>9022.0</v>
      </c>
      <c r="B9024" s="17">
        <f t="array" ref="B9024">SUM(1-'Sparkling Model'!D$2:D$38^A9024)</f>
        <v>36.95971259</v>
      </c>
      <c r="C9024" s="8">
        <f t="array" ref="C9024">PRODUCT(1-'Sparkling Model'!D$2:D$38^A9024)</f>
        <v>0.960291776</v>
      </c>
    </row>
    <row r="9025">
      <c r="A9025" s="6">
        <v>9023.0</v>
      </c>
      <c r="B9025" s="17">
        <f t="array" ref="B9025">SUM(1-'Sparkling Model'!D$2:D$38^A9025)</f>
        <v>36.95973293</v>
      </c>
      <c r="C9025" s="8">
        <f t="array" ref="C9025">PRODUCT(1-'Sparkling Model'!D$2:D$38^A9025)</f>
        <v>0.9603115231</v>
      </c>
    </row>
    <row r="9026">
      <c r="A9026" s="6">
        <v>9024.0</v>
      </c>
      <c r="B9026" s="17">
        <f t="array" ref="B9026">SUM(1-'Sparkling Model'!D$2:D$38^A9026)</f>
        <v>36.95975325</v>
      </c>
      <c r="C9026" s="8">
        <f t="array" ref="C9026">PRODUCT(1-'Sparkling Model'!D$2:D$38^A9026)</f>
        <v>0.9603312602</v>
      </c>
    </row>
    <row r="9027">
      <c r="A9027" s="6">
        <v>9025.0</v>
      </c>
      <c r="B9027" s="17">
        <f t="array" ref="B9027">SUM(1-'Sparkling Model'!D$2:D$38^A9027)</f>
        <v>36.95977357</v>
      </c>
      <c r="C9027" s="8">
        <f t="array" ref="C9027">PRODUCT(1-'Sparkling Model'!D$2:D$38^A9027)</f>
        <v>0.9603509876</v>
      </c>
    </row>
    <row r="9028">
      <c r="A9028" s="6">
        <v>9026.0</v>
      </c>
      <c r="B9028" s="17">
        <f t="array" ref="B9028">SUM(1-'Sparkling Model'!D$2:D$38^A9028)</f>
        <v>36.95979387</v>
      </c>
      <c r="C9028" s="8">
        <f t="array" ref="C9028">PRODUCT(1-'Sparkling Model'!D$2:D$38^A9028)</f>
        <v>0.9603707052</v>
      </c>
    </row>
    <row r="9029">
      <c r="A9029" s="6">
        <v>9027.0</v>
      </c>
      <c r="B9029" s="17">
        <f t="array" ref="B9029">SUM(1-'Sparkling Model'!D$2:D$38^A9029)</f>
        <v>36.95981417</v>
      </c>
      <c r="C9029" s="8">
        <f t="array" ref="C9029">PRODUCT(1-'Sparkling Model'!D$2:D$38^A9029)</f>
        <v>0.9603904129</v>
      </c>
    </row>
    <row r="9030">
      <c r="A9030" s="6">
        <v>9028.0</v>
      </c>
      <c r="B9030" s="17">
        <f t="array" ref="B9030">SUM(1-'Sparkling Model'!D$2:D$38^A9030)</f>
        <v>36.95983445</v>
      </c>
      <c r="C9030" s="8">
        <f t="array" ref="C9030">PRODUCT(1-'Sparkling Model'!D$2:D$38^A9030)</f>
        <v>0.9604101109</v>
      </c>
    </row>
    <row r="9031">
      <c r="A9031" s="6">
        <v>9029.0</v>
      </c>
      <c r="B9031" s="17">
        <f t="array" ref="B9031">SUM(1-'Sparkling Model'!D$2:D$38^A9031)</f>
        <v>36.95985472</v>
      </c>
      <c r="C9031" s="8">
        <f t="array" ref="C9031">PRODUCT(1-'Sparkling Model'!D$2:D$38^A9031)</f>
        <v>0.960429799</v>
      </c>
    </row>
    <row r="9032">
      <c r="A9032" s="6">
        <v>9030.0</v>
      </c>
      <c r="B9032" s="17">
        <f t="array" ref="B9032">SUM(1-'Sparkling Model'!D$2:D$38^A9032)</f>
        <v>36.95987499</v>
      </c>
      <c r="C9032" s="8">
        <f t="array" ref="C9032">PRODUCT(1-'Sparkling Model'!D$2:D$38^A9032)</f>
        <v>0.9604494774</v>
      </c>
    </row>
    <row r="9033">
      <c r="A9033" s="6">
        <v>9031.0</v>
      </c>
      <c r="B9033" s="17">
        <f t="array" ref="B9033">SUM(1-'Sparkling Model'!D$2:D$38^A9033)</f>
        <v>36.95989524</v>
      </c>
      <c r="C9033" s="8">
        <f t="array" ref="C9033">PRODUCT(1-'Sparkling Model'!D$2:D$38^A9033)</f>
        <v>0.960469146</v>
      </c>
    </row>
    <row r="9034">
      <c r="A9034" s="6">
        <v>9032.0</v>
      </c>
      <c r="B9034" s="17">
        <f t="array" ref="B9034">SUM(1-'Sparkling Model'!D$2:D$38^A9034)</f>
        <v>36.95991548</v>
      </c>
      <c r="C9034" s="8">
        <f t="array" ref="C9034">PRODUCT(1-'Sparkling Model'!D$2:D$38^A9034)</f>
        <v>0.9604888047</v>
      </c>
    </row>
    <row r="9035">
      <c r="A9035" s="6">
        <v>9033.0</v>
      </c>
      <c r="B9035" s="17">
        <f t="array" ref="B9035">SUM(1-'Sparkling Model'!D$2:D$38^A9035)</f>
        <v>36.95993571</v>
      </c>
      <c r="C9035" s="8">
        <f t="array" ref="C9035">PRODUCT(1-'Sparkling Model'!D$2:D$38^A9035)</f>
        <v>0.9605084537</v>
      </c>
    </row>
    <row r="9036">
      <c r="A9036" s="6">
        <v>9034.0</v>
      </c>
      <c r="B9036" s="17">
        <f t="array" ref="B9036">SUM(1-'Sparkling Model'!D$2:D$38^A9036)</f>
        <v>36.95995593</v>
      </c>
      <c r="C9036" s="8">
        <f t="array" ref="C9036">PRODUCT(1-'Sparkling Model'!D$2:D$38^A9036)</f>
        <v>0.960528093</v>
      </c>
    </row>
    <row r="9037">
      <c r="A9037" s="6">
        <v>9035.0</v>
      </c>
      <c r="B9037" s="17">
        <f t="array" ref="B9037">SUM(1-'Sparkling Model'!D$2:D$38^A9037)</f>
        <v>36.95997614</v>
      </c>
      <c r="C9037" s="8">
        <f t="array" ref="C9037">PRODUCT(1-'Sparkling Model'!D$2:D$38^A9037)</f>
        <v>0.9605477224</v>
      </c>
    </row>
    <row r="9038">
      <c r="A9038" s="6">
        <v>9036.0</v>
      </c>
      <c r="B9038" s="17">
        <f t="array" ref="B9038">SUM(1-'Sparkling Model'!D$2:D$38^A9038)</f>
        <v>36.95999634</v>
      </c>
      <c r="C9038" s="8">
        <f t="array" ref="C9038">PRODUCT(1-'Sparkling Model'!D$2:D$38^A9038)</f>
        <v>0.9605673421</v>
      </c>
    </row>
    <row r="9039">
      <c r="A9039" s="6">
        <v>9037.0</v>
      </c>
      <c r="B9039" s="17">
        <f t="array" ref="B9039">SUM(1-'Sparkling Model'!D$2:D$38^A9039)</f>
        <v>36.96001653</v>
      </c>
      <c r="C9039" s="8">
        <f t="array" ref="C9039">PRODUCT(1-'Sparkling Model'!D$2:D$38^A9039)</f>
        <v>0.9605869521</v>
      </c>
    </row>
    <row r="9040">
      <c r="A9040" s="6">
        <v>9038.0</v>
      </c>
      <c r="B9040" s="17">
        <f t="array" ref="B9040">SUM(1-'Sparkling Model'!D$2:D$38^A9040)</f>
        <v>36.96003671</v>
      </c>
      <c r="C9040" s="8">
        <f t="array" ref="C9040">PRODUCT(1-'Sparkling Model'!D$2:D$38^A9040)</f>
        <v>0.9606065522</v>
      </c>
    </row>
    <row r="9041">
      <c r="A9041" s="6">
        <v>9039.0</v>
      </c>
      <c r="B9041" s="17">
        <f t="array" ref="B9041">SUM(1-'Sparkling Model'!D$2:D$38^A9041)</f>
        <v>36.96005688</v>
      </c>
      <c r="C9041" s="8">
        <f t="array" ref="C9041">PRODUCT(1-'Sparkling Model'!D$2:D$38^A9041)</f>
        <v>0.9606261427</v>
      </c>
    </row>
    <row r="9042">
      <c r="A9042" s="6">
        <v>9040.0</v>
      </c>
      <c r="B9042" s="17">
        <f t="array" ref="B9042">SUM(1-'Sparkling Model'!D$2:D$38^A9042)</f>
        <v>36.96007704</v>
      </c>
      <c r="C9042" s="8">
        <f t="array" ref="C9042">PRODUCT(1-'Sparkling Model'!D$2:D$38^A9042)</f>
        <v>0.9606457234</v>
      </c>
    </row>
    <row r="9043">
      <c r="A9043" s="6">
        <v>9041.0</v>
      </c>
      <c r="B9043" s="17">
        <f t="array" ref="B9043">SUM(1-'Sparkling Model'!D$2:D$38^A9043)</f>
        <v>36.96009719</v>
      </c>
      <c r="C9043" s="8">
        <f t="array" ref="C9043">PRODUCT(1-'Sparkling Model'!D$2:D$38^A9043)</f>
        <v>0.9606652943</v>
      </c>
    </row>
    <row r="9044">
      <c r="A9044" s="6">
        <v>9042.0</v>
      </c>
      <c r="B9044" s="17">
        <f t="array" ref="B9044">SUM(1-'Sparkling Model'!D$2:D$38^A9044)</f>
        <v>36.96011733</v>
      </c>
      <c r="C9044" s="8">
        <f t="array" ref="C9044">PRODUCT(1-'Sparkling Model'!D$2:D$38^A9044)</f>
        <v>0.9606848555</v>
      </c>
    </row>
    <row r="9045">
      <c r="A9045" s="6">
        <v>9043.0</v>
      </c>
      <c r="B9045" s="17">
        <f t="array" ref="B9045">SUM(1-'Sparkling Model'!D$2:D$38^A9045)</f>
        <v>36.96013746</v>
      </c>
      <c r="C9045" s="8">
        <f t="array" ref="C9045">PRODUCT(1-'Sparkling Model'!D$2:D$38^A9045)</f>
        <v>0.960704407</v>
      </c>
    </row>
    <row r="9046">
      <c r="A9046" s="6">
        <v>9044.0</v>
      </c>
      <c r="B9046" s="17">
        <f t="array" ref="B9046">SUM(1-'Sparkling Model'!D$2:D$38^A9046)</f>
        <v>36.96015758</v>
      </c>
      <c r="C9046" s="8">
        <f t="array" ref="C9046">PRODUCT(1-'Sparkling Model'!D$2:D$38^A9046)</f>
        <v>0.9607239487</v>
      </c>
    </row>
    <row r="9047">
      <c r="A9047" s="6">
        <v>9045.0</v>
      </c>
      <c r="B9047" s="17">
        <f t="array" ref="B9047">SUM(1-'Sparkling Model'!D$2:D$38^A9047)</f>
        <v>36.96017768</v>
      </c>
      <c r="C9047" s="8">
        <f t="array" ref="C9047">PRODUCT(1-'Sparkling Model'!D$2:D$38^A9047)</f>
        <v>0.9607434808</v>
      </c>
    </row>
    <row r="9048">
      <c r="A9048" s="6">
        <v>9046.0</v>
      </c>
      <c r="B9048" s="17">
        <f t="array" ref="B9048">SUM(1-'Sparkling Model'!D$2:D$38^A9048)</f>
        <v>36.96019778</v>
      </c>
      <c r="C9048" s="8">
        <f t="array" ref="C9048">PRODUCT(1-'Sparkling Model'!D$2:D$38^A9048)</f>
        <v>0.9607630031</v>
      </c>
    </row>
    <row r="9049">
      <c r="A9049" s="6">
        <v>9047.0</v>
      </c>
      <c r="B9049" s="17">
        <f t="array" ref="B9049">SUM(1-'Sparkling Model'!D$2:D$38^A9049)</f>
        <v>36.96021787</v>
      </c>
      <c r="C9049" s="8">
        <f t="array" ref="C9049">PRODUCT(1-'Sparkling Model'!D$2:D$38^A9049)</f>
        <v>0.9607825157</v>
      </c>
    </row>
    <row r="9050">
      <c r="A9050" s="6">
        <v>9048.0</v>
      </c>
      <c r="B9050" s="17">
        <f t="array" ref="B9050">SUM(1-'Sparkling Model'!D$2:D$38^A9050)</f>
        <v>36.96023794</v>
      </c>
      <c r="C9050" s="8">
        <f t="array" ref="C9050">PRODUCT(1-'Sparkling Model'!D$2:D$38^A9050)</f>
        <v>0.9608020186</v>
      </c>
    </row>
    <row r="9051">
      <c r="A9051" s="6">
        <v>9049.0</v>
      </c>
      <c r="B9051" s="17">
        <f t="array" ref="B9051">SUM(1-'Sparkling Model'!D$2:D$38^A9051)</f>
        <v>36.96025801</v>
      </c>
      <c r="C9051" s="8">
        <f t="array" ref="C9051">PRODUCT(1-'Sparkling Model'!D$2:D$38^A9051)</f>
        <v>0.9608215117</v>
      </c>
    </row>
    <row r="9052">
      <c r="A9052" s="6">
        <v>9050.0</v>
      </c>
      <c r="B9052" s="17">
        <f t="array" ref="B9052">SUM(1-'Sparkling Model'!D$2:D$38^A9052)</f>
        <v>36.96027807</v>
      </c>
      <c r="C9052" s="8">
        <f t="array" ref="C9052">PRODUCT(1-'Sparkling Model'!D$2:D$38^A9052)</f>
        <v>0.9608409952</v>
      </c>
    </row>
    <row r="9053">
      <c r="A9053" s="6">
        <v>9051.0</v>
      </c>
      <c r="B9053" s="17">
        <f t="array" ref="B9053">SUM(1-'Sparkling Model'!D$2:D$38^A9053)</f>
        <v>36.96029811</v>
      </c>
      <c r="C9053" s="8">
        <f t="array" ref="C9053">PRODUCT(1-'Sparkling Model'!D$2:D$38^A9053)</f>
        <v>0.960860469</v>
      </c>
    </row>
    <row r="9054">
      <c r="A9054" s="6">
        <v>9052.0</v>
      </c>
      <c r="B9054" s="17">
        <f t="array" ref="B9054">SUM(1-'Sparkling Model'!D$2:D$38^A9054)</f>
        <v>36.96031815</v>
      </c>
      <c r="C9054" s="8">
        <f t="array" ref="C9054">PRODUCT(1-'Sparkling Model'!D$2:D$38^A9054)</f>
        <v>0.9608799331</v>
      </c>
    </row>
    <row r="9055">
      <c r="A9055" s="6">
        <v>9053.0</v>
      </c>
      <c r="B9055" s="17">
        <f t="array" ref="B9055">SUM(1-'Sparkling Model'!D$2:D$38^A9055)</f>
        <v>36.96033817</v>
      </c>
      <c r="C9055" s="8">
        <f t="array" ref="C9055">PRODUCT(1-'Sparkling Model'!D$2:D$38^A9055)</f>
        <v>0.9608993876</v>
      </c>
    </row>
    <row r="9056">
      <c r="A9056" s="6">
        <v>9054.0</v>
      </c>
      <c r="B9056" s="17">
        <f t="array" ref="B9056">SUM(1-'Sparkling Model'!D$2:D$38^A9056)</f>
        <v>36.96035819</v>
      </c>
      <c r="C9056" s="8">
        <f t="array" ref="C9056">PRODUCT(1-'Sparkling Model'!D$2:D$38^A9056)</f>
        <v>0.9609188323</v>
      </c>
    </row>
    <row r="9057">
      <c r="A9057" s="6">
        <v>9055.0</v>
      </c>
      <c r="B9057" s="17">
        <f t="array" ref="B9057">SUM(1-'Sparkling Model'!D$2:D$38^A9057)</f>
        <v>36.96037819</v>
      </c>
      <c r="C9057" s="8">
        <f t="array" ref="C9057">PRODUCT(1-'Sparkling Model'!D$2:D$38^A9057)</f>
        <v>0.9609382674</v>
      </c>
    </row>
    <row r="9058">
      <c r="A9058" s="6">
        <v>9056.0</v>
      </c>
      <c r="B9058" s="17">
        <f t="array" ref="B9058">SUM(1-'Sparkling Model'!D$2:D$38^A9058)</f>
        <v>36.96039819</v>
      </c>
      <c r="C9058" s="8">
        <f t="array" ref="C9058">PRODUCT(1-'Sparkling Model'!D$2:D$38^A9058)</f>
        <v>0.9609576928</v>
      </c>
    </row>
    <row r="9059">
      <c r="A9059" s="6">
        <v>9057.0</v>
      </c>
      <c r="B9059" s="17">
        <f t="array" ref="B9059">SUM(1-'Sparkling Model'!D$2:D$38^A9059)</f>
        <v>36.96041817</v>
      </c>
      <c r="C9059" s="8">
        <f t="array" ref="C9059">PRODUCT(1-'Sparkling Model'!D$2:D$38^A9059)</f>
        <v>0.9609771086</v>
      </c>
    </row>
    <row r="9060">
      <c r="A9060" s="6">
        <v>9058.0</v>
      </c>
      <c r="B9060" s="17">
        <f t="array" ref="B9060">SUM(1-'Sparkling Model'!D$2:D$38^A9060)</f>
        <v>36.96043814</v>
      </c>
      <c r="C9060" s="8">
        <f t="array" ref="C9060">PRODUCT(1-'Sparkling Model'!D$2:D$38^A9060)</f>
        <v>0.9609965146</v>
      </c>
    </row>
    <row r="9061">
      <c r="A9061" s="6">
        <v>9059.0</v>
      </c>
      <c r="B9061" s="17">
        <f t="array" ref="B9061">SUM(1-'Sparkling Model'!D$2:D$38^A9061)</f>
        <v>36.96045811</v>
      </c>
      <c r="C9061" s="8">
        <f t="array" ref="C9061">PRODUCT(1-'Sparkling Model'!D$2:D$38^A9061)</f>
        <v>0.9610159111</v>
      </c>
    </row>
    <row r="9062">
      <c r="A9062" s="6">
        <v>9060.0</v>
      </c>
      <c r="B9062" s="17">
        <f t="array" ref="B9062">SUM(1-'Sparkling Model'!D$2:D$38^A9062)</f>
        <v>36.96047806</v>
      </c>
      <c r="C9062" s="8">
        <f t="array" ref="C9062">PRODUCT(1-'Sparkling Model'!D$2:D$38^A9062)</f>
        <v>0.9610352979</v>
      </c>
    </row>
    <row r="9063">
      <c r="A9063" s="6">
        <v>9061.0</v>
      </c>
      <c r="B9063" s="17">
        <f t="array" ref="B9063">SUM(1-'Sparkling Model'!D$2:D$38^A9063)</f>
        <v>36.960498</v>
      </c>
      <c r="C9063" s="8">
        <f t="array" ref="C9063">PRODUCT(1-'Sparkling Model'!D$2:D$38^A9063)</f>
        <v>0.961054675</v>
      </c>
    </row>
    <row r="9064">
      <c r="A9064" s="6">
        <v>9062.0</v>
      </c>
      <c r="B9064" s="17">
        <f t="array" ref="B9064">SUM(1-'Sparkling Model'!D$2:D$38^A9064)</f>
        <v>36.96051794</v>
      </c>
      <c r="C9064" s="8">
        <f t="array" ref="C9064">PRODUCT(1-'Sparkling Model'!D$2:D$38^A9064)</f>
        <v>0.9610740425</v>
      </c>
    </row>
    <row r="9065">
      <c r="A9065" s="6">
        <v>9063.0</v>
      </c>
      <c r="B9065" s="17">
        <f t="array" ref="B9065">SUM(1-'Sparkling Model'!D$2:D$38^A9065)</f>
        <v>36.96053786</v>
      </c>
      <c r="C9065" s="8">
        <f t="array" ref="C9065">PRODUCT(1-'Sparkling Model'!D$2:D$38^A9065)</f>
        <v>0.9610934004</v>
      </c>
    </row>
    <row r="9066">
      <c r="A9066" s="6">
        <v>9064.0</v>
      </c>
      <c r="B9066" s="17">
        <f t="array" ref="B9066">SUM(1-'Sparkling Model'!D$2:D$38^A9066)</f>
        <v>36.96055777</v>
      </c>
      <c r="C9066" s="8">
        <f t="array" ref="C9066">PRODUCT(1-'Sparkling Model'!D$2:D$38^A9066)</f>
        <v>0.9611127486</v>
      </c>
    </row>
    <row r="9067">
      <c r="A9067" s="6">
        <v>9065.0</v>
      </c>
      <c r="B9067" s="17">
        <f t="array" ref="B9067">SUM(1-'Sparkling Model'!D$2:D$38^A9067)</f>
        <v>36.96057767</v>
      </c>
      <c r="C9067" s="8">
        <f t="array" ref="C9067">PRODUCT(1-'Sparkling Model'!D$2:D$38^A9067)</f>
        <v>0.9611320872</v>
      </c>
    </row>
    <row r="9068">
      <c r="A9068" s="6">
        <v>9066.0</v>
      </c>
      <c r="B9068" s="17">
        <f t="array" ref="B9068">SUM(1-'Sparkling Model'!D$2:D$38^A9068)</f>
        <v>36.96059757</v>
      </c>
      <c r="C9068" s="8">
        <f t="array" ref="C9068">PRODUCT(1-'Sparkling Model'!D$2:D$38^A9068)</f>
        <v>0.9611514162</v>
      </c>
    </row>
    <row r="9069">
      <c r="A9069" s="6">
        <v>9067.0</v>
      </c>
      <c r="B9069" s="17">
        <f t="array" ref="B9069">SUM(1-'Sparkling Model'!D$2:D$38^A9069)</f>
        <v>36.96061745</v>
      </c>
      <c r="C9069" s="8">
        <f t="array" ref="C9069">PRODUCT(1-'Sparkling Model'!D$2:D$38^A9069)</f>
        <v>0.9611707355</v>
      </c>
    </row>
    <row r="9070">
      <c r="A9070" s="6">
        <v>9068.0</v>
      </c>
      <c r="B9070" s="17">
        <f t="array" ref="B9070">SUM(1-'Sparkling Model'!D$2:D$38^A9070)</f>
        <v>36.96063732</v>
      </c>
      <c r="C9070" s="8">
        <f t="array" ref="C9070">PRODUCT(1-'Sparkling Model'!D$2:D$38^A9070)</f>
        <v>0.9611900453</v>
      </c>
    </row>
    <row r="9071">
      <c r="A9071" s="6">
        <v>9069.0</v>
      </c>
      <c r="B9071" s="17">
        <f t="array" ref="B9071">SUM(1-'Sparkling Model'!D$2:D$38^A9071)</f>
        <v>36.96065718</v>
      </c>
      <c r="C9071" s="8">
        <f t="array" ref="C9071">PRODUCT(1-'Sparkling Model'!D$2:D$38^A9071)</f>
        <v>0.9612093455</v>
      </c>
    </row>
    <row r="9072">
      <c r="A9072" s="6">
        <v>9070.0</v>
      </c>
      <c r="B9072" s="17">
        <f t="array" ref="B9072">SUM(1-'Sparkling Model'!D$2:D$38^A9072)</f>
        <v>36.96067703</v>
      </c>
      <c r="C9072" s="8">
        <f t="array" ref="C9072">PRODUCT(1-'Sparkling Model'!D$2:D$38^A9072)</f>
        <v>0.961228636</v>
      </c>
    </row>
    <row r="9073">
      <c r="A9073" s="6">
        <v>9071.0</v>
      </c>
      <c r="B9073" s="17">
        <f t="array" ref="B9073">SUM(1-'Sparkling Model'!D$2:D$38^A9073)</f>
        <v>36.96069688</v>
      </c>
      <c r="C9073" s="8">
        <f t="array" ref="C9073">PRODUCT(1-'Sparkling Model'!D$2:D$38^A9073)</f>
        <v>0.961247917</v>
      </c>
    </row>
    <row r="9074">
      <c r="A9074" s="6">
        <v>9072.0</v>
      </c>
      <c r="B9074" s="17">
        <f t="array" ref="B9074">SUM(1-'Sparkling Model'!D$2:D$38^A9074)</f>
        <v>36.96071671</v>
      </c>
      <c r="C9074" s="8">
        <f t="array" ref="C9074">PRODUCT(1-'Sparkling Model'!D$2:D$38^A9074)</f>
        <v>0.9612671883</v>
      </c>
    </row>
    <row r="9075">
      <c r="A9075" s="6">
        <v>9073.0</v>
      </c>
      <c r="B9075" s="17">
        <f t="array" ref="B9075">SUM(1-'Sparkling Model'!D$2:D$38^A9075)</f>
        <v>36.96073653</v>
      </c>
      <c r="C9075" s="8">
        <f t="array" ref="C9075">PRODUCT(1-'Sparkling Model'!D$2:D$38^A9075)</f>
        <v>0.9612864501</v>
      </c>
    </row>
    <row r="9076">
      <c r="A9076" s="6">
        <v>9074.0</v>
      </c>
      <c r="B9076" s="17">
        <f t="array" ref="B9076">SUM(1-'Sparkling Model'!D$2:D$38^A9076)</f>
        <v>36.96075634</v>
      </c>
      <c r="C9076" s="8">
        <f t="array" ref="C9076">PRODUCT(1-'Sparkling Model'!D$2:D$38^A9076)</f>
        <v>0.9613057023</v>
      </c>
    </row>
    <row r="9077">
      <c r="A9077" s="6">
        <v>9075.0</v>
      </c>
      <c r="B9077" s="17">
        <f t="array" ref="B9077">SUM(1-'Sparkling Model'!D$2:D$38^A9077)</f>
        <v>36.96077614</v>
      </c>
      <c r="C9077" s="8">
        <f t="array" ref="C9077">PRODUCT(1-'Sparkling Model'!D$2:D$38^A9077)</f>
        <v>0.9613249449</v>
      </c>
    </row>
    <row r="9078">
      <c r="A9078" s="6">
        <v>9076.0</v>
      </c>
      <c r="B9078" s="17">
        <f t="array" ref="B9078">SUM(1-'Sparkling Model'!D$2:D$38^A9078)</f>
        <v>36.96079593</v>
      </c>
      <c r="C9078" s="8">
        <f t="array" ref="C9078">PRODUCT(1-'Sparkling Model'!D$2:D$38^A9078)</f>
        <v>0.9613441779</v>
      </c>
    </row>
    <row r="9079">
      <c r="A9079" s="6">
        <v>9077.0</v>
      </c>
      <c r="B9079" s="17">
        <f t="array" ref="B9079">SUM(1-'Sparkling Model'!D$2:D$38^A9079)</f>
        <v>36.96081571</v>
      </c>
      <c r="C9079" s="8">
        <f t="array" ref="C9079">PRODUCT(1-'Sparkling Model'!D$2:D$38^A9079)</f>
        <v>0.9613634014</v>
      </c>
    </row>
    <row r="9080">
      <c r="A9080" s="6">
        <v>9078.0</v>
      </c>
      <c r="B9080" s="17">
        <f t="array" ref="B9080">SUM(1-'Sparkling Model'!D$2:D$38^A9080)</f>
        <v>36.96083548</v>
      </c>
      <c r="C9080" s="8">
        <f t="array" ref="C9080">PRODUCT(1-'Sparkling Model'!D$2:D$38^A9080)</f>
        <v>0.9613826153</v>
      </c>
    </row>
    <row r="9081">
      <c r="A9081" s="6">
        <v>9079.0</v>
      </c>
      <c r="B9081" s="17">
        <f t="array" ref="B9081">SUM(1-'Sparkling Model'!D$2:D$38^A9081)</f>
        <v>36.96085524</v>
      </c>
      <c r="C9081" s="8">
        <f t="array" ref="C9081">PRODUCT(1-'Sparkling Model'!D$2:D$38^A9081)</f>
        <v>0.9614018196</v>
      </c>
    </row>
    <row r="9082">
      <c r="A9082" s="6">
        <v>9080.0</v>
      </c>
      <c r="B9082" s="17">
        <f t="array" ref="B9082">SUM(1-'Sparkling Model'!D$2:D$38^A9082)</f>
        <v>36.96087499</v>
      </c>
      <c r="C9082" s="8">
        <f t="array" ref="C9082">PRODUCT(1-'Sparkling Model'!D$2:D$38^A9082)</f>
        <v>0.9614210144</v>
      </c>
    </row>
    <row r="9083">
      <c r="A9083" s="6">
        <v>9081.0</v>
      </c>
      <c r="B9083" s="17">
        <f t="array" ref="B9083">SUM(1-'Sparkling Model'!D$2:D$38^A9083)</f>
        <v>36.96089473</v>
      </c>
      <c r="C9083" s="8">
        <f t="array" ref="C9083">PRODUCT(1-'Sparkling Model'!D$2:D$38^A9083)</f>
        <v>0.9614401997</v>
      </c>
    </row>
    <row r="9084">
      <c r="A9084" s="6">
        <v>9082.0</v>
      </c>
      <c r="B9084" s="17">
        <f t="array" ref="B9084">SUM(1-'Sparkling Model'!D$2:D$38^A9084)</f>
        <v>36.96091446</v>
      </c>
      <c r="C9084" s="8">
        <f t="array" ref="C9084">PRODUCT(1-'Sparkling Model'!D$2:D$38^A9084)</f>
        <v>0.9614593754</v>
      </c>
    </row>
    <row r="9085">
      <c r="A9085" s="6">
        <v>9083.0</v>
      </c>
      <c r="B9085" s="17">
        <f t="array" ref="B9085">SUM(1-'Sparkling Model'!D$2:D$38^A9085)</f>
        <v>36.96093418</v>
      </c>
      <c r="C9085" s="8">
        <f t="array" ref="C9085">PRODUCT(1-'Sparkling Model'!D$2:D$38^A9085)</f>
        <v>0.9614785415</v>
      </c>
    </row>
    <row r="9086">
      <c r="A9086" s="6">
        <v>9084.0</v>
      </c>
      <c r="B9086" s="17">
        <f t="array" ref="B9086">SUM(1-'Sparkling Model'!D$2:D$38^A9086)</f>
        <v>36.96095389</v>
      </c>
      <c r="C9086" s="8">
        <f t="array" ref="C9086">PRODUCT(1-'Sparkling Model'!D$2:D$38^A9086)</f>
        <v>0.9614976982</v>
      </c>
    </row>
    <row r="9087">
      <c r="A9087" s="6">
        <v>9085.0</v>
      </c>
      <c r="B9087" s="17">
        <f t="array" ref="B9087">SUM(1-'Sparkling Model'!D$2:D$38^A9087)</f>
        <v>36.96097359</v>
      </c>
      <c r="C9087" s="8">
        <f t="array" ref="C9087">PRODUCT(1-'Sparkling Model'!D$2:D$38^A9087)</f>
        <v>0.9615168452</v>
      </c>
    </row>
    <row r="9088">
      <c r="A9088" s="6">
        <v>9086.0</v>
      </c>
      <c r="B9088" s="17">
        <f t="array" ref="B9088">SUM(1-'Sparkling Model'!D$2:D$38^A9088)</f>
        <v>36.96099328</v>
      </c>
      <c r="C9088" s="8">
        <f t="array" ref="C9088">PRODUCT(1-'Sparkling Model'!D$2:D$38^A9088)</f>
        <v>0.9615359828</v>
      </c>
    </row>
    <row r="9089">
      <c r="A9089" s="6">
        <v>9087.0</v>
      </c>
      <c r="B9089" s="17">
        <f t="array" ref="B9089">SUM(1-'Sparkling Model'!D$2:D$38^A9089)</f>
        <v>36.96101296</v>
      </c>
      <c r="C9089" s="8">
        <f t="array" ref="C9089">PRODUCT(1-'Sparkling Model'!D$2:D$38^A9089)</f>
        <v>0.9615551109</v>
      </c>
    </row>
    <row r="9090">
      <c r="A9090" s="6">
        <v>9088.0</v>
      </c>
      <c r="B9090" s="17">
        <f t="array" ref="B9090">SUM(1-'Sparkling Model'!D$2:D$38^A9090)</f>
        <v>36.96103263</v>
      </c>
      <c r="C9090" s="8">
        <f t="array" ref="C9090">PRODUCT(1-'Sparkling Model'!D$2:D$38^A9090)</f>
        <v>0.9615742294</v>
      </c>
    </row>
    <row r="9091">
      <c r="A9091" s="6">
        <v>9089.0</v>
      </c>
      <c r="B9091" s="17">
        <f t="array" ref="B9091">SUM(1-'Sparkling Model'!D$2:D$38^A9091)</f>
        <v>36.96105228</v>
      </c>
      <c r="C9091" s="8">
        <f t="array" ref="C9091">PRODUCT(1-'Sparkling Model'!D$2:D$38^A9091)</f>
        <v>0.9615933384</v>
      </c>
    </row>
    <row r="9092">
      <c r="A9092" s="6">
        <v>9090.0</v>
      </c>
      <c r="B9092" s="17">
        <f t="array" ref="B9092">SUM(1-'Sparkling Model'!D$2:D$38^A9092)</f>
        <v>36.96107193</v>
      </c>
      <c r="C9092" s="8">
        <f t="array" ref="C9092">PRODUCT(1-'Sparkling Model'!D$2:D$38^A9092)</f>
        <v>0.9616124379</v>
      </c>
    </row>
    <row r="9093">
      <c r="A9093" s="6">
        <v>9091.0</v>
      </c>
      <c r="B9093" s="17">
        <f t="array" ref="B9093">SUM(1-'Sparkling Model'!D$2:D$38^A9093)</f>
        <v>36.96109157</v>
      </c>
      <c r="C9093" s="8">
        <f t="array" ref="C9093">PRODUCT(1-'Sparkling Model'!D$2:D$38^A9093)</f>
        <v>0.9616315279</v>
      </c>
    </row>
    <row r="9094">
      <c r="A9094" s="6">
        <v>9092.0</v>
      </c>
      <c r="B9094" s="17">
        <f t="array" ref="B9094">SUM(1-'Sparkling Model'!D$2:D$38^A9094)</f>
        <v>36.9611112</v>
      </c>
      <c r="C9094" s="8">
        <f t="array" ref="C9094">PRODUCT(1-'Sparkling Model'!D$2:D$38^A9094)</f>
        <v>0.9616506084</v>
      </c>
    </row>
    <row r="9095">
      <c r="A9095" s="6">
        <v>9093.0</v>
      </c>
      <c r="B9095" s="17">
        <f t="array" ref="B9095">SUM(1-'Sparkling Model'!D$2:D$38^A9095)</f>
        <v>36.96113082</v>
      </c>
      <c r="C9095" s="8">
        <f t="array" ref="C9095">PRODUCT(1-'Sparkling Model'!D$2:D$38^A9095)</f>
        <v>0.9616696794</v>
      </c>
    </row>
    <row r="9096">
      <c r="A9096" s="6">
        <v>9094.0</v>
      </c>
      <c r="B9096" s="17">
        <f t="array" ref="B9096">SUM(1-'Sparkling Model'!D$2:D$38^A9096)</f>
        <v>36.96115043</v>
      </c>
      <c r="C9096" s="8">
        <f t="array" ref="C9096">PRODUCT(1-'Sparkling Model'!D$2:D$38^A9096)</f>
        <v>0.961688741</v>
      </c>
    </row>
    <row r="9097">
      <c r="A9097" s="6">
        <v>9095.0</v>
      </c>
      <c r="B9097" s="17">
        <f t="array" ref="B9097">SUM(1-'Sparkling Model'!D$2:D$38^A9097)</f>
        <v>36.96117003</v>
      </c>
      <c r="C9097" s="8">
        <f t="array" ref="C9097">PRODUCT(1-'Sparkling Model'!D$2:D$38^A9097)</f>
        <v>0.961707793</v>
      </c>
    </row>
    <row r="9098">
      <c r="A9098" s="6">
        <v>9096.0</v>
      </c>
      <c r="B9098" s="17">
        <f t="array" ref="B9098">SUM(1-'Sparkling Model'!D$2:D$38^A9098)</f>
        <v>36.96118962</v>
      </c>
      <c r="C9098" s="8">
        <f t="array" ref="C9098">PRODUCT(1-'Sparkling Model'!D$2:D$38^A9098)</f>
        <v>0.9617268356</v>
      </c>
    </row>
    <row r="9099">
      <c r="A9099" s="6">
        <v>9097.0</v>
      </c>
      <c r="B9099" s="17">
        <f t="array" ref="B9099">SUM(1-'Sparkling Model'!D$2:D$38^A9099)</f>
        <v>36.9612092</v>
      </c>
      <c r="C9099" s="8">
        <f t="array" ref="C9099">PRODUCT(1-'Sparkling Model'!D$2:D$38^A9099)</f>
        <v>0.9617458687</v>
      </c>
    </row>
    <row r="9100">
      <c r="A9100" s="6">
        <v>9098.0</v>
      </c>
      <c r="B9100" s="17">
        <f t="array" ref="B9100">SUM(1-'Sparkling Model'!D$2:D$38^A9100)</f>
        <v>36.96122876</v>
      </c>
      <c r="C9100" s="8">
        <f t="array" ref="C9100">PRODUCT(1-'Sparkling Model'!D$2:D$38^A9100)</f>
        <v>0.9617648923</v>
      </c>
    </row>
    <row r="9101">
      <c r="A9101" s="6">
        <v>9099.0</v>
      </c>
      <c r="B9101" s="17">
        <f t="array" ref="B9101">SUM(1-'Sparkling Model'!D$2:D$38^A9101)</f>
        <v>36.96124832</v>
      </c>
      <c r="C9101" s="8">
        <f t="array" ref="C9101">PRODUCT(1-'Sparkling Model'!D$2:D$38^A9101)</f>
        <v>0.9617839065</v>
      </c>
    </row>
    <row r="9102">
      <c r="A9102" s="6">
        <v>9100.0</v>
      </c>
      <c r="B9102" s="17">
        <f t="array" ref="B9102">SUM(1-'Sparkling Model'!D$2:D$38^A9102)</f>
        <v>36.96126787</v>
      </c>
      <c r="C9102" s="8">
        <f t="array" ref="C9102">PRODUCT(1-'Sparkling Model'!D$2:D$38^A9102)</f>
        <v>0.9618029112</v>
      </c>
    </row>
    <row r="9103">
      <c r="A9103" s="6">
        <v>9101.0</v>
      </c>
      <c r="B9103" s="17">
        <f t="array" ref="B9103">SUM(1-'Sparkling Model'!D$2:D$38^A9103)</f>
        <v>36.96128741</v>
      </c>
      <c r="C9103" s="8">
        <f t="array" ref="C9103">PRODUCT(1-'Sparkling Model'!D$2:D$38^A9103)</f>
        <v>0.9618219064</v>
      </c>
    </row>
    <row r="9104">
      <c r="A9104" s="6">
        <v>9102.0</v>
      </c>
      <c r="B9104" s="17">
        <f t="array" ref="B9104">SUM(1-'Sparkling Model'!D$2:D$38^A9104)</f>
        <v>36.96130694</v>
      </c>
      <c r="C9104" s="8">
        <f t="array" ref="C9104">PRODUCT(1-'Sparkling Model'!D$2:D$38^A9104)</f>
        <v>0.9618408922</v>
      </c>
    </row>
    <row r="9105">
      <c r="A9105" s="6">
        <v>9103.0</v>
      </c>
      <c r="B9105" s="17">
        <f t="array" ref="B9105">SUM(1-'Sparkling Model'!D$2:D$38^A9105)</f>
        <v>36.96132646</v>
      </c>
      <c r="C9105" s="8">
        <f t="array" ref="C9105">PRODUCT(1-'Sparkling Model'!D$2:D$38^A9105)</f>
        <v>0.9618598685</v>
      </c>
    </row>
    <row r="9106">
      <c r="A9106" s="6">
        <v>9104.0</v>
      </c>
      <c r="B9106" s="17">
        <f t="array" ref="B9106">SUM(1-'Sparkling Model'!D$2:D$38^A9106)</f>
        <v>36.96134597</v>
      </c>
      <c r="C9106" s="8">
        <f t="array" ref="C9106">PRODUCT(1-'Sparkling Model'!D$2:D$38^A9106)</f>
        <v>0.9618788354</v>
      </c>
    </row>
    <row r="9107">
      <c r="A9107" s="6">
        <v>9105.0</v>
      </c>
      <c r="B9107" s="17">
        <f t="array" ref="B9107">SUM(1-'Sparkling Model'!D$2:D$38^A9107)</f>
        <v>36.96136546</v>
      </c>
      <c r="C9107" s="8">
        <f t="array" ref="C9107">PRODUCT(1-'Sparkling Model'!D$2:D$38^A9107)</f>
        <v>0.9618977929</v>
      </c>
    </row>
    <row r="9108">
      <c r="A9108" s="6">
        <v>9106.0</v>
      </c>
      <c r="B9108" s="17">
        <f t="array" ref="B9108">SUM(1-'Sparkling Model'!D$2:D$38^A9108)</f>
        <v>36.96138495</v>
      </c>
      <c r="C9108" s="8">
        <f t="array" ref="C9108">PRODUCT(1-'Sparkling Model'!D$2:D$38^A9108)</f>
        <v>0.9619167409</v>
      </c>
    </row>
    <row r="9109">
      <c r="A9109" s="6">
        <v>9107.0</v>
      </c>
      <c r="B9109" s="17">
        <f t="array" ref="B9109">SUM(1-'Sparkling Model'!D$2:D$38^A9109)</f>
        <v>36.96140443</v>
      </c>
      <c r="C9109" s="8">
        <f t="array" ref="C9109">PRODUCT(1-'Sparkling Model'!D$2:D$38^A9109)</f>
        <v>0.9619356795</v>
      </c>
    </row>
    <row r="9110">
      <c r="A9110" s="6">
        <v>9108.0</v>
      </c>
      <c r="B9110" s="17">
        <f t="array" ref="B9110">SUM(1-'Sparkling Model'!D$2:D$38^A9110)</f>
        <v>36.9614239</v>
      </c>
      <c r="C9110" s="8">
        <f t="array" ref="C9110">PRODUCT(1-'Sparkling Model'!D$2:D$38^A9110)</f>
        <v>0.9619546087</v>
      </c>
    </row>
    <row r="9111">
      <c r="A9111" s="6">
        <v>9109.0</v>
      </c>
      <c r="B9111" s="17">
        <f t="array" ref="B9111">SUM(1-'Sparkling Model'!D$2:D$38^A9111)</f>
        <v>36.96144336</v>
      </c>
      <c r="C9111" s="8">
        <f t="array" ref="C9111">PRODUCT(1-'Sparkling Model'!D$2:D$38^A9111)</f>
        <v>0.9619735285</v>
      </c>
    </row>
    <row r="9112">
      <c r="A9112" s="6">
        <v>9110.0</v>
      </c>
      <c r="B9112" s="17">
        <f t="array" ref="B9112">SUM(1-'Sparkling Model'!D$2:D$38^A9112)</f>
        <v>36.96146281</v>
      </c>
      <c r="C9112" s="8">
        <f t="array" ref="C9112">PRODUCT(1-'Sparkling Model'!D$2:D$38^A9112)</f>
        <v>0.9619924388</v>
      </c>
    </row>
    <row r="9113">
      <c r="A9113" s="6">
        <v>9111.0</v>
      </c>
      <c r="B9113" s="17">
        <f t="array" ref="B9113">SUM(1-'Sparkling Model'!D$2:D$38^A9113)</f>
        <v>36.96148225</v>
      </c>
      <c r="C9113" s="8">
        <f t="array" ref="C9113">PRODUCT(1-'Sparkling Model'!D$2:D$38^A9113)</f>
        <v>0.9620113398</v>
      </c>
    </row>
    <row r="9114">
      <c r="A9114" s="6">
        <v>9112.0</v>
      </c>
      <c r="B9114" s="17">
        <f t="array" ref="B9114">SUM(1-'Sparkling Model'!D$2:D$38^A9114)</f>
        <v>36.96150168</v>
      </c>
      <c r="C9114" s="8">
        <f t="array" ref="C9114">PRODUCT(1-'Sparkling Model'!D$2:D$38^A9114)</f>
        <v>0.9620302313</v>
      </c>
    </row>
    <row r="9115">
      <c r="A9115" s="6">
        <v>9113.0</v>
      </c>
      <c r="B9115" s="17">
        <f t="array" ref="B9115">SUM(1-'Sparkling Model'!D$2:D$38^A9115)</f>
        <v>36.96152109</v>
      </c>
      <c r="C9115" s="8">
        <f t="array" ref="C9115">PRODUCT(1-'Sparkling Model'!D$2:D$38^A9115)</f>
        <v>0.9620491135</v>
      </c>
    </row>
    <row r="9116">
      <c r="A9116" s="6">
        <v>9114.0</v>
      </c>
      <c r="B9116" s="17">
        <f t="array" ref="B9116">SUM(1-'Sparkling Model'!D$2:D$38^A9116)</f>
        <v>36.9615405</v>
      </c>
      <c r="C9116" s="8">
        <f t="array" ref="C9116">PRODUCT(1-'Sparkling Model'!D$2:D$38^A9116)</f>
        <v>0.9620679862</v>
      </c>
    </row>
    <row r="9117">
      <c r="A9117" s="6">
        <v>9115.0</v>
      </c>
      <c r="B9117" s="17">
        <f t="array" ref="B9117">SUM(1-'Sparkling Model'!D$2:D$38^A9117)</f>
        <v>36.9615599</v>
      </c>
      <c r="C9117" s="8">
        <f t="array" ref="C9117">PRODUCT(1-'Sparkling Model'!D$2:D$38^A9117)</f>
        <v>0.9620868496</v>
      </c>
    </row>
    <row r="9118">
      <c r="A9118" s="6">
        <v>9116.0</v>
      </c>
      <c r="B9118" s="17">
        <f t="array" ref="B9118">SUM(1-'Sparkling Model'!D$2:D$38^A9118)</f>
        <v>36.96157929</v>
      </c>
      <c r="C9118" s="8">
        <f t="array" ref="C9118">PRODUCT(1-'Sparkling Model'!D$2:D$38^A9118)</f>
        <v>0.9621057036</v>
      </c>
    </row>
    <row r="9119">
      <c r="A9119" s="6">
        <v>9117.0</v>
      </c>
      <c r="B9119" s="17">
        <f t="array" ref="B9119">SUM(1-'Sparkling Model'!D$2:D$38^A9119)</f>
        <v>36.96159867</v>
      </c>
      <c r="C9119" s="8">
        <f t="array" ref="C9119">PRODUCT(1-'Sparkling Model'!D$2:D$38^A9119)</f>
        <v>0.9621245481</v>
      </c>
    </row>
    <row r="9120">
      <c r="A9120" s="6">
        <v>9118.0</v>
      </c>
      <c r="B9120" s="17">
        <f t="array" ref="B9120">SUM(1-'Sparkling Model'!D$2:D$38^A9120)</f>
        <v>36.96161804</v>
      </c>
      <c r="C9120" s="8">
        <f t="array" ref="C9120">PRODUCT(1-'Sparkling Model'!D$2:D$38^A9120)</f>
        <v>0.9621433834</v>
      </c>
    </row>
    <row r="9121">
      <c r="A9121" s="6">
        <v>9119.0</v>
      </c>
      <c r="B9121" s="17">
        <f t="array" ref="B9121">SUM(1-'Sparkling Model'!D$2:D$38^A9121)</f>
        <v>36.9616374</v>
      </c>
      <c r="C9121" s="8">
        <f t="array" ref="C9121">PRODUCT(1-'Sparkling Model'!D$2:D$38^A9121)</f>
        <v>0.9621622092</v>
      </c>
    </row>
    <row r="9122">
      <c r="A9122" s="6">
        <v>9120.0</v>
      </c>
      <c r="B9122" s="17">
        <f t="array" ref="B9122">SUM(1-'Sparkling Model'!D$2:D$38^A9122)</f>
        <v>36.96165675</v>
      </c>
      <c r="C9122" s="8">
        <f t="array" ref="C9122">PRODUCT(1-'Sparkling Model'!D$2:D$38^A9122)</f>
        <v>0.9621810257</v>
      </c>
    </row>
    <row r="9123">
      <c r="A9123" s="6">
        <v>9121.0</v>
      </c>
      <c r="B9123" s="17">
        <f t="array" ref="B9123">SUM(1-'Sparkling Model'!D$2:D$38^A9123)</f>
        <v>36.96167609</v>
      </c>
      <c r="C9123" s="8">
        <f t="array" ref="C9123">PRODUCT(1-'Sparkling Model'!D$2:D$38^A9123)</f>
        <v>0.9621998328</v>
      </c>
    </row>
    <row r="9124">
      <c r="A9124" s="6">
        <v>9122.0</v>
      </c>
      <c r="B9124" s="17">
        <f t="array" ref="B9124">SUM(1-'Sparkling Model'!D$2:D$38^A9124)</f>
        <v>36.96169542</v>
      </c>
      <c r="C9124" s="8">
        <f t="array" ref="C9124">PRODUCT(1-'Sparkling Model'!D$2:D$38^A9124)</f>
        <v>0.9622186306</v>
      </c>
    </row>
    <row r="9125">
      <c r="A9125" s="6">
        <v>9123.0</v>
      </c>
      <c r="B9125" s="17">
        <f t="array" ref="B9125">SUM(1-'Sparkling Model'!D$2:D$38^A9125)</f>
        <v>36.96171474</v>
      </c>
      <c r="C9125" s="8">
        <f t="array" ref="C9125">PRODUCT(1-'Sparkling Model'!D$2:D$38^A9125)</f>
        <v>0.962237419</v>
      </c>
    </row>
    <row r="9126">
      <c r="A9126" s="6">
        <v>9124.0</v>
      </c>
      <c r="B9126" s="17">
        <f t="array" ref="B9126">SUM(1-'Sparkling Model'!D$2:D$38^A9126)</f>
        <v>36.96173405</v>
      </c>
      <c r="C9126" s="8">
        <f t="array" ref="C9126">PRODUCT(1-'Sparkling Model'!D$2:D$38^A9126)</f>
        <v>0.962256198</v>
      </c>
    </row>
    <row r="9127">
      <c r="A9127" s="6">
        <v>9125.0</v>
      </c>
      <c r="B9127" s="17">
        <f t="array" ref="B9127">SUM(1-'Sparkling Model'!D$2:D$38^A9127)</f>
        <v>36.96175335</v>
      </c>
      <c r="C9127" s="8">
        <f t="array" ref="C9127">PRODUCT(1-'Sparkling Model'!D$2:D$38^A9127)</f>
        <v>0.9622749677</v>
      </c>
    </row>
    <row r="9128">
      <c r="A9128" s="6">
        <v>9126.0</v>
      </c>
      <c r="B9128" s="17">
        <f t="array" ref="B9128">SUM(1-'Sparkling Model'!D$2:D$38^A9128)</f>
        <v>36.96177264</v>
      </c>
      <c r="C9128" s="8">
        <f t="array" ref="C9128">PRODUCT(1-'Sparkling Model'!D$2:D$38^A9128)</f>
        <v>0.9622937281</v>
      </c>
    </row>
    <row r="9129">
      <c r="A9129" s="6">
        <v>9127.0</v>
      </c>
      <c r="B9129" s="17">
        <f t="array" ref="B9129">SUM(1-'Sparkling Model'!D$2:D$38^A9129)</f>
        <v>36.96179192</v>
      </c>
      <c r="C9129" s="8">
        <f t="array" ref="C9129">PRODUCT(1-'Sparkling Model'!D$2:D$38^A9129)</f>
        <v>0.9623124791</v>
      </c>
    </row>
    <row r="9130">
      <c r="A9130" s="6">
        <v>9128.0</v>
      </c>
      <c r="B9130" s="17">
        <f t="array" ref="B9130">SUM(1-'Sparkling Model'!D$2:D$38^A9130)</f>
        <v>36.96181119</v>
      </c>
      <c r="C9130" s="8">
        <f t="array" ref="C9130">PRODUCT(1-'Sparkling Model'!D$2:D$38^A9130)</f>
        <v>0.9623312209</v>
      </c>
    </row>
    <row r="9131">
      <c r="A9131" s="6">
        <v>9129.0</v>
      </c>
      <c r="B9131" s="17">
        <f t="array" ref="B9131">SUM(1-'Sparkling Model'!D$2:D$38^A9131)</f>
        <v>36.96183045</v>
      </c>
      <c r="C9131" s="8">
        <f t="array" ref="C9131">PRODUCT(1-'Sparkling Model'!D$2:D$38^A9131)</f>
        <v>0.9623499532</v>
      </c>
    </row>
    <row r="9132">
      <c r="A9132" s="6">
        <v>9130.0</v>
      </c>
      <c r="B9132" s="17">
        <f t="array" ref="B9132">SUM(1-'Sparkling Model'!D$2:D$38^A9132)</f>
        <v>36.9618497</v>
      </c>
      <c r="C9132" s="8">
        <f t="array" ref="C9132">PRODUCT(1-'Sparkling Model'!D$2:D$38^A9132)</f>
        <v>0.9623686763</v>
      </c>
    </row>
    <row r="9133">
      <c r="A9133" s="6">
        <v>9131.0</v>
      </c>
      <c r="B9133" s="17">
        <f t="array" ref="B9133">SUM(1-'Sparkling Model'!D$2:D$38^A9133)</f>
        <v>36.96186894</v>
      </c>
      <c r="C9133" s="8">
        <f t="array" ref="C9133">PRODUCT(1-'Sparkling Model'!D$2:D$38^A9133)</f>
        <v>0.9623873901</v>
      </c>
    </row>
    <row r="9134">
      <c r="A9134" s="6">
        <v>9132.0</v>
      </c>
      <c r="B9134" s="17">
        <f t="array" ref="B9134">SUM(1-'Sparkling Model'!D$2:D$38^A9134)</f>
        <v>36.96188817</v>
      </c>
      <c r="C9134" s="8">
        <f t="array" ref="C9134">PRODUCT(1-'Sparkling Model'!D$2:D$38^A9134)</f>
        <v>0.9624060945</v>
      </c>
    </row>
    <row r="9135">
      <c r="A9135" s="6">
        <v>9133.0</v>
      </c>
      <c r="B9135" s="17">
        <f t="array" ref="B9135">SUM(1-'Sparkling Model'!D$2:D$38^A9135)</f>
        <v>36.96190739</v>
      </c>
      <c r="C9135" s="8">
        <f t="array" ref="C9135">PRODUCT(1-'Sparkling Model'!D$2:D$38^A9135)</f>
        <v>0.9624247896</v>
      </c>
    </row>
    <row r="9136">
      <c r="A9136" s="6">
        <v>9134.0</v>
      </c>
      <c r="B9136" s="17">
        <f t="array" ref="B9136">SUM(1-'Sparkling Model'!D$2:D$38^A9136)</f>
        <v>36.9619266</v>
      </c>
      <c r="C9136" s="8">
        <f t="array" ref="C9136">PRODUCT(1-'Sparkling Model'!D$2:D$38^A9136)</f>
        <v>0.9624434754</v>
      </c>
    </row>
    <row r="9137">
      <c r="A9137" s="6">
        <v>9135.0</v>
      </c>
      <c r="B9137" s="17">
        <f t="array" ref="B9137">SUM(1-'Sparkling Model'!D$2:D$38^A9137)</f>
        <v>36.9619458</v>
      </c>
      <c r="C9137" s="8">
        <f t="array" ref="C9137">PRODUCT(1-'Sparkling Model'!D$2:D$38^A9137)</f>
        <v>0.962462152</v>
      </c>
    </row>
    <row r="9138">
      <c r="A9138" s="6">
        <v>9136.0</v>
      </c>
      <c r="B9138" s="17">
        <f t="array" ref="B9138">SUM(1-'Sparkling Model'!D$2:D$38^A9138)</f>
        <v>36.96196499</v>
      </c>
      <c r="C9138" s="8">
        <f t="array" ref="C9138">PRODUCT(1-'Sparkling Model'!D$2:D$38^A9138)</f>
        <v>0.9624808192</v>
      </c>
    </row>
    <row r="9139">
      <c r="A9139" s="6">
        <v>9137.0</v>
      </c>
      <c r="B9139" s="17">
        <f t="array" ref="B9139">SUM(1-'Sparkling Model'!D$2:D$38^A9139)</f>
        <v>36.96198418</v>
      </c>
      <c r="C9139" s="8">
        <f t="array" ref="C9139">PRODUCT(1-'Sparkling Model'!D$2:D$38^A9139)</f>
        <v>0.9624994772</v>
      </c>
    </row>
    <row r="9140">
      <c r="A9140" s="6">
        <v>9138.0</v>
      </c>
      <c r="B9140" s="17">
        <f t="array" ref="B9140">SUM(1-'Sparkling Model'!D$2:D$38^A9140)</f>
        <v>36.96200335</v>
      </c>
      <c r="C9140" s="8">
        <f t="array" ref="C9140">PRODUCT(1-'Sparkling Model'!D$2:D$38^A9140)</f>
        <v>0.9625181258</v>
      </c>
    </row>
    <row r="9141">
      <c r="A9141" s="6">
        <v>9139.0</v>
      </c>
      <c r="B9141" s="17">
        <f t="array" ref="B9141">SUM(1-'Sparkling Model'!D$2:D$38^A9141)</f>
        <v>36.96202251</v>
      </c>
      <c r="C9141" s="8">
        <f t="array" ref="C9141">PRODUCT(1-'Sparkling Model'!D$2:D$38^A9141)</f>
        <v>0.9625367652</v>
      </c>
    </row>
    <row r="9142">
      <c r="A9142" s="6">
        <v>9140.0</v>
      </c>
      <c r="B9142" s="17">
        <f t="array" ref="B9142">SUM(1-'Sparkling Model'!D$2:D$38^A9142)</f>
        <v>36.96204166</v>
      </c>
      <c r="C9142" s="8">
        <f t="array" ref="C9142">PRODUCT(1-'Sparkling Model'!D$2:D$38^A9142)</f>
        <v>0.9625553953</v>
      </c>
    </row>
    <row r="9143">
      <c r="A9143" s="6">
        <v>9141.0</v>
      </c>
      <c r="B9143" s="17">
        <f t="array" ref="B9143">SUM(1-'Sparkling Model'!D$2:D$38^A9143)</f>
        <v>36.9620608</v>
      </c>
      <c r="C9143" s="8">
        <f t="array" ref="C9143">PRODUCT(1-'Sparkling Model'!D$2:D$38^A9143)</f>
        <v>0.9625740162</v>
      </c>
    </row>
    <row r="9144">
      <c r="A9144" s="6">
        <v>9142.0</v>
      </c>
      <c r="B9144" s="17">
        <f t="array" ref="B9144">SUM(1-'Sparkling Model'!D$2:D$38^A9144)</f>
        <v>36.96207994</v>
      </c>
      <c r="C9144" s="8">
        <f t="array" ref="C9144">PRODUCT(1-'Sparkling Model'!D$2:D$38^A9144)</f>
        <v>0.9625926278</v>
      </c>
    </row>
    <row r="9145">
      <c r="A9145" s="6">
        <v>9143.0</v>
      </c>
      <c r="B9145" s="17">
        <f t="array" ref="B9145">SUM(1-'Sparkling Model'!D$2:D$38^A9145)</f>
        <v>36.96209906</v>
      </c>
      <c r="C9145" s="8">
        <f t="array" ref="C9145">PRODUCT(1-'Sparkling Model'!D$2:D$38^A9145)</f>
        <v>0.9626112301</v>
      </c>
    </row>
    <row r="9146">
      <c r="A9146" s="6">
        <v>9144.0</v>
      </c>
      <c r="B9146" s="17">
        <f t="array" ref="B9146">SUM(1-'Sparkling Model'!D$2:D$38^A9146)</f>
        <v>36.96211817</v>
      </c>
      <c r="C9146" s="8">
        <f t="array" ref="C9146">PRODUCT(1-'Sparkling Model'!D$2:D$38^A9146)</f>
        <v>0.9626298231</v>
      </c>
    </row>
    <row r="9147">
      <c r="A9147" s="6">
        <v>9145.0</v>
      </c>
      <c r="B9147" s="17">
        <f t="array" ref="B9147">SUM(1-'Sparkling Model'!D$2:D$38^A9147)</f>
        <v>36.96213728</v>
      </c>
      <c r="C9147" s="8">
        <f t="array" ref="C9147">PRODUCT(1-'Sparkling Model'!D$2:D$38^A9147)</f>
        <v>0.962648407</v>
      </c>
    </row>
    <row r="9148">
      <c r="A9148" s="6">
        <v>9146.0</v>
      </c>
      <c r="B9148" s="17">
        <f t="array" ref="B9148">SUM(1-'Sparkling Model'!D$2:D$38^A9148)</f>
        <v>36.96215637</v>
      </c>
      <c r="C9148" s="8">
        <f t="array" ref="C9148">PRODUCT(1-'Sparkling Model'!D$2:D$38^A9148)</f>
        <v>0.9626669815</v>
      </c>
    </row>
    <row r="9149">
      <c r="A9149" s="6">
        <v>9147.0</v>
      </c>
      <c r="B9149" s="17">
        <f t="array" ref="B9149">SUM(1-'Sparkling Model'!D$2:D$38^A9149)</f>
        <v>36.96217545</v>
      </c>
      <c r="C9149" s="8">
        <f t="array" ref="C9149">PRODUCT(1-'Sparkling Model'!D$2:D$38^A9149)</f>
        <v>0.9626855468</v>
      </c>
    </row>
    <row r="9150">
      <c r="A9150" s="6">
        <v>9148.0</v>
      </c>
      <c r="B9150" s="17">
        <f t="array" ref="B9150">SUM(1-'Sparkling Model'!D$2:D$38^A9150)</f>
        <v>36.96219453</v>
      </c>
      <c r="C9150" s="8">
        <f t="array" ref="C9150">PRODUCT(1-'Sparkling Model'!D$2:D$38^A9150)</f>
        <v>0.9627041029</v>
      </c>
    </row>
    <row r="9151">
      <c r="A9151" s="6">
        <v>9149.0</v>
      </c>
      <c r="B9151" s="17">
        <f t="array" ref="B9151">SUM(1-'Sparkling Model'!D$2:D$38^A9151)</f>
        <v>36.96221359</v>
      </c>
      <c r="C9151" s="8">
        <f t="array" ref="C9151">PRODUCT(1-'Sparkling Model'!D$2:D$38^A9151)</f>
        <v>0.9627226498</v>
      </c>
    </row>
    <row r="9152">
      <c r="A9152" s="6">
        <v>9150.0</v>
      </c>
      <c r="B9152" s="17">
        <f t="array" ref="B9152">SUM(1-'Sparkling Model'!D$2:D$38^A9152)</f>
        <v>36.96223265</v>
      </c>
      <c r="C9152" s="8">
        <f t="array" ref="C9152">PRODUCT(1-'Sparkling Model'!D$2:D$38^A9152)</f>
        <v>0.9627411874</v>
      </c>
    </row>
    <row r="9153">
      <c r="A9153" s="6">
        <v>9151.0</v>
      </c>
      <c r="B9153" s="17">
        <f t="array" ref="B9153">SUM(1-'Sparkling Model'!D$2:D$38^A9153)</f>
        <v>36.96225169</v>
      </c>
      <c r="C9153" s="8">
        <f t="array" ref="C9153">PRODUCT(1-'Sparkling Model'!D$2:D$38^A9153)</f>
        <v>0.9627597158</v>
      </c>
    </row>
    <row r="9154">
      <c r="A9154" s="6">
        <v>9152.0</v>
      </c>
      <c r="B9154" s="17">
        <f t="array" ref="B9154">SUM(1-'Sparkling Model'!D$2:D$38^A9154)</f>
        <v>36.96227073</v>
      </c>
      <c r="C9154" s="8">
        <f t="array" ref="C9154">PRODUCT(1-'Sparkling Model'!D$2:D$38^A9154)</f>
        <v>0.962778235</v>
      </c>
    </row>
    <row r="9155">
      <c r="A9155" s="6">
        <v>9153.0</v>
      </c>
      <c r="B9155" s="17">
        <f t="array" ref="B9155">SUM(1-'Sparkling Model'!D$2:D$38^A9155)</f>
        <v>36.96228975</v>
      </c>
      <c r="C9155" s="8">
        <f t="array" ref="C9155">PRODUCT(1-'Sparkling Model'!D$2:D$38^A9155)</f>
        <v>0.962796745</v>
      </c>
    </row>
    <row r="9156">
      <c r="A9156" s="6">
        <v>9154.0</v>
      </c>
      <c r="B9156" s="17">
        <f t="array" ref="B9156">SUM(1-'Sparkling Model'!D$2:D$38^A9156)</f>
        <v>36.96230877</v>
      </c>
      <c r="C9156" s="8">
        <f t="array" ref="C9156">PRODUCT(1-'Sparkling Model'!D$2:D$38^A9156)</f>
        <v>0.9628152457</v>
      </c>
    </row>
    <row r="9157">
      <c r="A9157" s="6">
        <v>9155.0</v>
      </c>
      <c r="B9157" s="17">
        <f t="array" ref="B9157">SUM(1-'Sparkling Model'!D$2:D$38^A9157)</f>
        <v>36.96232777</v>
      </c>
      <c r="C9157" s="8">
        <f t="array" ref="C9157">PRODUCT(1-'Sparkling Model'!D$2:D$38^A9157)</f>
        <v>0.9628337373</v>
      </c>
    </row>
    <row r="9158">
      <c r="A9158" s="6">
        <v>9156.0</v>
      </c>
      <c r="B9158" s="17">
        <f t="array" ref="B9158">SUM(1-'Sparkling Model'!D$2:D$38^A9158)</f>
        <v>36.96234677</v>
      </c>
      <c r="C9158" s="8">
        <f t="array" ref="C9158">PRODUCT(1-'Sparkling Model'!D$2:D$38^A9158)</f>
        <v>0.9628522196</v>
      </c>
    </row>
    <row r="9159">
      <c r="A9159" s="6">
        <v>9157.0</v>
      </c>
      <c r="B9159" s="17">
        <f t="array" ref="B9159">SUM(1-'Sparkling Model'!D$2:D$38^A9159)</f>
        <v>36.96236575</v>
      </c>
      <c r="C9159" s="8">
        <f t="array" ref="C9159">PRODUCT(1-'Sparkling Model'!D$2:D$38^A9159)</f>
        <v>0.9628706928</v>
      </c>
    </row>
    <row r="9160">
      <c r="A9160" s="6">
        <v>9158.0</v>
      </c>
      <c r="B9160" s="17">
        <f t="array" ref="B9160">SUM(1-'Sparkling Model'!D$2:D$38^A9160)</f>
        <v>36.96238473</v>
      </c>
      <c r="C9160" s="8">
        <f t="array" ref="C9160">PRODUCT(1-'Sparkling Model'!D$2:D$38^A9160)</f>
        <v>0.9628891567</v>
      </c>
    </row>
    <row r="9161">
      <c r="A9161" s="6">
        <v>9159.0</v>
      </c>
      <c r="B9161" s="17">
        <f t="array" ref="B9161">SUM(1-'Sparkling Model'!D$2:D$38^A9161)</f>
        <v>36.9624037</v>
      </c>
      <c r="C9161" s="8">
        <f t="array" ref="C9161">PRODUCT(1-'Sparkling Model'!D$2:D$38^A9161)</f>
        <v>0.9629076115</v>
      </c>
    </row>
    <row r="9162">
      <c r="A9162" s="6">
        <v>9160.0</v>
      </c>
      <c r="B9162" s="17">
        <f t="array" ref="B9162">SUM(1-'Sparkling Model'!D$2:D$38^A9162)</f>
        <v>36.96242265</v>
      </c>
      <c r="C9162" s="8">
        <f t="array" ref="C9162">PRODUCT(1-'Sparkling Model'!D$2:D$38^A9162)</f>
        <v>0.9629260571</v>
      </c>
    </row>
    <row r="9163">
      <c r="A9163" s="6">
        <v>9161.0</v>
      </c>
      <c r="B9163" s="17">
        <f t="array" ref="B9163">SUM(1-'Sparkling Model'!D$2:D$38^A9163)</f>
        <v>36.9624416</v>
      </c>
      <c r="C9163" s="8">
        <f t="array" ref="C9163">PRODUCT(1-'Sparkling Model'!D$2:D$38^A9163)</f>
        <v>0.9629444935</v>
      </c>
    </row>
    <row r="9164">
      <c r="A9164" s="6">
        <v>9162.0</v>
      </c>
      <c r="B9164" s="17">
        <f t="array" ref="B9164">SUM(1-'Sparkling Model'!D$2:D$38^A9164)</f>
        <v>36.96246054</v>
      </c>
      <c r="C9164" s="8">
        <f t="array" ref="C9164">PRODUCT(1-'Sparkling Model'!D$2:D$38^A9164)</f>
        <v>0.9629629207</v>
      </c>
    </row>
    <row r="9165">
      <c r="A9165" s="6">
        <v>9163.0</v>
      </c>
      <c r="B9165" s="17">
        <f t="array" ref="B9165">SUM(1-'Sparkling Model'!D$2:D$38^A9165)</f>
        <v>36.96247947</v>
      </c>
      <c r="C9165" s="8">
        <f t="array" ref="C9165">PRODUCT(1-'Sparkling Model'!D$2:D$38^A9165)</f>
        <v>0.9629813388</v>
      </c>
    </row>
    <row r="9166">
      <c r="A9166" s="6">
        <v>9164.0</v>
      </c>
      <c r="B9166" s="17">
        <f t="array" ref="B9166">SUM(1-'Sparkling Model'!D$2:D$38^A9166)</f>
        <v>36.96249839</v>
      </c>
      <c r="C9166" s="8">
        <f t="array" ref="C9166">PRODUCT(1-'Sparkling Model'!D$2:D$38^A9166)</f>
        <v>0.9629997477</v>
      </c>
    </row>
    <row r="9167">
      <c r="A9167" s="6">
        <v>9165.0</v>
      </c>
      <c r="B9167" s="17">
        <f t="array" ref="B9167">SUM(1-'Sparkling Model'!D$2:D$38^A9167)</f>
        <v>36.96251729</v>
      </c>
      <c r="C9167" s="8">
        <f t="array" ref="C9167">PRODUCT(1-'Sparkling Model'!D$2:D$38^A9167)</f>
        <v>0.9630181475</v>
      </c>
    </row>
    <row r="9168">
      <c r="A9168" s="6">
        <v>9166.0</v>
      </c>
      <c r="B9168" s="17">
        <f t="array" ref="B9168">SUM(1-'Sparkling Model'!D$2:D$38^A9168)</f>
        <v>36.96253619</v>
      </c>
      <c r="C9168" s="8">
        <f t="array" ref="C9168">PRODUCT(1-'Sparkling Model'!D$2:D$38^A9168)</f>
        <v>0.963036538</v>
      </c>
    </row>
    <row r="9169">
      <c r="A9169" s="6">
        <v>9167.0</v>
      </c>
      <c r="B9169" s="17">
        <f t="array" ref="B9169">SUM(1-'Sparkling Model'!D$2:D$38^A9169)</f>
        <v>36.96255508</v>
      </c>
      <c r="C9169" s="8">
        <f t="array" ref="C9169">PRODUCT(1-'Sparkling Model'!D$2:D$38^A9169)</f>
        <v>0.9630549195</v>
      </c>
    </row>
    <row r="9170">
      <c r="A9170" s="6">
        <v>9168.0</v>
      </c>
      <c r="B9170" s="17">
        <f t="array" ref="B9170">SUM(1-'Sparkling Model'!D$2:D$38^A9170)</f>
        <v>36.96257396</v>
      </c>
      <c r="C9170" s="8">
        <f t="array" ref="C9170">PRODUCT(1-'Sparkling Model'!D$2:D$38^A9170)</f>
        <v>0.9630732918</v>
      </c>
    </row>
    <row r="9171">
      <c r="A9171" s="6">
        <v>9169.0</v>
      </c>
      <c r="B9171" s="17">
        <f t="array" ref="B9171">SUM(1-'Sparkling Model'!D$2:D$38^A9171)</f>
        <v>36.96259283</v>
      </c>
      <c r="C9171" s="8">
        <f t="array" ref="C9171">PRODUCT(1-'Sparkling Model'!D$2:D$38^A9171)</f>
        <v>0.9630916549</v>
      </c>
    </row>
    <row r="9172">
      <c r="A9172" s="6">
        <v>9170.0</v>
      </c>
      <c r="B9172" s="17">
        <f t="array" ref="B9172">SUM(1-'Sparkling Model'!D$2:D$38^A9172)</f>
        <v>36.96261169</v>
      </c>
      <c r="C9172" s="8">
        <f t="array" ref="C9172">PRODUCT(1-'Sparkling Model'!D$2:D$38^A9172)</f>
        <v>0.9631100089</v>
      </c>
    </row>
    <row r="9173">
      <c r="A9173" s="6">
        <v>9171.0</v>
      </c>
      <c r="B9173" s="17">
        <f t="array" ref="B9173">SUM(1-'Sparkling Model'!D$2:D$38^A9173)</f>
        <v>36.96263054</v>
      </c>
      <c r="C9173" s="8">
        <f t="array" ref="C9173">PRODUCT(1-'Sparkling Model'!D$2:D$38^A9173)</f>
        <v>0.9631283538</v>
      </c>
    </row>
    <row r="9174">
      <c r="A9174" s="6">
        <v>9172.0</v>
      </c>
      <c r="B9174" s="17">
        <f t="array" ref="B9174">SUM(1-'Sparkling Model'!D$2:D$38^A9174)</f>
        <v>36.96264938</v>
      </c>
      <c r="C9174" s="8">
        <f t="array" ref="C9174">PRODUCT(1-'Sparkling Model'!D$2:D$38^A9174)</f>
        <v>0.9631466896</v>
      </c>
    </row>
    <row r="9175">
      <c r="A9175" s="6">
        <v>9173.0</v>
      </c>
      <c r="B9175" s="17">
        <f t="array" ref="B9175">SUM(1-'Sparkling Model'!D$2:D$38^A9175)</f>
        <v>36.96266822</v>
      </c>
      <c r="C9175" s="8">
        <f t="array" ref="C9175">PRODUCT(1-'Sparkling Model'!D$2:D$38^A9175)</f>
        <v>0.9631650162</v>
      </c>
    </row>
    <row r="9176">
      <c r="A9176" s="6">
        <v>9174.0</v>
      </c>
      <c r="B9176" s="17">
        <f t="array" ref="B9176">SUM(1-'Sparkling Model'!D$2:D$38^A9176)</f>
        <v>36.96268704</v>
      </c>
      <c r="C9176" s="8">
        <f t="array" ref="C9176">PRODUCT(1-'Sparkling Model'!D$2:D$38^A9176)</f>
        <v>0.9631833337</v>
      </c>
    </row>
    <row r="9177">
      <c r="A9177" s="6">
        <v>9175.0</v>
      </c>
      <c r="B9177" s="17">
        <f t="array" ref="B9177">SUM(1-'Sparkling Model'!D$2:D$38^A9177)</f>
        <v>36.96270585</v>
      </c>
      <c r="C9177" s="8">
        <f t="array" ref="C9177">PRODUCT(1-'Sparkling Model'!D$2:D$38^A9177)</f>
        <v>0.9632016421</v>
      </c>
    </row>
    <row r="9178">
      <c r="A9178" s="6">
        <v>9176.0</v>
      </c>
      <c r="B9178" s="17">
        <f t="array" ref="B9178">SUM(1-'Sparkling Model'!D$2:D$38^A9178)</f>
        <v>36.96272465</v>
      </c>
      <c r="C9178" s="8">
        <f t="array" ref="C9178">PRODUCT(1-'Sparkling Model'!D$2:D$38^A9178)</f>
        <v>0.9632199414</v>
      </c>
    </row>
    <row r="9179">
      <c r="A9179" s="6">
        <v>9177.0</v>
      </c>
      <c r="B9179" s="17">
        <f t="array" ref="B9179">SUM(1-'Sparkling Model'!D$2:D$38^A9179)</f>
        <v>36.96274344</v>
      </c>
      <c r="C9179" s="8">
        <f t="array" ref="C9179">PRODUCT(1-'Sparkling Model'!D$2:D$38^A9179)</f>
        <v>0.9632382316</v>
      </c>
    </row>
    <row r="9180">
      <c r="A9180" s="6">
        <v>9178.0</v>
      </c>
      <c r="B9180" s="17">
        <f t="array" ref="B9180">SUM(1-'Sparkling Model'!D$2:D$38^A9180)</f>
        <v>36.96276223</v>
      </c>
      <c r="C9180" s="8">
        <f t="array" ref="C9180">PRODUCT(1-'Sparkling Model'!D$2:D$38^A9180)</f>
        <v>0.9632565126</v>
      </c>
    </row>
    <row r="9181">
      <c r="A9181" s="6">
        <v>9179.0</v>
      </c>
      <c r="B9181" s="17">
        <f t="array" ref="B9181">SUM(1-'Sparkling Model'!D$2:D$38^A9181)</f>
        <v>36.962781</v>
      </c>
      <c r="C9181" s="8">
        <f t="array" ref="C9181">PRODUCT(1-'Sparkling Model'!D$2:D$38^A9181)</f>
        <v>0.9632747846</v>
      </c>
    </row>
    <row r="9182">
      <c r="A9182" s="6">
        <v>9180.0</v>
      </c>
      <c r="B9182" s="17">
        <f t="array" ref="B9182">SUM(1-'Sparkling Model'!D$2:D$38^A9182)</f>
        <v>36.96279977</v>
      </c>
      <c r="C9182" s="8">
        <f t="array" ref="C9182">PRODUCT(1-'Sparkling Model'!D$2:D$38^A9182)</f>
        <v>0.9632930475</v>
      </c>
    </row>
    <row r="9183">
      <c r="A9183" s="6">
        <v>9181.0</v>
      </c>
      <c r="B9183" s="17">
        <f t="array" ref="B9183">SUM(1-'Sparkling Model'!D$2:D$38^A9183)</f>
        <v>36.96281852</v>
      </c>
      <c r="C9183" s="8">
        <f t="array" ref="C9183">PRODUCT(1-'Sparkling Model'!D$2:D$38^A9183)</f>
        <v>0.9633113013</v>
      </c>
    </row>
    <row r="9184">
      <c r="A9184" s="6">
        <v>9182.0</v>
      </c>
      <c r="B9184" s="17">
        <f t="array" ref="B9184">SUM(1-'Sparkling Model'!D$2:D$38^A9184)</f>
        <v>36.96283727</v>
      </c>
      <c r="C9184" s="8">
        <f t="array" ref="C9184">PRODUCT(1-'Sparkling Model'!D$2:D$38^A9184)</f>
        <v>0.963329546</v>
      </c>
    </row>
    <row r="9185">
      <c r="A9185" s="6">
        <v>9183.0</v>
      </c>
      <c r="B9185" s="17">
        <f t="array" ref="B9185">SUM(1-'Sparkling Model'!D$2:D$38^A9185)</f>
        <v>36.962856</v>
      </c>
      <c r="C9185" s="8">
        <f t="array" ref="C9185">PRODUCT(1-'Sparkling Model'!D$2:D$38^A9185)</f>
        <v>0.9633477817</v>
      </c>
    </row>
    <row r="9186">
      <c r="A9186" s="6">
        <v>9184.0</v>
      </c>
      <c r="B9186" s="17">
        <f t="array" ref="B9186">SUM(1-'Sparkling Model'!D$2:D$38^A9186)</f>
        <v>36.96287473</v>
      </c>
      <c r="C9186" s="8">
        <f t="array" ref="C9186">PRODUCT(1-'Sparkling Model'!D$2:D$38^A9186)</f>
        <v>0.9633660082</v>
      </c>
    </row>
    <row r="9187">
      <c r="A9187" s="6">
        <v>9185.0</v>
      </c>
      <c r="B9187" s="17">
        <f t="array" ref="B9187">SUM(1-'Sparkling Model'!D$2:D$38^A9187)</f>
        <v>36.96289344</v>
      </c>
      <c r="C9187" s="8">
        <f t="array" ref="C9187">PRODUCT(1-'Sparkling Model'!D$2:D$38^A9187)</f>
        <v>0.9633842257</v>
      </c>
    </row>
    <row r="9188">
      <c r="A9188" s="6">
        <v>9186.0</v>
      </c>
      <c r="B9188" s="17">
        <f t="array" ref="B9188">SUM(1-'Sparkling Model'!D$2:D$38^A9188)</f>
        <v>36.96291215</v>
      </c>
      <c r="C9188" s="8">
        <f t="array" ref="C9188">PRODUCT(1-'Sparkling Model'!D$2:D$38^A9188)</f>
        <v>0.9634024342</v>
      </c>
    </row>
    <row r="9189">
      <c r="A9189" s="6">
        <v>9187.0</v>
      </c>
      <c r="B9189" s="17">
        <f t="array" ref="B9189">SUM(1-'Sparkling Model'!D$2:D$38^A9189)</f>
        <v>36.96293085</v>
      </c>
      <c r="C9189" s="8">
        <f t="array" ref="C9189">PRODUCT(1-'Sparkling Model'!D$2:D$38^A9189)</f>
        <v>0.9634206335</v>
      </c>
    </row>
    <row r="9190">
      <c r="A9190" s="6">
        <v>9188.0</v>
      </c>
      <c r="B9190" s="17">
        <f t="array" ref="B9190">SUM(1-'Sparkling Model'!D$2:D$38^A9190)</f>
        <v>36.96294953</v>
      </c>
      <c r="C9190" s="8">
        <f t="array" ref="C9190">PRODUCT(1-'Sparkling Model'!D$2:D$38^A9190)</f>
        <v>0.9634388238</v>
      </c>
    </row>
    <row r="9191">
      <c r="A9191" s="6">
        <v>9189.0</v>
      </c>
      <c r="B9191" s="17">
        <f t="array" ref="B9191">SUM(1-'Sparkling Model'!D$2:D$38^A9191)</f>
        <v>36.96296821</v>
      </c>
      <c r="C9191" s="8">
        <f t="array" ref="C9191">PRODUCT(1-'Sparkling Model'!D$2:D$38^A9191)</f>
        <v>0.9634570051</v>
      </c>
    </row>
    <row r="9192">
      <c r="A9192" s="6">
        <v>9190.0</v>
      </c>
      <c r="B9192" s="17">
        <f t="array" ref="B9192">SUM(1-'Sparkling Model'!D$2:D$38^A9192)</f>
        <v>36.96298688</v>
      </c>
      <c r="C9192" s="8">
        <f t="array" ref="C9192">PRODUCT(1-'Sparkling Model'!D$2:D$38^A9192)</f>
        <v>0.9634751773</v>
      </c>
    </row>
    <row r="9193">
      <c r="A9193" s="6">
        <v>9191.0</v>
      </c>
      <c r="B9193" s="17">
        <f t="array" ref="B9193">SUM(1-'Sparkling Model'!D$2:D$38^A9193)</f>
        <v>36.96300554</v>
      </c>
      <c r="C9193" s="8">
        <f t="array" ref="C9193">PRODUCT(1-'Sparkling Model'!D$2:D$38^A9193)</f>
        <v>0.9634933405</v>
      </c>
    </row>
    <row r="9194">
      <c r="A9194" s="6">
        <v>9192.0</v>
      </c>
      <c r="B9194" s="17">
        <f t="array" ref="B9194">SUM(1-'Sparkling Model'!D$2:D$38^A9194)</f>
        <v>36.96302419</v>
      </c>
      <c r="C9194" s="8">
        <f t="array" ref="C9194">PRODUCT(1-'Sparkling Model'!D$2:D$38^A9194)</f>
        <v>0.9635114946</v>
      </c>
    </row>
    <row r="9195">
      <c r="A9195" s="6">
        <v>9193.0</v>
      </c>
      <c r="B9195" s="17">
        <f t="array" ref="B9195">SUM(1-'Sparkling Model'!D$2:D$38^A9195)</f>
        <v>36.96304283</v>
      </c>
      <c r="C9195" s="8">
        <f t="array" ref="C9195">PRODUCT(1-'Sparkling Model'!D$2:D$38^A9195)</f>
        <v>0.9635296397</v>
      </c>
    </row>
    <row r="9196">
      <c r="A9196" s="6">
        <v>9194.0</v>
      </c>
      <c r="B9196" s="17">
        <f t="array" ref="B9196">SUM(1-'Sparkling Model'!D$2:D$38^A9196)</f>
        <v>36.96306146</v>
      </c>
      <c r="C9196" s="8">
        <f t="array" ref="C9196">PRODUCT(1-'Sparkling Model'!D$2:D$38^A9196)</f>
        <v>0.9635477758</v>
      </c>
    </row>
    <row r="9197">
      <c r="A9197" s="6">
        <v>9195.0</v>
      </c>
      <c r="B9197" s="17">
        <f t="array" ref="B9197">SUM(1-'Sparkling Model'!D$2:D$38^A9197)</f>
        <v>36.96308008</v>
      </c>
      <c r="C9197" s="8">
        <f t="array" ref="C9197">PRODUCT(1-'Sparkling Model'!D$2:D$38^A9197)</f>
        <v>0.9635659028</v>
      </c>
    </row>
    <row r="9198">
      <c r="A9198" s="6">
        <v>9196.0</v>
      </c>
      <c r="B9198" s="17">
        <f t="array" ref="B9198">SUM(1-'Sparkling Model'!D$2:D$38^A9198)</f>
        <v>36.96309869</v>
      </c>
      <c r="C9198" s="8">
        <f t="array" ref="C9198">PRODUCT(1-'Sparkling Model'!D$2:D$38^A9198)</f>
        <v>0.9635840209</v>
      </c>
    </row>
    <row r="9199">
      <c r="A9199" s="6">
        <v>9197.0</v>
      </c>
      <c r="B9199" s="17">
        <f t="array" ref="B9199">SUM(1-'Sparkling Model'!D$2:D$38^A9199)</f>
        <v>36.96311729</v>
      </c>
      <c r="C9199" s="8">
        <f t="array" ref="C9199">PRODUCT(1-'Sparkling Model'!D$2:D$38^A9199)</f>
        <v>0.9636021299</v>
      </c>
    </row>
    <row r="9200">
      <c r="A9200" s="6">
        <v>9198.0</v>
      </c>
      <c r="B9200" s="17">
        <f t="array" ref="B9200">SUM(1-'Sparkling Model'!D$2:D$38^A9200)</f>
        <v>36.96313588</v>
      </c>
      <c r="C9200" s="8">
        <f t="array" ref="C9200">PRODUCT(1-'Sparkling Model'!D$2:D$38^A9200)</f>
        <v>0.9636202299</v>
      </c>
    </row>
    <row r="9201">
      <c r="A9201" s="6">
        <v>9199.0</v>
      </c>
      <c r="B9201" s="17">
        <f t="array" ref="B9201">SUM(1-'Sparkling Model'!D$2:D$38^A9201)</f>
        <v>36.96315446</v>
      </c>
      <c r="C9201" s="8">
        <f t="array" ref="C9201">PRODUCT(1-'Sparkling Model'!D$2:D$38^A9201)</f>
        <v>0.9636383209</v>
      </c>
    </row>
    <row r="9202">
      <c r="A9202" s="6">
        <v>9200.0</v>
      </c>
      <c r="B9202" s="17">
        <f t="array" ref="B9202">SUM(1-'Sparkling Model'!D$2:D$38^A9202)</f>
        <v>36.96317304</v>
      </c>
      <c r="C9202" s="8">
        <f t="array" ref="C9202">PRODUCT(1-'Sparkling Model'!D$2:D$38^A9202)</f>
        <v>0.9636564028</v>
      </c>
    </row>
    <row r="9203">
      <c r="A9203" s="6">
        <v>9201.0</v>
      </c>
      <c r="B9203" s="17">
        <f t="array" ref="B9203">SUM(1-'Sparkling Model'!D$2:D$38^A9203)</f>
        <v>36.9631916</v>
      </c>
      <c r="C9203" s="8">
        <f t="array" ref="C9203">PRODUCT(1-'Sparkling Model'!D$2:D$38^A9203)</f>
        <v>0.9636744758</v>
      </c>
    </row>
    <row r="9204">
      <c r="A9204" s="6">
        <v>9202.0</v>
      </c>
      <c r="B9204" s="17">
        <f t="array" ref="B9204">SUM(1-'Sparkling Model'!D$2:D$38^A9204)</f>
        <v>36.96321015</v>
      </c>
      <c r="C9204" s="8">
        <f t="array" ref="C9204">PRODUCT(1-'Sparkling Model'!D$2:D$38^A9204)</f>
        <v>0.9636925398</v>
      </c>
    </row>
    <row r="9205">
      <c r="A9205" s="6">
        <v>9203.0</v>
      </c>
      <c r="B9205" s="17">
        <f t="array" ref="B9205">SUM(1-'Sparkling Model'!D$2:D$38^A9205)</f>
        <v>36.9632287</v>
      </c>
      <c r="C9205" s="8">
        <f t="array" ref="C9205">PRODUCT(1-'Sparkling Model'!D$2:D$38^A9205)</f>
        <v>0.9637105948</v>
      </c>
    </row>
    <row r="9206">
      <c r="A9206" s="6">
        <v>9204.0</v>
      </c>
      <c r="B9206" s="17">
        <f t="array" ref="B9206">SUM(1-'Sparkling Model'!D$2:D$38^A9206)</f>
        <v>36.96324723</v>
      </c>
      <c r="C9206" s="8">
        <f t="array" ref="C9206">PRODUCT(1-'Sparkling Model'!D$2:D$38^A9206)</f>
        <v>0.9637286409</v>
      </c>
    </row>
    <row r="9207">
      <c r="A9207" s="6">
        <v>9205.0</v>
      </c>
      <c r="B9207" s="17">
        <f t="array" ref="B9207">SUM(1-'Sparkling Model'!D$2:D$38^A9207)</f>
        <v>36.96326576</v>
      </c>
      <c r="C9207" s="8">
        <f t="array" ref="C9207">PRODUCT(1-'Sparkling Model'!D$2:D$38^A9207)</f>
        <v>0.9637466779</v>
      </c>
    </row>
    <row r="9208">
      <c r="A9208" s="6">
        <v>9206.0</v>
      </c>
      <c r="B9208" s="17">
        <f t="array" ref="B9208">SUM(1-'Sparkling Model'!D$2:D$38^A9208)</f>
        <v>36.96328428</v>
      </c>
      <c r="C9208" s="8">
        <f t="array" ref="C9208">PRODUCT(1-'Sparkling Model'!D$2:D$38^A9208)</f>
        <v>0.963764706</v>
      </c>
    </row>
    <row r="9209">
      <c r="A9209" s="6">
        <v>9207.0</v>
      </c>
      <c r="B9209" s="17">
        <f t="array" ref="B9209">SUM(1-'Sparkling Model'!D$2:D$38^A9209)</f>
        <v>36.96330278</v>
      </c>
      <c r="C9209" s="8">
        <f t="array" ref="C9209">PRODUCT(1-'Sparkling Model'!D$2:D$38^A9209)</f>
        <v>0.9637827251</v>
      </c>
    </row>
    <row r="9210">
      <c r="A9210" s="6">
        <v>9208.0</v>
      </c>
      <c r="B9210" s="17">
        <f t="array" ref="B9210">SUM(1-'Sparkling Model'!D$2:D$38^A9210)</f>
        <v>36.96332128</v>
      </c>
      <c r="C9210" s="8">
        <f t="array" ref="C9210">PRODUCT(1-'Sparkling Model'!D$2:D$38^A9210)</f>
        <v>0.9638007352</v>
      </c>
    </row>
    <row r="9211">
      <c r="A9211" s="6">
        <v>9209.0</v>
      </c>
      <c r="B9211" s="17">
        <f t="array" ref="B9211">SUM(1-'Sparkling Model'!D$2:D$38^A9211)</f>
        <v>36.96333977</v>
      </c>
      <c r="C9211" s="8">
        <f t="array" ref="C9211">PRODUCT(1-'Sparkling Model'!D$2:D$38^A9211)</f>
        <v>0.9638187364</v>
      </c>
    </row>
    <row r="9212">
      <c r="A9212" s="6">
        <v>9210.0</v>
      </c>
      <c r="B9212" s="17">
        <f t="array" ref="B9212">SUM(1-'Sparkling Model'!D$2:D$38^A9212)</f>
        <v>36.96335825</v>
      </c>
      <c r="C9212" s="8">
        <f t="array" ref="C9212">PRODUCT(1-'Sparkling Model'!D$2:D$38^A9212)</f>
        <v>0.9638367286</v>
      </c>
    </row>
    <row r="9213">
      <c r="A9213" s="6">
        <v>9211.0</v>
      </c>
      <c r="B9213" s="17">
        <f t="array" ref="B9213">SUM(1-'Sparkling Model'!D$2:D$38^A9213)</f>
        <v>36.96337671</v>
      </c>
      <c r="C9213" s="8">
        <f t="array" ref="C9213">PRODUCT(1-'Sparkling Model'!D$2:D$38^A9213)</f>
        <v>0.9638547118</v>
      </c>
    </row>
    <row r="9214">
      <c r="A9214" s="6">
        <v>9212.0</v>
      </c>
      <c r="B9214" s="17">
        <f t="array" ref="B9214">SUM(1-'Sparkling Model'!D$2:D$38^A9214)</f>
        <v>36.96339517</v>
      </c>
      <c r="C9214" s="8">
        <f t="array" ref="C9214">PRODUCT(1-'Sparkling Model'!D$2:D$38^A9214)</f>
        <v>0.9638726861</v>
      </c>
    </row>
    <row r="9215">
      <c r="A9215" s="6">
        <v>9213.0</v>
      </c>
      <c r="B9215" s="17">
        <f t="array" ref="B9215">SUM(1-'Sparkling Model'!D$2:D$38^A9215)</f>
        <v>36.96341362</v>
      </c>
      <c r="C9215" s="8">
        <f t="array" ref="C9215">PRODUCT(1-'Sparkling Model'!D$2:D$38^A9215)</f>
        <v>0.9638906515</v>
      </c>
    </row>
    <row r="9216">
      <c r="A9216" s="6">
        <v>9214.0</v>
      </c>
      <c r="B9216" s="17">
        <f t="array" ref="B9216">SUM(1-'Sparkling Model'!D$2:D$38^A9216)</f>
        <v>36.96343206</v>
      </c>
      <c r="C9216" s="8">
        <f t="array" ref="C9216">PRODUCT(1-'Sparkling Model'!D$2:D$38^A9216)</f>
        <v>0.9639086079</v>
      </c>
    </row>
    <row r="9217">
      <c r="A9217" s="6">
        <v>9215.0</v>
      </c>
      <c r="B9217" s="17">
        <f t="array" ref="B9217">SUM(1-'Sparkling Model'!D$2:D$38^A9217)</f>
        <v>36.9634505</v>
      </c>
      <c r="C9217" s="8">
        <f t="array" ref="C9217">PRODUCT(1-'Sparkling Model'!D$2:D$38^A9217)</f>
        <v>0.9639265554</v>
      </c>
    </row>
    <row r="9218">
      <c r="A9218" s="6">
        <v>9216.0</v>
      </c>
      <c r="B9218" s="17">
        <f t="array" ref="B9218">SUM(1-'Sparkling Model'!D$2:D$38^A9218)</f>
        <v>36.96346892</v>
      </c>
      <c r="C9218" s="8">
        <f t="array" ref="C9218">PRODUCT(1-'Sparkling Model'!D$2:D$38^A9218)</f>
        <v>0.963944494</v>
      </c>
    </row>
    <row r="9219">
      <c r="A9219" s="6">
        <v>9217.0</v>
      </c>
      <c r="B9219" s="17">
        <f t="array" ref="B9219">SUM(1-'Sparkling Model'!D$2:D$38^A9219)</f>
        <v>36.96348733</v>
      </c>
      <c r="C9219" s="8">
        <f t="array" ref="C9219">PRODUCT(1-'Sparkling Model'!D$2:D$38^A9219)</f>
        <v>0.9639624236</v>
      </c>
    </row>
    <row r="9220">
      <c r="A9220" s="6">
        <v>9218.0</v>
      </c>
      <c r="B9220" s="17">
        <f t="array" ref="B9220">SUM(1-'Sparkling Model'!D$2:D$38^A9220)</f>
        <v>36.96350573</v>
      </c>
      <c r="C9220" s="8">
        <f t="array" ref="C9220">PRODUCT(1-'Sparkling Model'!D$2:D$38^A9220)</f>
        <v>0.9639803443</v>
      </c>
    </row>
    <row r="9221">
      <c r="A9221" s="6">
        <v>9219.0</v>
      </c>
      <c r="B9221" s="17">
        <f t="array" ref="B9221">SUM(1-'Sparkling Model'!D$2:D$38^A9221)</f>
        <v>36.96352412</v>
      </c>
      <c r="C9221" s="8">
        <f t="array" ref="C9221">PRODUCT(1-'Sparkling Model'!D$2:D$38^A9221)</f>
        <v>0.9639982561</v>
      </c>
    </row>
    <row r="9222">
      <c r="A9222" s="6">
        <v>9220.0</v>
      </c>
      <c r="B9222" s="17">
        <f t="array" ref="B9222">SUM(1-'Sparkling Model'!D$2:D$38^A9222)</f>
        <v>36.96354251</v>
      </c>
      <c r="C9222" s="8">
        <f t="array" ref="C9222">PRODUCT(1-'Sparkling Model'!D$2:D$38^A9222)</f>
        <v>0.964016159</v>
      </c>
    </row>
    <row r="9223">
      <c r="A9223" s="6">
        <v>9221.0</v>
      </c>
      <c r="B9223" s="17">
        <f t="array" ref="B9223">SUM(1-'Sparkling Model'!D$2:D$38^A9223)</f>
        <v>36.96356088</v>
      </c>
      <c r="C9223" s="8">
        <f t="array" ref="C9223">PRODUCT(1-'Sparkling Model'!D$2:D$38^A9223)</f>
        <v>0.9640340529</v>
      </c>
    </row>
    <row r="9224">
      <c r="A9224" s="6">
        <v>9222.0</v>
      </c>
      <c r="B9224" s="17">
        <f t="array" ref="B9224">SUM(1-'Sparkling Model'!D$2:D$38^A9224)</f>
        <v>36.96357925</v>
      </c>
      <c r="C9224" s="8">
        <f t="array" ref="C9224">PRODUCT(1-'Sparkling Model'!D$2:D$38^A9224)</f>
        <v>0.964051938</v>
      </c>
    </row>
    <row r="9225">
      <c r="A9225" s="6">
        <v>9223.0</v>
      </c>
      <c r="B9225" s="17">
        <f t="array" ref="B9225">SUM(1-'Sparkling Model'!D$2:D$38^A9225)</f>
        <v>36.9635976</v>
      </c>
      <c r="C9225" s="8">
        <f t="array" ref="C9225">PRODUCT(1-'Sparkling Model'!D$2:D$38^A9225)</f>
        <v>0.9640698142</v>
      </c>
    </row>
    <row r="9226">
      <c r="A9226" s="6">
        <v>9224.0</v>
      </c>
      <c r="B9226" s="17">
        <f t="array" ref="B9226">SUM(1-'Sparkling Model'!D$2:D$38^A9226)</f>
        <v>36.96361595</v>
      </c>
      <c r="C9226" s="8">
        <f t="array" ref="C9226">PRODUCT(1-'Sparkling Model'!D$2:D$38^A9226)</f>
        <v>0.9640876814</v>
      </c>
    </row>
    <row r="9227">
      <c r="A9227" s="6">
        <v>9225.0</v>
      </c>
      <c r="B9227" s="17">
        <f t="array" ref="B9227">SUM(1-'Sparkling Model'!D$2:D$38^A9227)</f>
        <v>36.96363429</v>
      </c>
      <c r="C9227" s="8">
        <f t="array" ref="C9227">PRODUCT(1-'Sparkling Model'!D$2:D$38^A9227)</f>
        <v>0.9641055398</v>
      </c>
    </row>
    <row r="9228">
      <c r="A9228" s="6">
        <v>9226.0</v>
      </c>
      <c r="B9228" s="17">
        <f t="array" ref="B9228">SUM(1-'Sparkling Model'!D$2:D$38^A9228)</f>
        <v>36.96365262</v>
      </c>
      <c r="C9228" s="8">
        <f t="array" ref="C9228">PRODUCT(1-'Sparkling Model'!D$2:D$38^A9228)</f>
        <v>0.9641233893</v>
      </c>
    </row>
    <row r="9229">
      <c r="A9229" s="6">
        <v>9227.0</v>
      </c>
      <c r="B9229" s="17">
        <f t="array" ref="B9229">SUM(1-'Sparkling Model'!D$2:D$38^A9229)</f>
        <v>36.96367093</v>
      </c>
      <c r="C9229" s="8">
        <f t="array" ref="C9229">PRODUCT(1-'Sparkling Model'!D$2:D$38^A9229)</f>
        <v>0.9641412299</v>
      </c>
    </row>
    <row r="9230">
      <c r="A9230" s="6">
        <v>9228.0</v>
      </c>
      <c r="B9230" s="17">
        <f t="array" ref="B9230">SUM(1-'Sparkling Model'!D$2:D$38^A9230)</f>
        <v>36.96368924</v>
      </c>
      <c r="C9230" s="8">
        <f t="array" ref="C9230">PRODUCT(1-'Sparkling Model'!D$2:D$38^A9230)</f>
        <v>0.9641590616</v>
      </c>
    </row>
    <row r="9231">
      <c r="A9231" s="6">
        <v>9229.0</v>
      </c>
      <c r="B9231" s="17">
        <f t="array" ref="B9231">SUM(1-'Sparkling Model'!D$2:D$38^A9231)</f>
        <v>36.96370754</v>
      </c>
      <c r="C9231" s="8">
        <f t="array" ref="C9231">PRODUCT(1-'Sparkling Model'!D$2:D$38^A9231)</f>
        <v>0.9641768845</v>
      </c>
    </row>
    <row r="9232">
      <c r="A9232" s="6">
        <v>9230.0</v>
      </c>
      <c r="B9232" s="17">
        <f t="array" ref="B9232">SUM(1-'Sparkling Model'!D$2:D$38^A9232)</f>
        <v>36.96372583</v>
      </c>
      <c r="C9232" s="8">
        <f t="array" ref="C9232">PRODUCT(1-'Sparkling Model'!D$2:D$38^A9232)</f>
        <v>0.9641946985</v>
      </c>
    </row>
    <row r="9233">
      <c r="A9233" s="6">
        <v>9231.0</v>
      </c>
      <c r="B9233" s="17">
        <f t="array" ref="B9233">SUM(1-'Sparkling Model'!D$2:D$38^A9233)</f>
        <v>36.96374411</v>
      </c>
      <c r="C9233" s="8">
        <f t="array" ref="C9233">PRODUCT(1-'Sparkling Model'!D$2:D$38^A9233)</f>
        <v>0.9642125036</v>
      </c>
    </row>
    <row r="9234">
      <c r="A9234" s="6">
        <v>9232.0</v>
      </c>
      <c r="B9234" s="17">
        <f t="array" ref="B9234">SUM(1-'Sparkling Model'!D$2:D$38^A9234)</f>
        <v>36.96376238</v>
      </c>
      <c r="C9234" s="8">
        <f t="array" ref="C9234">PRODUCT(1-'Sparkling Model'!D$2:D$38^A9234)</f>
        <v>0.9642302998</v>
      </c>
    </row>
    <row r="9235">
      <c r="A9235" s="6">
        <v>9233.0</v>
      </c>
      <c r="B9235" s="17">
        <f t="array" ref="B9235">SUM(1-'Sparkling Model'!D$2:D$38^A9235)</f>
        <v>36.96378065</v>
      </c>
      <c r="C9235" s="8">
        <f t="array" ref="C9235">PRODUCT(1-'Sparkling Model'!D$2:D$38^A9235)</f>
        <v>0.9642480872</v>
      </c>
    </row>
    <row r="9236">
      <c r="A9236" s="6">
        <v>9234.0</v>
      </c>
      <c r="B9236" s="17">
        <f t="array" ref="B9236">SUM(1-'Sparkling Model'!D$2:D$38^A9236)</f>
        <v>36.9637989</v>
      </c>
      <c r="C9236" s="8">
        <f t="array" ref="C9236">PRODUCT(1-'Sparkling Model'!D$2:D$38^A9236)</f>
        <v>0.9642658658</v>
      </c>
    </row>
    <row r="9237">
      <c r="A9237" s="6">
        <v>9235.0</v>
      </c>
      <c r="B9237" s="17">
        <f t="array" ref="B9237">SUM(1-'Sparkling Model'!D$2:D$38^A9237)</f>
        <v>36.96381714</v>
      </c>
      <c r="C9237" s="8">
        <f t="array" ref="C9237">PRODUCT(1-'Sparkling Model'!D$2:D$38^A9237)</f>
        <v>0.9642836355</v>
      </c>
    </row>
    <row r="9238">
      <c r="A9238" s="6">
        <v>9236.0</v>
      </c>
      <c r="B9238" s="17">
        <f t="array" ref="B9238">SUM(1-'Sparkling Model'!D$2:D$38^A9238)</f>
        <v>36.96383538</v>
      </c>
      <c r="C9238" s="8">
        <f t="array" ref="C9238">PRODUCT(1-'Sparkling Model'!D$2:D$38^A9238)</f>
        <v>0.9643013963</v>
      </c>
    </row>
    <row r="9239">
      <c r="A9239" s="6">
        <v>9237.0</v>
      </c>
      <c r="B9239" s="17">
        <f t="array" ref="B9239">SUM(1-'Sparkling Model'!D$2:D$38^A9239)</f>
        <v>36.9638536</v>
      </c>
      <c r="C9239" s="8">
        <f t="array" ref="C9239">PRODUCT(1-'Sparkling Model'!D$2:D$38^A9239)</f>
        <v>0.9643191484</v>
      </c>
    </row>
    <row r="9240">
      <c r="A9240" s="6">
        <v>9238.0</v>
      </c>
      <c r="B9240" s="17">
        <f t="array" ref="B9240">SUM(1-'Sparkling Model'!D$2:D$38^A9240)</f>
        <v>36.96387182</v>
      </c>
      <c r="C9240" s="8">
        <f t="array" ref="C9240">PRODUCT(1-'Sparkling Model'!D$2:D$38^A9240)</f>
        <v>0.9643368915</v>
      </c>
    </row>
    <row r="9241">
      <c r="A9241" s="6">
        <v>9239.0</v>
      </c>
      <c r="B9241" s="17">
        <f t="array" ref="B9241">SUM(1-'Sparkling Model'!D$2:D$38^A9241)</f>
        <v>36.96389002</v>
      </c>
      <c r="C9241" s="8">
        <f t="array" ref="C9241">PRODUCT(1-'Sparkling Model'!D$2:D$38^A9241)</f>
        <v>0.9643546259</v>
      </c>
    </row>
    <row r="9242">
      <c r="A9242" s="6">
        <v>9240.0</v>
      </c>
      <c r="B9242" s="17">
        <f t="array" ref="B9242">SUM(1-'Sparkling Model'!D$2:D$38^A9242)</f>
        <v>36.96390822</v>
      </c>
      <c r="C9242" s="8">
        <f t="array" ref="C9242">PRODUCT(1-'Sparkling Model'!D$2:D$38^A9242)</f>
        <v>0.9643723514</v>
      </c>
    </row>
    <row r="9243">
      <c r="A9243" s="6">
        <v>9241.0</v>
      </c>
      <c r="B9243" s="17">
        <f t="array" ref="B9243">SUM(1-'Sparkling Model'!D$2:D$38^A9243)</f>
        <v>36.96392641</v>
      </c>
      <c r="C9243" s="8">
        <f t="array" ref="C9243">PRODUCT(1-'Sparkling Model'!D$2:D$38^A9243)</f>
        <v>0.9643900681</v>
      </c>
    </row>
    <row r="9244">
      <c r="A9244" s="6">
        <v>9242.0</v>
      </c>
      <c r="B9244" s="17">
        <f t="array" ref="B9244">SUM(1-'Sparkling Model'!D$2:D$38^A9244)</f>
        <v>36.96394459</v>
      </c>
      <c r="C9244" s="8">
        <f t="array" ref="C9244">PRODUCT(1-'Sparkling Model'!D$2:D$38^A9244)</f>
        <v>0.964407776</v>
      </c>
    </row>
    <row r="9245">
      <c r="A9245" s="6">
        <v>9243.0</v>
      </c>
      <c r="B9245" s="17">
        <f t="array" ref="B9245">SUM(1-'Sparkling Model'!D$2:D$38^A9245)</f>
        <v>36.96396275</v>
      </c>
      <c r="C9245" s="8">
        <f t="array" ref="C9245">PRODUCT(1-'Sparkling Model'!D$2:D$38^A9245)</f>
        <v>0.9644254751</v>
      </c>
    </row>
    <row r="9246">
      <c r="A9246" s="6">
        <v>9244.0</v>
      </c>
      <c r="B9246" s="17">
        <f t="array" ref="B9246">SUM(1-'Sparkling Model'!D$2:D$38^A9246)</f>
        <v>36.96398091</v>
      </c>
      <c r="C9246" s="8">
        <f t="array" ref="C9246">PRODUCT(1-'Sparkling Model'!D$2:D$38^A9246)</f>
        <v>0.9644431654</v>
      </c>
    </row>
    <row r="9247">
      <c r="A9247" s="6">
        <v>9245.0</v>
      </c>
      <c r="B9247" s="17">
        <f t="array" ref="B9247">SUM(1-'Sparkling Model'!D$2:D$38^A9247)</f>
        <v>36.96399906</v>
      </c>
      <c r="C9247" s="8">
        <f t="array" ref="C9247">PRODUCT(1-'Sparkling Model'!D$2:D$38^A9247)</f>
        <v>0.9644608469</v>
      </c>
    </row>
    <row r="9248">
      <c r="A9248" s="6">
        <v>9246.0</v>
      </c>
      <c r="B9248" s="17">
        <f t="array" ref="B9248">SUM(1-'Sparkling Model'!D$2:D$38^A9248)</f>
        <v>36.96401721</v>
      </c>
      <c r="C9248" s="8">
        <f t="array" ref="C9248">PRODUCT(1-'Sparkling Model'!D$2:D$38^A9248)</f>
        <v>0.9644785195</v>
      </c>
    </row>
    <row r="9249">
      <c r="A9249" s="6">
        <v>9247.0</v>
      </c>
      <c r="B9249" s="17">
        <f t="array" ref="B9249">SUM(1-'Sparkling Model'!D$2:D$38^A9249)</f>
        <v>36.96403534</v>
      </c>
      <c r="C9249" s="8">
        <f t="array" ref="C9249">PRODUCT(1-'Sparkling Model'!D$2:D$38^A9249)</f>
        <v>0.9644961834</v>
      </c>
    </row>
    <row r="9250">
      <c r="A9250" s="6">
        <v>9248.0</v>
      </c>
      <c r="B9250" s="17">
        <f t="array" ref="B9250">SUM(1-'Sparkling Model'!D$2:D$38^A9250)</f>
        <v>36.96405346</v>
      </c>
      <c r="C9250" s="8">
        <f t="array" ref="C9250">PRODUCT(1-'Sparkling Model'!D$2:D$38^A9250)</f>
        <v>0.9645138385</v>
      </c>
    </row>
    <row r="9251">
      <c r="A9251" s="6">
        <v>9249.0</v>
      </c>
      <c r="B9251" s="17">
        <f t="array" ref="B9251">SUM(1-'Sparkling Model'!D$2:D$38^A9251)</f>
        <v>36.96407157</v>
      </c>
      <c r="C9251" s="8">
        <f t="array" ref="C9251">PRODUCT(1-'Sparkling Model'!D$2:D$38^A9251)</f>
        <v>0.9645314848</v>
      </c>
    </row>
    <row r="9252">
      <c r="A9252" s="6">
        <v>9250.0</v>
      </c>
      <c r="B9252" s="17">
        <f t="array" ref="B9252">SUM(1-'Sparkling Model'!D$2:D$38^A9252)</f>
        <v>36.96408968</v>
      </c>
      <c r="C9252" s="8">
        <f t="array" ref="C9252">PRODUCT(1-'Sparkling Model'!D$2:D$38^A9252)</f>
        <v>0.9645491223</v>
      </c>
    </row>
    <row r="9253">
      <c r="A9253" s="6">
        <v>9251.0</v>
      </c>
      <c r="B9253" s="17">
        <f t="array" ref="B9253">SUM(1-'Sparkling Model'!D$2:D$38^A9253)</f>
        <v>36.96410777</v>
      </c>
      <c r="C9253" s="8">
        <f t="array" ref="C9253">PRODUCT(1-'Sparkling Model'!D$2:D$38^A9253)</f>
        <v>0.964566751</v>
      </c>
    </row>
    <row r="9254">
      <c r="A9254" s="6">
        <v>9252.0</v>
      </c>
      <c r="B9254" s="17">
        <f t="array" ref="B9254">SUM(1-'Sparkling Model'!D$2:D$38^A9254)</f>
        <v>36.96412586</v>
      </c>
      <c r="C9254" s="8">
        <f t="array" ref="C9254">PRODUCT(1-'Sparkling Model'!D$2:D$38^A9254)</f>
        <v>0.964584371</v>
      </c>
    </row>
    <row r="9255">
      <c r="A9255" s="6">
        <v>9253.0</v>
      </c>
      <c r="B9255" s="17">
        <f t="array" ref="B9255">SUM(1-'Sparkling Model'!D$2:D$38^A9255)</f>
        <v>36.96414393</v>
      </c>
      <c r="C9255" s="8">
        <f t="array" ref="C9255">PRODUCT(1-'Sparkling Model'!D$2:D$38^A9255)</f>
        <v>0.9646019822</v>
      </c>
    </row>
    <row r="9256">
      <c r="A9256" s="6">
        <v>9254.0</v>
      </c>
      <c r="B9256" s="17">
        <f t="array" ref="B9256">SUM(1-'Sparkling Model'!D$2:D$38^A9256)</f>
        <v>36.964162</v>
      </c>
      <c r="C9256" s="8">
        <f t="array" ref="C9256">PRODUCT(1-'Sparkling Model'!D$2:D$38^A9256)</f>
        <v>0.9646195846</v>
      </c>
    </row>
    <row r="9257">
      <c r="A9257" s="6">
        <v>9255.0</v>
      </c>
      <c r="B9257" s="17">
        <f t="array" ref="B9257">SUM(1-'Sparkling Model'!D$2:D$38^A9257)</f>
        <v>36.96418006</v>
      </c>
      <c r="C9257" s="8">
        <f t="array" ref="C9257">PRODUCT(1-'Sparkling Model'!D$2:D$38^A9257)</f>
        <v>0.9646371783</v>
      </c>
    </row>
    <row r="9258">
      <c r="A9258" s="6">
        <v>9256.0</v>
      </c>
      <c r="B9258" s="17">
        <f t="array" ref="B9258">SUM(1-'Sparkling Model'!D$2:D$38^A9258)</f>
        <v>36.96419811</v>
      </c>
      <c r="C9258" s="8">
        <f t="array" ref="C9258">PRODUCT(1-'Sparkling Model'!D$2:D$38^A9258)</f>
        <v>0.9646547632</v>
      </c>
    </row>
    <row r="9259">
      <c r="A9259" s="6">
        <v>9257.0</v>
      </c>
      <c r="B9259" s="17">
        <f t="array" ref="B9259">SUM(1-'Sparkling Model'!D$2:D$38^A9259)</f>
        <v>36.96421615</v>
      </c>
      <c r="C9259" s="8">
        <f t="array" ref="C9259">PRODUCT(1-'Sparkling Model'!D$2:D$38^A9259)</f>
        <v>0.9646723394</v>
      </c>
    </row>
    <row r="9260">
      <c r="A9260" s="6">
        <v>9258.0</v>
      </c>
      <c r="B9260" s="17">
        <f t="array" ref="B9260">SUM(1-'Sparkling Model'!D$2:D$38^A9260)</f>
        <v>36.96423418</v>
      </c>
      <c r="C9260" s="8">
        <f t="array" ref="C9260">PRODUCT(1-'Sparkling Model'!D$2:D$38^A9260)</f>
        <v>0.9646899068</v>
      </c>
    </row>
    <row r="9261">
      <c r="A9261" s="6">
        <v>9259.0</v>
      </c>
      <c r="B9261" s="17">
        <f t="array" ref="B9261">SUM(1-'Sparkling Model'!D$2:D$38^A9261)</f>
        <v>36.9642522</v>
      </c>
      <c r="C9261" s="8">
        <f t="array" ref="C9261">PRODUCT(1-'Sparkling Model'!D$2:D$38^A9261)</f>
        <v>0.9647074655</v>
      </c>
    </row>
    <row r="9262">
      <c r="A9262" s="6">
        <v>9260.0</v>
      </c>
      <c r="B9262" s="17">
        <f t="array" ref="B9262">SUM(1-'Sparkling Model'!D$2:D$38^A9262)</f>
        <v>36.96427021</v>
      </c>
      <c r="C9262" s="8">
        <f t="array" ref="C9262">PRODUCT(1-'Sparkling Model'!D$2:D$38^A9262)</f>
        <v>0.9647250154</v>
      </c>
    </row>
    <row r="9263">
      <c r="A9263" s="6">
        <v>9261.0</v>
      </c>
      <c r="B9263" s="17">
        <f t="array" ref="B9263">SUM(1-'Sparkling Model'!D$2:D$38^A9263)</f>
        <v>36.96428821</v>
      </c>
      <c r="C9263" s="8">
        <f t="array" ref="C9263">PRODUCT(1-'Sparkling Model'!D$2:D$38^A9263)</f>
        <v>0.9647425566</v>
      </c>
    </row>
    <row r="9264">
      <c r="A9264" s="6">
        <v>9262.0</v>
      </c>
      <c r="B9264" s="17">
        <f t="array" ref="B9264">SUM(1-'Sparkling Model'!D$2:D$38^A9264)</f>
        <v>36.96430621</v>
      </c>
      <c r="C9264" s="8">
        <f t="array" ref="C9264">PRODUCT(1-'Sparkling Model'!D$2:D$38^A9264)</f>
        <v>0.9647600891</v>
      </c>
    </row>
    <row r="9265">
      <c r="A9265" s="6">
        <v>9263.0</v>
      </c>
      <c r="B9265" s="17">
        <f t="array" ref="B9265">SUM(1-'Sparkling Model'!D$2:D$38^A9265)</f>
        <v>36.96432419</v>
      </c>
      <c r="C9265" s="8">
        <f t="array" ref="C9265">PRODUCT(1-'Sparkling Model'!D$2:D$38^A9265)</f>
        <v>0.9647776128</v>
      </c>
    </row>
    <row r="9266">
      <c r="A9266" s="6">
        <v>9264.0</v>
      </c>
      <c r="B9266" s="17">
        <f t="array" ref="B9266">SUM(1-'Sparkling Model'!D$2:D$38^A9266)</f>
        <v>36.96434216</v>
      </c>
      <c r="C9266" s="8">
        <f t="array" ref="C9266">PRODUCT(1-'Sparkling Model'!D$2:D$38^A9266)</f>
        <v>0.9647951279</v>
      </c>
    </row>
    <row r="9267">
      <c r="A9267" s="6">
        <v>9265.0</v>
      </c>
      <c r="B9267" s="17">
        <f t="array" ref="B9267">SUM(1-'Sparkling Model'!D$2:D$38^A9267)</f>
        <v>36.96436013</v>
      </c>
      <c r="C9267" s="8">
        <f t="array" ref="C9267">PRODUCT(1-'Sparkling Model'!D$2:D$38^A9267)</f>
        <v>0.9648126342</v>
      </c>
    </row>
    <row r="9268">
      <c r="A9268" s="6">
        <v>9266.0</v>
      </c>
      <c r="B9268" s="17">
        <f t="array" ref="B9268">SUM(1-'Sparkling Model'!D$2:D$38^A9268)</f>
        <v>36.96437809</v>
      </c>
      <c r="C9268" s="8">
        <f t="array" ref="C9268">PRODUCT(1-'Sparkling Model'!D$2:D$38^A9268)</f>
        <v>0.9648301318</v>
      </c>
    </row>
    <row r="9269">
      <c r="A9269" s="6">
        <v>9267.0</v>
      </c>
      <c r="B9269" s="17">
        <f t="array" ref="B9269">SUM(1-'Sparkling Model'!D$2:D$38^A9269)</f>
        <v>36.96439603</v>
      </c>
      <c r="C9269" s="8">
        <f t="array" ref="C9269">PRODUCT(1-'Sparkling Model'!D$2:D$38^A9269)</f>
        <v>0.9648476207</v>
      </c>
    </row>
    <row r="9270">
      <c r="A9270" s="6">
        <v>9268.0</v>
      </c>
      <c r="B9270" s="17">
        <f t="array" ref="B9270">SUM(1-'Sparkling Model'!D$2:D$38^A9270)</f>
        <v>36.96441397</v>
      </c>
      <c r="C9270" s="8">
        <f t="array" ref="C9270">PRODUCT(1-'Sparkling Model'!D$2:D$38^A9270)</f>
        <v>0.9648651008</v>
      </c>
    </row>
    <row r="9271">
      <c r="A9271" s="6">
        <v>9269.0</v>
      </c>
      <c r="B9271" s="17">
        <f t="array" ref="B9271">SUM(1-'Sparkling Model'!D$2:D$38^A9271)</f>
        <v>36.9644319</v>
      </c>
      <c r="C9271" s="8">
        <f t="array" ref="C9271">PRODUCT(1-'Sparkling Model'!D$2:D$38^A9271)</f>
        <v>0.9648825723</v>
      </c>
    </row>
    <row r="9272">
      <c r="A9272" s="6">
        <v>9270.0</v>
      </c>
      <c r="B9272" s="17">
        <f t="array" ref="B9272">SUM(1-'Sparkling Model'!D$2:D$38^A9272)</f>
        <v>36.96444982</v>
      </c>
      <c r="C9272" s="8">
        <f t="array" ref="C9272">PRODUCT(1-'Sparkling Model'!D$2:D$38^A9272)</f>
        <v>0.9649000351</v>
      </c>
    </row>
    <row r="9273">
      <c r="A9273" s="6">
        <v>9271.0</v>
      </c>
      <c r="B9273" s="17">
        <f t="array" ref="B9273">SUM(1-'Sparkling Model'!D$2:D$38^A9273)</f>
        <v>36.96446773</v>
      </c>
      <c r="C9273" s="8">
        <f t="array" ref="C9273">PRODUCT(1-'Sparkling Model'!D$2:D$38^A9273)</f>
        <v>0.9649174892</v>
      </c>
    </row>
    <row r="9274">
      <c r="A9274" s="6">
        <v>9272.0</v>
      </c>
      <c r="B9274" s="17">
        <f t="array" ref="B9274">SUM(1-'Sparkling Model'!D$2:D$38^A9274)</f>
        <v>36.96448563</v>
      </c>
      <c r="C9274" s="8">
        <f t="array" ref="C9274">PRODUCT(1-'Sparkling Model'!D$2:D$38^A9274)</f>
        <v>0.9649349346</v>
      </c>
    </row>
    <row r="9275">
      <c r="A9275" s="6">
        <v>9273.0</v>
      </c>
      <c r="B9275" s="17">
        <f t="array" ref="B9275">SUM(1-'Sparkling Model'!D$2:D$38^A9275)</f>
        <v>36.96450353</v>
      </c>
      <c r="C9275" s="8">
        <f t="array" ref="C9275">PRODUCT(1-'Sparkling Model'!D$2:D$38^A9275)</f>
        <v>0.9649523714</v>
      </c>
    </row>
    <row r="9276">
      <c r="A9276" s="6">
        <v>9274.0</v>
      </c>
      <c r="B9276" s="17">
        <f t="array" ref="B9276">SUM(1-'Sparkling Model'!D$2:D$38^A9276)</f>
        <v>36.96452141</v>
      </c>
      <c r="C9276" s="8">
        <f t="array" ref="C9276">PRODUCT(1-'Sparkling Model'!D$2:D$38^A9276)</f>
        <v>0.9649697994</v>
      </c>
    </row>
    <row r="9277">
      <c r="A9277" s="6">
        <v>9275.0</v>
      </c>
      <c r="B9277" s="17">
        <f t="array" ref="B9277">SUM(1-'Sparkling Model'!D$2:D$38^A9277)</f>
        <v>36.96453928</v>
      </c>
      <c r="C9277" s="8">
        <f t="array" ref="C9277">PRODUCT(1-'Sparkling Model'!D$2:D$38^A9277)</f>
        <v>0.9649872188</v>
      </c>
    </row>
    <row r="9278">
      <c r="A9278" s="6">
        <v>9276.0</v>
      </c>
      <c r="B9278" s="17">
        <f t="array" ref="B9278">SUM(1-'Sparkling Model'!D$2:D$38^A9278)</f>
        <v>36.96455715</v>
      </c>
      <c r="C9278" s="8">
        <f t="array" ref="C9278">PRODUCT(1-'Sparkling Model'!D$2:D$38^A9278)</f>
        <v>0.9650046295</v>
      </c>
    </row>
    <row r="9279">
      <c r="A9279" s="6">
        <v>9277.0</v>
      </c>
      <c r="B9279" s="17">
        <f t="array" ref="B9279">SUM(1-'Sparkling Model'!D$2:D$38^A9279)</f>
        <v>36.964575</v>
      </c>
      <c r="C9279" s="8">
        <f t="array" ref="C9279">PRODUCT(1-'Sparkling Model'!D$2:D$38^A9279)</f>
        <v>0.9650220316</v>
      </c>
    </row>
    <row r="9280">
      <c r="A9280" s="6">
        <v>9278.0</v>
      </c>
      <c r="B9280" s="17">
        <f t="array" ref="B9280">SUM(1-'Sparkling Model'!D$2:D$38^A9280)</f>
        <v>36.96459285</v>
      </c>
      <c r="C9280" s="8">
        <f t="array" ref="C9280">PRODUCT(1-'Sparkling Model'!D$2:D$38^A9280)</f>
        <v>0.9650394249</v>
      </c>
    </row>
    <row r="9281">
      <c r="A9281" s="6">
        <v>9279.0</v>
      </c>
      <c r="B9281" s="17">
        <f t="array" ref="B9281">SUM(1-'Sparkling Model'!D$2:D$38^A9281)</f>
        <v>36.96461069</v>
      </c>
      <c r="C9281" s="8">
        <f t="array" ref="C9281">PRODUCT(1-'Sparkling Model'!D$2:D$38^A9281)</f>
        <v>0.9650568097</v>
      </c>
    </row>
    <row r="9282">
      <c r="A9282" s="6">
        <v>9280.0</v>
      </c>
      <c r="B9282" s="17">
        <f t="array" ref="B9282">SUM(1-'Sparkling Model'!D$2:D$38^A9282)</f>
        <v>36.96462852</v>
      </c>
      <c r="C9282" s="8">
        <f t="array" ref="C9282">PRODUCT(1-'Sparkling Model'!D$2:D$38^A9282)</f>
        <v>0.9650741857</v>
      </c>
    </row>
    <row r="9283">
      <c r="A9283" s="6">
        <v>9281.0</v>
      </c>
      <c r="B9283" s="17">
        <f t="array" ref="B9283">SUM(1-'Sparkling Model'!D$2:D$38^A9283)</f>
        <v>36.96464634</v>
      </c>
      <c r="C9283" s="8">
        <f t="array" ref="C9283">PRODUCT(1-'Sparkling Model'!D$2:D$38^A9283)</f>
        <v>0.9650915532</v>
      </c>
    </row>
    <row r="9284">
      <c r="A9284" s="6">
        <v>9282.0</v>
      </c>
      <c r="B9284" s="17">
        <f t="array" ref="B9284">SUM(1-'Sparkling Model'!D$2:D$38^A9284)</f>
        <v>36.96466415</v>
      </c>
      <c r="C9284" s="8">
        <f t="array" ref="C9284">PRODUCT(1-'Sparkling Model'!D$2:D$38^A9284)</f>
        <v>0.965108912</v>
      </c>
    </row>
    <row r="9285">
      <c r="A9285" s="6">
        <v>9283.0</v>
      </c>
      <c r="B9285" s="17">
        <f t="array" ref="B9285">SUM(1-'Sparkling Model'!D$2:D$38^A9285)</f>
        <v>36.96468195</v>
      </c>
      <c r="C9285" s="8">
        <f t="array" ref="C9285">PRODUCT(1-'Sparkling Model'!D$2:D$38^A9285)</f>
        <v>0.9651262621</v>
      </c>
    </row>
    <row r="9286">
      <c r="A9286" s="6">
        <v>9284.0</v>
      </c>
      <c r="B9286" s="17">
        <f t="array" ref="B9286">SUM(1-'Sparkling Model'!D$2:D$38^A9286)</f>
        <v>36.96469974</v>
      </c>
      <c r="C9286" s="8">
        <f t="array" ref="C9286">PRODUCT(1-'Sparkling Model'!D$2:D$38^A9286)</f>
        <v>0.9651436036</v>
      </c>
    </row>
    <row r="9287">
      <c r="A9287" s="6">
        <v>9285.0</v>
      </c>
      <c r="B9287" s="17">
        <f t="array" ref="B9287">SUM(1-'Sparkling Model'!D$2:D$38^A9287)</f>
        <v>36.96471752</v>
      </c>
      <c r="C9287" s="8">
        <f t="array" ref="C9287">PRODUCT(1-'Sparkling Model'!D$2:D$38^A9287)</f>
        <v>0.9651609365</v>
      </c>
    </row>
    <row r="9288">
      <c r="A9288" s="6">
        <v>9286.0</v>
      </c>
      <c r="B9288" s="17">
        <f t="array" ref="B9288">SUM(1-'Sparkling Model'!D$2:D$38^A9288)</f>
        <v>36.9647353</v>
      </c>
      <c r="C9288" s="8">
        <f t="array" ref="C9288">PRODUCT(1-'Sparkling Model'!D$2:D$38^A9288)</f>
        <v>0.9651782608</v>
      </c>
    </row>
    <row r="9289">
      <c r="A9289" s="6">
        <v>9287.0</v>
      </c>
      <c r="B9289" s="17">
        <f t="array" ref="B9289">SUM(1-'Sparkling Model'!D$2:D$38^A9289)</f>
        <v>36.96475306</v>
      </c>
      <c r="C9289" s="8">
        <f t="array" ref="C9289">PRODUCT(1-'Sparkling Model'!D$2:D$38^A9289)</f>
        <v>0.9651955764</v>
      </c>
    </row>
    <row r="9290">
      <c r="A9290" s="6">
        <v>9288.0</v>
      </c>
      <c r="B9290" s="17">
        <f t="array" ref="B9290">SUM(1-'Sparkling Model'!D$2:D$38^A9290)</f>
        <v>36.96477082</v>
      </c>
      <c r="C9290" s="8">
        <f t="array" ref="C9290">PRODUCT(1-'Sparkling Model'!D$2:D$38^A9290)</f>
        <v>0.9652128834</v>
      </c>
    </row>
    <row r="9291">
      <c r="A9291" s="6">
        <v>9289.0</v>
      </c>
      <c r="B9291" s="17">
        <f t="array" ref="B9291">SUM(1-'Sparkling Model'!D$2:D$38^A9291)</f>
        <v>36.96478856</v>
      </c>
      <c r="C9291" s="8">
        <f t="array" ref="C9291">PRODUCT(1-'Sparkling Model'!D$2:D$38^A9291)</f>
        <v>0.9652301818</v>
      </c>
    </row>
    <row r="9292">
      <c r="A9292" s="6">
        <v>9290.0</v>
      </c>
      <c r="B9292" s="17">
        <f t="array" ref="B9292">SUM(1-'Sparkling Model'!D$2:D$38^A9292)</f>
        <v>36.9648063</v>
      </c>
      <c r="C9292" s="8">
        <f t="array" ref="C9292">PRODUCT(1-'Sparkling Model'!D$2:D$38^A9292)</f>
        <v>0.9652474716</v>
      </c>
    </row>
    <row r="9293">
      <c r="A9293" s="6">
        <v>9291.0</v>
      </c>
      <c r="B9293" s="17">
        <f t="array" ref="B9293">SUM(1-'Sparkling Model'!D$2:D$38^A9293)</f>
        <v>36.96482403</v>
      </c>
      <c r="C9293" s="8">
        <f t="array" ref="C9293">PRODUCT(1-'Sparkling Model'!D$2:D$38^A9293)</f>
        <v>0.9652647528</v>
      </c>
    </row>
    <row r="9294">
      <c r="A9294" s="6">
        <v>9292.0</v>
      </c>
      <c r="B9294" s="17">
        <f t="array" ref="B9294">SUM(1-'Sparkling Model'!D$2:D$38^A9294)</f>
        <v>36.96484175</v>
      </c>
      <c r="C9294" s="8">
        <f t="array" ref="C9294">PRODUCT(1-'Sparkling Model'!D$2:D$38^A9294)</f>
        <v>0.9652820254</v>
      </c>
    </row>
    <row r="9295">
      <c r="A9295" s="6">
        <v>9293.0</v>
      </c>
      <c r="B9295" s="17">
        <f t="array" ref="B9295">SUM(1-'Sparkling Model'!D$2:D$38^A9295)</f>
        <v>36.96485946</v>
      </c>
      <c r="C9295" s="8">
        <f t="array" ref="C9295">PRODUCT(1-'Sparkling Model'!D$2:D$38^A9295)</f>
        <v>0.9652992894</v>
      </c>
    </row>
    <row r="9296">
      <c r="A9296" s="6">
        <v>9294.0</v>
      </c>
      <c r="B9296" s="17">
        <f t="array" ref="B9296">SUM(1-'Sparkling Model'!D$2:D$38^A9296)</f>
        <v>36.96487716</v>
      </c>
      <c r="C9296" s="8">
        <f t="array" ref="C9296">PRODUCT(1-'Sparkling Model'!D$2:D$38^A9296)</f>
        <v>0.9653165448</v>
      </c>
    </row>
    <row r="9297">
      <c r="A9297" s="6">
        <v>9295.0</v>
      </c>
      <c r="B9297" s="17">
        <f t="array" ref="B9297">SUM(1-'Sparkling Model'!D$2:D$38^A9297)</f>
        <v>36.96489485</v>
      </c>
      <c r="C9297" s="8">
        <f t="array" ref="C9297">PRODUCT(1-'Sparkling Model'!D$2:D$38^A9297)</f>
        <v>0.9653337916</v>
      </c>
    </row>
    <row r="9298">
      <c r="A9298" s="6">
        <v>9296.0</v>
      </c>
      <c r="B9298" s="17">
        <f t="array" ref="B9298">SUM(1-'Sparkling Model'!D$2:D$38^A9298)</f>
        <v>36.96491254</v>
      </c>
      <c r="C9298" s="8">
        <f t="array" ref="C9298">PRODUCT(1-'Sparkling Model'!D$2:D$38^A9298)</f>
        <v>0.9653510298</v>
      </c>
    </row>
    <row r="9299">
      <c r="A9299" s="6">
        <v>9297.0</v>
      </c>
      <c r="B9299" s="17">
        <f t="array" ref="B9299">SUM(1-'Sparkling Model'!D$2:D$38^A9299)</f>
        <v>36.96493021</v>
      </c>
      <c r="C9299" s="8">
        <f t="array" ref="C9299">PRODUCT(1-'Sparkling Model'!D$2:D$38^A9299)</f>
        <v>0.9653682594</v>
      </c>
    </row>
    <row r="9300">
      <c r="A9300" s="6">
        <v>9298.0</v>
      </c>
      <c r="B9300" s="17">
        <f t="array" ref="B9300">SUM(1-'Sparkling Model'!D$2:D$38^A9300)</f>
        <v>36.96494788</v>
      </c>
      <c r="C9300" s="8">
        <f t="array" ref="C9300">PRODUCT(1-'Sparkling Model'!D$2:D$38^A9300)</f>
        <v>0.9653854805</v>
      </c>
    </row>
    <row r="9301">
      <c r="A9301" s="6">
        <v>9299.0</v>
      </c>
      <c r="B9301" s="17">
        <f t="array" ref="B9301">SUM(1-'Sparkling Model'!D$2:D$38^A9301)</f>
        <v>36.96496553</v>
      </c>
      <c r="C9301" s="8">
        <f t="array" ref="C9301">PRODUCT(1-'Sparkling Model'!D$2:D$38^A9301)</f>
        <v>0.965402693</v>
      </c>
    </row>
    <row r="9302">
      <c r="A9302" s="6">
        <v>9300.0</v>
      </c>
      <c r="B9302" s="17">
        <f t="array" ref="B9302">SUM(1-'Sparkling Model'!D$2:D$38^A9302)</f>
        <v>36.96498318</v>
      </c>
      <c r="C9302" s="8">
        <f t="array" ref="C9302">PRODUCT(1-'Sparkling Model'!D$2:D$38^A9302)</f>
        <v>0.9654198969</v>
      </c>
    </row>
    <row r="9303">
      <c r="A9303" s="6">
        <v>9301.0</v>
      </c>
      <c r="B9303" s="17">
        <f t="array" ref="B9303">SUM(1-'Sparkling Model'!D$2:D$38^A9303)</f>
        <v>36.96500082</v>
      </c>
      <c r="C9303" s="8">
        <f t="array" ref="C9303">PRODUCT(1-'Sparkling Model'!D$2:D$38^A9303)</f>
        <v>0.9654370923</v>
      </c>
    </row>
    <row r="9304">
      <c r="A9304" s="6">
        <v>9302.0</v>
      </c>
      <c r="B9304" s="17">
        <f t="array" ref="B9304">SUM(1-'Sparkling Model'!D$2:D$38^A9304)</f>
        <v>36.96501845</v>
      </c>
      <c r="C9304" s="8">
        <f t="array" ref="C9304">PRODUCT(1-'Sparkling Model'!D$2:D$38^A9304)</f>
        <v>0.9654542791</v>
      </c>
    </row>
    <row r="9305">
      <c r="A9305" s="6">
        <v>9303.0</v>
      </c>
      <c r="B9305" s="17">
        <f t="array" ref="B9305">SUM(1-'Sparkling Model'!D$2:D$38^A9305)</f>
        <v>36.96503607</v>
      </c>
      <c r="C9305" s="8">
        <f t="array" ref="C9305">PRODUCT(1-'Sparkling Model'!D$2:D$38^A9305)</f>
        <v>0.9654714574</v>
      </c>
    </row>
    <row r="9306">
      <c r="A9306" s="6">
        <v>9304.0</v>
      </c>
      <c r="B9306" s="17">
        <f t="array" ref="B9306">SUM(1-'Sparkling Model'!D$2:D$38^A9306)</f>
        <v>36.96505368</v>
      </c>
      <c r="C9306" s="8">
        <f t="array" ref="C9306">PRODUCT(1-'Sparkling Model'!D$2:D$38^A9306)</f>
        <v>0.9654886271</v>
      </c>
    </row>
    <row r="9307">
      <c r="A9307" s="6">
        <v>9305.0</v>
      </c>
      <c r="B9307" s="17">
        <f t="array" ref="B9307">SUM(1-'Sparkling Model'!D$2:D$38^A9307)</f>
        <v>36.96507128</v>
      </c>
      <c r="C9307" s="8">
        <f t="array" ref="C9307">PRODUCT(1-'Sparkling Model'!D$2:D$38^A9307)</f>
        <v>0.9655057883</v>
      </c>
    </row>
    <row r="9308">
      <c r="A9308" s="6">
        <v>9306.0</v>
      </c>
      <c r="B9308" s="17">
        <f t="array" ref="B9308">SUM(1-'Sparkling Model'!D$2:D$38^A9308)</f>
        <v>36.96508888</v>
      </c>
      <c r="C9308" s="8">
        <f t="array" ref="C9308">PRODUCT(1-'Sparkling Model'!D$2:D$38^A9308)</f>
        <v>0.9655229409</v>
      </c>
    </row>
    <row r="9309">
      <c r="A9309" s="6">
        <v>9307.0</v>
      </c>
      <c r="B9309" s="17">
        <f t="array" ref="B9309">SUM(1-'Sparkling Model'!D$2:D$38^A9309)</f>
        <v>36.96510646</v>
      </c>
      <c r="C9309" s="8">
        <f t="array" ref="C9309">PRODUCT(1-'Sparkling Model'!D$2:D$38^A9309)</f>
        <v>0.965540085</v>
      </c>
    </row>
    <row r="9310">
      <c r="A9310" s="6">
        <v>9308.0</v>
      </c>
      <c r="B9310" s="17">
        <f t="array" ref="B9310">SUM(1-'Sparkling Model'!D$2:D$38^A9310)</f>
        <v>36.96512403</v>
      </c>
      <c r="C9310" s="8">
        <f t="array" ref="C9310">PRODUCT(1-'Sparkling Model'!D$2:D$38^A9310)</f>
        <v>0.9655572205</v>
      </c>
    </row>
    <row r="9311">
      <c r="A9311" s="6">
        <v>9309.0</v>
      </c>
      <c r="B9311" s="17">
        <f t="array" ref="B9311">SUM(1-'Sparkling Model'!D$2:D$38^A9311)</f>
        <v>36.9651416</v>
      </c>
      <c r="C9311" s="8">
        <f t="array" ref="C9311">PRODUCT(1-'Sparkling Model'!D$2:D$38^A9311)</f>
        <v>0.9655743476</v>
      </c>
    </row>
    <row r="9312">
      <c r="A9312" s="6">
        <v>9310.0</v>
      </c>
      <c r="B9312" s="17">
        <f t="array" ref="B9312">SUM(1-'Sparkling Model'!D$2:D$38^A9312)</f>
        <v>36.96515916</v>
      </c>
      <c r="C9312" s="8">
        <f t="array" ref="C9312">PRODUCT(1-'Sparkling Model'!D$2:D$38^A9312)</f>
        <v>0.9655914661</v>
      </c>
    </row>
    <row r="9313">
      <c r="A9313" s="6">
        <v>9311.0</v>
      </c>
      <c r="B9313" s="17">
        <f t="array" ref="B9313">SUM(1-'Sparkling Model'!D$2:D$38^A9313)</f>
        <v>36.96517671</v>
      </c>
      <c r="C9313" s="8">
        <f t="array" ref="C9313">PRODUCT(1-'Sparkling Model'!D$2:D$38^A9313)</f>
        <v>0.965608576</v>
      </c>
    </row>
    <row r="9314">
      <c r="A9314" s="6">
        <v>9312.0</v>
      </c>
      <c r="B9314" s="17">
        <f t="array" ref="B9314">SUM(1-'Sparkling Model'!D$2:D$38^A9314)</f>
        <v>36.96519425</v>
      </c>
      <c r="C9314" s="8">
        <f t="array" ref="C9314">PRODUCT(1-'Sparkling Model'!D$2:D$38^A9314)</f>
        <v>0.9656256775</v>
      </c>
    </row>
    <row r="9315">
      <c r="A9315" s="6">
        <v>9313.0</v>
      </c>
      <c r="B9315" s="17">
        <f t="array" ref="B9315">SUM(1-'Sparkling Model'!D$2:D$38^A9315)</f>
        <v>36.96521178</v>
      </c>
      <c r="C9315" s="8">
        <f t="array" ref="C9315">PRODUCT(1-'Sparkling Model'!D$2:D$38^A9315)</f>
        <v>0.9656427705</v>
      </c>
    </row>
    <row r="9316">
      <c r="A9316" s="6">
        <v>9314.0</v>
      </c>
      <c r="B9316" s="17">
        <f t="array" ref="B9316">SUM(1-'Sparkling Model'!D$2:D$38^A9316)</f>
        <v>36.9652293</v>
      </c>
      <c r="C9316" s="8">
        <f t="array" ref="C9316">PRODUCT(1-'Sparkling Model'!D$2:D$38^A9316)</f>
        <v>0.9656598549</v>
      </c>
    </row>
    <row r="9317">
      <c r="A9317" s="6">
        <v>9315.0</v>
      </c>
      <c r="B9317" s="17">
        <f t="array" ref="B9317">SUM(1-'Sparkling Model'!D$2:D$38^A9317)</f>
        <v>36.96524681</v>
      </c>
      <c r="C9317" s="8">
        <f t="array" ref="C9317">PRODUCT(1-'Sparkling Model'!D$2:D$38^A9317)</f>
        <v>0.9656769309</v>
      </c>
    </row>
    <row r="9318">
      <c r="A9318" s="6">
        <v>9316.0</v>
      </c>
      <c r="B9318" s="17">
        <f t="array" ref="B9318">SUM(1-'Sparkling Model'!D$2:D$38^A9318)</f>
        <v>36.96526431</v>
      </c>
      <c r="C9318" s="8">
        <f t="array" ref="C9318">PRODUCT(1-'Sparkling Model'!D$2:D$38^A9318)</f>
        <v>0.9656939983</v>
      </c>
    </row>
    <row r="9319">
      <c r="A9319" s="6">
        <v>9317.0</v>
      </c>
      <c r="B9319" s="17">
        <f t="array" ref="B9319">SUM(1-'Sparkling Model'!D$2:D$38^A9319)</f>
        <v>36.96528181</v>
      </c>
      <c r="C9319" s="8">
        <f t="array" ref="C9319">PRODUCT(1-'Sparkling Model'!D$2:D$38^A9319)</f>
        <v>0.9657110573</v>
      </c>
    </row>
    <row r="9320">
      <c r="A9320" s="6">
        <v>9318.0</v>
      </c>
      <c r="B9320" s="17">
        <f t="array" ref="B9320">SUM(1-'Sparkling Model'!D$2:D$38^A9320)</f>
        <v>36.96529929</v>
      </c>
      <c r="C9320" s="8">
        <f t="array" ref="C9320">PRODUCT(1-'Sparkling Model'!D$2:D$38^A9320)</f>
        <v>0.9657281077</v>
      </c>
    </row>
    <row r="9321">
      <c r="A9321" s="6">
        <v>9319.0</v>
      </c>
      <c r="B9321" s="17">
        <f t="array" ref="B9321">SUM(1-'Sparkling Model'!D$2:D$38^A9321)</f>
        <v>36.96531677</v>
      </c>
      <c r="C9321" s="8">
        <f t="array" ref="C9321">PRODUCT(1-'Sparkling Model'!D$2:D$38^A9321)</f>
        <v>0.9657451497</v>
      </c>
    </row>
    <row r="9322">
      <c r="A9322" s="6">
        <v>9320.0</v>
      </c>
      <c r="B9322" s="17">
        <f t="array" ref="B9322">SUM(1-'Sparkling Model'!D$2:D$38^A9322)</f>
        <v>36.96533424</v>
      </c>
      <c r="C9322" s="8">
        <f t="array" ref="C9322">PRODUCT(1-'Sparkling Model'!D$2:D$38^A9322)</f>
        <v>0.9657621832</v>
      </c>
    </row>
    <row r="9323">
      <c r="A9323" s="6">
        <v>9321.0</v>
      </c>
      <c r="B9323" s="17">
        <f t="array" ref="B9323">SUM(1-'Sparkling Model'!D$2:D$38^A9323)</f>
        <v>36.9653517</v>
      </c>
      <c r="C9323" s="8">
        <f t="array" ref="C9323">PRODUCT(1-'Sparkling Model'!D$2:D$38^A9323)</f>
        <v>0.9657792082</v>
      </c>
    </row>
    <row r="9324">
      <c r="A9324" s="6">
        <v>9322.0</v>
      </c>
      <c r="B9324" s="17">
        <f t="array" ref="B9324">SUM(1-'Sparkling Model'!D$2:D$38^A9324)</f>
        <v>36.96536915</v>
      </c>
      <c r="C9324" s="8">
        <f t="array" ref="C9324">PRODUCT(1-'Sparkling Model'!D$2:D$38^A9324)</f>
        <v>0.9657962247</v>
      </c>
    </row>
    <row r="9325">
      <c r="A9325" s="6">
        <v>9323.0</v>
      </c>
      <c r="B9325" s="17">
        <f t="array" ref="B9325">SUM(1-'Sparkling Model'!D$2:D$38^A9325)</f>
        <v>36.96538659</v>
      </c>
      <c r="C9325" s="8">
        <f t="array" ref="C9325">PRODUCT(1-'Sparkling Model'!D$2:D$38^A9325)</f>
        <v>0.9658132328</v>
      </c>
    </row>
    <row r="9326">
      <c r="A9326" s="6">
        <v>9324.0</v>
      </c>
      <c r="B9326" s="17">
        <f t="array" ref="B9326">SUM(1-'Sparkling Model'!D$2:D$38^A9326)</f>
        <v>36.96540402</v>
      </c>
      <c r="C9326" s="8">
        <f t="array" ref="C9326">PRODUCT(1-'Sparkling Model'!D$2:D$38^A9326)</f>
        <v>0.9658302324</v>
      </c>
    </row>
    <row r="9327">
      <c r="A9327" s="6">
        <v>9325.0</v>
      </c>
      <c r="B9327" s="17">
        <f t="array" ref="B9327">SUM(1-'Sparkling Model'!D$2:D$38^A9327)</f>
        <v>36.96542144</v>
      </c>
      <c r="C9327" s="8">
        <f t="array" ref="C9327">PRODUCT(1-'Sparkling Model'!D$2:D$38^A9327)</f>
        <v>0.9658472236</v>
      </c>
    </row>
    <row r="9328">
      <c r="A9328" s="6">
        <v>9326.0</v>
      </c>
      <c r="B9328" s="17">
        <f t="array" ref="B9328">SUM(1-'Sparkling Model'!D$2:D$38^A9328)</f>
        <v>36.96543886</v>
      </c>
      <c r="C9328" s="8">
        <f t="array" ref="C9328">PRODUCT(1-'Sparkling Model'!D$2:D$38^A9328)</f>
        <v>0.9658642062</v>
      </c>
    </row>
    <row r="9329">
      <c r="A9329" s="6">
        <v>9327.0</v>
      </c>
      <c r="B9329" s="17">
        <f t="array" ref="B9329">SUM(1-'Sparkling Model'!D$2:D$38^A9329)</f>
        <v>36.96545626</v>
      </c>
      <c r="C9329" s="8">
        <f t="array" ref="C9329">PRODUCT(1-'Sparkling Model'!D$2:D$38^A9329)</f>
        <v>0.9658811805</v>
      </c>
    </row>
    <row r="9330">
      <c r="A9330" s="6">
        <v>9328.0</v>
      </c>
      <c r="B9330" s="17">
        <f t="array" ref="B9330">SUM(1-'Sparkling Model'!D$2:D$38^A9330)</f>
        <v>36.96547366</v>
      </c>
      <c r="C9330" s="8">
        <f t="array" ref="C9330">PRODUCT(1-'Sparkling Model'!D$2:D$38^A9330)</f>
        <v>0.9658981463</v>
      </c>
    </row>
    <row r="9331">
      <c r="A9331" s="6">
        <v>9329.0</v>
      </c>
      <c r="B9331" s="17">
        <f t="array" ref="B9331">SUM(1-'Sparkling Model'!D$2:D$38^A9331)</f>
        <v>36.96549105</v>
      </c>
      <c r="C9331" s="8">
        <f t="array" ref="C9331">PRODUCT(1-'Sparkling Model'!D$2:D$38^A9331)</f>
        <v>0.9659151036</v>
      </c>
    </row>
    <row r="9332">
      <c r="A9332" s="6">
        <v>9330.0</v>
      </c>
      <c r="B9332" s="17">
        <f t="array" ref="B9332">SUM(1-'Sparkling Model'!D$2:D$38^A9332)</f>
        <v>36.96550843</v>
      </c>
      <c r="C9332" s="8">
        <f t="array" ref="C9332">PRODUCT(1-'Sparkling Model'!D$2:D$38^A9332)</f>
        <v>0.9659320525</v>
      </c>
    </row>
    <row r="9333">
      <c r="A9333" s="6">
        <v>9331.0</v>
      </c>
      <c r="B9333" s="17">
        <f t="array" ref="B9333">SUM(1-'Sparkling Model'!D$2:D$38^A9333)</f>
        <v>36.9655258</v>
      </c>
      <c r="C9333" s="8">
        <f t="array" ref="C9333">PRODUCT(1-'Sparkling Model'!D$2:D$38^A9333)</f>
        <v>0.965948993</v>
      </c>
    </row>
    <row r="9334">
      <c r="A9334" s="6">
        <v>9332.0</v>
      </c>
      <c r="B9334" s="17">
        <f t="array" ref="B9334">SUM(1-'Sparkling Model'!D$2:D$38^A9334)</f>
        <v>36.96554316</v>
      </c>
      <c r="C9334" s="8">
        <f t="array" ref="C9334">PRODUCT(1-'Sparkling Model'!D$2:D$38^A9334)</f>
        <v>0.965965925</v>
      </c>
    </row>
    <row r="9335">
      <c r="A9335" s="6">
        <v>9333.0</v>
      </c>
      <c r="B9335" s="17">
        <f t="array" ref="B9335">SUM(1-'Sparkling Model'!D$2:D$38^A9335)</f>
        <v>36.96556051</v>
      </c>
      <c r="C9335" s="8">
        <f t="array" ref="C9335">PRODUCT(1-'Sparkling Model'!D$2:D$38^A9335)</f>
        <v>0.9659828486</v>
      </c>
    </row>
    <row r="9336">
      <c r="A9336" s="6">
        <v>9334.0</v>
      </c>
      <c r="B9336" s="17">
        <f t="array" ref="B9336">SUM(1-'Sparkling Model'!D$2:D$38^A9336)</f>
        <v>36.96557785</v>
      </c>
      <c r="C9336" s="8">
        <f t="array" ref="C9336">PRODUCT(1-'Sparkling Model'!D$2:D$38^A9336)</f>
        <v>0.9659997638</v>
      </c>
    </row>
    <row r="9337">
      <c r="A9337" s="6">
        <v>9335.0</v>
      </c>
      <c r="B9337" s="17">
        <f t="array" ref="B9337">SUM(1-'Sparkling Model'!D$2:D$38^A9337)</f>
        <v>36.96559519</v>
      </c>
      <c r="C9337" s="8">
        <f t="array" ref="C9337">PRODUCT(1-'Sparkling Model'!D$2:D$38^A9337)</f>
        <v>0.9660166706</v>
      </c>
    </row>
    <row r="9338">
      <c r="A9338" s="6">
        <v>9336.0</v>
      </c>
      <c r="B9338" s="17">
        <f t="array" ref="B9338">SUM(1-'Sparkling Model'!D$2:D$38^A9338)</f>
        <v>36.96561251</v>
      </c>
      <c r="C9338" s="8">
        <f t="array" ref="C9338">PRODUCT(1-'Sparkling Model'!D$2:D$38^A9338)</f>
        <v>0.9660335689</v>
      </c>
    </row>
    <row r="9339">
      <c r="A9339" s="6">
        <v>9337.0</v>
      </c>
      <c r="B9339" s="17">
        <f t="array" ref="B9339">SUM(1-'Sparkling Model'!D$2:D$38^A9339)</f>
        <v>36.96562983</v>
      </c>
      <c r="C9339" s="8">
        <f t="array" ref="C9339">PRODUCT(1-'Sparkling Model'!D$2:D$38^A9339)</f>
        <v>0.9660504589</v>
      </c>
    </row>
    <row r="9340">
      <c r="A9340" s="6">
        <v>9338.0</v>
      </c>
      <c r="B9340" s="17">
        <f t="array" ref="B9340">SUM(1-'Sparkling Model'!D$2:D$38^A9340)</f>
        <v>36.96564714</v>
      </c>
      <c r="C9340" s="8">
        <f t="array" ref="C9340">PRODUCT(1-'Sparkling Model'!D$2:D$38^A9340)</f>
        <v>0.9660673404</v>
      </c>
    </row>
    <row r="9341">
      <c r="A9341" s="6">
        <v>9339.0</v>
      </c>
      <c r="B9341" s="17">
        <f t="array" ref="B9341">SUM(1-'Sparkling Model'!D$2:D$38^A9341)</f>
        <v>36.96566444</v>
      </c>
      <c r="C9341" s="8">
        <f t="array" ref="C9341">PRODUCT(1-'Sparkling Model'!D$2:D$38^A9341)</f>
        <v>0.9660842135</v>
      </c>
    </row>
    <row r="9342">
      <c r="A9342" s="6">
        <v>9340.0</v>
      </c>
      <c r="B9342" s="17">
        <f t="array" ref="B9342">SUM(1-'Sparkling Model'!D$2:D$38^A9342)</f>
        <v>36.96568173</v>
      </c>
      <c r="C9342" s="8">
        <f t="array" ref="C9342">PRODUCT(1-'Sparkling Model'!D$2:D$38^A9342)</f>
        <v>0.9661010783</v>
      </c>
    </row>
    <row r="9343">
      <c r="A9343" s="6">
        <v>9341.0</v>
      </c>
      <c r="B9343" s="17">
        <f t="array" ref="B9343">SUM(1-'Sparkling Model'!D$2:D$38^A9343)</f>
        <v>36.96569901</v>
      </c>
      <c r="C9343" s="8">
        <f t="array" ref="C9343">PRODUCT(1-'Sparkling Model'!D$2:D$38^A9343)</f>
        <v>0.9661179346</v>
      </c>
    </row>
    <row r="9344">
      <c r="A9344" s="6">
        <v>9342.0</v>
      </c>
      <c r="B9344" s="17">
        <f t="array" ref="B9344">SUM(1-'Sparkling Model'!D$2:D$38^A9344)</f>
        <v>36.96571628</v>
      </c>
      <c r="C9344" s="8">
        <f t="array" ref="C9344">PRODUCT(1-'Sparkling Model'!D$2:D$38^A9344)</f>
        <v>0.9661347826</v>
      </c>
    </row>
    <row r="9345">
      <c r="A9345" s="6">
        <v>9343.0</v>
      </c>
      <c r="B9345" s="17">
        <f t="array" ref="B9345">SUM(1-'Sparkling Model'!D$2:D$38^A9345)</f>
        <v>36.96573355</v>
      </c>
      <c r="C9345" s="8">
        <f t="array" ref="C9345">PRODUCT(1-'Sparkling Model'!D$2:D$38^A9345)</f>
        <v>0.9661516221</v>
      </c>
    </row>
    <row r="9346">
      <c r="A9346" s="6">
        <v>9344.0</v>
      </c>
      <c r="B9346" s="17">
        <f t="array" ref="B9346">SUM(1-'Sparkling Model'!D$2:D$38^A9346)</f>
        <v>36.9657508</v>
      </c>
      <c r="C9346" s="8">
        <f t="array" ref="C9346">PRODUCT(1-'Sparkling Model'!D$2:D$38^A9346)</f>
        <v>0.9661684533</v>
      </c>
    </row>
    <row r="9347">
      <c r="A9347" s="6">
        <v>9345.0</v>
      </c>
      <c r="B9347" s="17">
        <f t="array" ref="B9347">SUM(1-'Sparkling Model'!D$2:D$38^A9347)</f>
        <v>36.96576805</v>
      </c>
      <c r="C9347" s="8">
        <f t="array" ref="C9347">PRODUCT(1-'Sparkling Model'!D$2:D$38^A9347)</f>
        <v>0.9661852761</v>
      </c>
    </row>
    <row r="9348">
      <c r="A9348" s="6">
        <v>9346.0</v>
      </c>
      <c r="B9348" s="17">
        <f t="array" ref="B9348">SUM(1-'Sparkling Model'!D$2:D$38^A9348)</f>
        <v>36.96578528</v>
      </c>
      <c r="C9348" s="8">
        <f t="array" ref="C9348">PRODUCT(1-'Sparkling Model'!D$2:D$38^A9348)</f>
        <v>0.9662020906</v>
      </c>
    </row>
    <row r="9349">
      <c r="A9349" s="6">
        <v>9347.0</v>
      </c>
      <c r="B9349" s="17">
        <f t="array" ref="B9349">SUM(1-'Sparkling Model'!D$2:D$38^A9349)</f>
        <v>36.96580251</v>
      </c>
      <c r="C9349" s="8">
        <f t="array" ref="C9349">PRODUCT(1-'Sparkling Model'!D$2:D$38^A9349)</f>
        <v>0.9662188966</v>
      </c>
    </row>
    <row r="9350">
      <c r="A9350" s="6">
        <v>9348.0</v>
      </c>
      <c r="B9350" s="17">
        <f t="array" ref="B9350">SUM(1-'Sparkling Model'!D$2:D$38^A9350)</f>
        <v>36.96581973</v>
      </c>
      <c r="C9350" s="8">
        <f t="array" ref="C9350">PRODUCT(1-'Sparkling Model'!D$2:D$38^A9350)</f>
        <v>0.9662356943</v>
      </c>
    </row>
    <row r="9351">
      <c r="A9351" s="6">
        <v>9349.0</v>
      </c>
      <c r="B9351" s="17">
        <f t="array" ref="B9351">SUM(1-'Sparkling Model'!D$2:D$38^A9351)</f>
        <v>36.96583694</v>
      </c>
      <c r="C9351" s="8">
        <f t="array" ref="C9351">PRODUCT(1-'Sparkling Model'!D$2:D$38^A9351)</f>
        <v>0.9662524837</v>
      </c>
    </row>
    <row r="9352">
      <c r="A9352" s="6">
        <v>9350.0</v>
      </c>
      <c r="B9352" s="17">
        <f t="array" ref="B9352">SUM(1-'Sparkling Model'!D$2:D$38^A9352)</f>
        <v>36.96585415</v>
      </c>
      <c r="C9352" s="8">
        <f t="array" ref="C9352">PRODUCT(1-'Sparkling Model'!D$2:D$38^A9352)</f>
        <v>0.9662692646</v>
      </c>
    </row>
    <row r="9353">
      <c r="A9353" s="6">
        <v>9351.0</v>
      </c>
      <c r="B9353" s="17">
        <f t="array" ref="B9353">SUM(1-'Sparkling Model'!D$2:D$38^A9353)</f>
        <v>36.96587134</v>
      </c>
      <c r="C9353" s="8">
        <f t="array" ref="C9353">PRODUCT(1-'Sparkling Model'!D$2:D$38^A9353)</f>
        <v>0.9662860373</v>
      </c>
    </row>
    <row r="9354">
      <c r="A9354" s="6">
        <v>9352.0</v>
      </c>
      <c r="B9354" s="17">
        <f t="array" ref="B9354">SUM(1-'Sparkling Model'!D$2:D$38^A9354)</f>
        <v>36.96588852</v>
      </c>
      <c r="C9354" s="8">
        <f t="array" ref="C9354">PRODUCT(1-'Sparkling Model'!D$2:D$38^A9354)</f>
        <v>0.9663028015</v>
      </c>
    </row>
    <row r="9355">
      <c r="A9355" s="6">
        <v>9353.0</v>
      </c>
      <c r="B9355" s="17">
        <f t="array" ref="B9355">SUM(1-'Sparkling Model'!D$2:D$38^A9355)</f>
        <v>36.9659057</v>
      </c>
      <c r="C9355" s="8">
        <f t="array" ref="C9355">PRODUCT(1-'Sparkling Model'!D$2:D$38^A9355)</f>
        <v>0.9663195575</v>
      </c>
    </row>
    <row r="9356">
      <c r="A9356" s="6">
        <v>9354.0</v>
      </c>
      <c r="B9356" s="17">
        <f t="array" ref="B9356">SUM(1-'Sparkling Model'!D$2:D$38^A9356)</f>
        <v>36.96592287</v>
      </c>
      <c r="C9356" s="8">
        <f t="array" ref="C9356">PRODUCT(1-'Sparkling Model'!D$2:D$38^A9356)</f>
        <v>0.9663363051</v>
      </c>
    </row>
    <row r="9357">
      <c r="A9357" s="6">
        <v>9355.0</v>
      </c>
      <c r="B9357" s="17">
        <f t="array" ref="B9357">SUM(1-'Sparkling Model'!D$2:D$38^A9357)</f>
        <v>36.96594003</v>
      </c>
      <c r="C9357" s="8">
        <f t="array" ref="C9357">PRODUCT(1-'Sparkling Model'!D$2:D$38^A9357)</f>
        <v>0.9663530443</v>
      </c>
    </row>
    <row r="9358">
      <c r="A9358" s="6">
        <v>9356.0</v>
      </c>
      <c r="B9358" s="17">
        <f t="array" ref="B9358">SUM(1-'Sparkling Model'!D$2:D$38^A9358)</f>
        <v>36.96595717</v>
      </c>
      <c r="C9358" s="8">
        <f t="array" ref="C9358">PRODUCT(1-'Sparkling Model'!D$2:D$38^A9358)</f>
        <v>0.9663697753</v>
      </c>
    </row>
    <row r="9359">
      <c r="A9359" s="6">
        <v>9357.0</v>
      </c>
      <c r="B9359" s="17">
        <f t="array" ref="B9359">SUM(1-'Sparkling Model'!D$2:D$38^A9359)</f>
        <v>36.96597432</v>
      </c>
      <c r="C9359" s="8">
        <f t="array" ref="C9359">PRODUCT(1-'Sparkling Model'!D$2:D$38^A9359)</f>
        <v>0.9663864979</v>
      </c>
    </row>
    <row r="9360">
      <c r="A9360" s="6">
        <v>9358.0</v>
      </c>
      <c r="B9360" s="17">
        <f t="array" ref="B9360">SUM(1-'Sparkling Model'!D$2:D$38^A9360)</f>
        <v>36.96599145</v>
      </c>
      <c r="C9360" s="8">
        <f t="array" ref="C9360">PRODUCT(1-'Sparkling Model'!D$2:D$38^A9360)</f>
        <v>0.9664032121</v>
      </c>
    </row>
    <row r="9361">
      <c r="A9361" s="6">
        <v>9359.0</v>
      </c>
      <c r="B9361" s="17">
        <f t="array" ref="B9361">SUM(1-'Sparkling Model'!D$2:D$38^A9361)</f>
        <v>36.96600857</v>
      </c>
      <c r="C9361" s="8">
        <f t="array" ref="C9361">PRODUCT(1-'Sparkling Model'!D$2:D$38^A9361)</f>
        <v>0.9664199181</v>
      </c>
    </row>
    <row r="9362">
      <c r="A9362" s="6">
        <v>9360.0</v>
      </c>
      <c r="B9362" s="17">
        <f t="array" ref="B9362">SUM(1-'Sparkling Model'!D$2:D$38^A9362)</f>
        <v>36.96602569</v>
      </c>
      <c r="C9362" s="8">
        <f t="array" ref="C9362">PRODUCT(1-'Sparkling Model'!D$2:D$38^A9362)</f>
        <v>0.9664366157</v>
      </c>
    </row>
    <row r="9363">
      <c r="A9363" s="6">
        <v>9361.0</v>
      </c>
      <c r="B9363" s="17">
        <f t="array" ref="B9363">SUM(1-'Sparkling Model'!D$2:D$38^A9363)</f>
        <v>36.96604279</v>
      </c>
      <c r="C9363" s="8">
        <f t="array" ref="C9363">PRODUCT(1-'Sparkling Model'!D$2:D$38^A9363)</f>
        <v>0.9664533051</v>
      </c>
    </row>
    <row r="9364">
      <c r="A9364" s="6">
        <v>9362.0</v>
      </c>
      <c r="B9364" s="17">
        <f t="array" ref="B9364">SUM(1-'Sparkling Model'!D$2:D$38^A9364)</f>
        <v>36.96605989</v>
      </c>
      <c r="C9364" s="8">
        <f t="array" ref="C9364">PRODUCT(1-'Sparkling Model'!D$2:D$38^A9364)</f>
        <v>0.9664699861</v>
      </c>
    </row>
    <row r="9365">
      <c r="A9365" s="6">
        <v>9363.0</v>
      </c>
      <c r="B9365" s="17">
        <f t="array" ref="B9365">SUM(1-'Sparkling Model'!D$2:D$38^A9365)</f>
        <v>36.96607698</v>
      </c>
      <c r="C9365" s="8">
        <f t="array" ref="C9365">PRODUCT(1-'Sparkling Model'!D$2:D$38^A9365)</f>
        <v>0.9664866588</v>
      </c>
    </row>
    <row r="9366">
      <c r="A9366" s="6">
        <v>9364.0</v>
      </c>
      <c r="B9366" s="17">
        <f t="array" ref="B9366">SUM(1-'Sparkling Model'!D$2:D$38^A9366)</f>
        <v>36.96609406</v>
      </c>
      <c r="C9366" s="8">
        <f t="array" ref="C9366">PRODUCT(1-'Sparkling Model'!D$2:D$38^A9366)</f>
        <v>0.9665033233</v>
      </c>
    </row>
    <row r="9367">
      <c r="A9367" s="6">
        <v>9365.0</v>
      </c>
      <c r="B9367" s="17">
        <f t="array" ref="B9367">SUM(1-'Sparkling Model'!D$2:D$38^A9367)</f>
        <v>36.96611113</v>
      </c>
      <c r="C9367" s="8">
        <f t="array" ref="C9367">PRODUCT(1-'Sparkling Model'!D$2:D$38^A9367)</f>
        <v>0.9665199794</v>
      </c>
    </row>
    <row r="9368">
      <c r="A9368" s="6">
        <v>9366.0</v>
      </c>
      <c r="B9368" s="17">
        <f t="array" ref="B9368">SUM(1-'Sparkling Model'!D$2:D$38^A9368)</f>
        <v>36.96612819</v>
      </c>
      <c r="C9368" s="8">
        <f t="array" ref="C9368">PRODUCT(1-'Sparkling Model'!D$2:D$38^A9368)</f>
        <v>0.9665366272</v>
      </c>
    </row>
    <row r="9369">
      <c r="A9369" s="6">
        <v>9367.0</v>
      </c>
      <c r="B9369" s="17">
        <f t="array" ref="B9369">SUM(1-'Sparkling Model'!D$2:D$38^A9369)</f>
        <v>36.96614524</v>
      </c>
      <c r="C9369" s="8">
        <f t="array" ref="C9369">PRODUCT(1-'Sparkling Model'!D$2:D$38^A9369)</f>
        <v>0.9665532668</v>
      </c>
    </row>
    <row r="9370">
      <c r="A9370" s="6">
        <v>9368.0</v>
      </c>
      <c r="B9370" s="17">
        <f t="array" ref="B9370">SUM(1-'Sparkling Model'!D$2:D$38^A9370)</f>
        <v>36.96616229</v>
      </c>
      <c r="C9370" s="8">
        <f t="array" ref="C9370">PRODUCT(1-'Sparkling Model'!D$2:D$38^A9370)</f>
        <v>0.966569898</v>
      </c>
    </row>
    <row r="9371">
      <c r="A9371" s="6">
        <v>9369.0</v>
      </c>
      <c r="B9371" s="17">
        <f t="array" ref="B9371">SUM(1-'Sparkling Model'!D$2:D$38^A9371)</f>
        <v>36.96617932</v>
      </c>
      <c r="C9371" s="8">
        <f t="array" ref="C9371">PRODUCT(1-'Sparkling Model'!D$2:D$38^A9371)</f>
        <v>0.966586521</v>
      </c>
    </row>
    <row r="9372">
      <c r="A9372" s="6">
        <v>9370.0</v>
      </c>
      <c r="B9372" s="17">
        <f t="array" ref="B9372">SUM(1-'Sparkling Model'!D$2:D$38^A9372)</f>
        <v>36.96619635</v>
      </c>
      <c r="C9372" s="8">
        <f t="array" ref="C9372">PRODUCT(1-'Sparkling Model'!D$2:D$38^A9372)</f>
        <v>0.9666031358</v>
      </c>
    </row>
    <row r="9373">
      <c r="A9373" s="6">
        <v>9371.0</v>
      </c>
      <c r="B9373" s="17">
        <f t="array" ref="B9373">SUM(1-'Sparkling Model'!D$2:D$38^A9373)</f>
        <v>36.96621337</v>
      </c>
      <c r="C9373" s="8">
        <f t="array" ref="C9373">PRODUCT(1-'Sparkling Model'!D$2:D$38^A9373)</f>
        <v>0.9666197422</v>
      </c>
    </row>
    <row r="9374">
      <c r="A9374" s="6">
        <v>9372.0</v>
      </c>
      <c r="B9374" s="17">
        <f t="array" ref="B9374">SUM(1-'Sparkling Model'!D$2:D$38^A9374)</f>
        <v>36.96623038</v>
      </c>
      <c r="C9374" s="8">
        <f t="array" ref="C9374">PRODUCT(1-'Sparkling Model'!D$2:D$38^A9374)</f>
        <v>0.9666363404</v>
      </c>
    </row>
    <row r="9375">
      <c r="A9375" s="6">
        <v>9373.0</v>
      </c>
      <c r="B9375" s="17">
        <f t="array" ref="B9375">SUM(1-'Sparkling Model'!D$2:D$38^A9375)</f>
        <v>36.96624738</v>
      </c>
      <c r="C9375" s="8">
        <f t="array" ref="C9375">PRODUCT(1-'Sparkling Model'!D$2:D$38^A9375)</f>
        <v>0.9666529303</v>
      </c>
    </row>
    <row r="9376">
      <c r="A9376" s="6">
        <v>9374.0</v>
      </c>
      <c r="B9376" s="17">
        <f t="array" ref="B9376">SUM(1-'Sparkling Model'!D$2:D$38^A9376)</f>
        <v>36.96626437</v>
      </c>
      <c r="C9376" s="8">
        <f t="array" ref="C9376">PRODUCT(1-'Sparkling Model'!D$2:D$38^A9376)</f>
        <v>0.966669512</v>
      </c>
    </row>
    <row r="9377">
      <c r="A9377" s="6">
        <v>9375.0</v>
      </c>
      <c r="B9377" s="17">
        <f t="array" ref="B9377">SUM(1-'Sparkling Model'!D$2:D$38^A9377)</f>
        <v>36.96628136</v>
      </c>
      <c r="C9377" s="8">
        <f t="array" ref="C9377">PRODUCT(1-'Sparkling Model'!D$2:D$38^A9377)</f>
        <v>0.9666860854</v>
      </c>
    </row>
    <row r="9378">
      <c r="A9378" s="6">
        <v>9376.0</v>
      </c>
      <c r="B9378" s="17">
        <f t="array" ref="B9378">SUM(1-'Sparkling Model'!D$2:D$38^A9378)</f>
        <v>36.96629833</v>
      </c>
      <c r="C9378" s="8">
        <f t="array" ref="C9378">PRODUCT(1-'Sparkling Model'!D$2:D$38^A9378)</f>
        <v>0.9667026505</v>
      </c>
    </row>
    <row r="9379">
      <c r="A9379" s="6">
        <v>9377.0</v>
      </c>
      <c r="B9379" s="17">
        <f t="array" ref="B9379">SUM(1-'Sparkling Model'!D$2:D$38^A9379)</f>
        <v>36.9663153</v>
      </c>
      <c r="C9379" s="8">
        <f t="array" ref="C9379">PRODUCT(1-'Sparkling Model'!D$2:D$38^A9379)</f>
        <v>0.9667192075</v>
      </c>
    </row>
    <row r="9380">
      <c r="A9380" s="6">
        <v>9378.0</v>
      </c>
      <c r="B9380" s="17">
        <f t="array" ref="B9380">SUM(1-'Sparkling Model'!D$2:D$38^A9380)</f>
        <v>36.96633226</v>
      </c>
      <c r="C9380" s="8">
        <f t="array" ref="C9380">PRODUCT(1-'Sparkling Model'!D$2:D$38^A9380)</f>
        <v>0.9667357561</v>
      </c>
    </row>
    <row r="9381">
      <c r="A9381" s="6">
        <v>9379.0</v>
      </c>
      <c r="B9381" s="17">
        <f t="array" ref="B9381">SUM(1-'Sparkling Model'!D$2:D$38^A9381)</f>
        <v>36.96634921</v>
      </c>
      <c r="C9381" s="8">
        <f t="array" ref="C9381">PRODUCT(1-'Sparkling Model'!D$2:D$38^A9381)</f>
        <v>0.9667522966</v>
      </c>
    </row>
    <row r="9382">
      <c r="A9382" s="6">
        <v>9380.0</v>
      </c>
      <c r="B9382" s="17">
        <f t="array" ref="B9382">SUM(1-'Sparkling Model'!D$2:D$38^A9382)</f>
        <v>36.96636615</v>
      </c>
      <c r="C9382" s="8">
        <f t="array" ref="C9382">PRODUCT(1-'Sparkling Model'!D$2:D$38^A9382)</f>
        <v>0.9667688288</v>
      </c>
    </row>
    <row r="9383">
      <c r="A9383" s="6">
        <v>9381.0</v>
      </c>
      <c r="B9383" s="17">
        <f t="array" ref="B9383">SUM(1-'Sparkling Model'!D$2:D$38^A9383)</f>
        <v>36.96638308</v>
      </c>
      <c r="C9383" s="8">
        <f t="array" ref="C9383">PRODUCT(1-'Sparkling Model'!D$2:D$38^A9383)</f>
        <v>0.9667853527</v>
      </c>
    </row>
    <row r="9384">
      <c r="A9384" s="6">
        <v>9382.0</v>
      </c>
      <c r="B9384" s="17">
        <f t="array" ref="B9384">SUM(1-'Sparkling Model'!D$2:D$38^A9384)</f>
        <v>36.9664</v>
      </c>
      <c r="C9384" s="8">
        <f t="array" ref="C9384">PRODUCT(1-'Sparkling Model'!D$2:D$38^A9384)</f>
        <v>0.9668018685</v>
      </c>
    </row>
    <row r="9385">
      <c r="A9385" s="6">
        <v>9383.0</v>
      </c>
      <c r="B9385" s="17">
        <f t="array" ref="B9385">SUM(1-'Sparkling Model'!D$2:D$38^A9385)</f>
        <v>36.96641692</v>
      </c>
      <c r="C9385" s="8">
        <f t="array" ref="C9385">PRODUCT(1-'Sparkling Model'!D$2:D$38^A9385)</f>
        <v>0.966818376</v>
      </c>
    </row>
    <row r="9386">
      <c r="A9386" s="6">
        <v>9384.0</v>
      </c>
      <c r="B9386" s="17">
        <f t="array" ref="B9386">SUM(1-'Sparkling Model'!D$2:D$38^A9386)</f>
        <v>36.96643382</v>
      </c>
      <c r="C9386" s="8">
        <f t="array" ref="C9386">PRODUCT(1-'Sparkling Model'!D$2:D$38^A9386)</f>
        <v>0.9668348753</v>
      </c>
    </row>
    <row r="9387">
      <c r="A9387" s="6">
        <v>9385.0</v>
      </c>
      <c r="B9387" s="17">
        <f t="array" ref="B9387">SUM(1-'Sparkling Model'!D$2:D$38^A9387)</f>
        <v>36.96645072</v>
      </c>
      <c r="C9387" s="8">
        <f t="array" ref="C9387">PRODUCT(1-'Sparkling Model'!D$2:D$38^A9387)</f>
        <v>0.9668513664</v>
      </c>
    </row>
    <row r="9388">
      <c r="A9388" s="6">
        <v>9386.0</v>
      </c>
      <c r="B9388" s="17">
        <f t="array" ref="B9388">SUM(1-'Sparkling Model'!D$2:D$38^A9388)</f>
        <v>36.96646761</v>
      </c>
      <c r="C9388" s="8">
        <f t="array" ref="C9388">PRODUCT(1-'Sparkling Model'!D$2:D$38^A9388)</f>
        <v>0.9668678493</v>
      </c>
    </row>
    <row r="9389">
      <c r="A9389" s="6">
        <v>9387.0</v>
      </c>
      <c r="B9389" s="17">
        <f t="array" ref="B9389">SUM(1-'Sparkling Model'!D$2:D$38^A9389)</f>
        <v>36.96648449</v>
      </c>
      <c r="C9389" s="8">
        <f t="array" ref="C9389">PRODUCT(1-'Sparkling Model'!D$2:D$38^A9389)</f>
        <v>0.966884324</v>
      </c>
    </row>
    <row r="9390">
      <c r="A9390" s="6">
        <v>9388.0</v>
      </c>
      <c r="B9390" s="17">
        <f t="array" ref="B9390">SUM(1-'Sparkling Model'!D$2:D$38^A9390)</f>
        <v>36.96650136</v>
      </c>
      <c r="C9390" s="8">
        <f t="array" ref="C9390">PRODUCT(1-'Sparkling Model'!D$2:D$38^A9390)</f>
        <v>0.9669007905</v>
      </c>
    </row>
    <row r="9391">
      <c r="A9391" s="6">
        <v>9389.0</v>
      </c>
      <c r="B9391" s="17">
        <f t="array" ref="B9391">SUM(1-'Sparkling Model'!D$2:D$38^A9391)</f>
        <v>36.96651823</v>
      </c>
      <c r="C9391" s="8">
        <f t="array" ref="C9391">PRODUCT(1-'Sparkling Model'!D$2:D$38^A9391)</f>
        <v>0.9669172488</v>
      </c>
    </row>
    <row r="9392">
      <c r="A9392" s="6">
        <v>9390.0</v>
      </c>
      <c r="B9392" s="17">
        <f t="array" ref="B9392">SUM(1-'Sparkling Model'!D$2:D$38^A9392)</f>
        <v>36.96653508</v>
      </c>
      <c r="C9392" s="8">
        <f t="array" ref="C9392">PRODUCT(1-'Sparkling Model'!D$2:D$38^A9392)</f>
        <v>0.9669336989</v>
      </c>
    </row>
    <row r="9393">
      <c r="A9393" s="6">
        <v>9391.0</v>
      </c>
      <c r="B9393" s="17">
        <f t="array" ref="B9393">SUM(1-'Sparkling Model'!D$2:D$38^A9393)</f>
        <v>36.96655193</v>
      </c>
      <c r="C9393" s="8">
        <f t="array" ref="C9393">PRODUCT(1-'Sparkling Model'!D$2:D$38^A9393)</f>
        <v>0.9669501408</v>
      </c>
    </row>
    <row r="9394">
      <c r="A9394" s="6">
        <v>9392.0</v>
      </c>
      <c r="B9394" s="17">
        <f t="array" ref="B9394">SUM(1-'Sparkling Model'!D$2:D$38^A9394)</f>
        <v>36.96656876</v>
      </c>
      <c r="C9394" s="8">
        <f t="array" ref="C9394">PRODUCT(1-'Sparkling Model'!D$2:D$38^A9394)</f>
        <v>0.9669665745</v>
      </c>
    </row>
    <row r="9395">
      <c r="A9395" s="6">
        <v>9393.0</v>
      </c>
      <c r="B9395" s="17">
        <f t="array" ref="B9395">SUM(1-'Sparkling Model'!D$2:D$38^A9395)</f>
        <v>36.96658559</v>
      </c>
      <c r="C9395" s="8">
        <f t="array" ref="C9395">PRODUCT(1-'Sparkling Model'!D$2:D$38^A9395)</f>
        <v>0.9669830001</v>
      </c>
    </row>
    <row r="9396">
      <c r="A9396" s="6">
        <v>9394.0</v>
      </c>
      <c r="B9396" s="17">
        <f t="array" ref="B9396">SUM(1-'Sparkling Model'!D$2:D$38^A9396)</f>
        <v>36.96660241</v>
      </c>
      <c r="C9396" s="8">
        <f t="array" ref="C9396">PRODUCT(1-'Sparkling Model'!D$2:D$38^A9396)</f>
        <v>0.9669994174</v>
      </c>
    </row>
    <row r="9397">
      <c r="A9397" s="6">
        <v>9395.0</v>
      </c>
      <c r="B9397" s="17">
        <f t="array" ref="B9397">SUM(1-'Sparkling Model'!D$2:D$38^A9397)</f>
        <v>36.96661922</v>
      </c>
      <c r="C9397" s="8">
        <f t="array" ref="C9397">PRODUCT(1-'Sparkling Model'!D$2:D$38^A9397)</f>
        <v>0.9670158266</v>
      </c>
    </row>
    <row r="9398">
      <c r="A9398" s="6">
        <v>9396.0</v>
      </c>
      <c r="B9398" s="17">
        <f t="array" ref="B9398">SUM(1-'Sparkling Model'!D$2:D$38^A9398)</f>
        <v>36.96663603</v>
      </c>
      <c r="C9398" s="8">
        <f t="array" ref="C9398">PRODUCT(1-'Sparkling Model'!D$2:D$38^A9398)</f>
        <v>0.9670322277</v>
      </c>
    </row>
    <row r="9399">
      <c r="A9399" s="6">
        <v>9397.0</v>
      </c>
      <c r="B9399" s="17">
        <f t="array" ref="B9399">SUM(1-'Sparkling Model'!D$2:D$38^A9399)</f>
        <v>36.96665282</v>
      </c>
      <c r="C9399" s="8">
        <f t="array" ref="C9399">PRODUCT(1-'Sparkling Model'!D$2:D$38^A9399)</f>
        <v>0.9670486205</v>
      </c>
    </row>
    <row r="9400">
      <c r="A9400" s="6">
        <v>9398.0</v>
      </c>
      <c r="B9400" s="17">
        <f t="array" ref="B9400">SUM(1-'Sparkling Model'!D$2:D$38^A9400)</f>
        <v>36.96666961</v>
      </c>
      <c r="C9400" s="8">
        <f t="array" ref="C9400">PRODUCT(1-'Sparkling Model'!D$2:D$38^A9400)</f>
        <v>0.9670650052</v>
      </c>
    </row>
    <row r="9401">
      <c r="A9401" s="6">
        <v>9399.0</v>
      </c>
      <c r="B9401" s="17">
        <f t="array" ref="B9401">SUM(1-'Sparkling Model'!D$2:D$38^A9401)</f>
        <v>36.96668638</v>
      </c>
      <c r="C9401" s="8">
        <f t="array" ref="C9401">PRODUCT(1-'Sparkling Model'!D$2:D$38^A9401)</f>
        <v>0.9670813818</v>
      </c>
    </row>
    <row r="9402">
      <c r="A9402" s="6">
        <v>9400.0</v>
      </c>
      <c r="B9402" s="17">
        <f t="array" ref="B9402">SUM(1-'Sparkling Model'!D$2:D$38^A9402)</f>
        <v>36.96670315</v>
      </c>
      <c r="C9402" s="8">
        <f t="array" ref="C9402">PRODUCT(1-'Sparkling Model'!D$2:D$38^A9402)</f>
        <v>0.9670977502</v>
      </c>
    </row>
    <row r="9403">
      <c r="A9403" s="6">
        <v>9401.0</v>
      </c>
      <c r="B9403" s="17">
        <f t="array" ref="B9403">SUM(1-'Sparkling Model'!D$2:D$38^A9403)</f>
        <v>36.96671991</v>
      </c>
      <c r="C9403" s="8">
        <f t="array" ref="C9403">PRODUCT(1-'Sparkling Model'!D$2:D$38^A9403)</f>
        <v>0.9671141104</v>
      </c>
    </row>
    <row r="9404">
      <c r="A9404" s="6">
        <v>9402.0</v>
      </c>
      <c r="B9404" s="17">
        <f t="array" ref="B9404">SUM(1-'Sparkling Model'!D$2:D$38^A9404)</f>
        <v>36.96673666</v>
      </c>
      <c r="C9404" s="8">
        <f t="array" ref="C9404">PRODUCT(1-'Sparkling Model'!D$2:D$38^A9404)</f>
        <v>0.9671304625</v>
      </c>
    </row>
    <row r="9405">
      <c r="A9405" s="6">
        <v>9403.0</v>
      </c>
      <c r="B9405" s="17">
        <f t="array" ref="B9405">SUM(1-'Sparkling Model'!D$2:D$38^A9405)</f>
        <v>36.96675341</v>
      </c>
      <c r="C9405" s="8">
        <f t="array" ref="C9405">PRODUCT(1-'Sparkling Model'!D$2:D$38^A9405)</f>
        <v>0.9671468065</v>
      </c>
    </row>
    <row r="9406">
      <c r="A9406" s="6">
        <v>9404.0</v>
      </c>
      <c r="B9406" s="17">
        <f t="array" ref="B9406">SUM(1-'Sparkling Model'!D$2:D$38^A9406)</f>
        <v>36.96677014</v>
      </c>
      <c r="C9406" s="8">
        <f t="array" ref="C9406">PRODUCT(1-'Sparkling Model'!D$2:D$38^A9406)</f>
        <v>0.9671631423</v>
      </c>
    </row>
    <row r="9407">
      <c r="A9407" s="6">
        <v>9405.0</v>
      </c>
      <c r="B9407" s="17">
        <f t="array" ref="B9407">SUM(1-'Sparkling Model'!D$2:D$38^A9407)</f>
        <v>36.96678687</v>
      </c>
      <c r="C9407" s="8">
        <f t="array" ref="C9407">PRODUCT(1-'Sparkling Model'!D$2:D$38^A9407)</f>
        <v>0.96717947</v>
      </c>
    </row>
    <row r="9408">
      <c r="A9408" s="6">
        <v>9406.0</v>
      </c>
      <c r="B9408" s="17">
        <f t="array" ref="B9408">SUM(1-'Sparkling Model'!D$2:D$38^A9408)</f>
        <v>36.96680359</v>
      </c>
      <c r="C9408" s="8">
        <f t="array" ref="C9408">PRODUCT(1-'Sparkling Model'!D$2:D$38^A9408)</f>
        <v>0.9671957896</v>
      </c>
    </row>
    <row r="9409">
      <c r="A9409" s="6">
        <v>9407.0</v>
      </c>
      <c r="B9409" s="17">
        <f t="array" ref="B9409">SUM(1-'Sparkling Model'!D$2:D$38^A9409)</f>
        <v>36.96682029</v>
      </c>
      <c r="C9409" s="8">
        <f t="array" ref="C9409">PRODUCT(1-'Sparkling Model'!D$2:D$38^A9409)</f>
        <v>0.9672121011</v>
      </c>
    </row>
    <row r="9410">
      <c r="A9410" s="6">
        <v>9408.0</v>
      </c>
      <c r="B9410" s="17">
        <f t="array" ref="B9410">SUM(1-'Sparkling Model'!D$2:D$38^A9410)</f>
        <v>36.96683699</v>
      </c>
      <c r="C9410" s="8">
        <f t="array" ref="C9410">PRODUCT(1-'Sparkling Model'!D$2:D$38^A9410)</f>
        <v>0.9672284044</v>
      </c>
    </row>
    <row r="9411">
      <c r="A9411" s="6">
        <v>9409.0</v>
      </c>
      <c r="B9411" s="17">
        <f t="array" ref="B9411">SUM(1-'Sparkling Model'!D$2:D$38^A9411)</f>
        <v>36.96685369</v>
      </c>
      <c r="C9411" s="8">
        <f t="array" ref="C9411">PRODUCT(1-'Sparkling Model'!D$2:D$38^A9411)</f>
        <v>0.9672446996</v>
      </c>
    </row>
    <row r="9412">
      <c r="A9412" s="6">
        <v>9410.0</v>
      </c>
      <c r="B9412" s="17">
        <f t="array" ref="B9412">SUM(1-'Sparkling Model'!D$2:D$38^A9412)</f>
        <v>36.96687037</v>
      </c>
      <c r="C9412" s="8">
        <f t="array" ref="C9412">PRODUCT(1-'Sparkling Model'!D$2:D$38^A9412)</f>
        <v>0.9672609867</v>
      </c>
    </row>
    <row r="9413">
      <c r="A9413" s="6">
        <v>9411.0</v>
      </c>
      <c r="B9413" s="17">
        <f t="array" ref="B9413">SUM(1-'Sparkling Model'!D$2:D$38^A9413)</f>
        <v>36.96688704</v>
      </c>
      <c r="C9413" s="8">
        <f t="array" ref="C9413">PRODUCT(1-'Sparkling Model'!D$2:D$38^A9413)</f>
        <v>0.9672772657</v>
      </c>
    </row>
    <row r="9414">
      <c r="A9414" s="6">
        <v>9412.0</v>
      </c>
      <c r="B9414" s="17">
        <f t="array" ref="B9414">SUM(1-'Sparkling Model'!D$2:D$38^A9414)</f>
        <v>36.96690371</v>
      </c>
      <c r="C9414" s="8">
        <f t="array" ref="C9414">PRODUCT(1-'Sparkling Model'!D$2:D$38^A9414)</f>
        <v>0.9672935366</v>
      </c>
    </row>
    <row r="9415">
      <c r="A9415" s="6">
        <v>9413.0</v>
      </c>
      <c r="B9415" s="17">
        <f t="array" ref="B9415">SUM(1-'Sparkling Model'!D$2:D$38^A9415)</f>
        <v>36.96692037</v>
      </c>
      <c r="C9415" s="8">
        <f t="array" ref="C9415">PRODUCT(1-'Sparkling Model'!D$2:D$38^A9415)</f>
        <v>0.9673097994</v>
      </c>
    </row>
    <row r="9416">
      <c r="A9416" s="6">
        <v>9414.0</v>
      </c>
      <c r="B9416" s="17">
        <f t="array" ref="B9416">SUM(1-'Sparkling Model'!D$2:D$38^A9416)</f>
        <v>36.96693702</v>
      </c>
      <c r="C9416" s="8">
        <f t="array" ref="C9416">PRODUCT(1-'Sparkling Model'!D$2:D$38^A9416)</f>
        <v>0.9673260541</v>
      </c>
    </row>
    <row r="9417">
      <c r="A9417" s="6">
        <v>9415.0</v>
      </c>
      <c r="B9417" s="17">
        <f t="array" ref="B9417">SUM(1-'Sparkling Model'!D$2:D$38^A9417)</f>
        <v>36.96695366</v>
      </c>
      <c r="C9417" s="8">
        <f t="array" ref="C9417">PRODUCT(1-'Sparkling Model'!D$2:D$38^A9417)</f>
        <v>0.9673423007</v>
      </c>
    </row>
    <row r="9418">
      <c r="A9418" s="6">
        <v>9416.0</v>
      </c>
      <c r="B9418" s="17">
        <f t="array" ref="B9418">SUM(1-'Sparkling Model'!D$2:D$38^A9418)</f>
        <v>36.96697029</v>
      </c>
      <c r="C9418" s="8">
        <f t="array" ref="C9418">PRODUCT(1-'Sparkling Model'!D$2:D$38^A9418)</f>
        <v>0.9673585392</v>
      </c>
    </row>
    <row r="9419">
      <c r="A9419" s="6">
        <v>9417.0</v>
      </c>
      <c r="B9419" s="17">
        <f t="array" ref="B9419">SUM(1-'Sparkling Model'!D$2:D$38^A9419)</f>
        <v>36.96698691</v>
      </c>
      <c r="C9419" s="8">
        <f t="array" ref="C9419">PRODUCT(1-'Sparkling Model'!D$2:D$38^A9419)</f>
        <v>0.9673747697</v>
      </c>
    </row>
    <row r="9420">
      <c r="A9420" s="6">
        <v>9418.0</v>
      </c>
      <c r="B9420" s="17">
        <f t="array" ref="B9420">SUM(1-'Sparkling Model'!D$2:D$38^A9420)</f>
        <v>36.96700353</v>
      </c>
      <c r="C9420" s="8">
        <f t="array" ref="C9420">PRODUCT(1-'Sparkling Model'!D$2:D$38^A9420)</f>
        <v>0.967390992</v>
      </c>
    </row>
    <row r="9421">
      <c r="A9421" s="6">
        <v>9419.0</v>
      </c>
      <c r="B9421" s="17">
        <f t="array" ref="B9421">SUM(1-'Sparkling Model'!D$2:D$38^A9421)</f>
        <v>36.96702014</v>
      </c>
      <c r="C9421" s="8">
        <f t="array" ref="C9421">PRODUCT(1-'Sparkling Model'!D$2:D$38^A9421)</f>
        <v>0.9674072063</v>
      </c>
    </row>
    <row r="9422">
      <c r="A9422" s="6">
        <v>9420.0</v>
      </c>
      <c r="B9422" s="17">
        <f t="array" ref="B9422">SUM(1-'Sparkling Model'!D$2:D$38^A9422)</f>
        <v>36.96703673</v>
      </c>
      <c r="C9422" s="8">
        <f t="array" ref="C9422">PRODUCT(1-'Sparkling Model'!D$2:D$38^A9422)</f>
        <v>0.9674234125</v>
      </c>
    </row>
    <row r="9423">
      <c r="A9423" s="6">
        <v>9421.0</v>
      </c>
      <c r="B9423" s="17">
        <f t="array" ref="B9423">SUM(1-'Sparkling Model'!D$2:D$38^A9423)</f>
        <v>36.96705332</v>
      </c>
      <c r="C9423" s="8">
        <f t="array" ref="C9423">PRODUCT(1-'Sparkling Model'!D$2:D$38^A9423)</f>
        <v>0.9674396107</v>
      </c>
    </row>
    <row r="9424">
      <c r="A9424" s="6">
        <v>9422.0</v>
      </c>
      <c r="B9424" s="17">
        <f t="array" ref="B9424">SUM(1-'Sparkling Model'!D$2:D$38^A9424)</f>
        <v>36.96706991</v>
      </c>
      <c r="C9424" s="8">
        <f t="array" ref="C9424">PRODUCT(1-'Sparkling Model'!D$2:D$38^A9424)</f>
        <v>0.9674558007</v>
      </c>
    </row>
    <row r="9425">
      <c r="A9425" s="6">
        <v>9423.0</v>
      </c>
      <c r="B9425" s="17">
        <f t="array" ref="B9425">SUM(1-'Sparkling Model'!D$2:D$38^A9425)</f>
        <v>36.96708648</v>
      </c>
      <c r="C9425" s="8">
        <f t="array" ref="C9425">PRODUCT(1-'Sparkling Model'!D$2:D$38^A9425)</f>
        <v>0.9674719828</v>
      </c>
    </row>
    <row r="9426">
      <c r="A9426" s="6">
        <v>9424.0</v>
      </c>
      <c r="B9426" s="17">
        <f t="array" ref="B9426">SUM(1-'Sparkling Model'!D$2:D$38^A9426)</f>
        <v>36.96710304</v>
      </c>
      <c r="C9426" s="8">
        <f t="array" ref="C9426">PRODUCT(1-'Sparkling Model'!D$2:D$38^A9426)</f>
        <v>0.9674881567</v>
      </c>
    </row>
    <row r="9427">
      <c r="A9427" s="6">
        <v>9425.0</v>
      </c>
      <c r="B9427" s="17">
        <f t="array" ref="B9427">SUM(1-'Sparkling Model'!D$2:D$38^A9427)</f>
        <v>36.9671196</v>
      </c>
      <c r="C9427" s="8">
        <f t="array" ref="C9427">PRODUCT(1-'Sparkling Model'!D$2:D$38^A9427)</f>
        <v>0.9675043227</v>
      </c>
    </row>
    <row r="9428">
      <c r="A9428" s="6">
        <v>9426.0</v>
      </c>
      <c r="B9428" s="17">
        <f t="array" ref="B9428">SUM(1-'Sparkling Model'!D$2:D$38^A9428)</f>
        <v>36.96713615</v>
      </c>
      <c r="C9428" s="8">
        <f t="array" ref="C9428">PRODUCT(1-'Sparkling Model'!D$2:D$38^A9428)</f>
        <v>0.9675204805</v>
      </c>
    </row>
    <row r="9429">
      <c r="A9429" s="6">
        <v>9427.0</v>
      </c>
      <c r="B9429" s="17">
        <f t="array" ref="B9429">SUM(1-'Sparkling Model'!D$2:D$38^A9429)</f>
        <v>36.96715269</v>
      </c>
      <c r="C9429" s="8">
        <f t="array" ref="C9429">PRODUCT(1-'Sparkling Model'!D$2:D$38^A9429)</f>
        <v>0.9675366304</v>
      </c>
    </row>
    <row r="9430">
      <c r="A9430" s="6">
        <v>9428.0</v>
      </c>
      <c r="B9430" s="17">
        <f t="array" ref="B9430">SUM(1-'Sparkling Model'!D$2:D$38^A9430)</f>
        <v>36.96716922</v>
      </c>
      <c r="C9430" s="8">
        <f t="array" ref="C9430">PRODUCT(1-'Sparkling Model'!D$2:D$38^A9430)</f>
        <v>0.9675527721</v>
      </c>
    </row>
    <row r="9431">
      <c r="A9431" s="6">
        <v>9429.0</v>
      </c>
      <c r="B9431" s="17">
        <f t="array" ref="B9431">SUM(1-'Sparkling Model'!D$2:D$38^A9431)</f>
        <v>36.96718574</v>
      </c>
      <c r="C9431" s="8">
        <f t="array" ref="C9431">PRODUCT(1-'Sparkling Model'!D$2:D$38^A9431)</f>
        <v>0.9675689059</v>
      </c>
    </row>
    <row r="9432">
      <c r="A9432" s="6">
        <v>9430.0</v>
      </c>
      <c r="B9432" s="17">
        <f t="array" ref="B9432">SUM(1-'Sparkling Model'!D$2:D$38^A9432)</f>
        <v>36.96720225</v>
      </c>
      <c r="C9432" s="8">
        <f t="array" ref="C9432">PRODUCT(1-'Sparkling Model'!D$2:D$38^A9432)</f>
        <v>0.9675850316</v>
      </c>
    </row>
    <row r="9433">
      <c r="A9433" s="6">
        <v>9431.0</v>
      </c>
      <c r="B9433" s="17">
        <f t="array" ref="B9433">SUM(1-'Sparkling Model'!D$2:D$38^A9433)</f>
        <v>36.96721876</v>
      </c>
      <c r="C9433" s="8">
        <f t="array" ref="C9433">PRODUCT(1-'Sparkling Model'!D$2:D$38^A9433)</f>
        <v>0.9676011493</v>
      </c>
    </row>
    <row r="9434">
      <c r="A9434" s="6">
        <v>9432.0</v>
      </c>
      <c r="B9434" s="17">
        <f t="array" ref="B9434">SUM(1-'Sparkling Model'!D$2:D$38^A9434)</f>
        <v>36.96723526</v>
      </c>
      <c r="C9434" s="8">
        <f t="array" ref="C9434">PRODUCT(1-'Sparkling Model'!D$2:D$38^A9434)</f>
        <v>0.967617259</v>
      </c>
    </row>
    <row r="9435">
      <c r="A9435" s="6">
        <v>9433.0</v>
      </c>
      <c r="B9435" s="17">
        <f t="array" ref="B9435">SUM(1-'Sparkling Model'!D$2:D$38^A9435)</f>
        <v>36.96725174</v>
      </c>
      <c r="C9435" s="8">
        <f t="array" ref="C9435">PRODUCT(1-'Sparkling Model'!D$2:D$38^A9435)</f>
        <v>0.9676333606</v>
      </c>
    </row>
    <row r="9436">
      <c r="A9436" s="6">
        <v>9434.0</v>
      </c>
      <c r="B9436" s="17">
        <f t="array" ref="B9436">SUM(1-'Sparkling Model'!D$2:D$38^A9436)</f>
        <v>36.96726823</v>
      </c>
      <c r="C9436" s="8">
        <f t="array" ref="C9436">PRODUCT(1-'Sparkling Model'!D$2:D$38^A9436)</f>
        <v>0.9676494543</v>
      </c>
    </row>
    <row r="9437">
      <c r="A9437" s="6">
        <v>9435.0</v>
      </c>
      <c r="B9437" s="17">
        <f t="array" ref="B9437">SUM(1-'Sparkling Model'!D$2:D$38^A9437)</f>
        <v>36.9672847</v>
      </c>
      <c r="C9437" s="8">
        <f t="array" ref="C9437">PRODUCT(1-'Sparkling Model'!D$2:D$38^A9437)</f>
        <v>0.9676655399</v>
      </c>
    </row>
    <row r="9438">
      <c r="A9438" s="6">
        <v>9436.0</v>
      </c>
      <c r="B9438" s="17">
        <f t="array" ref="B9438">SUM(1-'Sparkling Model'!D$2:D$38^A9438)</f>
        <v>36.96730116</v>
      </c>
      <c r="C9438" s="8">
        <f t="array" ref="C9438">PRODUCT(1-'Sparkling Model'!D$2:D$38^A9438)</f>
        <v>0.9676816175</v>
      </c>
    </row>
    <row r="9439">
      <c r="A9439" s="6">
        <v>9437.0</v>
      </c>
      <c r="B9439" s="17">
        <f t="array" ref="B9439">SUM(1-'Sparkling Model'!D$2:D$38^A9439)</f>
        <v>36.96731762</v>
      </c>
      <c r="C9439" s="8">
        <f t="array" ref="C9439">PRODUCT(1-'Sparkling Model'!D$2:D$38^A9439)</f>
        <v>0.9676976871</v>
      </c>
    </row>
    <row r="9440">
      <c r="A9440" s="6">
        <v>9438.0</v>
      </c>
      <c r="B9440" s="17">
        <f t="array" ref="B9440">SUM(1-'Sparkling Model'!D$2:D$38^A9440)</f>
        <v>36.96733406</v>
      </c>
      <c r="C9440" s="8">
        <f t="array" ref="C9440">PRODUCT(1-'Sparkling Model'!D$2:D$38^A9440)</f>
        <v>0.9677137488</v>
      </c>
    </row>
    <row r="9441">
      <c r="A9441" s="6">
        <v>9439.0</v>
      </c>
      <c r="B9441" s="17">
        <f t="array" ref="B9441">SUM(1-'Sparkling Model'!D$2:D$38^A9441)</f>
        <v>36.9673505</v>
      </c>
      <c r="C9441" s="8">
        <f t="array" ref="C9441">PRODUCT(1-'Sparkling Model'!D$2:D$38^A9441)</f>
        <v>0.9677298024</v>
      </c>
    </row>
    <row r="9442">
      <c r="A9442" s="6">
        <v>9440.0</v>
      </c>
      <c r="B9442" s="17">
        <f t="array" ref="B9442">SUM(1-'Sparkling Model'!D$2:D$38^A9442)</f>
        <v>36.96736693</v>
      </c>
      <c r="C9442" s="8">
        <f t="array" ref="C9442">PRODUCT(1-'Sparkling Model'!D$2:D$38^A9442)</f>
        <v>0.967745848</v>
      </c>
    </row>
    <row r="9443">
      <c r="A9443" s="6">
        <v>9441.0</v>
      </c>
      <c r="B9443" s="17">
        <f t="array" ref="B9443">SUM(1-'Sparkling Model'!D$2:D$38^A9443)</f>
        <v>36.96738335</v>
      </c>
      <c r="C9443" s="8">
        <f t="array" ref="C9443">PRODUCT(1-'Sparkling Model'!D$2:D$38^A9443)</f>
        <v>0.9677618856</v>
      </c>
    </row>
    <row r="9444">
      <c r="A9444" s="6">
        <v>9442.0</v>
      </c>
      <c r="B9444" s="17">
        <f t="array" ref="B9444">SUM(1-'Sparkling Model'!D$2:D$38^A9444)</f>
        <v>36.96739976</v>
      </c>
      <c r="C9444" s="8">
        <f t="array" ref="C9444">PRODUCT(1-'Sparkling Model'!D$2:D$38^A9444)</f>
        <v>0.9677779153</v>
      </c>
    </row>
    <row r="9445">
      <c r="A9445" s="6">
        <v>9443.0</v>
      </c>
      <c r="B9445" s="17">
        <f t="array" ref="B9445">SUM(1-'Sparkling Model'!D$2:D$38^A9445)</f>
        <v>36.96741617</v>
      </c>
      <c r="C9445" s="8">
        <f t="array" ref="C9445">PRODUCT(1-'Sparkling Model'!D$2:D$38^A9445)</f>
        <v>0.967793937</v>
      </c>
    </row>
    <row r="9446">
      <c r="A9446" s="6">
        <v>9444.0</v>
      </c>
      <c r="B9446" s="17">
        <f t="array" ref="B9446">SUM(1-'Sparkling Model'!D$2:D$38^A9446)</f>
        <v>36.96743257</v>
      </c>
      <c r="C9446" s="8">
        <f t="array" ref="C9446">PRODUCT(1-'Sparkling Model'!D$2:D$38^A9446)</f>
        <v>0.9678099507</v>
      </c>
    </row>
    <row r="9447">
      <c r="A9447" s="6">
        <v>9445.0</v>
      </c>
      <c r="B9447" s="17">
        <f t="array" ref="B9447">SUM(1-'Sparkling Model'!D$2:D$38^A9447)</f>
        <v>36.96744895</v>
      </c>
      <c r="C9447" s="8">
        <f t="array" ref="C9447">PRODUCT(1-'Sparkling Model'!D$2:D$38^A9447)</f>
        <v>0.9678259564</v>
      </c>
    </row>
    <row r="9448">
      <c r="A9448" s="6">
        <v>9446.0</v>
      </c>
      <c r="B9448" s="17">
        <f t="array" ref="B9448">SUM(1-'Sparkling Model'!D$2:D$38^A9448)</f>
        <v>36.96746533</v>
      </c>
      <c r="C9448" s="8">
        <f t="array" ref="C9448">PRODUCT(1-'Sparkling Model'!D$2:D$38^A9448)</f>
        <v>0.9678419542</v>
      </c>
    </row>
    <row r="9449">
      <c r="A9449" s="6">
        <v>9447.0</v>
      </c>
      <c r="B9449" s="17">
        <f t="array" ref="B9449">SUM(1-'Sparkling Model'!D$2:D$38^A9449)</f>
        <v>36.9674817</v>
      </c>
      <c r="C9449" s="8">
        <f t="array" ref="C9449">PRODUCT(1-'Sparkling Model'!D$2:D$38^A9449)</f>
        <v>0.967857944</v>
      </c>
    </row>
    <row r="9450">
      <c r="A9450" s="6">
        <v>9448.0</v>
      </c>
      <c r="B9450" s="17">
        <f t="array" ref="B9450">SUM(1-'Sparkling Model'!D$2:D$38^A9450)</f>
        <v>36.96749807</v>
      </c>
      <c r="C9450" s="8">
        <f t="array" ref="C9450">PRODUCT(1-'Sparkling Model'!D$2:D$38^A9450)</f>
        <v>0.9678739258</v>
      </c>
    </row>
    <row r="9451">
      <c r="A9451" s="6">
        <v>9449.0</v>
      </c>
      <c r="B9451" s="17">
        <f t="array" ref="B9451">SUM(1-'Sparkling Model'!D$2:D$38^A9451)</f>
        <v>36.96751442</v>
      </c>
      <c r="C9451" s="8">
        <f t="array" ref="C9451">PRODUCT(1-'Sparkling Model'!D$2:D$38^A9451)</f>
        <v>0.9678898997</v>
      </c>
    </row>
    <row r="9452">
      <c r="A9452" s="6">
        <v>9450.0</v>
      </c>
      <c r="B9452" s="17">
        <f t="array" ref="B9452">SUM(1-'Sparkling Model'!D$2:D$38^A9452)</f>
        <v>36.96753077</v>
      </c>
      <c r="C9452" s="8">
        <f t="array" ref="C9452">PRODUCT(1-'Sparkling Model'!D$2:D$38^A9452)</f>
        <v>0.9679058657</v>
      </c>
    </row>
    <row r="9453">
      <c r="A9453" s="6">
        <v>9451.0</v>
      </c>
      <c r="B9453" s="17">
        <f t="array" ref="B9453">SUM(1-'Sparkling Model'!D$2:D$38^A9453)</f>
        <v>36.96754711</v>
      </c>
      <c r="C9453" s="8">
        <f t="array" ref="C9453">PRODUCT(1-'Sparkling Model'!D$2:D$38^A9453)</f>
        <v>0.9679218236</v>
      </c>
    </row>
    <row r="9454">
      <c r="A9454" s="6">
        <v>9452.0</v>
      </c>
      <c r="B9454" s="17">
        <f t="array" ref="B9454">SUM(1-'Sparkling Model'!D$2:D$38^A9454)</f>
        <v>36.96756344</v>
      </c>
      <c r="C9454" s="8">
        <f t="array" ref="C9454">PRODUCT(1-'Sparkling Model'!D$2:D$38^A9454)</f>
        <v>0.9679377737</v>
      </c>
    </row>
    <row r="9455">
      <c r="A9455" s="6">
        <v>9453.0</v>
      </c>
      <c r="B9455" s="17">
        <f t="array" ref="B9455">SUM(1-'Sparkling Model'!D$2:D$38^A9455)</f>
        <v>36.96757976</v>
      </c>
      <c r="C9455" s="8">
        <f t="array" ref="C9455">PRODUCT(1-'Sparkling Model'!D$2:D$38^A9455)</f>
        <v>0.9679537158</v>
      </c>
    </row>
    <row r="9456">
      <c r="A9456" s="6">
        <v>9454.0</v>
      </c>
      <c r="B9456" s="17">
        <f t="array" ref="B9456">SUM(1-'Sparkling Model'!D$2:D$38^A9456)</f>
        <v>36.96759607</v>
      </c>
      <c r="C9456" s="8">
        <f t="array" ref="C9456">PRODUCT(1-'Sparkling Model'!D$2:D$38^A9456)</f>
        <v>0.96796965</v>
      </c>
    </row>
    <row r="9457">
      <c r="A9457" s="6">
        <v>9455.0</v>
      </c>
      <c r="B9457" s="17">
        <f t="array" ref="B9457">SUM(1-'Sparkling Model'!D$2:D$38^A9457)</f>
        <v>36.96761238</v>
      </c>
      <c r="C9457" s="8">
        <f t="array" ref="C9457">PRODUCT(1-'Sparkling Model'!D$2:D$38^A9457)</f>
        <v>0.9679855762</v>
      </c>
    </row>
    <row r="9458">
      <c r="A9458" s="6">
        <v>9456.0</v>
      </c>
      <c r="B9458" s="17">
        <f t="array" ref="B9458">SUM(1-'Sparkling Model'!D$2:D$38^A9458)</f>
        <v>36.96762867</v>
      </c>
      <c r="C9458" s="8">
        <f t="array" ref="C9458">PRODUCT(1-'Sparkling Model'!D$2:D$38^A9458)</f>
        <v>0.9680014945</v>
      </c>
    </row>
    <row r="9459">
      <c r="A9459" s="6">
        <v>9457.0</v>
      </c>
      <c r="B9459" s="17">
        <f t="array" ref="B9459">SUM(1-'Sparkling Model'!D$2:D$38^A9459)</f>
        <v>36.96764496</v>
      </c>
      <c r="C9459" s="8">
        <f t="array" ref="C9459">PRODUCT(1-'Sparkling Model'!D$2:D$38^A9459)</f>
        <v>0.9680174049</v>
      </c>
    </row>
    <row r="9460">
      <c r="A9460" s="6">
        <v>9458.0</v>
      </c>
      <c r="B9460" s="17">
        <f t="array" ref="B9460">SUM(1-'Sparkling Model'!D$2:D$38^A9460)</f>
        <v>36.96766124</v>
      </c>
      <c r="C9460" s="8">
        <f t="array" ref="C9460">PRODUCT(1-'Sparkling Model'!D$2:D$38^A9460)</f>
        <v>0.9680333073</v>
      </c>
    </row>
    <row r="9461">
      <c r="A9461" s="6">
        <v>9459.0</v>
      </c>
      <c r="B9461" s="17">
        <f t="array" ref="B9461">SUM(1-'Sparkling Model'!D$2:D$38^A9461)</f>
        <v>36.96767751</v>
      </c>
      <c r="C9461" s="8">
        <f t="array" ref="C9461">PRODUCT(1-'Sparkling Model'!D$2:D$38^A9461)</f>
        <v>0.9680492019</v>
      </c>
    </row>
    <row r="9462">
      <c r="A9462" s="6">
        <v>9460.0</v>
      </c>
      <c r="B9462" s="17">
        <f t="array" ref="B9462">SUM(1-'Sparkling Model'!D$2:D$38^A9462)</f>
        <v>36.96769377</v>
      </c>
      <c r="C9462" s="8">
        <f t="array" ref="C9462">PRODUCT(1-'Sparkling Model'!D$2:D$38^A9462)</f>
        <v>0.9680650885</v>
      </c>
    </row>
    <row r="9463">
      <c r="A9463" s="6">
        <v>9461.0</v>
      </c>
      <c r="B9463" s="17">
        <f t="array" ref="B9463">SUM(1-'Sparkling Model'!D$2:D$38^A9463)</f>
        <v>36.96771003</v>
      </c>
      <c r="C9463" s="8">
        <f t="array" ref="C9463">PRODUCT(1-'Sparkling Model'!D$2:D$38^A9463)</f>
        <v>0.9680809673</v>
      </c>
    </row>
    <row r="9464">
      <c r="A9464" s="6">
        <v>9462.0</v>
      </c>
      <c r="B9464" s="17">
        <f t="array" ref="B9464">SUM(1-'Sparkling Model'!D$2:D$38^A9464)</f>
        <v>36.96772627</v>
      </c>
      <c r="C9464" s="8">
        <f t="array" ref="C9464">PRODUCT(1-'Sparkling Model'!D$2:D$38^A9464)</f>
        <v>0.9680968381</v>
      </c>
    </row>
    <row r="9465">
      <c r="A9465" s="6">
        <v>9463.0</v>
      </c>
      <c r="B9465" s="17">
        <f t="array" ref="B9465">SUM(1-'Sparkling Model'!D$2:D$38^A9465)</f>
        <v>36.96774251</v>
      </c>
      <c r="C9465" s="8">
        <f t="array" ref="C9465">PRODUCT(1-'Sparkling Model'!D$2:D$38^A9465)</f>
        <v>0.968112701</v>
      </c>
    </row>
    <row r="9466">
      <c r="A9466" s="6">
        <v>9464.0</v>
      </c>
      <c r="B9466" s="17">
        <f t="array" ref="B9466">SUM(1-'Sparkling Model'!D$2:D$38^A9466)</f>
        <v>36.96775874</v>
      </c>
      <c r="C9466" s="8">
        <f t="array" ref="C9466">PRODUCT(1-'Sparkling Model'!D$2:D$38^A9466)</f>
        <v>0.968128556</v>
      </c>
    </row>
    <row r="9467">
      <c r="A9467" s="6">
        <v>9465.0</v>
      </c>
      <c r="B9467" s="17">
        <f t="array" ref="B9467">SUM(1-'Sparkling Model'!D$2:D$38^A9467)</f>
        <v>36.96777496</v>
      </c>
      <c r="C9467" s="8">
        <f t="array" ref="C9467">PRODUCT(1-'Sparkling Model'!D$2:D$38^A9467)</f>
        <v>0.9681444032</v>
      </c>
    </row>
    <row r="9468">
      <c r="A9468" s="6">
        <v>9466.0</v>
      </c>
      <c r="B9468" s="17">
        <f t="array" ref="B9468">SUM(1-'Sparkling Model'!D$2:D$38^A9468)</f>
        <v>36.96779118</v>
      </c>
      <c r="C9468" s="8">
        <f t="array" ref="C9468">PRODUCT(1-'Sparkling Model'!D$2:D$38^A9468)</f>
        <v>0.9681602424</v>
      </c>
    </row>
    <row r="9469">
      <c r="A9469" s="6">
        <v>9467.0</v>
      </c>
      <c r="B9469" s="17">
        <f t="array" ref="B9469">SUM(1-'Sparkling Model'!D$2:D$38^A9469)</f>
        <v>36.96780738</v>
      </c>
      <c r="C9469" s="8">
        <f t="array" ref="C9469">PRODUCT(1-'Sparkling Model'!D$2:D$38^A9469)</f>
        <v>0.9681760738</v>
      </c>
    </row>
    <row r="9470">
      <c r="A9470" s="6">
        <v>9468.0</v>
      </c>
      <c r="B9470" s="17">
        <f t="array" ref="B9470">SUM(1-'Sparkling Model'!D$2:D$38^A9470)</f>
        <v>36.96782358</v>
      </c>
      <c r="C9470" s="8">
        <f t="array" ref="C9470">PRODUCT(1-'Sparkling Model'!D$2:D$38^A9470)</f>
        <v>0.9681918972</v>
      </c>
    </row>
    <row r="9471">
      <c r="A9471" s="6">
        <v>9469.0</v>
      </c>
      <c r="B9471" s="17">
        <f t="array" ref="B9471">SUM(1-'Sparkling Model'!D$2:D$38^A9471)</f>
        <v>36.96783977</v>
      </c>
      <c r="C9471" s="8">
        <f t="array" ref="C9471">PRODUCT(1-'Sparkling Model'!D$2:D$38^A9471)</f>
        <v>0.9682077128</v>
      </c>
    </row>
    <row r="9472">
      <c r="A9472" s="6">
        <v>9470.0</v>
      </c>
      <c r="B9472" s="17">
        <f t="array" ref="B9472">SUM(1-'Sparkling Model'!D$2:D$38^A9472)</f>
        <v>36.96785595</v>
      </c>
      <c r="C9472" s="8">
        <f t="array" ref="C9472">PRODUCT(1-'Sparkling Model'!D$2:D$38^A9472)</f>
        <v>0.9682235206</v>
      </c>
    </row>
    <row r="9473">
      <c r="A9473" s="6">
        <v>9471.0</v>
      </c>
      <c r="B9473" s="17">
        <f t="array" ref="B9473">SUM(1-'Sparkling Model'!D$2:D$38^A9473)</f>
        <v>36.96787212</v>
      </c>
      <c r="C9473" s="8">
        <f t="array" ref="C9473">PRODUCT(1-'Sparkling Model'!D$2:D$38^A9473)</f>
        <v>0.9682393204</v>
      </c>
    </row>
    <row r="9474">
      <c r="A9474" s="6">
        <v>9472.0</v>
      </c>
      <c r="B9474" s="17">
        <f t="array" ref="B9474">SUM(1-'Sparkling Model'!D$2:D$38^A9474)</f>
        <v>36.96788829</v>
      </c>
      <c r="C9474" s="8">
        <f t="array" ref="C9474">PRODUCT(1-'Sparkling Model'!D$2:D$38^A9474)</f>
        <v>0.9682551124</v>
      </c>
    </row>
    <row r="9475">
      <c r="A9475" s="6">
        <v>9473.0</v>
      </c>
      <c r="B9475" s="17">
        <f t="array" ref="B9475">SUM(1-'Sparkling Model'!D$2:D$38^A9475)</f>
        <v>36.96790444</v>
      </c>
      <c r="C9475" s="8">
        <f t="array" ref="C9475">PRODUCT(1-'Sparkling Model'!D$2:D$38^A9475)</f>
        <v>0.9682708965</v>
      </c>
    </row>
    <row r="9476">
      <c r="A9476" s="6">
        <v>9474.0</v>
      </c>
      <c r="B9476" s="17">
        <f t="array" ref="B9476">SUM(1-'Sparkling Model'!D$2:D$38^A9476)</f>
        <v>36.96792059</v>
      </c>
      <c r="C9476" s="8">
        <f t="array" ref="C9476">PRODUCT(1-'Sparkling Model'!D$2:D$38^A9476)</f>
        <v>0.9682866728</v>
      </c>
    </row>
    <row r="9477">
      <c r="A9477" s="6">
        <v>9475.0</v>
      </c>
      <c r="B9477" s="17">
        <f t="array" ref="B9477">SUM(1-'Sparkling Model'!D$2:D$38^A9477)</f>
        <v>36.96793673</v>
      </c>
      <c r="C9477" s="8">
        <f t="array" ref="C9477">PRODUCT(1-'Sparkling Model'!D$2:D$38^A9477)</f>
        <v>0.9683024412</v>
      </c>
    </row>
    <row r="9478">
      <c r="A9478" s="6">
        <v>9476.0</v>
      </c>
      <c r="B9478" s="17">
        <f t="array" ref="B9478">SUM(1-'Sparkling Model'!D$2:D$38^A9478)</f>
        <v>36.96795286</v>
      </c>
      <c r="C9478" s="8">
        <f t="array" ref="C9478">PRODUCT(1-'Sparkling Model'!D$2:D$38^A9478)</f>
        <v>0.9683182018</v>
      </c>
    </row>
    <row r="9479">
      <c r="A9479" s="6">
        <v>9477.0</v>
      </c>
      <c r="B9479" s="17">
        <f t="array" ref="B9479">SUM(1-'Sparkling Model'!D$2:D$38^A9479)</f>
        <v>36.96796898</v>
      </c>
      <c r="C9479" s="8">
        <f t="array" ref="C9479">PRODUCT(1-'Sparkling Model'!D$2:D$38^A9479)</f>
        <v>0.9683339545</v>
      </c>
    </row>
    <row r="9480">
      <c r="A9480" s="6">
        <v>9478.0</v>
      </c>
      <c r="B9480" s="17">
        <f t="array" ref="B9480">SUM(1-'Sparkling Model'!D$2:D$38^A9480)</f>
        <v>36.9679851</v>
      </c>
      <c r="C9480" s="8">
        <f t="array" ref="C9480">PRODUCT(1-'Sparkling Model'!D$2:D$38^A9480)</f>
        <v>0.9683496994</v>
      </c>
    </row>
    <row r="9481">
      <c r="A9481" s="6">
        <v>9479.0</v>
      </c>
      <c r="B9481" s="17">
        <f t="array" ref="B9481">SUM(1-'Sparkling Model'!D$2:D$38^A9481)</f>
        <v>36.9680012</v>
      </c>
      <c r="C9481" s="8">
        <f t="array" ref="C9481">PRODUCT(1-'Sparkling Model'!D$2:D$38^A9481)</f>
        <v>0.9683654365</v>
      </c>
    </row>
    <row r="9482">
      <c r="A9482" s="6">
        <v>9480.0</v>
      </c>
      <c r="B9482" s="17">
        <f t="array" ref="B9482">SUM(1-'Sparkling Model'!D$2:D$38^A9482)</f>
        <v>36.9680173</v>
      </c>
      <c r="C9482" s="8">
        <f t="array" ref="C9482">PRODUCT(1-'Sparkling Model'!D$2:D$38^A9482)</f>
        <v>0.9683811657</v>
      </c>
    </row>
    <row r="9483">
      <c r="A9483" s="6">
        <v>9481.0</v>
      </c>
      <c r="B9483" s="17">
        <f t="array" ref="B9483">SUM(1-'Sparkling Model'!D$2:D$38^A9483)</f>
        <v>36.96803339</v>
      </c>
      <c r="C9483" s="8">
        <f t="array" ref="C9483">PRODUCT(1-'Sparkling Model'!D$2:D$38^A9483)</f>
        <v>0.9683968871</v>
      </c>
    </row>
    <row r="9484">
      <c r="A9484" s="6">
        <v>9482.0</v>
      </c>
      <c r="B9484" s="17">
        <f t="array" ref="B9484">SUM(1-'Sparkling Model'!D$2:D$38^A9484)</f>
        <v>36.96804947</v>
      </c>
      <c r="C9484" s="8">
        <f t="array" ref="C9484">PRODUCT(1-'Sparkling Model'!D$2:D$38^A9484)</f>
        <v>0.9684126006</v>
      </c>
    </row>
    <row r="9485">
      <c r="A9485" s="6">
        <v>9483.0</v>
      </c>
      <c r="B9485" s="17">
        <f t="array" ref="B9485">SUM(1-'Sparkling Model'!D$2:D$38^A9485)</f>
        <v>36.96806555</v>
      </c>
      <c r="C9485" s="8">
        <f t="array" ref="C9485">PRODUCT(1-'Sparkling Model'!D$2:D$38^A9485)</f>
        <v>0.9684283063</v>
      </c>
    </row>
    <row r="9486">
      <c r="A9486" s="6">
        <v>9484.0</v>
      </c>
      <c r="B9486" s="17">
        <f t="array" ref="B9486">SUM(1-'Sparkling Model'!D$2:D$38^A9486)</f>
        <v>36.96808161</v>
      </c>
      <c r="C9486" s="8">
        <f t="array" ref="C9486">PRODUCT(1-'Sparkling Model'!D$2:D$38^A9486)</f>
        <v>0.9684440043</v>
      </c>
    </row>
    <row r="9487">
      <c r="A9487" s="6">
        <v>9485.0</v>
      </c>
      <c r="B9487" s="17">
        <f t="array" ref="B9487">SUM(1-'Sparkling Model'!D$2:D$38^A9487)</f>
        <v>36.96809767</v>
      </c>
      <c r="C9487" s="8">
        <f t="array" ref="C9487">PRODUCT(1-'Sparkling Model'!D$2:D$38^A9487)</f>
        <v>0.9684596944</v>
      </c>
    </row>
    <row r="9488">
      <c r="A9488" s="6">
        <v>9486.0</v>
      </c>
      <c r="B9488" s="17">
        <f t="array" ref="B9488">SUM(1-'Sparkling Model'!D$2:D$38^A9488)</f>
        <v>36.96811372</v>
      </c>
      <c r="C9488" s="8">
        <f t="array" ref="C9488">PRODUCT(1-'Sparkling Model'!D$2:D$38^A9488)</f>
        <v>0.9684753766</v>
      </c>
    </row>
    <row r="9489">
      <c r="A9489" s="6">
        <v>9487.0</v>
      </c>
      <c r="B9489" s="17">
        <f t="array" ref="B9489">SUM(1-'Sparkling Model'!D$2:D$38^A9489)</f>
        <v>36.96812976</v>
      </c>
      <c r="C9489" s="8">
        <f t="array" ref="C9489">PRODUCT(1-'Sparkling Model'!D$2:D$38^A9489)</f>
        <v>0.9684910511</v>
      </c>
    </row>
    <row r="9490">
      <c r="A9490" s="6">
        <v>9488.0</v>
      </c>
      <c r="B9490" s="17">
        <f t="array" ref="B9490">SUM(1-'Sparkling Model'!D$2:D$38^A9490)</f>
        <v>36.96814579</v>
      </c>
      <c r="C9490" s="8">
        <f t="array" ref="C9490">PRODUCT(1-'Sparkling Model'!D$2:D$38^A9490)</f>
        <v>0.9685067178</v>
      </c>
    </row>
    <row r="9491">
      <c r="A9491" s="6">
        <v>9489.0</v>
      </c>
      <c r="B9491" s="17">
        <f t="array" ref="B9491">SUM(1-'Sparkling Model'!D$2:D$38^A9491)</f>
        <v>36.96816181</v>
      </c>
      <c r="C9491" s="8">
        <f t="array" ref="C9491">PRODUCT(1-'Sparkling Model'!D$2:D$38^A9491)</f>
        <v>0.9685223767</v>
      </c>
    </row>
    <row r="9492">
      <c r="A9492" s="6">
        <v>9490.0</v>
      </c>
      <c r="B9492" s="17">
        <f t="array" ref="B9492">SUM(1-'Sparkling Model'!D$2:D$38^A9492)</f>
        <v>36.96817783</v>
      </c>
      <c r="C9492" s="8">
        <f t="array" ref="C9492">PRODUCT(1-'Sparkling Model'!D$2:D$38^A9492)</f>
        <v>0.9685380278</v>
      </c>
    </row>
    <row r="9493">
      <c r="A9493" s="6">
        <v>9491.0</v>
      </c>
      <c r="B9493" s="17">
        <f t="array" ref="B9493">SUM(1-'Sparkling Model'!D$2:D$38^A9493)</f>
        <v>36.96819384</v>
      </c>
      <c r="C9493" s="8">
        <f t="array" ref="C9493">PRODUCT(1-'Sparkling Model'!D$2:D$38^A9493)</f>
        <v>0.9685536711</v>
      </c>
    </row>
    <row r="9494">
      <c r="A9494" s="6">
        <v>9492.0</v>
      </c>
      <c r="B9494" s="17">
        <f t="array" ref="B9494">SUM(1-'Sparkling Model'!D$2:D$38^A9494)</f>
        <v>36.96820984</v>
      </c>
      <c r="C9494" s="8">
        <f t="array" ref="C9494">PRODUCT(1-'Sparkling Model'!D$2:D$38^A9494)</f>
        <v>0.9685693066</v>
      </c>
    </row>
    <row r="9495">
      <c r="A9495" s="6">
        <v>9493.0</v>
      </c>
      <c r="B9495" s="17">
        <f t="array" ref="B9495">SUM(1-'Sparkling Model'!D$2:D$38^A9495)</f>
        <v>36.96822583</v>
      </c>
      <c r="C9495" s="8">
        <f t="array" ref="C9495">PRODUCT(1-'Sparkling Model'!D$2:D$38^A9495)</f>
        <v>0.9685849343</v>
      </c>
    </row>
    <row r="9496">
      <c r="A9496" s="6">
        <v>9494.0</v>
      </c>
      <c r="B9496" s="17">
        <f t="array" ref="B9496">SUM(1-'Sparkling Model'!D$2:D$38^A9496)</f>
        <v>36.96824181</v>
      </c>
      <c r="C9496" s="8">
        <f t="array" ref="C9496">PRODUCT(1-'Sparkling Model'!D$2:D$38^A9496)</f>
        <v>0.9686005542</v>
      </c>
    </row>
    <row r="9497">
      <c r="A9497" s="6">
        <v>9495.0</v>
      </c>
      <c r="B9497" s="17">
        <f t="array" ref="B9497">SUM(1-'Sparkling Model'!D$2:D$38^A9497)</f>
        <v>36.96825779</v>
      </c>
      <c r="C9497" s="8">
        <f t="array" ref="C9497">PRODUCT(1-'Sparkling Model'!D$2:D$38^A9497)</f>
        <v>0.9686161664</v>
      </c>
    </row>
    <row r="9498">
      <c r="A9498" s="6">
        <v>9496.0</v>
      </c>
      <c r="B9498" s="17">
        <f t="array" ref="B9498">SUM(1-'Sparkling Model'!D$2:D$38^A9498)</f>
        <v>36.96827376</v>
      </c>
      <c r="C9498" s="8">
        <f t="array" ref="C9498">PRODUCT(1-'Sparkling Model'!D$2:D$38^A9498)</f>
        <v>0.9686317708</v>
      </c>
    </row>
    <row r="9499">
      <c r="A9499" s="6">
        <v>9497.0</v>
      </c>
      <c r="B9499" s="17">
        <f t="array" ref="B9499">SUM(1-'Sparkling Model'!D$2:D$38^A9499)</f>
        <v>36.96828972</v>
      </c>
      <c r="C9499" s="8">
        <f t="array" ref="C9499">PRODUCT(1-'Sparkling Model'!D$2:D$38^A9499)</f>
        <v>0.9686473674</v>
      </c>
    </row>
    <row r="9500">
      <c r="A9500" s="6">
        <v>9498.0</v>
      </c>
      <c r="B9500" s="17">
        <f t="array" ref="B9500">SUM(1-'Sparkling Model'!D$2:D$38^A9500)</f>
        <v>36.96830567</v>
      </c>
      <c r="C9500" s="8">
        <f t="array" ref="C9500">PRODUCT(1-'Sparkling Model'!D$2:D$38^A9500)</f>
        <v>0.9686629563</v>
      </c>
    </row>
    <row r="9501">
      <c r="A9501" s="6">
        <v>9499.0</v>
      </c>
      <c r="B9501" s="17">
        <f t="array" ref="B9501">SUM(1-'Sparkling Model'!D$2:D$38^A9501)</f>
        <v>36.96832161</v>
      </c>
      <c r="C9501" s="8">
        <f t="array" ref="C9501">PRODUCT(1-'Sparkling Model'!D$2:D$38^A9501)</f>
        <v>0.9686785374</v>
      </c>
    </row>
    <row r="9502">
      <c r="A9502" s="6">
        <v>9500.0</v>
      </c>
      <c r="B9502" s="17">
        <f t="array" ref="B9502">SUM(1-'Sparkling Model'!D$2:D$38^A9502)</f>
        <v>36.96833754</v>
      </c>
      <c r="C9502" s="8">
        <f t="array" ref="C9502">PRODUCT(1-'Sparkling Model'!D$2:D$38^A9502)</f>
        <v>0.9686941107</v>
      </c>
    </row>
    <row r="9503">
      <c r="A9503" s="6">
        <v>9501.0</v>
      </c>
      <c r="B9503" s="17">
        <f t="array" ref="B9503">SUM(1-'Sparkling Model'!D$2:D$38^A9503)</f>
        <v>36.96835347</v>
      </c>
      <c r="C9503" s="8">
        <f t="array" ref="C9503">PRODUCT(1-'Sparkling Model'!D$2:D$38^A9503)</f>
        <v>0.9687096763</v>
      </c>
    </row>
    <row r="9504">
      <c r="A9504" s="6">
        <v>9502.0</v>
      </c>
      <c r="B9504" s="17">
        <f t="array" ref="B9504">SUM(1-'Sparkling Model'!D$2:D$38^A9504)</f>
        <v>36.96836939</v>
      </c>
      <c r="C9504" s="8">
        <f t="array" ref="C9504">PRODUCT(1-'Sparkling Model'!D$2:D$38^A9504)</f>
        <v>0.9687252342</v>
      </c>
    </row>
    <row r="9505">
      <c r="A9505" s="6">
        <v>9503.0</v>
      </c>
      <c r="B9505" s="17">
        <f t="array" ref="B9505">SUM(1-'Sparkling Model'!D$2:D$38^A9505)</f>
        <v>36.9683853</v>
      </c>
      <c r="C9505" s="8">
        <f t="array" ref="C9505">PRODUCT(1-'Sparkling Model'!D$2:D$38^A9505)</f>
        <v>0.9687407843</v>
      </c>
    </row>
    <row r="9506">
      <c r="A9506" s="6">
        <v>9504.0</v>
      </c>
      <c r="B9506" s="17">
        <f t="array" ref="B9506">SUM(1-'Sparkling Model'!D$2:D$38^A9506)</f>
        <v>36.9684012</v>
      </c>
      <c r="C9506" s="8">
        <f t="array" ref="C9506">PRODUCT(1-'Sparkling Model'!D$2:D$38^A9506)</f>
        <v>0.9687563266</v>
      </c>
    </row>
    <row r="9507">
      <c r="A9507" s="6">
        <v>9505.0</v>
      </c>
      <c r="B9507" s="17">
        <f t="array" ref="B9507">SUM(1-'Sparkling Model'!D$2:D$38^A9507)</f>
        <v>36.9684171</v>
      </c>
      <c r="C9507" s="8">
        <f t="array" ref="C9507">PRODUCT(1-'Sparkling Model'!D$2:D$38^A9507)</f>
        <v>0.9687718612</v>
      </c>
    </row>
    <row r="9508">
      <c r="A9508" s="6">
        <v>9506.0</v>
      </c>
      <c r="B9508" s="17">
        <f t="array" ref="B9508">SUM(1-'Sparkling Model'!D$2:D$38^A9508)</f>
        <v>36.96843298</v>
      </c>
      <c r="C9508" s="8">
        <f t="array" ref="C9508">PRODUCT(1-'Sparkling Model'!D$2:D$38^A9508)</f>
        <v>0.9687873881</v>
      </c>
    </row>
    <row r="9509">
      <c r="A9509" s="6">
        <v>9507.0</v>
      </c>
      <c r="B9509" s="17">
        <f t="array" ref="B9509">SUM(1-'Sparkling Model'!D$2:D$38^A9509)</f>
        <v>36.96844886</v>
      </c>
      <c r="C9509" s="8">
        <f t="array" ref="C9509">PRODUCT(1-'Sparkling Model'!D$2:D$38^A9509)</f>
        <v>0.9688029073</v>
      </c>
    </row>
    <row r="9510">
      <c r="A9510" s="6">
        <v>9508.0</v>
      </c>
      <c r="B9510" s="17">
        <f t="array" ref="B9510">SUM(1-'Sparkling Model'!D$2:D$38^A9510)</f>
        <v>36.96846473</v>
      </c>
      <c r="C9510" s="8">
        <f t="array" ref="C9510">PRODUCT(1-'Sparkling Model'!D$2:D$38^A9510)</f>
        <v>0.9688184187</v>
      </c>
    </row>
    <row r="9511">
      <c r="A9511" s="6">
        <v>9509.0</v>
      </c>
      <c r="B9511" s="17">
        <f t="array" ref="B9511">SUM(1-'Sparkling Model'!D$2:D$38^A9511)</f>
        <v>36.96848059</v>
      </c>
      <c r="C9511" s="8">
        <f t="array" ref="C9511">PRODUCT(1-'Sparkling Model'!D$2:D$38^A9511)</f>
        <v>0.9688339224</v>
      </c>
    </row>
    <row r="9512">
      <c r="A9512" s="6">
        <v>9510.0</v>
      </c>
      <c r="B9512" s="17">
        <f t="array" ref="B9512">SUM(1-'Sparkling Model'!D$2:D$38^A9512)</f>
        <v>36.96849645</v>
      </c>
      <c r="C9512" s="8">
        <f t="array" ref="C9512">PRODUCT(1-'Sparkling Model'!D$2:D$38^A9512)</f>
        <v>0.9688494184</v>
      </c>
    </row>
    <row r="9513">
      <c r="A9513" s="6">
        <v>9511.0</v>
      </c>
      <c r="B9513" s="17">
        <f t="array" ref="B9513">SUM(1-'Sparkling Model'!D$2:D$38^A9513)</f>
        <v>36.96851229</v>
      </c>
      <c r="C9513" s="8">
        <f t="array" ref="C9513">PRODUCT(1-'Sparkling Model'!D$2:D$38^A9513)</f>
        <v>0.9688649067</v>
      </c>
    </row>
    <row r="9514">
      <c r="A9514" s="6">
        <v>9512.0</v>
      </c>
      <c r="B9514" s="17">
        <f t="array" ref="B9514">SUM(1-'Sparkling Model'!D$2:D$38^A9514)</f>
        <v>36.96852813</v>
      </c>
      <c r="C9514" s="8">
        <f t="array" ref="C9514">PRODUCT(1-'Sparkling Model'!D$2:D$38^A9514)</f>
        <v>0.9688803872</v>
      </c>
    </row>
    <row r="9515">
      <c r="A9515" s="6">
        <v>9513.0</v>
      </c>
      <c r="B9515" s="17">
        <f t="array" ref="B9515">SUM(1-'Sparkling Model'!D$2:D$38^A9515)</f>
        <v>36.96854396</v>
      </c>
      <c r="C9515" s="8">
        <f t="array" ref="C9515">PRODUCT(1-'Sparkling Model'!D$2:D$38^A9515)</f>
        <v>0.9688958601</v>
      </c>
    </row>
    <row r="9516">
      <c r="A9516" s="6">
        <v>9514.0</v>
      </c>
      <c r="B9516" s="17">
        <f t="array" ref="B9516">SUM(1-'Sparkling Model'!D$2:D$38^A9516)</f>
        <v>36.96855978</v>
      </c>
      <c r="C9516" s="8">
        <f t="array" ref="C9516">PRODUCT(1-'Sparkling Model'!D$2:D$38^A9516)</f>
        <v>0.9689113253</v>
      </c>
    </row>
    <row r="9517">
      <c r="A9517" s="6">
        <v>9515.0</v>
      </c>
      <c r="B9517" s="17">
        <f t="array" ref="B9517">SUM(1-'Sparkling Model'!D$2:D$38^A9517)</f>
        <v>36.96857559</v>
      </c>
      <c r="C9517" s="8">
        <f t="array" ref="C9517">PRODUCT(1-'Sparkling Model'!D$2:D$38^A9517)</f>
        <v>0.9689267827</v>
      </c>
    </row>
    <row r="9518">
      <c r="A9518" s="6">
        <v>9516.0</v>
      </c>
      <c r="B9518" s="17">
        <f t="array" ref="B9518">SUM(1-'Sparkling Model'!D$2:D$38^A9518)</f>
        <v>36.9685914</v>
      </c>
      <c r="C9518" s="8">
        <f t="array" ref="C9518">PRODUCT(1-'Sparkling Model'!D$2:D$38^A9518)</f>
        <v>0.9689422325</v>
      </c>
    </row>
    <row r="9519">
      <c r="A9519" s="6">
        <v>9517.0</v>
      </c>
      <c r="B9519" s="17">
        <f t="array" ref="B9519">SUM(1-'Sparkling Model'!D$2:D$38^A9519)</f>
        <v>36.9686072</v>
      </c>
      <c r="C9519" s="8">
        <f t="array" ref="C9519">PRODUCT(1-'Sparkling Model'!D$2:D$38^A9519)</f>
        <v>0.9689576745</v>
      </c>
    </row>
    <row r="9520">
      <c r="A9520" s="6">
        <v>9518.0</v>
      </c>
      <c r="B9520" s="17">
        <f t="array" ref="B9520">SUM(1-'Sparkling Model'!D$2:D$38^A9520)</f>
        <v>36.96862299</v>
      </c>
      <c r="C9520" s="8">
        <f t="array" ref="C9520">PRODUCT(1-'Sparkling Model'!D$2:D$38^A9520)</f>
        <v>0.9689731089</v>
      </c>
    </row>
    <row r="9521">
      <c r="A9521" s="6">
        <v>9519.0</v>
      </c>
      <c r="B9521" s="17">
        <f t="array" ref="B9521">SUM(1-'Sparkling Model'!D$2:D$38^A9521)</f>
        <v>36.96863877</v>
      </c>
      <c r="C9521" s="8">
        <f t="array" ref="C9521">PRODUCT(1-'Sparkling Model'!D$2:D$38^A9521)</f>
        <v>0.9689885356</v>
      </c>
    </row>
    <row r="9522">
      <c r="A9522" s="6">
        <v>9520.0</v>
      </c>
      <c r="B9522" s="17">
        <f t="array" ref="B9522">SUM(1-'Sparkling Model'!D$2:D$38^A9522)</f>
        <v>36.96865454</v>
      </c>
      <c r="C9522" s="8">
        <f t="array" ref="C9522">PRODUCT(1-'Sparkling Model'!D$2:D$38^A9522)</f>
        <v>0.9690039547</v>
      </c>
    </row>
    <row r="9523">
      <c r="A9523" s="6">
        <v>9521.0</v>
      </c>
      <c r="B9523" s="17">
        <f t="array" ref="B9523">SUM(1-'Sparkling Model'!D$2:D$38^A9523)</f>
        <v>36.9686703</v>
      </c>
      <c r="C9523" s="8">
        <f t="array" ref="C9523">PRODUCT(1-'Sparkling Model'!D$2:D$38^A9523)</f>
        <v>0.969019366</v>
      </c>
    </row>
    <row r="9524">
      <c r="A9524" s="6">
        <v>9522.0</v>
      </c>
      <c r="B9524" s="17">
        <f t="array" ref="B9524">SUM(1-'Sparkling Model'!D$2:D$38^A9524)</f>
        <v>36.96868606</v>
      </c>
      <c r="C9524" s="8">
        <f t="array" ref="C9524">PRODUCT(1-'Sparkling Model'!D$2:D$38^A9524)</f>
        <v>0.9690347697</v>
      </c>
    </row>
    <row r="9525">
      <c r="A9525" s="6">
        <v>9523.0</v>
      </c>
      <c r="B9525" s="17">
        <f t="array" ref="B9525">SUM(1-'Sparkling Model'!D$2:D$38^A9525)</f>
        <v>36.96870181</v>
      </c>
      <c r="C9525" s="8">
        <f t="array" ref="C9525">PRODUCT(1-'Sparkling Model'!D$2:D$38^A9525)</f>
        <v>0.9690501657</v>
      </c>
    </row>
    <row r="9526">
      <c r="A9526" s="6">
        <v>9524.0</v>
      </c>
      <c r="B9526" s="17">
        <f t="array" ref="B9526">SUM(1-'Sparkling Model'!D$2:D$38^A9526)</f>
        <v>36.96871755</v>
      </c>
      <c r="C9526" s="8">
        <f t="array" ref="C9526">PRODUCT(1-'Sparkling Model'!D$2:D$38^A9526)</f>
        <v>0.969065554</v>
      </c>
    </row>
    <row r="9527">
      <c r="A9527" s="6">
        <v>9525.0</v>
      </c>
      <c r="B9527" s="17">
        <f t="array" ref="B9527">SUM(1-'Sparkling Model'!D$2:D$38^A9527)</f>
        <v>36.96873328</v>
      </c>
      <c r="C9527" s="8">
        <f t="array" ref="C9527">PRODUCT(1-'Sparkling Model'!D$2:D$38^A9527)</f>
        <v>0.9690809347</v>
      </c>
    </row>
    <row r="9528">
      <c r="A9528" s="6">
        <v>9526.0</v>
      </c>
      <c r="B9528" s="17">
        <f t="array" ref="B9528">SUM(1-'Sparkling Model'!D$2:D$38^A9528)</f>
        <v>36.96874901</v>
      </c>
      <c r="C9528" s="8">
        <f t="array" ref="C9528">PRODUCT(1-'Sparkling Model'!D$2:D$38^A9528)</f>
        <v>0.9690963077</v>
      </c>
    </row>
    <row r="9529">
      <c r="A9529" s="6">
        <v>9527.0</v>
      </c>
      <c r="B9529" s="17">
        <f t="array" ref="B9529">SUM(1-'Sparkling Model'!D$2:D$38^A9529)</f>
        <v>36.96876473</v>
      </c>
      <c r="C9529" s="8">
        <f t="array" ref="C9529">PRODUCT(1-'Sparkling Model'!D$2:D$38^A9529)</f>
        <v>0.9691116731</v>
      </c>
    </row>
    <row r="9530">
      <c r="A9530" s="6">
        <v>9528.0</v>
      </c>
      <c r="B9530" s="17">
        <f t="array" ref="B9530">SUM(1-'Sparkling Model'!D$2:D$38^A9530)</f>
        <v>36.96878044</v>
      </c>
      <c r="C9530" s="8">
        <f t="array" ref="C9530">PRODUCT(1-'Sparkling Model'!D$2:D$38^A9530)</f>
        <v>0.9691270308</v>
      </c>
    </row>
    <row r="9531">
      <c r="A9531" s="6">
        <v>9529.0</v>
      </c>
      <c r="B9531" s="17">
        <f t="array" ref="B9531">SUM(1-'Sparkling Model'!D$2:D$38^A9531)</f>
        <v>36.96879614</v>
      </c>
      <c r="C9531" s="8">
        <f t="array" ref="C9531">PRODUCT(1-'Sparkling Model'!D$2:D$38^A9531)</f>
        <v>0.9691423809</v>
      </c>
    </row>
    <row r="9532">
      <c r="A9532" s="6">
        <v>9530.0</v>
      </c>
      <c r="B9532" s="17">
        <f t="array" ref="B9532">SUM(1-'Sparkling Model'!D$2:D$38^A9532)</f>
        <v>36.96881183</v>
      </c>
      <c r="C9532" s="8">
        <f t="array" ref="C9532">PRODUCT(1-'Sparkling Model'!D$2:D$38^A9532)</f>
        <v>0.9691577233</v>
      </c>
    </row>
    <row r="9533">
      <c r="A9533" s="6">
        <v>9531.0</v>
      </c>
      <c r="B9533" s="17">
        <f t="array" ref="B9533">SUM(1-'Sparkling Model'!D$2:D$38^A9533)</f>
        <v>36.96882751</v>
      </c>
      <c r="C9533" s="8">
        <f t="array" ref="C9533">PRODUCT(1-'Sparkling Model'!D$2:D$38^A9533)</f>
        <v>0.9691730581</v>
      </c>
    </row>
    <row r="9534">
      <c r="A9534" s="6">
        <v>9532.0</v>
      </c>
      <c r="B9534" s="17">
        <f t="array" ref="B9534">SUM(1-'Sparkling Model'!D$2:D$38^A9534)</f>
        <v>36.96884319</v>
      </c>
      <c r="C9534" s="8">
        <f t="array" ref="C9534">PRODUCT(1-'Sparkling Model'!D$2:D$38^A9534)</f>
        <v>0.9691883852</v>
      </c>
    </row>
    <row r="9535">
      <c r="A9535" s="6">
        <v>9533.0</v>
      </c>
      <c r="B9535" s="17">
        <f t="array" ref="B9535">SUM(1-'Sparkling Model'!D$2:D$38^A9535)</f>
        <v>36.96885886</v>
      </c>
      <c r="C9535" s="8">
        <f t="array" ref="C9535">PRODUCT(1-'Sparkling Model'!D$2:D$38^A9535)</f>
        <v>0.9692037048</v>
      </c>
    </row>
    <row r="9536">
      <c r="A9536" s="6">
        <v>9534.0</v>
      </c>
      <c r="B9536" s="17">
        <f t="array" ref="B9536">SUM(1-'Sparkling Model'!D$2:D$38^A9536)</f>
        <v>36.96887452</v>
      </c>
      <c r="C9536" s="8">
        <f t="array" ref="C9536">PRODUCT(1-'Sparkling Model'!D$2:D$38^A9536)</f>
        <v>0.9692190167</v>
      </c>
    </row>
    <row r="9537">
      <c r="A9537" s="6">
        <v>9535.0</v>
      </c>
      <c r="B9537" s="17">
        <f t="array" ref="B9537">SUM(1-'Sparkling Model'!D$2:D$38^A9537)</f>
        <v>36.96889017</v>
      </c>
      <c r="C9537" s="8">
        <f t="array" ref="C9537">PRODUCT(1-'Sparkling Model'!D$2:D$38^A9537)</f>
        <v>0.9692343209</v>
      </c>
    </row>
    <row r="9538">
      <c r="A9538" s="6">
        <v>9536.0</v>
      </c>
      <c r="B9538" s="17">
        <f t="array" ref="B9538">SUM(1-'Sparkling Model'!D$2:D$38^A9538)</f>
        <v>36.96890582</v>
      </c>
      <c r="C9538" s="8">
        <f t="array" ref="C9538">PRODUCT(1-'Sparkling Model'!D$2:D$38^A9538)</f>
        <v>0.9692496176</v>
      </c>
    </row>
    <row r="9539">
      <c r="A9539" s="6">
        <v>9537.0</v>
      </c>
      <c r="B9539" s="17">
        <f t="array" ref="B9539">SUM(1-'Sparkling Model'!D$2:D$38^A9539)</f>
        <v>36.96892146</v>
      </c>
      <c r="C9539" s="8">
        <f t="array" ref="C9539">PRODUCT(1-'Sparkling Model'!D$2:D$38^A9539)</f>
        <v>0.9692649066</v>
      </c>
    </row>
    <row r="9540">
      <c r="A9540" s="6">
        <v>9538.0</v>
      </c>
      <c r="B9540" s="17">
        <f t="array" ref="B9540">SUM(1-'Sparkling Model'!D$2:D$38^A9540)</f>
        <v>36.96893709</v>
      </c>
      <c r="C9540" s="8">
        <f t="array" ref="C9540">PRODUCT(1-'Sparkling Model'!D$2:D$38^A9540)</f>
        <v>0.9692801881</v>
      </c>
    </row>
    <row r="9541">
      <c r="A9541" s="6">
        <v>9539.0</v>
      </c>
      <c r="B9541" s="17">
        <f t="array" ref="B9541">SUM(1-'Sparkling Model'!D$2:D$38^A9541)</f>
        <v>36.96895271</v>
      </c>
      <c r="C9541" s="8">
        <f t="array" ref="C9541">PRODUCT(1-'Sparkling Model'!D$2:D$38^A9541)</f>
        <v>0.9692954619</v>
      </c>
    </row>
    <row r="9542">
      <c r="A9542" s="6">
        <v>9540.0</v>
      </c>
      <c r="B9542" s="17">
        <f t="array" ref="B9542">SUM(1-'Sparkling Model'!D$2:D$38^A9542)</f>
        <v>36.96896832</v>
      </c>
      <c r="C9542" s="8">
        <f t="array" ref="C9542">PRODUCT(1-'Sparkling Model'!D$2:D$38^A9542)</f>
        <v>0.9693107281</v>
      </c>
    </row>
    <row r="9543">
      <c r="A9543" s="6">
        <v>9541.0</v>
      </c>
      <c r="B9543" s="17">
        <f t="array" ref="B9543">SUM(1-'Sparkling Model'!D$2:D$38^A9543)</f>
        <v>36.96898393</v>
      </c>
      <c r="C9543" s="8">
        <f t="array" ref="C9543">PRODUCT(1-'Sparkling Model'!D$2:D$38^A9543)</f>
        <v>0.9693259867</v>
      </c>
    </row>
    <row r="9544">
      <c r="A9544" s="6">
        <v>9542.0</v>
      </c>
      <c r="B9544" s="17">
        <f t="array" ref="B9544">SUM(1-'Sparkling Model'!D$2:D$38^A9544)</f>
        <v>36.96899952</v>
      </c>
      <c r="C9544" s="8">
        <f t="array" ref="C9544">PRODUCT(1-'Sparkling Model'!D$2:D$38^A9544)</f>
        <v>0.9693412378</v>
      </c>
    </row>
    <row r="9545">
      <c r="A9545" s="6">
        <v>9543.0</v>
      </c>
      <c r="B9545" s="17">
        <f t="array" ref="B9545">SUM(1-'Sparkling Model'!D$2:D$38^A9545)</f>
        <v>36.96901511</v>
      </c>
      <c r="C9545" s="8">
        <f t="array" ref="C9545">PRODUCT(1-'Sparkling Model'!D$2:D$38^A9545)</f>
        <v>0.9693564812</v>
      </c>
    </row>
    <row r="9546">
      <c r="A9546" s="6">
        <v>9544.0</v>
      </c>
      <c r="B9546" s="17">
        <f t="array" ref="B9546">SUM(1-'Sparkling Model'!D$2:D$38^A9546)</f>
        <v>36.96903069</v>
      </c>
      <c r="C9546" s="8">
        <f t="array" ref="C9546">PRODUCT(1-'Sparkling Model'!D$2:D$38^A9546)</f>
        <v>0.969371717</v>
      </c>
    </row>
    <row r="9547">
      <c r="A9547" s="6">
        <v>9545.0</v>
      </c>
      <c r="B9547" s="17">
        <f t="array" ref="B9547">SUM(1-'Sparkling Model'!D$2:D$38^A9547)</f>
        <v>36.96904627</v>
      </c>
      <c r="C9547" s="8">
        <f t="array" ref="C9547">PRODUCT(1-'Sparkling Model'!D$2:D$38^A9547)</f>
        <v>0.9693869453</v>
      </c>
    </row>
    <row r="9548">
      <c r="A9548" s="6">
        <v>9546.0</v>
      </c>
      <c r="B9548" s="17">
        <f t="array" ref="B9548">SUM(1-'Sparkling Model'!D$2:D$38^A9548)</f>
        <v>36.96906183</v>
      </c>
      <c r="C9548" s="8">
        <f t="array" ref="C9548">PRODUCT(1-'Sparkling Model'!D$2:D$38^A9548)</f>
        <v>0.969402166</v>
      </c>
    </row>
    <row r="9549">
      <c r="A9549" s="6">
        <v>9547.0</v>
      </c>
      <c r="B9549" s="17">
        <f t="array" ref="B9549">SUM(1-'Sparkling Model'!D$2:D$38^A9549)</f>
        <v>36.96907739</v>
      </c>
      <c r="C9549" s="8">
        <f t="array" ref="C9549">PRODUCT(1-'Sparkling Model'!D$2:D$38^A9549)</f>
        <v>0.9694173791</v>
      </c>
    </row>
    <row r="9550">
      <c r="A9550" s="6">
        <v>9548.0</v>
      </c>
      <c r="B9550" s="17">
        <f t="array" ref="B9550">SUM(1-'Sparkling Model'!D$2:D$38^A9550)</f>
        <v>36.96909294</v>
      </c>
      <c r="C9550" s="8">
        <f t="array" ref="C9550">PRODUCT(1-'Sparkling Model'!D$2:D$38^A9550)</f>
        <v>0.9694325846</v>
      </c>
    </row>
    <row r="9551">
      <c r="A9551" s="6">
        <v>9549.0</v>
      </c>
      <c r="B9551" s="17">
        <f t="array" ref="B9551">SUM(1-'Sparkling Model'!D$2:D$38^A9551)</f>
        <v>36.96910848</v>
      </c>
      <c r="C9551" s="8">
        <f t="array" ref="C9551">PRODUCT(1-'Sparkling Model'!D$2:D$38^A9551)</f>
        <v>0.9694477825</v>
      </c>
    </row>
    <row r="9552">
      <c r="A9552" s="6">
        <v>9550.0</v>
      </c>
      <c r="B9552" s="17">
        <f t="array" ref="B9552">SUM(1-'Sparkling Model'!D$2:D$38^A9552)</f>
        <v>36.96912402</v>
      </c>
      <c r="C9552" s="8">
        <f t="array" ref="C9552">PRODUCT(1-'Sparkling Model'!D$2:D$38^A9552)</f>
        <v>0.9694629729</v>
      </c>
    </row>
    <row r="9553">
      <c r="A9553" s="6">
        <v>9551.0</v>
      </c>
      <c r="B9553" s="17">
        <f t="array" ref="B9553">SUM(1-'Sparkling Model'!D$2:D$38^A9553)</f>
        <v>36.96913954</v>
      </c>
      <c r="C9553" s="8">
        <f t="array" ref="C9553">PRODUCT(1-'Sparkling Model'!D$2:D$38^A9553)</f>
        <v>0.9694781557</v>
      </c>
    </row>
    <row r="9554">
      <c r="A9554" s="6">
        <v>9552.0</v>
      </c>
      <c r="B9554" s="17">
        <f t="array" ref="B9554">SUM(1-'Sparkling Model'!D$2:D$38^A9554)</f>
        <v>36.96915506</v>
      </c>
      <c r="C9554" s="8">
        <f t="array" ref="C9554">PRODUCT(1-'Sparkling Model'!D$2:D$38^A9554)</f>
        <v>0.969493331</v>
      </c>
    </row>
    <row r="9555">
      <c r="A9555" s="6">
        <v>9553.0</v>
      </c>
      <c r="B9555" s="17">
        <f t="array" ref="B9555">SUM(1-'Sparkling Model'!D$2:D$38^A9555)</f>
        <v>36.96917057</v>
      </c>
      <c r="C9555" s="8">
        <f t="array" ref="C9555">PRODUCT(1-'Sparkling Model'!D$2:D$38^A9555)</f>
        <v>0.9695084987</v>
      </c>
    </row>
    <row r="9556">
      <c r="A9556" s="6">
        <v>9554.0</v>
      </c>
      <c r="B9556" s="17">
        <f t="array" ref="B9556">SUM(1-'Sparkling Model'!D$2:D$38^A9556)</f>
        <v>36.96918607</v>
      </c>
      <c r="C9556" s="8">
        <f t="array" ref="C9556">PRODUCT(1-'Sparkling Model'!D$2:D$38^A9556)</f>
        <v>0.9695236589</v>
      </c>
    </row>
    <row r="9557">
      <c r="A9557" s="6">
        <v>9555.0</v>
      </c>
      <c r="B9557" s="17">
        <f t="array" ref="B9557">SUM(1-'Sparkling Model'!D$2:D$38^A9557)</f>
        <v>36.96920157</v>
      </c>
      <c r="C9557" s="8">
        <f t="array" ref="C9557">PRODUCT(1-'Sparkling Model'!D$2:D$38^A9557)</f>
        <v>0.9695388115</v>
      </c>
    </row>
    <row r="9558">
      <c r="A9558" s="6">
        <v>9556.0</v>
      </c>
      <c r="B9558" s="17">
        <f t="array" ref="B9558">SUM(1-'Sparkling Model'!D$2:D$38^A9558)</f>
        <v>36.96921705</v>
      </c>
      <c r="C9558" s="8">
        <f t="array" ref="C9558">PRODUCT(1-'Sparkling Model'!D$2:D$38^A9558)</f>
        <v>0.9695539566</v>
      </c>
    </row>
    <row r="9559">
      <c r="A9559" s="6">
        <v>9557.0</v>
      </c>
      <c r="B9559" s="17">
        <f t="array" ref="B9559">SUM(1-'Sparkling Model'!D$2:D$38^A9559)</f>
        <v>36.96923253</v>
      </c>
      <c r="C9559" s="8">
        <f t="array" ref="C9559">PRODUCT(1-'Sparkling Model'!D$2:D$38^A9559)</f>
        <v>0.9695690941</v>
      </c>
    </row>
    <row r="9560">
      <c r="A9560" s="6">
        <v>9558.0</v>
      </c>
      <c r="B9560" s="17">
        <f t="array" ref="B9560">SUM(1-'Sparkling Model'!D$2:D$38^A9560)</f>
        <v>36.969248</v>
      </c>
      <c r="C9560" s="8">
        <f t="array" ref="C9560">PRODUCT(1-'Sparkling Model'!D$2:D$38^A9560)</f>
        <v>0.9695842241</v>
      </c>
    </row>
    <row r="9561">
      <c r="A9561" s="6">
        <v>9559.0</v>
      </c>
      <c r="B9561" s="17">
        <f t="array" ref="B9561">SUM(1-'Sparkling Model'!D$2:D$38^A9561)</f>
        <v>36.96926346</v>
      </c>
      <c r="C9561" s="8">
        <f t="array" ref="C9561">PRODUCT(1-'Sparkling Model'!D$2:D$38^A9561)</f>
        <v>0.9695993466</v>
      </c>
    </row>
    <row r="9562">
      <c r="A9562" s="6">
        <v>9560.0</v>
      </c>
      <c r="B9562" s="17">
        <f t="array" ref="B9562">SUM(1-'Sparkling Model'!D$2:D$38^A9562)</f>
        <v>36.96927892</v>
      </c>
      <c r="C9562" s="8">
        <f t="array" ref="C9562">PRODUCT(1-'Sparkling Model'!D$2:D$38^A9562)</f>
        <v>0.9696144615</v>
      </c>
    </row>
    <row r="9563">
      <c r="A9563" s="6">
        <v>9561.0</v>
      </c>
      <c r="B9563" s="17">
        <f t="array" ref="B9563">SUM(1-'Sparkling Model'!D$2:D$38^A9563)</f>
        <v>36.96929437</v>
      </c>
      <c r="C9563" s="8">
        <f t="array" ref="C9563">PRODUCT(1-'Sparkling Model'!D$2:D$38^A9563)</f>
        <v>0.9696295689</v>
      </c>
    </row>
    <row r="9564">
      <c r="A9564" s="6">
        <v>9562.0</v>
      </c>
      <c r="B9564" s="17">
        <f t="array" ref="B9564">SUM(1-'Sparkling Model'!D$2:D$38^A9564)</f>
        <v>36.96930981</v>
      </c>
      <c r="C9564" s="8">
        <f t="array" ref="C9564">PRODUCT(1-'Sparkling Model'!D$2:D$38^A9564)</f>
        <v>0.9696446688</v>
      </c>
    </row>
    <row r="9565">
      <c r="A9565" s="6">
        <v>9563.0</v>
      </c>
      <c r="B9565" s="17">
        <f t="array" ref="B9565">SUM(1-'Sparkling Model'!D$2:D$38^A9565)</f>
        <v>36.96932524</v>
      </c>
      <c r="C9565" s="8">
        <f t="array" ref="C9565">PRODUCT(1-'Sparkling Model'!D$2:D$38^A9565)</f>
        <v>0.9696597611</v>
      </c>
    </row>
    <row r="9566">
      <c r="A9566" s="6">
        <v>9564.0</v>
      </c>
      <c r="B9566" s="17">
        <f t="array" ref="B9566">SUM(1-'Sparkling Model'!D$2:D$38^A9566)</f>
        <v>36.96934066</v>
      </c>
      <c r="C9566" s="8">
        <f t="array" ref="C9566">PRODUCT(1-'Sparkling Model'!D$2:D$38^A9566)</f>
        <v>0.969674846</v>
      </c>
    </row>
    <row r="9567">
      <c r="A9567" s="6">
        <v>9565.0</v>
      </c>
      <c r="B9567" s="17">
        <f t="array" ref="B9567">SUM(1-'Sparkling Model'!D$2:D$38^A9567)</f>
        <v>36.96935608</v>
      </c>
      <c r="C9567" s="8">
        <f t="array" ref="C9567">PRODUCT(1-'Sparkling Model'!D$2:D$38^A9567)</f>
        <v>0.9696899233</v>
      </c>
    </row>
    <row r="9568">
      <c r="A9568" s="6">
        <v>9566.0</v>
      </c>
      <c r="B9568" s="17">
        <f t="array" ref="B9568">SUM(1-'Sparkling Model'!D$2:D$38^A9568)</f>
        <v>36.96937148</v>
      </c>
      <c r="C9568" s="8">
        <f t="array" ref="C9568">PRODUCT(1-'Sparkling Model'!D$2:D$38^A9568)</f>
        <v>0.9697049932</v>
      </c>
    </row>
    <row r="9569">
      <c r="A9569" s="6">
        <v>9567.0</v>
      </c>
      <c r="B9569" s="17">
        <f t="array" ref="B9569">SUM(1-'Sparkling Model'!D$2:D$38^A9569)</f>
        <v>36.96938688</v>
      </c>
      <c r="C9569" s="8">
        <f t="array" ref="C9569">PRODUCT(1-'Sparkling Model'!D$2:D$38^A9569)</f>
        <v>0.9697200555</v>
      </c>
    </row>
    <row r="9570">
      <c r="A9570" s="6">
        <v>9568.0</v>
      </c>
      <c r="B9570" s="17">
        <f t="array" ref="B9570">SUM(1-'Sparkling Model'!D$2:D$38^A9570)</f>
        <v>36.96940228</v>
      </c>
      <c r="C9570" s="8">
        <f t="array" ref="C9570">PRODUCT(1-'Sparkling Model'!D$2:D$38^A9570)</f>
        <v>0.9697351104</v>
      </c>
    </row>
    <row r="9571">
      <c r="A9571" s="6">
        <v>9569.0</v>
      </c>
      <c r="B9571" s="17">
        <f t="array" ref="B9571">SUM(1-'Sparkling Model'!D$2:D$38^A9571)</f>
        <v>36.96941766</v>
      </c>
      <c r="C9571" s="8">
        <f t="array" ref="C9571">PRODUCT(1-'Sparkling Model'!D$2:D$38^A9571)</f>
        <v>0.9697501577</v>
      </c>
    </row>
    <row r="9572">
      <c r="A9572" s="6">
        <v>9570.0</v>
      </c>
      <c r="B9572" s="17">
        <f t="array" ref="B9572">SUM(1-'Sparkling Model'!D$2:D$38^A9572)</f>
        <v>36.96943304</v>
      </c>
      <c r="C9572" s="8">
        <f t="array" ref="C9572">PRODUCT(1-'Sparkling Model'!D$2:D$38^A9572)</f>
        <v>0.9697651975</v>
      </c>
    </row>
    <row r="9573">
      <c r="A9573" s="6">
        <v>9571.0</v>
      </c>
      <c r="B9573" s="17">
        <f t="array" ref="B9573">SUM(1-'Sparkling Model'!D$2:D$38^A9573)</f>
        <v>36.9694484</v>
      </c>
      <c r="C9573" s="8">
        <f t="array" ref="C9573">PRODUCT(1-'Sparkling Model'!D$2:D$38^A9573)</f>
        <v>0.9697802299</v>
      </c>
    </row>
    <row r="9574">
      <c r="A9574" s="6">
        <v>9572.0</v>
      </c>
      <c r="B9574" s="17">
        <f t="array" ref="B9574">SUM(1-'Sparkling Model'!D$2:D$38^A9574)</f>
        <v>36.96946377</v>
      </c>
      <c r="C9574" s="8">
        <f t="array" ref="C9574">PRODUCT(1-'Sparkling Model'!D$2:D$38^A9574)</f>
        <v>0.9697952548</v>
      </c>
    </row>
    <row r="9575">
      <c r="A9575" s="6">
        <v>9573.0</v>
      </c>
      <c r="B9575" s="17">
        <f t="array" ref="B9575">SUM(1-'Sparkling Model'!D$2:D$38^A9575)</f>
        <v>36.96947912</v>
      </c>
      <c r="C9575" s="8">
        <f t="array" ref="C9575">PRODUCT(1-'Sparkling Model'!D$2:D$38^A9575)</f>
        <v>0.9698102722</v>
      </c>
    </row>
    <row r="9576">
      <c r="A9576" s="6">
        <v>9574.0</v>
      </c>
      <c r="B9576" s="17">
        <f t="array" ref="B9576">SUM(1-'Sparkling Model'!D$2:D$38^A9576)</f>
        <v>36.96949446</v>
      </c>
      <c r="C9576" s="8">
        <f t="array" ref="C9576">PRODUCT(1-'Sparkling Model'!D$2:D$38^A9576)</f>
        <v>0.9698252821</v>
      </c>
    </row>
    <row r="9577">
      <c r="A9577" s="6">
        <v>9575.0</v>
      </c>
      <c r="B9577" s="17">
        <f t="array" ref="B9577">SUM(1-'Sparkling Model'!D$2:D$38^A9577)</f>
        <v>36.9695098</v>
      </c>
      <c r="C9577" s="8">
        <f t="array" ref="C9577">PRODUCT(1-'Sparkling Model'!D$2:D$38^A9577)</f>
        <v>0.9698402846</v>
      </c>
    </row>
    <row r="9578">
      <c r="A9578" s="6">
        <v>9576.0</v>
      </c>
      <c r="B9578" s="17">
        <f t="array" ref="B9578">SUM(1-'Sparkling Model'!D$2:D$38^A9578)</f>
        <v>36.96952513</v>
      </c>
      <c r="C9578" s="8">
        <f t="array" ref="C9578">PRODUCT(1-'Sparkling Model'!D$2:D$38^A9578)</f>
        <v>0.9698552795</v>
      </c>
    </row>
    <row r="9579">
      <c r="A9579" s="6">
        <v>9577.0</v>
      </c>
      <c r="B9579" s="17">
        <f t="array" ref="B9579">SUM(1-'Sparkling Model'!D$2:D$38^A9579)</f>
        <v>36.96954045</v>
      </c>
      <c r="C9579" s="8">
        <f t="array" ref="C9579">PRODUCT(1-'Sparkling Model'!D$2:D$38^A9579)</f>
        <v>0.969870267</v>
      </c>
    </row>
    <row r="9580">
      <c r="A9580" s="6">
        <v>9578.0</v>
      </c>
      <c r="B9580" s="17">
        <f t="array" ref="B9580">SUM(1-'Sparkling Model'!D$2:D$38^A9580)</f>
        <v>36.96955577</v>
      </c>
      <c r="C9580" s="8">
        <f t="array" ref="C9580">PRODUCT(1-'Sparkling Model'!D$2:D$38^A9580)</f>
        <v>0.9698852471</v>
      </c>
    </row>
    <row r="9581">
      <c r="A9581" s="6">
        <v>9579.0</v>
      </c>
      <c r="B9581" s="17">
        <f t="array" ref="B9581">SUM(1-'Sparkling Model'!D$2:D$38^A9581)</f>
        <v>36.96957107</v>
      </c>
      <c r="C9581" s="8">
        <f t="array" ref="C9581">PRODUCT(1-'Sparkling Model'!D$2:D$38^A9581)</f>
        <v>0.9699002197</v>
      </c>
    </row>
    <row r="9582">
      <c r="A9582" s="6">
        <v>9580.0</v>
      </c>
      <c r="B9582" s="17">
        <f t="array" ref="B9582">SUM(1-'Sparkling Model'!D$2:D$38^A9582)</f>
        <v>36.96958637</v>
      </c>
      <c r="C9582" s="8">
        <f t="array" ref="C9582">PRODUCT(1-'Sparkling Model'!D$2:D$38^A9582)</f>
        <v>0.9699151848</v>
      </c>
    </row>
    <row r="9583">
      <c r="A9583" s="6">
        <v>9581.0</v>
      </c>
      <c r="B9583" s="17">
        <f t="array" ref="B9583">SUM(1-'Sparkling Model'!D$2:D$38^A9583)</f>
        <v>36.96960166</v>
      </c>
      <c r="C9583" s="8">
        <f t="array" ref="C9583">PRODUCT(1-'Sparkling Model'!D$2:D$38^A9583)</f>
        <v>0.9699301425</v>
      </c>
    </row>
    <row r="9584">
      <c r="A9584" s="6">
        <v>9582.0</v>
      </c>
      <c r="B9584" s="17">
        <f t="array" ref="B9584">SUM(1-'Sparkling Model'!D$2:D$38^A9584)</f>
        <v>36.96961694</v>
      </c>
      <c r="C9584" s="8">
        <f t="array" ref="C9584">PRODUCT(1-'Sparkling Model'!D$2:D$38^A9584)</f>
        <v>0.9699450928</v>
      </c>
    </row>
    <row r="9585">
      <c r="A9585" s="6">
        <v>9583.0</v>
      </c>
      <c r="B9585" s="17">
        <f t="array" ref="B9585">SUM(1-'Sparkling Model'!D$2:D$38^A9585)</f>
        <v>36.96963222</v>
      </c>
      <c r="C9585" s="8">
        <f t="array" ref="C9585">PRODUCT(1-'Sparkling Model'!D$2:D$38^A9585)</f>
        <v>0.9699600356</v>
      </c>
    </row>
    <row r="9586">
      <c r="A9586" s="6">
        <v>9584.0</v>
      </c>
      <c r="B9586" s="17">
        <f t="array" ref="B9586">SUM(1-'Sparkling Model'!D$2:D$38^A9586)</f>
        <v>36.96964748</v>
      </c>
      <c r="C9586" s="8">
        <f t="array" ref="C9586">PRODUCT(1-'Sparkling Model'!D$2:D$38^A9586)</f>
        <v>0.9699749709</v>
      </c>
    </row>
    <row r="9587">
      <c r="A9587" s="6">
        <v>9585.0</v>
      </c>
      <c r="B9587" s="17">
        <f t="array" ref="B9587">SUM(1-'Sparkling Model'!D$2:D$38^A9587)</f>
        <v>36.96966274</v>
      </c>
      <c r="C9587" s="8">
        <f t="array" ref="C9587">PRODUCT(1-'Sparkling Model'!D$2:D$38^A9587)</f>
        <v>0.9699898988</v>
      </c>
    </row>
    <row r="9588">
      <c r="A9588" s="6">
        <v>9586.0</v>
      </c>
      <c r="B9588" s="17">
        <f t="array" ref="B9588">SUM(1-'Sparkling Model'!D$2:D$38^A9588)</f>
        <v>36.969678</v>
      </c>
      <c r="C9588" s="8">
        <f t="array" ref="C9588">PRODUCT(1-'Sparkling Model'!D$2:D$38^A9588)</f>
        <v>0.9700048193</v>
      </c>
    </row>
    <row r="9589">
      <c r="A9589" s="6">
        <v>9587.0</v>
      </c>
      <c r="B9589" s="17">
        <f t="array" ref="B9589">SUM(1-'Sparkling Model'!D$2:D$38^A9589)</f>
        <v>36.96969324</v>
      </c>
      <c r="C9589" s="8">
        <f t="array" ref="C9589">PRODUCT(1-'Sparkling Model'!D$2:D$38^A9589)</f>
        <v>0.9700197324</v>
      </c>
    </row>
    <row r="9590">
      <c r="A9590" s="6">
        <v>9588.0</v>
      </c>
      <c r="B9590" s="17">
        <f t="array" ref="B9590">SUM(1-'Sparkling Model'!D$2:D$38^A9590)</f>
        <v>36.96970848</v>
      </c>
      <c r="C9590" s="8">
        <f t="array" ref="C9590">PRODUCT(1-'Sparkling Model'!D$2:D$38^A9590)</f>
        <v>0.970034638</v>
      </c>
    </row>
    <row r="9591">
      <c r="A9591" s="6">
        <v>9589.0</v>
      </c>
      <c r="B9591" s="17">
        <f t="array" ref="B9591">SUM(1-'Sparkling Model'!D$2:D$38^A9591)</f>
        <v>36.9697237</v>
      </c>
      <c r="C9591" s="8">
        <f t="array" ref="C9591">PRODUCT(1-'Sparkling Model'!D$2:D$38^A9591)</f>
        <v>0.9700495363</v>
      </c>
    </row>
    <row r="9592">
      <c r="A9592" s="6">
        <v>9590.0</v>
      </c>
      <c r="B9592" s="17">
        <f t="array" ref="B9592">SUM(1-'Sparkling Model'!D$2:D$38^A9592)</f>
        <v>36.96973892</v>
      </c>
      <c r="C9592" s="8">
        <f t="array" ref="C9592">PRODUCT(1-'Sparkling Model'!D$2:D$38^A9592)</f>
        <v>0.9700644271</v>
      </c>
    </row>
    <row r="9593">
      <c r="A9593" s="6">
        <v>9591.0</v>
      </c>
      <c r="B9593" s="17">
        <f t="array" ref="B9593">SUM(1-'Sparkling Model'!D$2:D$38^A9593)</f>
        <v>36.96975414</v>
      </c>
      <c r="C9593" s="8">
        <f t="array" ref="C9593">PRODUCT(1-'Sparkling Model'!D$2:D$38^A9593)</f>
        <v>0.9700793105</v>
      </c>
    </row>
    <row r="9594">
      <c r="A9594" s="6">
        <v>9592.0</v>
      </c>
      <c r="B9594" s="17">
        <f t="array" ref="B9594">SUM(1-'Sparkling Model'!D$2:D$38^A9594)</f>
        <v>36.96976934</v>
      </c>
      <c r="C9594" s="8">
        <f t="array" ref="C9594">PRODUCT(1-'Sparkling Model'!D$2:D$38^A9594)</f>
        <v>0.9700941864</v>
      </c>
    </row>
    <row r="9595">
      <c r="A9595" s="6">
        <v>9593.0</v>
      </c>
      <c r="B9595" s="17">
        <f t="array" ref="B9595">SUM(1-'Sparkling Model'!D$2:D$38^A9595)</f>
        <v>36.96978454</v>
      </c>
      <c r="C9595" s="8">
        <f t="array" ref="C9595">PRODUCT(1-'Sparkling Model'!D$2:D$38^A9595)</f>
        <v>0.970109055</v>
      </c>
    </row>
    <row r="9596">
      <c r="A9596" s="6">
        <v>9594.0</v>
      </c>
      <c r="B9596" s="17">
        <f t="array" ref="B9596">SUM(1-'Sparkling Model'!D$2:D$38^A9596)</f>
        <v>36.96979973</v>
      </c>
      <c r="C9596" s="8">
        <f t="array" ref="C9596">PRODUCT(1-'Sparkling Model'!D$2:D$38^A9596)</f>
        <v>0.9701239162</v>
      </c>
    </row>
    <row r="9597">
      <c r="A9597" s="6">
        <v>9595.0</v>
      </c>
      <c r="B9597" s="17">
        <f t="array" ref="B9597">SUM(1-'Sparkling Model'!D$2:D$38^A9597)</f>
        <v>36.96981491</v>
      </c>
      <c r="C9597" s="8">
        <f t="array" ref="C9597">PRODUCT(1-'Sparkling Model'!D$2:D$38^A9597)</f>
        <v>0.9701387699</v>
      </c>
    </row>
    <row r="9598">
      <c r="A9598" s="6">
        <v>9596.0</v>
      </c>
      <c r="B9598" s="17">
        <f t="array" ref="B9598">SUM(1-'Sparkling Model'!D$2:D$38^A9598)</f>
        <v>36.96983008</v>
      </c>
      <c r="C9598" s="8">
        <f t="array" ref="C9598">PRODUCT(1-'Sparkling Model'!D$2:D$38^A9598)</f>
        <v>0.9701536163</v>
      </c>
    </row>
    <row r="9599">
      <c r="A9599" s="6">
        <v>9597.0</v>
      </c>
      <c r="B9599" s="17">
        <f t="array" ref="B9599">SUM(1-'Sparkling Model'!D$2:D$38^A9599)</f>
        <v>36.96984525</v>
      </c>
      <c r="C9599" s="8">
        <f t="array" ref="C9599">PRODUCT(1-'Sparkling Model'!D$2:D$38^A9599)</f>
        <v>0.9701684553</v>
      </c>
    </row>
    <row r="9600">
      <c r="A9600" s="6">
        <v>9598.0</v>
      </c>
      <c r="B9600" s="17">
        <f t="array" ref="B9600">SUM(1-'Sparkling Model'!D$2:D$38^A9600)</f>
        <v>36.96986041</v>
      </c>
      <c r="C9600" s="8">
        <f t="array" ref="C9600">PRODUCT(1-'Sparkling Model'!D$2:D$38^A9600)</f>
        <v>0.9701832869</v>
      </c>
    </row>
    <row r="9601">
      <c r="A9601" s="6">
        <v>9599.0</v>
      </c>
      <c r="B9601" s="17">
        <f t="array" ref="B9601">SUM(1-'Sparkling Model'!D$2:D$38^A9601)</f>
        <v>36.96987556</v>
      </c>
      <c r="C9601" s="8">
        <f t="array" ref="C9601">PRODUCT(1-'Sparkling Model'!D$2:D$38^A9601)</f>
        <v>0.9701981111</v>
      </c>
    </row>
    <row r="9602">
      <c r="A9602" s="6">
        <v>9600.0</v>
      </c>
      <c r="B9602" s="17">
        <f t="array" ref="B9602">SUM(1-'Sparkling Model'!D$2:D$38^A9602)</f>
        <v>36.9698907</v>
      </c>
      <c r="C9602" s="8">
        <f t="array" ref="C9602">PRODUCT(1-'Sparkling Model'!D$2:D$38^A9602)</f>
        <v>0.9702129279</v>
      </c>
    </row>
    <row r="9603">
      <c r="A9603" s="6">
        <v>9601.0</v>
      </c>
      <c r="B9603" s="17">
        <f t="array" ref="B9603">SUM(1-'Sparkling Model'!D$2:D$38^A9603)</f>
        <v>36.96990584</v>
      </c>
      <c r="C9603" s="8">
        <f t="array" ref="C9603">PRODUCT(1-'Sparkling Model'!D$2:D$38^A9603)</f>
        <v>0.9702277374</v>
      </c>
    </row>
    <row r="9604">
      <c r="A9604" s="6">
        <v>9602.0</v>
      </c>
      <c r="B9604" s="17">
        <f t="array" ref="B9604">SUM(1-'Sparkling Model'!D$2:D$38^A9604)</f>
        <v>36.96992097</v>
      </c>
      <c r="C9604" s="8">
        <f t="array" ref="C9604">PRODUCT(1-'Sparkling Model'!D$2:D$38^A9604)</f>
        <v>0.9702425395</v>
      </c>
    </row>
    <row r="9605">
      <c r="A9605" s="6">
        <v>9603.0</v>
      </c>
      <c r="B9605" s="17">
        <f t="array" ref="B9605">SUM(1-'Sparkling Model'!D$2:D$38^A9605)</f>
        <v>36.96993609</v>
      </c>
      <c r="C9605" s="8">
        <f t="array" ref="C9605">PRODUCT(1-'Sparkling Model'!D$2:D$38^A9605)</f>
        <v>0.9702573342</v>
      </c>
    </row>
    <row r="9606">
      <c r="A9606" s="6">
        <v>9604.0</v>
      </c>
      <c r="B9606" s="17">
        <f t="array" ref="B9606">SUM(1-'Sparkling Model'!D$2:D$38^A9606)</f>
        <v>36.9699512</v>
      </c>
      <c r="C9606" s="8">
        <f t="array" ref="C9606">PRODUCT(1-'Sparkling Model'!D$2:D$38^A9606)</f>
        <v>0.9702721215</v>
      </c>
    </row>
    <row r="9607">
      <c r="A9607" s="6">
        <v>9605.0</v>
      </c>
      <c r="B9607" s="17">
        <f t="array" ref="B9607">SUM(1-'Sparkling Model'!D$2:D$38^A9607)</f>
        <v>36.9699663</v>
      </c>
      <c r="C9607" s="8">
        <f t="array" ref="C9607">PRODUCT(1-'Sparkling Model'!D$2:D$38^A9607)</f>
        <v>0.9702869015</v>
      </c>
    </row>
    <row r="9608">
      <c r="A9608" s="6">
        <v>9606.0</v>
      </c>
      <c r="B9608" s="17">
        <f t="array" ref="B9608">SUM(1-'Sparkling Model'!D$2:D$38^A9608)</f>
        <v>36.9699814</v>
      </c>
      <c r="C9608" s="8">
        <f t="array" ref="C9608">PRODUCT(1-'Sparkling Model'!D$2:D$38^A9608)</f>
        <v>0.9703016741</v>
      </c>
    </row>
    <row r="9609">
      <c r="A9609" s="6">
        <v>9607.0</v>
      </c>
      <c r="B9609" s="17">
        <f t="array" ref="B9609">SUM(1-'Sparkling Model'!D$2:D$38^A9609)</f>
        <v>36.96999649</v>
      </c>
      <c r="C9609" s="8">
        <f t="array" ref="C9609">PRODUCT(1-'Sparkling Model'!D$2:D$38^A9609)</f>
        <v>0.9703164394</v>
      </c>
    </row>
    <row r="9610">
      <c r="A9610" s="6">
        <v>9608.0</v>
      </c>
      <c r="B9610" s="17">
        <f t="array" ref="B9610">SUM(1-'Sparkling Model'!D$2:D$38^A9610)</f>
        <v>36.97001157</v>
      </c>
      <c r="C9610" s="8">
        <f t="array" ref="C9610">PRODUCT(1-'Sparkling Model'!D$2:D$38^A9610)</f>
        <v>0.9703311973</v>
      </c>
    </row>
    <row r="9611">
      <c r="A9611" s="6">
        <v>9609.0</v>
      </c>
      <c r="B9611" s="17">
        <f t="array" ref="B9611">SUM(1-'Sparkling Model'!D$2:D$38^A9611)</f>
        <v>36.97002665</v>
      </c>
      <c r="C9611" s="8">
        <f t="array" ref="C9611">PRODUCT(1-'Sparkling Model'!D$2:D$38^A9611)</f>
        <v>0.9703459479</v>
      </c>
    </row>
    <row r="9612">
      <c r="A9612" s="6">
        <v>9610.0</v>
      </c>
      <c r="B9612" s="17">
        <f t="array" ref="B9612">SUM(1-'Sparkling Model'!D$2:D$38^A9612)</f>
        <v>36.97004171</v>
      </c>
      <c r="C9612" s="8">
        <f t="array" ref="C9612">PRODUCT(1-'Sparkling Model'!D$2:D$38^A9612)</f>
        <v>0.9703606911</v>
      </c>
    </row>
    <row r="9613">
      <c r="A9613" s="6">
        <v>9611.0</v>
      </c>
      <c r="B9613" s="17">
        <f t="array" ref="B9613">SUM(1-'Sparkling Model'!D$2:D$38^A9613)</f>
        <v>36.97005677</v>
      </c>
      <c r="C9613" s="8">
        <f t="array" ref="C9613">PRODUCT(1-'Sparkling Model'!D$2:D$38^A9613)</f>
        <v>0.970375427</v>
      </c>
    </row>
    <row r="9614">
      <c r="A9614" s="6">
        <v>9612.0</v>
      </c>
      <c r="B9614" s="17">
        <f t="array" ref="B9614">SUM(1-'Sparkling Model'!D$2:D$38^A9614)</f>
        <v>36.97007182</v>
      </c>
      <c r="C9614" s="8">
        <f t="array" ref="C9614">PRODUCT(1-'Sparkling Model'!D$2:D$38^A9614)</f>
        <v>0.9703901555</v>
      </c>
    </row>
    <row r="9615">
      <c r="A9615" s="6">
        <v>9613.0</v>
      </c>
      <c r="B9615" s="17">
        <f t="array" ref="B9615">SUM(1-'Sparkling Model'!D$2:D$38^A9615)</f>
        <v>36.97008687</v>
      </c>
      <c r="C9615" s="8">
        <f t="array" ref="C9615">PRODUCT(1-'Sparkling Model'!D$2:D$38^A9615)</f>
        <v>0.9704048768</v>
      </c>
    </row>
    <row r="9616">
      <c r="A9616" s="6">
        <v>9614.0</v>
      </c>
      <c r="B9616" s="17">
        <f t="array" ref="B9616">SUM(1-'Sparkling Model'!D$2:D$38^A9616)</f>
        <v>36.9701019</v>
      </c>
      <c r="C9616" s="8">
        <f t="array" ref="C9616">PRODUCT(1-'Sparkling Model'!D$2:D$38^A9616)</f>
        <v>0.9704195907</v>
      </c>
    </row>
    <row r="9617">
      <c r="A9617" s="6">
        <v>9615.0</v>
      </c>
      <c r="B9617" s="17">
        <f t="array" ref="B9617">SUM(1-'Sparkling Model'!D$2:D$38^A9617)</f>
        <v>36.97011693</v>
      </c>
      <c r="C9617" s="8">
        <f t="array" ref="C9617">PRODUCT(1-'Sparkling Model'!D$2:D$38^A9617)</f>
        <v>0.9704342972</v>
      </c>
    </row>
    <row r="9618">
      <c r="A9618" s="6">
        <v>9616.0</v>
      </c>
      <c r="B9618" s="17">
        <f t="array" ref="B9618">SUM(1-'Sparkling Model'!D$2:D$38^A9618)</f>
        <v>36.97013195</v>
      </c>
      <c r="C9618" s="8">
        <f t="array" ref="C9618">PRODUCT(1-'Sparkling Model'!D$2:D$38^A9618)</f>
        <v>0.9704489965</v>
      </c>
    </row>
    <row r="9619">
      <c r="A9619" s="6">
        <v>9617.0</v>
      </c>
      <c r="B9619" s="17">
        <f t="array" ref="B9619">SUM(1-'Sparkling Model'!D$2:D$38^A9619)</f>
        <v>36.97014696</v>
      </c>
      <c r="C9619" s="8">
        <f t="array" ref="C9619">PRODUCT(1-'Sparkling Model'!D$2:D$38^A9619)</f>
        <v>0.9704636884</v>
      </c>
    </row>
    <row r="9620">
      <c r="A9620" s="6">
        <v>9618.0</v>
      </c>
      <c r="B9620" s="17">
        <f t="array" ref="B9620">SUM(1-'Sparkling Model'!D$2:D$38^A9620)</f>
        <v>36.97016197</v>
      </c>
      <c r="C9620" s="8">
        <f t="array" ref="C9620">PRODUCT(1-'Sparkling Model'!D$2:D$38^A9620)</f>
        <v>0.970478373</v>
      </c>
    </row>
    <row r="9621">
      <c r="A9621" s="6">
        <v>9619.0</v>
      </c>
      <c r="B9621" s="17">
        <f t="array" ref="B9621">SUM(1-'Sparkling Model'!D$2:D$38^A9621)</f>
        <v>36.97017696</v>
      </c>
      <c r="C9621" s="8">
        <f t="array" ref="C9621">PRODUCT(1-'Sparkling Model'!D$2:D$38^A9621)</f>
        <v>0.9704930503</v>
      </c>
    </row>
    <row r="9622">
      <c r="A9622" s="6">
        <v>9620.0</v>
      </c>
      <c r="B9622" s="17">
        <f t="array" ref="B9622">SUM(1-'Sparkling Model'!D$2:D$38^A9622)</f>
        <v>36.97019195</v>
      </c>
      <c r="C9622" s="8">
        <f t="array" ref="C9622">PRODUCT(1-'Sparkling Model'!D$2:D$38^A9622)</f>
        <v>0.9705077203</v>
      </c>
    </row>
    <row r="9623">
      <c r="A9623" s="6">
        <v>9621.0</v>
      </c>
      <c r="B9623" s="17">
        <f t="array" ref="B9623">SUM(1-'Sparkling Model'!D$2:D$38^A9623)</f>
        <v>36.97020694</v>
      </c>
      <c r="C9623" s="8">
        <f t="array" ref="C9623">PRODUCT(1-'Sparkling Model'!D$2:D$38^A9623)</f>
        <v>0.970522383</v>
      </c>
    </row>
    <row r="9624">
      <c r="A9624" s="6">
        <v>9622.0</v>
      </c>
      <c r="B9624" s="17">
        <f t="array" ref="B9624">SUM(1-'Sparkling Model'!D$2:D$38^A9624)</f>
        <v>36.97022191</v>
      </c>
      <c r="C9624" s="8">
        <f t="array" ref="C9624">PRODUCT(1-'Sparkling Model'!D$2:D$38^A9624)</f>
        <v>0.9705370383</v>
      </c>
    </row>
    <row r="9625">
      <c r="A9625" s="6">
        <v>9623.0</v>
      </c>
      <c r="B9625" s="17">
        <f t="array" ref="B9625">SUM(1-'Sparkling Model'!D$2:D$38^A9625)</f>
        <v>36.97023688</v>
      </c>
      <c r="C9625" s="8">
        <f t="array" ref="C9625">PRODUCT(1-'Sparkling Model'!D$2:D$38^A9625)</f>
        <v>0.9705516864</v>
      </c>
    </row>
    <row r="9626">
      <c r="A9626" s="6">
        <v>9624.0</v>
      </c>
      <c r="B9626" s="17">
        <f t="array" ref="B9626">SUM(1-'Sparkling Model'!D$2:D$38^A9626)</f>
        <v>36.97025184</v>
      </c>
      <c r="C9626" s="8">
        <f t="array" ref="C9626">PRODUCT(1-'Sparkling Model'!D$2:D$38^A9626)</f>
        <v>0.9705663272</v>
      </c>
    </row>
    <row r="9627">
      <c r="A9627" s="6">
        <v>9625.0</v>
      </c>
      <c r="B9627" s="17">
        <f t="array" ref="B9627">SUM(1-'Sparkling Model'!D$2:D$38^A9627)</f>
        <v>36.97026679</v>
      </c>
      <c r="C9627" s="8">
        <f t="array" ref="C9627">PRODUCT(1-'Sparkling Model'!D$2:D$38^A9627)</f>
        <v>0.9705809607</v>
      </c>
    </row>
    <row r="9628">
      <c r="A9628" s="6">
        <v>9626.0</v>
      </c>
      <c r="B9628" s="17">
        <f t="array" ref="B9628">SUM(1-'Sparkling Model'!D$2:D$38^A9628)</f>
        <v>36.97028173</v>
      </c>
      <c r="C9628" s="8">
        <f t="array" ref="C9628">PRODUCT(1-'Sparkling Model'!D$2:D$38^A9628)</f>
        <v>0.9705955869</v>
      </c>
    </row>
    <row r="9629">
      <c r="A9629" s="6">
        <v>9627.0</v>
      </c>
      <c r="B9629" s="17">
        <f t="array" ref="B9629">SUM(1-'Sparkling Model'!D$2:D$38^A9629)</f>
        <v>36.97029667</v>
      </c>
      <c r="C9629" s="8">
        <f t="array" ref="C9629">PRODUCT(1-'Sparkling Model'!D$2:D$38^A9629)</f>
        <v>0.9706102059</v>
      </c>
    </row>
    <row r="9630">
      <c r="A9630" s="6">
        <v>9628.0</v>
      </c>
      <c r="B9630" s="17">
        <f t="array" ref="B9630">SUM(1-'Sparkling Model'!D$2:D$38^A9630)</f>
        <v>36.9703116</v>
      </c>
      <c r="C9630" s="8">
        <f t="array" ref="C9630">PRODUCT(1-'Sparkling Model'!D$2:D$38^A9630)</f>
        <v>0.9706248175</v>
      </c>
    </row>
    <row r="9631">
      <c r="A9631" s="6">
        <v>9629.0</v>
      </c>
      <c r="B9631" s="17">
        <f t="array" ref="B9631">SUM(1-'Sparkling Model'!D$2:D$38^A9631)</f>
        <v>36.97032652</v>
      </c>
      <c r="C9631" s="8">
        <f t="array" ref="C9631">PRODUCT(1-'Sparkling Model'!D$2:D$38^A9631)</f>
        <v>0.9706394219</v>
      </c>
    </row>
    <row r="9632">
      <c r="A9632" s="6">
        <v>9630.0</v>
      </c>
      <c r="B9632" s="17">
        <f t="array" ref="B9632">SUM(1-'Sparkling Model'!D$2:D$38^A9632)</f>
        <v>36.97034143</v>
      </c>
      <c r="C9632" s="8">
        <f t="array" ref="C9632">PRODUCT(1-'Sparkling Model'!D$2:D$38^A9632)</f>
        <v>0.970654019</v>
      </c>
    </row>
    <row r="9633">
      <c r="A9633" s="6">
        <v>9631.0</v>
      </c>
      <c r="B9633" s="17">
        <f t="array" ref="B9633">SUM(1-'Sparkling Model'!D$2:D$38^A9633)</f>
        <v>36.97035634</v>
      </c>
      <c r="C9633" s="8">
        <f t="array" ref="C9633">PRODUCT(1-'Sparkling Model'!D$2:D$38^A9633)</f>
        <v>0.9706686089</v>
      </c>
    </row>
    <row r="9634">
      <c r="A9634" s="6">
        <v>9632.0</v>
      </c>
      <c r="B9634" s="17">
        <f t="array" ref="B9634">SUM(1-'Sparkling Model'!D$2:D$38^A9634)</f>
        <v>36.97037124</v>
      </c>
      <c r="C9634" s="8">
        <f t="array" ref="C9634">PRODUCT(1-'Sparkling Model'!D$2:D$38^A9634)</f>
        <v>0.9706831915</v>
      </c>
    </row>
    <row r="9635">
      <c r="A9635" s="6">
        <v>9633.0</v>
      </c>
      <c r="B9635" s="17">
        <f t="array" ref="B9635">SUM(1-'Sparkling Model'!D$2:D$38^A9635)</f>
        <v>36.97038613</v>
      </c>
      <c r="C9635" s="8">
        <f t="array" ref="C9635">PRODUCT(1-'Sparkling Model'!D$2:D$38^A9635)</f>
        <v>0.9706977668</v>
      </c>
    </row>
    <row r="9636">
      <c r="A9636" s="6">
        <v>9634.0</v>
      </c>
      <c r="B9636" s="17">
        <f t="array" ref="B9636">SUM(1-'Sparkling Model'!D$2:D$38^A9636)</f>
        <v>36.97040101</v>
      </c>
      <c r="C9636" s="8">
        <f t="array" ref="C9636">PRODUCT(1-'Sparkling Model'!D$2:D$38^A9636)</f>
        <v>0.9707123348</v>
      </c>
    </row>
    <row r="9637">
      <c r="A9637" s="6">
        <v>9635.0</v>
      </c>
      <c r="B9637" s="17">
        <f t="array" ref="B9637">SUM(1-'Sparkling Model'!D$2:D$38^A9637)</f>
        <v>36.97041589</v>
      </c>
      <c r="C9637" s="8">
        <f t="array" ref="C9637">PRODUCT(1-'Sparkling Model'!D$2:D$38^A9637)</f>
        <v>0.9707268957</v>
      </c>
    </row>
    <row r="9638">
      <c r="A9638" s="6">
        <v>9636.0</v>
      </c>
      <c r="B9638" s="17">
        <f t="array" ref="B9638">SUM(1-'Sparkling Model'!D$2:D$38^A9638)</f>
        <v>36.97043076</v>
      </c>
      <c r="C9638" s="8">
        <f t="array" ref="C9638">PRODUCT(1-'Sparkling Model'!D$2:D$38^A9638)</f>
        <v>0.9707414492</v>
      </c>
    </row>
    <row r="9639">
      <c r="A9639" s="6">
        <v>9637.0</v>
      </c>
      <c r="B9639" s="17">
        <f t="array" ref="B9639">SUM(1-'Sparkling Model'!D$2:D$38^A9639)</f>
        <v>36.97044562</v>
      </c>
      <c r="C9639" s="8">
        <f t="array" ref="C9639">PRODUCT(1-'Sparkling Model'!D$2:D$38^A9639)</f>
        <v>0.9707559955</v>
      </c>
    </row>
    <row r="9640">
      <c r="A9640" s="6">
        <v>9638.0</v>
      </c>
      <c r="B9640" s="17">
        <f t="array" ref="B9640">SUM(1-'Sparkling Model'!D$2:D$38^A9640)</f>
        <v>36.97046047</v>
      </c>
      <c r="C9640" s="8">
        <f t="array" ref="C9640">PRODUCT(1-'Sparkling Model'!D$2:D$38^A9640)</f>
        <v>0.9707705346</v>
      </c>
    </row>
    <row r="9641">
      <c r="A9641" s="6">
        <v>9639.0</v>
      </c>
      <c r="B9641" s="17">
        <f t="array" ref="B9641">SUM(1-'Sparkling Model'!D$2:D$38^A9641)</f>
        <v>36.97047532</v>
      </c>
      <c r="C9641" s="8">
        <f t="array" ref="C9641">PRODUCT(1-'Sparkling Model'!D$2:D$38^A9641)</f>
        <v>0.9707850664</v>
      </c>
    </row>
    <row r="9642">
      <c r="A9642" s="6">
        <v>9640.0</v>
      </c>
      <c r="B9642" s="17">
        <f t="array" ref="B9642">SUM(1-'Sparkling Model'!D$2:D$38^A9642)</f>
        <v>36.97049015</v>
      </c>
      <c r="C9642" s="8">
        <f t="array" ref="C9642">PRODUCT(1-'Sparkling Model'!D$2:D$38^A9642)</f>
        <v>0.970799591</v>
      </c>
    </row>
    <row r="9643">
      <c r="A9643" s="6">
        <v>9641.0</v>
      </c>
      <c r="B9643" s="17">
        <f t="array" ref="B9643">SUM(1-'Sparkling Model'!D$2:D$38^A9643)</f>
        <v>36.97050498</v>
      </c>
      <c r="C9643" s="8">
        <f t="array" ref="C9643">PRODUCT(1-'Sparkling Model'!D$2:D$38^A9643)</f>
        <v>0.9708141084</v>
      </c>
    </row>
    <row r="9644">
      <c r="A9644" s="6">
        <v>9642.0</v>
      </c>
      <c r="B9644" s="17">
        <f t="array" ref="B9644">SUM(1-'Sparkling Model'!D$2:D$38^A9644)</f>
        <v>36.97051981</v>
      </c>
      <c r="C9644" s="8">
        <f t="array" ref="C9644">PRODUCT(1-'Sparkling Model'!D$2:D$38^A9644)</f>
        <v>0.9708286185</v>
      </c>
    </row>
    <row r="9645">
      <c r="A9645" s="6">
        <v>9643.0</v>
      </c>
      <c r="B9645" s="17">
        <f t="array" ref="B9645">SUM(1-'Sparkling Model'!D$2:D$38^A9645)</f>
        <v>36.97053462</v>
      </c>
      <c r="C9645" s="8">
        <f t="array" ref="C9645">PRODUCT(1-'Sparkling Model'!D$2:D$38^A9645)</f>
        <v>0.9708431214</v>
      </c>
    </row>
    <row r="9646">
      <c r="A9646" s="6">
        <v>9644.0</v>
      </c>
      <c r="B9646" s="17">
        <f t="array" ref="B9646">SUM(1-'Sparkling Model'!D$2:D$38^A9646)</f>
        <v>36.97054943</v>
      </c>
      <c r="C9646" s="8">
        <f t="array" ref="C9646">PRODUCT(1-'Sparkling Model'!D$2:D$38^A9646)</f>
        <v>0.9708576171</v>
      </c>
    </row>
    <row r="9647">
      <c r="A9647" s="6">
        <v>9645.0</v>
      </c>
      <c r="B9647" s="17">
        <f t="array" ref="B9647">SUM(1-'Sparkling Model'!D$2:D$38^A9647)</f>
        <v>36.97056423</v>
      </c>
      <c r="C9647" s="8">
        <f t="array" ref="C9647">PRODUCT(1-'Sparkling Model'!D$2:D$38^A9647)</f>
        <v>0.9708721056</v>
      </c>
    </row>
    <row r="9648">
      <c r="A9648" s="6">
        <v>9646.0</v>
      </c>
      <c r="B9648" s="17">
        <f t="array" ref="B9648">SUM(1-'Sparkling Model'!D$2:D$38^A9648)</f>
        <v>36.97057902</v>
      </c>
      <c r="C9648" s="8">
        <f t="array" ref="C9648">PRODUCT(1-'Sparkling Model'!D$2:D$38^A9648)</f>
        <v>0.9708865869</v>
      </c>
    </row>
    <row r="9649">
      <c r="A9649" s="6">
        <v>9647.0</v>
      </c>
      <c r="B9649" s="17">
        <f t="array" ref="B9649">SUM(1-'Sparkling Model'!D$2:D$38^A9649)</f>
        <v>36.97059381</v>
      </c>
      <c r="C9649" s="8">
        <f t="array" ref="C9649">PRODUCT(1-'Sparkling Model'!D$2:D$38^A9649)</f>
        <v>0.9709010609</v>
      </c>
    </row>
    <row r="9650">
      <c r="A9650" s="6">
        <v>9648.0</v>
      </c>
      <c r="B9650" s="17">
        <f t="array" ref="B9650">SUM(1-'Sparkling Model'!D$2:D$38^A9650)</f>
        <v>36.97060859</v>
      </c>
      <c r="C9650" s="8">
        <f t="array" ref="C9650">PRODUCT(1-'Sparkling Model'!D$2:D$38^A9650)</f>
        <v>0.9709155278</v>
      </c>
    </row>
    <row r="9651">
      <c r="A9651" s="6">
        <v>9649.0</v>
      </c>
      <c r="B9651" s="17">
        <f t="array" ref="B9651">SUM(1-'Sparkling Model'!D$2:D$38^A9651)</f>
        <v>36.97062336</v>
      </c>
      <c r="C9651" s="8">
        <f t="array" ref="C9651">PRODUCT(1-'Sparkling Model'!D$2:D$38^A9651)</f>
        <v>0.9709299874</v>
      </c>
    </row>
    <row r="9652">
      <c r="A9652" s="6">
        <v>9650.0</v>
      </c>
      <c r="B9652" s="17">
        <f t="array" ref="B9652">SUM(1-'Sparkling Model'!D$2:D$38^A9652)</f>
        <v>36.97063812</v>
      </c>
      <c r="C9652" s="8">
        <f t="array" ref="C9652">PRODUCT(1-'Sparkling Model'!D$2:D$38^A9652)</f>
        <v>0.9709444399</v>
      </c>
    </row>
    <row r="9653">
      <c r="A9653" s="6">
        <v>9651.0</v>
      </c>
      <c r="B9653" s="17">
        <f t="array" ref="B9653">SUM(1-'Sparkling Model'!D$2:D$38^A9653)</f>
        <v>36.97065287</v>
      </c>
      <c r="C9653" s="8">
        <f t="array" ref="C9653">PRODUCT(1-'Sparkling Model'!D$2:D$38^A9653)</f>
        <v>0.9709588851</v>
      </c>
    </row>
    <row r="9654">
      <c r="A9654" s="6">
        <v>9652.0</v>
      </c>
      <c r="B9654" s="17">
        <f t="array" ref="B9654">SUM(1-'Sparkling Model'!D$2:D$38^A9654)</f>
        <v>36.97066762</v>
      </c>
      <c r="C9654" s="8">
        <f t="array" ref="C9654">PRODUCT(1-'Sparkling Model'!D$2:D$38^A9654)</f>
        <v>0.9709733232</v>
      </c>
    </row>
    <row r="9655">
      <c r="A9655" s="6">
        <v>9653.0</v>
      </c>
      <c r="B9655" s="17">
        <f t="array" ref="B9655">SUM(1-'Sparkling Model'!D$2:D$38^A9655)</f>
        <v>36.97068236</v>
      </c>
      <c r="C9655" s="8">
        <f t="array" ref="C9655">PRODUCT(1-'Sparkling Model'!D$2:D$38^A9655)</f>
        <v>0.970987754</v>
      </c>
    </row>
    <row r="9656">
      <c r="A9656" s="6">
        <v>9654.0</v>
      </c>
      <c r="B9656" s="17">
        <f t="array" ref="B9656">SUM(1-'Sparkling Model'!D$2:D$38^A9656)</f>
        <v>36.97069709</v>
      </c>
      <c r="C9656" s="8">
        <f t="array" ref="C9656">PRODUCT(1-'Sparkling Model'!D$2:D$38^A9656)</f>
        <v>0.9710021777</v>
      </c>
    </row>
    <row r="9657">
      <c r="A9657" s="6">
        <v>9655.0</v>
      </c>
      <c r="B9657" s="17">
        <f t="array" ref="B9657">SUM(1-'Sparkling Model'!D$2:D$38^A9657)</f>
        <v>36.97071182</v>
      </c>
      <c r="C9657" s="8">
        <f t="array" ref="C9657">PRODUCT(1-'Sparkling Model'!D$2:D$38^A9657)</f>
        <v>0.9710165942</v>
      </c>
    </row>
    <row r="9658">
      <c r="A9658" s="6">
        <v>9656.0</v>
      </c>
      <c r="B9658" s="17">
        <f t="array" ref="B9658">SUM(1-'Sparkling Model'!D$2:D$38^A9658)</f>
        <v>36.97072654</v>
      </c>
      <c r="C9658" s="8">
        <f t="array" ref="C9658">PRODUCT(1-'Sparkling Model'!D$2:D$38^A9658)</f>
        <v>0.9710310035</v>
      </c>
    </row>
    <row r="9659">
      <c r="A9659" s="6">
        <v>9657.0</v>
      </c>
      <c r="B9659" s="17">
        <f t="array" ref="B9659">SUM(1-'Sparkling Model'!D$2:D$38^A9659)</f>
        <v>36.97074125</v>
      </c>
      <c r="C9659" s="8">
        <f t="array" ref="C9659">PRODUCT(1-'Sparkling Model'!D$2:D$38^A9659)</f>
        <v>0.9710454057</v>
      </c>
    </row>
    <row r="9660">
      <c r="A9660" s="6">
        <v>9658.0</v>
      </c>
      <c r="B9660" s="17">
        <f t="array" ref="B9660">SUM(1-'Sparkling Model'!D$2:D$38^A9660)</f>
        <v>36.97075595</v>
      </c>
      <c r="C9660" s="8">
        <f t="array" ref="C9660">PRODUCT(1-'Sparkling Model'!D$2:D$38^A9660)</f>
        <v>0.9710598007</v>
      </c>
    </row>
    <row r="9661">
      <c r="A9661" s="6">
        <v>9659.0</v>
      </c>
      <c r="B9661" s="17">
        <f t="array" ref="B9661">SUM(1-'Sparkling Model'!D$2:D$38^A9661)</f>
        <v>36.97077064</v>
      </c>
      <c r="C9661" s="8">
        <f t="array" ref="C9661">PRODUCT(1-'Sparkling Model'!D$2:D$38^A9661)</f>
        <v>0.9710741885</v>
      </c>
    </row>
    <row r="9662">
      <c r="A9662" s="6">
        <v>9660.0</v>
      </c>
      <c r="B9662" s="17">
        <f t="array" ref="B9662">SUM(1-'Sparkling Model'!D$2:D$38^A9662)</f>
        <v>36.97078533</v>
      </c>
      <c r="C9662" s="8">
        <f t="array" ref="C9662">PRODUCT(1-'Sparkling Model'!D$2:D$38^A9662)</f>
        <v>0.9710885691</v>
      </c>
    </row>
    <row r="9663">
      <c r="A9663" s="6">
        <v>9661.0</v>
      </c>
      <c r="B9663" s="17">
        <f t="array" ref="B9663">SUM(1-'Sparkling Model'!D$2:D$38^A9663)</f>
        <v>36.97080001</v>
      </c>
      <c r="C9663" s="8">
        <f t="array" ref="C9663">PRODUCT(1-'Sparkling Model'!D$2:D$38^A9663)</f>
        <v>0.9711029426</v>
      </c>
    </row>
    <row r="9664">
      <c r="A9664" s="6">
        <v>9662.0</v>
      </c>
      <c r="B9664" s="17">
        <f t="array" ref="B9664">SUM(1-'Sparkling Model'!D$2:D$38^A9664)</f>
        <v>36.97081469</v>
      </c>
      <c r="C9664" s="8">
        <f t="array" ref="C9664">PRODUCT(1-'Sparkling Model'!D$2:D$38^A9664)</f>
        <v>0.9711173089</v>
      </c>
    </row>
    <row r="9665">
      <c r="A9665" s="6">
        <v>9663.0</v>
      </c>
      <c r="B9665" s="17">
        <f t="array" ref="B9665">SUM(1-'Sparkling Model'!D$2:D$38^A9665)</f>
        <v>36.97082935</v>
      </c>
      <c r="C9665" s="8">
        <f t="array" ref="C9665">PRODUCT(1-'Sparkling Model'!D$2:D$38^A9665)</f>
        <v>0.9711316681</v>
      </c>
    </row>
    <row r="9666">
      <c r="A9666" s="6">
        <v>9664.0</v>
      </c>
      <c r="B9666" s="17">
        <f t="array" ref="B9666">SUM(1-'Sparkling Model'!D$2:D$38^A9666)</f>
        <v>36.97084401</v>
      </c>
      <c r="C9666" s="8">
        <f t="array" ref="C9666">PRODUCT(1-'Sparkling Model'!D$2:D$38^A9666)</f>
        <v>0.9711460202</v>
      </c>
    </row>
    <row r="9667">
      <c r="A9667" s="6">
        <v>9665.0</v>
      </c>
      <c r="B9667" s="17">
        <f t="array" ref="B9667">SUM(1-'Sparkling Model'!D$2:D$38^A9667)</f>
        <v>36.97085866</v>
      </c>
      <c r="C9667" s="8">
        <f t="array" ref="C9667">PRODUCT(1-'Sparkling Model'!D$2:D$38^A9667)</f>
        <v>0.971160365</v>
      </c>
    </row>
    <row r="9668">
      <c r="A9668" s="6">
        <v>9666.0</v>
      </c>
      <c r="B9668" s="17">
        <f t="array" ref="B9668">SUM(1-'Sparkling Model'!D$2:D$38^A9668)</f>
        <v>36.9708733</v>
      </c>
      <c r="C9668" s="8">
        <f t="array" ref="C9668">PRODUCT(1-'Sparkling Model'!D$2:D$38^A9668)</f>
        <v>0.9711747028</v>
      </c>
    </row>
    <row r="9669">
      <c r="A9669" s="6">
        <v>9667.0</v>
      </c>
      <c r="B9669" s="17">
        <f t="array" ref="B9669">SUM(1-'Sparkling Model'!D$2:D$38^A9669)</f>
        <v>36.97088794</v>
      </c>
      <c r="C9669" s="8">
        <f t="array" ref="C9669">PRODUCT(1-'Sparkling Model'!D$2:D$38^A9669)</f>
        <v>0.9711890334</v>
      </c>
    </row>
    <row r="9670">
      <c r="A9670" s="6">
        <v>9668.0</v>
      </c>
      <c r="B9670" s="17">
        <f t="array" ref="B9670">SUM(1-'Sparkling Model'!D$2:D$38^A9670)</f>
        <v>36.97090257</v>
      </c>
      <c r="C9670" s="8">
        <f t="array" ref="C9670">PRODUCT(1-'Sparkling Model'!D$2:D$38^A9670)</f>
        <v>0.9712033568</v>
      </c>
    </row>
    <row r="9671">
      <c r="A9671" s="6">
        <v>9669.0</v>
      </c>
      <c r="B9671" s="17">
        <f t="array" ref="B9671">SUM(1-'Sparkling Model'!D$2:D$38^A9671)</f>
        <v>36.97091719</v>
      </c>
      <c r="C9671" s="8">
        <f t="array" ref="C9671">PRODUCT(1-'Sparkling Model'!D$2:D$38^A9671)</f>
        <v>0.9712176732</v>
      </c>
    </row>
    <row r="9672">
      <c r="A9672" s="6">
        <v>9670.0</v>
      </c>
      <c r="B9672" s="17">
        <f t="array" ref="B9672">SUM(1-'Sparkling Model'!D$2:D$38^A9672)</f>
        <v>36.9709318</v>
      </c>
      <c r="C9672" s="8">
        <f t="array" ref="C9672">PRODUCT(1-'Sparkling Model'!D$2:D$38^A9672)</f>
        <v>0.9712319824</v>
      </c>
    </row>
    <row r="9673">
      <c r="A9673" s="6">
        <v>9671.0</v>
      </c>
      <c r="B9673" s="17">
        <f t="array" ref="B9673">SUM(1-'Sparkling Model'!D$2:D$38^A9673)</f>
        <v>36.9709464</v>
      </c>
      <c r="C9673" s="8">
        <f t="array" ref="C9673">PRODUCT(1-'Sparkling Model'!D$2:D$38^A9673)</f>
        <v>0.9712462845</v>
      </c>
    </row>
    <row r="9674">
      <c r="A9674" s="6">
        <v>9672.0</v>
      </c>
      <c r="B9674" s="17">
        <f t="array" ref="B9674">SUM(1-'Sparkling Model'!D$2:D$38^A9674)</f>
        <v>36.970961</v>
      </c>
      <c r="C9674" s="8">
        <f t="array" ref="C9674">PRODUCT(1-'Sparkling Model'!D$2:D$38^A9674)</f>
        <v>0.9712605794</v>
      </c>
    </row>
    <row r="9675">
      <c r="A9675" s="6">
        <v>9673.0</v>
      </c>
      <c r="B9675" s="17">
        <f t="array" ref="B9675">SUM(1-'Sparkling Model'!D$2:D$38^A9675)</f>
        <v>36.97097559</v>
      </c>
      <c r="C9675" s="8">
        <f t="array" ref="C9675">PRODUCT(1-'Sparkling Model'!D$2:D$38^A9675)</f>
        <v>0.9712748673</v>
      </c>
    </row>
    <row r="9676">
      <c r="A9676" s="6">
        <v>9674.0</v>
      </c>
      <c r="B9676" s="17">
        <f t="array" ref="B9676">SUM(1-'Sparkling Model'!D$2:D$38^A9676)</f>
        <v>36.97099018</v>
      </c>
      <c r="C9676" s="8">
        <f t="array" ref="C9676">PRODUCT(1-'Sparkling Model'!D$2:D$38^A9676)</f>
        <v>0.971289148</v>
      </c>
    </row>
    <row r="9677">
      <c r="A9677" s="6">
        <v>9675.0</v>
      </c>
      <c r="B9677" s="17">
        <f t="array" ref="B9677">SUM(1-'Sparkling Model'!D$2:D$38^A9677)</f>
        <v>36.97100475</v>
      </c>
      <c r="C9677" s="8">
        <f t="array" ref="C9677">PRODUCT(1-'Sparkling Model'!D$2:D$38^A9677)</f>
        <v>0.9713034216</v>
      </c>
    </row>
    <row r="9678">
      <c r="A9678" s="6">
        <v>9676.0</v>
      </c>
      <c r="B9678" s="17">
        <f t="array" ref="B9678">SUM(1-'Sparkling Model'!D$2:D$38^A9678)</f>
        <v>36.97101932</v>
      </c>
      <c r="C9678" s="8">
        <f t="array" ref="C9678">PRODUCT(1-'Sparkling Model'!D$2:D$38^A9678)</f>
        <v>0.9713176881</v>
      </c>
    </row>
    <row r="9679">
      <c r="A9679" s="6">
        <v>9677.0</v>
      </c>
      <c r="B9679" s="17">
        <f t="array" ref="B9679">SUM(1-'Sparkling Model'!D$2:D$38^A9679)</f>
        <v>36.97103388</v>
      </c>
      <c r="C9679" s="8">
        <f t="array" ref="C9679">PRODUCT(1-'Sparkling Model'!D$2:D$38^A9679)</f>
        <v>0.9713319475</v>
      </c>
    </row>
    <row r="9680">
      <c r="A9680" s="6">
        <v>9678.0</v>
      </c>
      <c r="B9680" s="17">
        <f t="array" ref="B9680">SUM(1-'Sparkling Model'!D$2:D$38^A9680)</f>
        <v>36.97104844</v>
      </c>
      <c r="C9680" s="8">
        <f t="array" ref="C9680">PRODUCT(1-'Sparkling Model'!D$2:D$38^A9680)</f>
        <v>0.9713461999</v>
      </c>
    </row>
    <row r="9681">
      <c r="A9681" s="6">
        <v>9679.0</v>
      </c>
      <c r="B9681" s="17">
        <f t="array" ref="B9681">SUM(1-'Sparkling Model'!D$2:D$38^A9681)</f>
        <v>36.97106298</v>
      </c>
      <c r="C9681" s="8">
        <f t="array" ref="C9681">PRODUCT(1-'Sparkling Model'!D$2:D$38^A9681)</f>
        <v>0.9713604451</v>
      </c>
    </row>
    <row r="9682">
      <c r="A9682" s="6">
        <v>9680.0</v>
      </c>
      <c r="B9682" s="17">
        <f t="array" ref="B9682">SUM(1-'Sparkling Model'!D$2:D$38^A9682)</f>
        <v>36.97107752</v>
      </c>
      <c r="C9682" s="8">
        <f t="array" ref="C9682">PRODUCT(1-'Sparkling Model'!D$2:D$38^A9682)</f>
        <v>0.9713746832</v>
      </c>
    </row>
    <row r="9683">
      <c r="A9683" s="6">
        <v>9681.0</v>
      </c>
      <c r="B9683" s="17">
        <f t="array" ref="B9683">SUM(1-'Sparkling Model'!D$2:D$38^A9683)</f>
        <v>36.97109205</v>
      </c>
      <c r="C9683" s="8">
        <f t="array" ref="C9683">PRODUCT(1-'Sparkling Model'!D$2:D$38^A9683)</f>
        <v>0.9713889142</v>
      </c>
    </row>
    <row r="9684">
      <c r="A9684" s="6">
        <v>9682.0</v>
      </c>
      <c r="B9684" s="17">
        <f t="array" ref="B9684">SUM(1-'Sparkling Model'!D$2:D$38^A9684)</f>
        <v>36.97110658</v>
      </c>
      <c r="C9684" s="8">
        <f t="array" ref="C9684">PRODUCT(1-'Sparkling Model'!D$2:D$38^A9684)</f>
        <v>0.9714031382</v>
      </c>
    </row>
    <row r="9685">
      <c r="A9685" s="6">
        <v>9683.0</v>
      </c>
      <c r="B9685" s="17">
        <f t="array" ref="B9685">SUM(1-'Sparkling Model'!D$2:D$38^A9685)</f>
        <v>36.97112109</v>
      </c>
      <c r="C9685" s="8">
        <f t="array" ref="C9685">PRODUCT(1-'Sparkling Model'!D$2:D$38^A9685)</f>
        <v>0.971417355</v>
      </c>
    </row>
    <row r="9686">
      <c r="A9686" s="6">
        <v>9684.0</v>
      </c>
      <c r="B9686" s="17">
        <f t="array" ref="B9686">SUM(1-'Sparkling Model'!D$2:D$38^A9686)</f>
        <v>36.9711356</v>
      </c>
      <c r="C9686" s="8">
        <f t="array" ref="C9686">PRODUCT(1-'Sparkling Model'!D$2:D$38^A9686)</f>
        <v>0.9714315648</v>
      </c>
    </row>
    <row r="9687">
      <c r="A9687" s="6">
        <v>9685.0</v>
      </c>
      <c r="B9687" s="17">
        <f t="array" ref="B9687">SUM(1-'Sparkling Model'!D$2:D$38^A9687)</f>
        <v>36.97115011</v>
      </c>
      <c r="C9687" s="8">
        <f t="array" ref="C9687">PRODUCT(1-'Sparkling Model'!D$2:D$38^A9687)</f>
        <v>0.9714457675</v>
      </c>
    </row>
    <row r="9688">
      <c r="A9688" s="6">
        <v>9686.0</v>
      </c>
      <c r="B9688" s="17">
        <f t="array" ref="B9688">SUM(1-'Sparkling Model'!D$2:D$38^A9688)</f>
        <v>36.9711646</v>
      </c>
      <c r="C9688" s="8">
        <f t="array" ref="C9688">PRODUCT(1-'Sparkling Model'!D$2:D$38^A9688)</f>
        <v>0.9714599632</v>
      </c>
    </row>
    <row r="9689">
      <c r="A9689" s="6">
        <v>9687.0</v>
      </c>
      <c r="B9689" s="17">
        <f t="array" ref="B9689">SUM(1-'Sparkling Model'!D$2:D$38^A9689)</f>
        <v>36.97117909</v>
      </c>
      <c r="C9689" s="8">
        <f t="array" ref="C9689">PRODUCT(1-'Sparkling Model'!D$2:D$38^A9689)</f>
        <v>0.9714741517</v>
      </c>
    </row>
    <row r="9690">
      <c r="A9690" s="6">
        <v>9688.0</v>
      </c>
      <c r="B9690" s="17">
        <f t="array" ref="B9690">SUM(1-'Sparkling Model'!D$2:D$38^A9690)</f>
        <v>36.97119357</v>
      </c>
      <c r="C9690" s="8">
        <f t="array" ref="C9690">PRODUCT(1-'Sparkling Model'!D$2:D$38^A9690)</f>
        <v>0.9714883332</v>
      </c>
    </row>
    <row r="9691">
      <c r="A9691" s="6">
        <v>9689.0</v>
      </c>
      <c r="B9691" s="17">
        <f t="array" ref="B9691">SUM(1-'Sparkling Model'!D$2:D$38^A9691)</f>
        <v>36.97120804</v>
      </c>
      <c r="C9691" s="8">
        <f t="array" ref="C9691">PRODUCT(1-'Sparkling Model'!D$2:D$38^A9691)</f>
        <v>0.9715025077</v>
      </c>
    </row>
    <row r="9692">
      <c r="A9692" s="6">
        <v>9690.0</v>
      </c>
      <c r="B9692" s="17">
        <f t="array" ref="B9692">SUM(1-'Sparkling Model'!D$2:D$38^A9692)</f>
        <v>36.97122251</v>
      </c>
      <c r="C9692" s="8">
        <f t="array" ref="C9692">PRODUCT(1-'Sparkling Model'!D$2:D$38^A9692)</f>
        <v>0.9715166751</v>
      </c>
    </row>
    <row r="9693">
      <c r="A9693" s="6">
        <v>9691.0</v>
      </c>
      <c r="B9693" s="17">
        <f t="array" ref="B9693">SUM(1-'Sparkling Model'!D$2:D$38^A9693)</f>
        <v>36.97123696</v>
      </c>
      <c r="C9693" s="8">
        <f t="array" ref="C9693">PRODUCT(1-'Sparkling Model'!D$2:D$38^A9693)</f>
        <v>0.9715308354</v>
      </c>
    </row>
    <row r="9694">
      <c r="A9694" s="6">
        <v>9692.0</v>
      </c>
      <c r="B9694" s="17">
        <f t="array" ref="B9694">SUM(1-'Sparkling Model'!D$2:D$38^A9694)</f>
        <v>36.97125141</v>
      </c>
      <c r="C9694" s="8">
        <f t="array" ref="C9694">PRODUCT(1-'Sparkling Model'!D$2:D$38^A9694)</f>
        <v>0.9715449887</v>
      </c>
    </row>
    <row r="9695">
      <c r="A9695" s="6">
        <v>9693.0</v>
      </c>
      <c r="B9695" s="17">
        <f t="array" ref="B9695">SUM(1-'Sparkling Model'!D$2:D$38^A9695)</f>
        <v>36.97126586</v>
      </c>
      <c r="C9695" s="8">
        <f t="array" ref="C9695">PRODUCT(1-'Sparkling Model'!D$2:D$38^A9695)</f>
        <v>0.9715591349</v>
      </c>
    </row>
    <row r="9696">
      <c r="A9696" s="6">
        <v>9694.0</v>
      </c>
      <c r="B9696" s="17">
        <f t="array" ref="B9696">SUM(1-'Sparkling Model'!D$2:D$38^A9696)</f>
        <v>36.97128029</v>
      </c>
      <c r="C9696" s="8">
        <f t="array" ref="C9696">PRODUCT(1-'Sparkling Model'!D$2:D$38^A9696)</f>
        <v>0.9715732741</v>
      </c>
    </row>
    <row r="9697">
      <c r="A9697" s="6">
        <v>9695.0</v>
      </c>
      <c r="B9697" s="17">
        <f t="array" ref="B9697">SUM(1-'Sparkling Model'!D$2:D$38^A9697)</f>
        <v>36.97129472</v>
      </c>
      <c r="C9697" s="8">
        <f t="array" ref="C9697">PRODUCT(1-'Sparkling Model'!D$2:D$38^A9697)</f>
        <v>0.9715874063</v>
      </c>
    </row>
    <row r="9698">
      <c r="A9698" s="6">
        <v>9696.0</v>
      </c>
      <c r="B9698" s="17">
        <f t="array" ref="B9698">SUM(1-'Sparkling Model'!D$2:D$38^A9698)</f>
        <v>36.97130914</v>
      </c>
      <c r="C9698" s="8">
        <f t="array" ref="C9698">PRODUCT(1-'Sparkling Model'!D$2:D$38^A9698)</f>
        <v>0.9716015314</v>
      </c>
    </row>
    <row r="9699">
      <c r="A9699" s="6">
        <v>9697.0</v>
      </c>
      <c r="B9699" s="17">
        <f t="array" ref="B9699">SUM(1-'Sparkling Model'!D$2:D$38^A9699)</f>
        <v>36.97132356</v>
      </c>
      <c r="C9699" s="8">
        <f t="array" ref="C9699">PRODUCT(1-'Sparkling Model'!D$2:D$38^A9699)</f>
        <v>0.9716156495</v>
      </c>
    </row>
    <row r="9700">
      <c r="A9700" s="6">
        <v>9698.0</v>
      </c>
      <c r="B9700" s="17">
        <f t="array" ref="B9700">SUM(1-'Sparkling Model'!D$2:D$38^A9700)</f>
        <v>36.97133796</v>
      </c>
      <c r="C9700" s="8">
        <f t="array" ref="C9700">PRODUCT(1-'Sparkling Model'!D$2:D$38^A9700)</f>
        <v>0.9716297605</v>
      </c>
    </row>
    <row r="9701">
      <c r="A9701" s="6">
        <v>9699.0</v>
      </c>
      <c r="B9701" s="17">
        <f t="array" ref="B9701">SUM(1-'Sparkling Model'!D$2:D$38^A9701)</f>
        <v>36.97135236</v>
      </c>
      <c r="C9701" s="8">
        <f t="array" ref="C9701">PRODUCT(1-'Sparkling Model'!D$2:D$38^A9701)</f>
        <v>0.9716438646</v>
      </c>
    </row>
    <row r="9702">
      <c r="A9702" s="6">
        <v>9700.0</v>
      </c>
      <c r="B9702" s="17">
        <f t="array" ref="B9702">SUM(1-'Sparkling Model'!D$2:D$38^A9702)</f>
        <v>36.97136675</v>
      </c>
      <c r="C9702" s="8">
        <f t="array" ref="C9702">PRODUCT(1-'Sparkling Model'!D$2:D$38^A9702)</f>
        <v>0.9716579616</v>
      </c>
    </row>
    <row r="9703">
      <c r="A9703" s="6">
        <v>9701.0</v>
      </c>
      <c r="B9703" s="17">
        <f t="array" ref="B9703">SUM(1-'Sparkling Model'!D$2:D$38^A9703)</f>
        <v>36.97138114</v>
      </c>
      <c r="C9703" s="8">
        <f t="array" ref="C9703">PRODUCT(1-'Sparkling Model'!D$2:D$38^A9703)</f>
        <v>0.9716720515</v>
      </c>
    </row>
    <row r="9704">
      <c r="A9704" s="6">
        <v>9702.0</v>
      </c>
      <c r="B9704" s="17">
        <f t="array" ref="B9704">SUM(1-'Sparkling Model'!D$2:D$38^A9704)</f>
        <v>36.97139551</v>
      </c>
      <c r="C9704" s="8">
        <f t="array" ref="C9704">PRODUCT(1-'Sparkling Model'!D$2:D$38^A9704)</f>
        <v>0.9716861345</v>
      </c>
    </row>
    <row r="9705">
      <c r="A9705" s="6">
        <v>9703.0</v>
      </c>
      <c r="B9705" s="17">
        <f t="array" ref="B9705">SUM(1-'Sparkling Model'!D$2:D$38^A9705)</f>
        <v>36.97140988</v>
      </c>
      <c r="C9705" s="8">
        <f t="array" ref="C9705">PRODUCT(1-'Sparkling Model'!D$2:D$38^A9705)</f>
        <v>0.9717002105</v>
      </c>
    </row>
    <row r="9706">
      <c r="A9706" s="6">
        <v>9704.0</v>
      </c>
      <c r="B9706" s="17">
        <f t="array" ref="B9706">SUM(1-'Sparkling Model'!D$2:D$38^A9706)</f>
        <v>36.97142425</v>
      </c>
      <c r="C9706" s="8">
        <f t="array" ref="C9706">PRODUCT(1-'Sparkling Model'!D$2:D$38^A9706)</f>
        <v>0.9717142794</v>
      </c>
    </row>
    <row r="9707">
      <c r="A9707" s="6">
        <v>9705.0</v>
      </c>
      <c r="B9707" s="17">
        <f t="array" ref="B9707">SUM(1-'Sparkling Model'!D$2:D$38^A9707)</f>
        <v>36.9714386</v>
      </c>
      <c r="C9707" s="8">
        <f t="array" ref="C9707">PRODUCT(1-'Sparkling Model'!D$2:D$38^A9707)</f>
        <v>0.9717283414</v>
      </c>
    </row>
    <row r="9708">
      <c r="A9708" s="6">
        <v>9706.0</v>
      </c>
      <c r="B9708" s="17">
        <f t="array" ref="B9708">SUM(1-'Sparkling Model'!D$2:D$38^A9708)</f>
        <v>36.97145295</v>
      </c>
      <c r="C9708" s="8">
        <f t="array" ref="C9708">PRODUCT(1-'Sparkling Model'!D$2:D$38^A9708)</f>
        <v>0.9717423963</v>
      </c>
    </row>
    <row r="9709">
      <c r="A9709" s="6">
        <v>9707.0</v>
      </c>
      <c r="B9709" s="17">
        <f t="array" ref="B9709">SUM(1-'Sparkling Model'!D$2:D$38^A9709)</f>
        <v>36.97146729</v>
      </c>
      <c r="C9709" s="8">
        <f t="array" ref="C9709">PRODUCT(1-'Sparkling Model'!D$2:D$38^A9709)</f>
        <v>0.9717564443</v>
      </c>
    </row>
    <row r="9710">
      <c r="A9710" s="6">
        <v>9708.0</v>
      </c>
      <c r="B9710" s="17">
        <f t="array" ref="B9710">SUM(1-'Sparkling Model'!D$2:D$38^A9710)</f>
        <v>36.97148162</v>
      </c>
      <c r="C9710" s="8">
        <f t="array" ref="C9710">PRODUCT(1-'Sparkling Model'!D$2:D$38^A9710)</f>
        <v>0.9717704852</v>
      </c>
    </row>
    <row r="9711">
      <c r="A9711" s="6">
        <v>9709.0</v>
      </c>
      <c r="B9711" s="17">
        <f t="array" ref="B9711">SUM(1-'Sparkling Model'!D$2:D$38^A9711)</f>
        <v>36.97149595</v>
      </c>
      <c r="C9711" s="8">
        <f t="array" ref="C9711">PRODUCT(1-'Sparkling Model'!D$2:D$38^A9711)</f>
        <v>0.9717845192</v>
      </c>
    </row>
    <row r="9712">
      <c r="A9712" s="6">
        <v>9710.0</v>
      </c>
      <c r="B9712" s="17">
        <f t="array" ref="B9712">SUM(1-'Sparkling Model'!D$2:D$38^A9712)</f>
        <v>36.97151027</v>
      </c>
      <c r="C9712" s="8">
        <f t="array" ref="C9712">PRODUCT(1-'Sparkling Model'!D$2:D$38^A9712)</f>
        <v>0.9717985461</v>
      </c>
    </row>
    <row r="9713">
      <c r="A9713" s="6">
        <v>9711.0</v>
      </c>
      <c r="B9713" s="17">
        <f t="array" ref="B9713">SUM(1-'Sparkling Model'!D$2:D$38^A9713)</f>
        <v>36.97152458</v>
      </c>
      <c r="C9713" s="8">
        <f t="array" ref="C9713">PRODUCT(1-'Sparkling Model'!D$2:D$38^A9713)</f>
        <v>0.9718125661</v>
      </c>
    </row>
    <row r="9714">
      <c r="A9714" s="6">
        <v>9712.0</v>
      </c>
      <c r="B9714" s="17">
        <f t="array" ref="B9714">SUM(1-'Sparkling Model'!D$2:D$38^A9714)</f>
        <v>36.97153888</v>
      </c>
      <c r="C9714" s="8">
        <f t="array" ref="C9714">PRODUCT(1-'Sparkling Model'!D$2:D$38^A9714)</f>
        <v>0.9718265791</v>
      </c>
    </row>
    <row r="9715">
      <c r="A9715" s="6">
        <v>9713.0</v>
      </c>
      <c r="B9715" s="17">
        <f t="array" ref="B9715">SUM(1-'Sparkling Model'!D$2:D$38^A9715)</f>
        <v>36.97155318</v>
      </c>
      <c r="C9715" s="8">
        <f t="array" ref="C9715">PRODUCT(1-'Sparkling Model'!D$2:D$38^A9715)</f>
        <v>0.9718405852</v>
      </c>
    </row>
    <row r="9716">
      <c r="A9716" s="6">
        <v>9714.0</v>
      </c>
      <c r="B9716" s="17">
        <f t="array" ref="B9716">SUM(1-'Sparkling Model'!D$2:D$38^A9716)</f>
        <v>36.97156747</v>
      </c>
      <c r="C9716" s="8">
        <f t="array" ref="C9716">PRODUCT(1-'Sparkling Model'!D$2:D$38^A9716)</f>
        <v>0.9718545842</v>
      </c>
    </row>
    <row r="9717">
      <c r="A9717" s="6">
        <v>9715.0</v>
      </c>
      <c r="B9717" s="17">
        <f t="array" ref="B9717">SUM(1-'Sparkling Model'!D$2:D$38^A9717)</f>
        <v>36.97158175</v>
      </c>
      <c r="C9717" s="8">
        <f t="array" ref="C9717">PRODUCT(1-'Sparkling Model'!D$2:D$38^A9717)</f>
        <v>0.9718685763</v>
      </c>
    </row>
    <row r="9718">
      <c r="A9718" s="6">
        <v>9716.0</v>
      </c>
      <c r="B9718" s="17">
        <f t="array" ref="B9718">SUM(1-'Sparkling Model'!D$2:D$38^A9718)</f>
        <v>36.97159603</v>
      </c>
      <c r="C9718" s="8">
        <f t="array" ref="C9718">PRODUCT(1-'Sparkling Model'!D$2:D$38^A9718)</f>
        <v>0.9718825614</v>
      </c>
    </row>
    <row r="9719">
      <c r="A9719" s="6">
        <v>9717.0</v>
      </c>
      <c r="B9719" s="17">
        <f t="array" ref="B9719">SUM(1-'Sparkling Model'!D$2:D$38^A9719)</f>
        <v>36.9716103</v>
      </c>
      <c r="C9719" s="8">
        <f t="array" ref="C9719">PRODUCT(1-'Sparkling Model'!D$2:D$38^A9719)</f>
        <v>0.9718965396</v>
      </c>
    </row>
    <row r="9720">
      <c r="A9720" s="6">
        <v>9718.0</v>
      </c>
      <c r="B9720" s="17">
        <f t="array" ref="B9720">SUM(1-'Sparkling Model'!D$2:D$38^A9720)</f>
        <v>36.97162456</v>
      </c>
      <c r="C9720" s="8">
        <f t="array" ref="C9720">PRODUCT(1-'Sparkling Model'!D$2:D$38^A9720)</f>
        <v>0.9719105108</v>
      </c>
    </row>
    <row r="9721">
      <c r="A9721" s="6">
        <v>9719.0</v>
      </c>
      <c r="B9721" s="17">
        <f t="array" ref="B9721">SUM(1-'Sparkling Model'!D$2:D$38^A9721)</f>
        <v>36.97163881</v>
      </c>
      <c r="C9721" s="8">
        <f t="array" ref="C9721">PRODUCT(1-'Sparkling Model'!D$2:D$38^A9721)</f>
        <v>0.971924475</v>
      </c>
    </row>
    <row r="9722">
      <c r="A9722" s="6">
        <v>9720.0</v>
      </c>
      <c r="B9722" s="17">
        <f t="array" ref="B9722">SUM(1-'Sparkling Model'!D$2:D$38^A9722)</f>
        <v>36.97165306</v>
      </c>
      <c r="C9722" s="8">
        <f t="array" ref="C9722">PRODUCT(1-'Sparkling Model'!D$2:D$38^A9722)</f>
        <v>0.9719384323</v>
      </c>
    </row>
    <row r="9723">
      <c r="A9723" s="6">
        <v>9721.0</v>
      </c>
      <c r="B9723" s="17">
        <f t="array" ref="B9723">SUM(1-'Sparkling Model'!D$2:D$38^A9723)</f>
        <v>36.9716673</v>
      </c>
      <c r="C9723" s="8">
        <f t="array" ref="C9723">PRODUCT(1-'Sparkling Model'!D$2:D$38^A9723)</f>
        <v>0.9719523826</v>
      </c>
    </row>
    <row r="9724">
      <c r="A9724" s="6">
        <v>9722.0</v>
      </c>
      <c r="B9724" s="17">
        <f t="array" ref="B9724">SUM(1-'Sparkling Model'!D$2:D$38^A9724)</f>
        <v>36.97168153</v>
      </c>
      <c r="C9724" s="8">
        <f t="array" ref="C9724">PRODUCT(1-'Sparkling Model'!D$2:D$38^A9724)</f>
        <v>0.971966326</v>
      </c>
    </row>
    <row r="9725">
      <c r="A9725" s="6">
        <v>9723.0</v>
      </c>
      <c r="B9725" s="17">
        <f t="array" ref="B9725">SUM(1-'Sparkling Model'!D$2:D$38^A9725)</f>
        <v>36.97169575</v>
      </c>
      <c r="C9725" s="8">
        <f t="array" ref="C9725">PRODUCT(1-'Sparkling Model'!D$2:D$38^A9725)</f>
        <v>0.9719802625</v>
      </c>
    </row>
    <row r="9726">
      <c r="A9726" s="6">
        <v>9724.0</v>
      </c>
      <c r="B9726" s="17">
        <f t="array" ref="B9726">SUM(1-'Sparkling Model'!D$2:D$38^A9726)</f>
        <v>36.97170997</v>
      </c>
      <c r="C9726" s="8">
        <f t="array" ref="C9726">PRODUCT(1-'Sparkling Model'!D$2:D$38^A9726)</f>
        <v>0.971994192</v>
      </c>
    </row>
    <row r="9727">
      <c r="A9727" s="6">
        <v>9725.0</v>
      </c>
      <c r="B9727" s="17">
        <f t="array" ref="B9727">SUM(1-'Sparkling Model'!D$2:D$38^A9727)</f>
        <v>36.97172418</v>
      </c>
      <c r="C9727" s="8">
        <f t="array" ref="C9727">PRODUCT(1-'Sparkling Model'!D$2:D$38^A9727)</f>
        <v>0.9720081145</v>
      </c>
    </row>
    <row r="9728">
      <c r="A9728" s="6">
        <v>9726.0</v>
      </c>
      <c r="B9728" s="17">
        <f t="array" ref="B9728">SUM(1-'Sparkling Model'!D$2:D$38^A9728)</f>
        <v>36.97173838</v>
      </c>
      <c r="C9728" s="8">
        <f t="array" ref="C9728">PRODUCT(1-'Sparkling Model'!D$2:D$38^A9728)</f>
        <v>0.9720220302</v>
      </c>
    </row>
    <row r="9729">
      <c r="A9729" s="6">
        <v>9727.0</v>
      </c>
      <c r="B9729" s="17">
        <f t="array" ref="B9729">SUM(1-'Sparkling Model'!D$2:D$38^A9729)</f>
        <v>36.97175258</v>
      </c>
      <c r="C9729" s="8">
        <f t="array" ref="C9729">PRODUCT(1-'Sparkling Model'!D$2:D$38^A9729)</f>
        <v>0.9720359389</v>
      </c>
    </row>
    <row r="9730">
      <c r="A9730" s="6">
        <v>9728.0</v>
      </c>
      <c r="B9730" s="17">
        <f t="array" ref="B9730">SUM(1-'Sparkling Model'!D$2:D$38^A9730)</f>
        <v>36.97176677</v>
      </c>
      <c r="C9730" s="8">
        <f t="array" ref="C9730">PRODUCT(1-'Sparkling Model'!D$2:D$38^A9730)</f>
        <v>0.9720498407</v>
      </c>
    </row>
    <row r="9731">
      <c r="A9731" s="6">
        <v>9729.0</v>
      </c>
      <c r="B9731" s="17">
        <f t="array" ref="B9731">SUM(1-'Sparkling Model'!D$2:D$38^A9731)</f>
        <v>36.97178095</v>
      </c>
      <c r="C9731" s="8">
        <f t="array" ref="C9731">PRODUCT(1-'Sparkling Model'!D$2:D$38^A9731)</f>
        <v>0.9720637356</v>
      </c>
    </row>
    <row r="9732">
      <c r="A9732" s="6">
        <v>9730.0</v>
      </c>
      <c r="B9732" s="17">
        <f t="array" ref="B9732">SUM(1-'Sparkling Model'!D$2:D$38^A9732)</f>
        <v>36.97179512</v>
      </c>
      <c r="C9732" s="8">
        <f t="array" ref="C9732">PRODUCT(1-'Sparkling Model'!D$2:D$38^A9732)</f>
        <v>0.9720776235</v>
      </c>
    </row>
    <row r="9733">
      <c r="A9733" s="6">
        <v>9731.0</v>
      </c>
      <c r="B9733" s="17">
        <f t="array" ref="B9733">SUM(1-'Sparkling Model'!D$2:D$38^A9733)</f>
        <v>36.97180929</v>
      </c>
      <c r="C9733" s="8">
        <f t="array" ref="C9733">PRODUCT(1-'Sparkling Model'!D$2:D$38^A9733)</f>
        <v>0.9720915045</v>
      </c>
    </row>
    <row r="9734">
      <c r="A9734" s="6">
        <v>9732.0</v>
      </c>
      <c r="B9734" s="17">
        <f t="array" ref="B9734">SUM(1-'Sparkling Model'!D$2:D$38^A9734)</f>
        <v>36.97182345</v>
      </c>
      <c r="C9734" s="8">
        <f t="array" ref="C9734">PRODUCT(1-'Sparkling Model'!D$2:D$38^A9734)</f>
        <v>0.9721053786</v>
      </c>
    </row>
    <row r="9735">
      <c r="A9735" s="6">
        <v>9733.0</v>
      </c>
      <c r="B9735" s="17">
        <f t="array" ref="B9735">SUM(1-'Sparkling Model'!D$2:D$38^A9735)</f>
        <v>36.9718376</v>
      </c>
      <c r="C9735" s="8">
        <f t="array" ref="C9735">PRODUCT(1-'Sparkling Model'!D$2:D$38^A9735)</f>
        <v>0.9721192459</v>
      </c>
    </row>
    <row r="9736">
      <c r="A9736" s="6">
        <v>9734.0</v>
      </c>
      <c r="B9736" s="17">
        <f t="array" ref="B9736">SUM(1-'Sparkling Model'!D$2:D$38^A9736)</f>
        <v>36.97185174</v>
      </c>
      <c r="C9736" s="8">
        <f t="array" ref="C9736">PRODUCT(1-'Sparkling Model'!D$2:D$38^A9736)</f>
        <v>0.9721331062</v>
      </c>
    </row>
    <row r="9737">
      <c r="A9737" s="6">
        <v>9735.0</v>
      </c>
      <c r="B9737" s="17">
        <f t="array" ref="B9737">SUM(1-'Sparkling Model'!D$2:D$38^A9737)</f>
        <v>36.97186588</v>
      </c>
      <c r="C9737" s="8">
        <f t="array" ref="C9737">PRODUCT(1-'Sparkling Model'!D$2:D$38^A9737)</f>
        <v>0.9721469596</v>
      </c>
    </row>
    <row r="9738">
      <c r="A9738" s="6">
        <v>9736.0</v>
      </c>
      <c r="B9738" s="17">
        <f t="array" ref="B9738">SUM(1-'Sparkling Model'!D$2:D$38^A9738)</f>
        <v>36.97188001</v>
      </c>
      <c r="C9738" s="8">
        <f t="array" ref="C9738">PRODUCT(1-'Sparkling Model'!D$2:D$38^A9738)</f>
        <v>0.9721608061</v>
      </c>
    </row>
    <row r="9739">
      <c r="A9739" s="6">
        <v>9737.0</v>
      </c>
      <c r="B9739" s="17">
        <f t="array" ref="B9739">SUM(1-'Sparkling Model'!D$2:D$38^A9739)</f>
        <v>36.97189414</v>
      </c>
      <c r="C9739" s="8">
        <f t="array" ref="C9739">PRODUCT(1-'Sparkling Model'!D$2:D$38^A9739)</f>
        <v>0.9721746457</v>
      </c>
    </row>
    <row r="9740">
      <c r="A9740" s="6">
        <v>9738.0</v>
      </c>
      <c r="B9740" s="17">
        <f t="array" ref="B9740">SUM(1-'Sparkling Model'!D$2:D$38^A9740)</f>
        <v>36.97190825</v>
      </c>
      <c r="C9740" s="8">
        <f t="array" ref="C9740">PRODUCT(1-'Sparkling Model'!D$2:D$38^A9740)</f>
        <v>0.9721884784</v>
      </c>
    </row>
    <row r="9741">
      <c r="A9741" s="6">
        <v>9739.0</v>
      </c>
      <c r="B9741" s="17">
        <f t="array" ref="B9741">SUM(1-'Sparkling Model'!D$2:D$38^A9741)</f>
        <v>36.97192236</v>
      </c>
      <c r="C9741" s="8">
        <f t="array" ref="C9741">PRODUCT(1-'Sparkling Model'!D$2:D$38^A9741)</f>
        <v>0.9722023042</v>
      </c>
    </row>
    <row r="9742">
      <c r="A9742" s="6">
        <v>9740.0</v>
      </c>
      <c r="B9742" s="17">
        <f t="array" ref="B9742">SUM(1-'Sparkling Model'!D$2:D$38^A9742)</f>
        <v>36.97193646</v>
      </c>
      <c r="C9742" s="8">
        <f t="array" ref="C9742">PRODUCT(1-'Sparkling Model'!D$2:D$38^A9742)</f>
        <v>0.9722161232</v>
      </c>
    </row>
    <row r="9743">
      <c r="A9743" s="6">
        <v>9741.0</v>
      </c>
      <c r="B9743" s="17">
        <f t="array" ref="B9743">SUM(1-'Sparkling Model'!D$2:D$38^A9743)</f>
        <v>36.97195056</v>
      </c>
      <c r="C9743" s="8">
        <f t="array" ref="C9743">PRODUCT(1-'Sparkling Model'!D$2:D$38^A9743)</f>
        <v>0.9722299353</v>
      </c>
    </row>
    <row r="9744">
      <c r="A9744" s="6">
        <v>9742.0</v>
      </c>
      <c r="B9744" s="17">
        <f t="array" ref="B9744">SUM(1-'Sparkling Model'!D$2:D$38^A9744)</f>
        <v>36.97196465</v>
      </c>
      <c r="C9744" s="8">
        <f t="array" ref="C9744">PRODUCT(1-'Sparkling Model'!D$2:D$38^A9744)</f>
        <v>0.9722437405</v>
      </c>
    </row>
    <row r="9745">
      <c r="A9745" s="6">
        <v>9743.0</v>
      </c>
      <c r="B9745" s="17">
        <f t="array" ref="B9745">SUM(1-'Sparkling Model'!D$2:D$38^A9745)</f>
        <v>36.97197873</v>
      </c>
      <c r="C9745" s="8">
        <f t="array" ref="C9745">PRODUCT(1-'Sparkling Model'!D$2:D$38^A9745)</f>
        <v>0.9722575388</v>
      </c>
    </row>
    <row r="9746">
      <c r="A9746" s="6">
        <v>9744.0</v>
      </c>
      <c r="B9746" s="17">
        <f t="array" ref="B9746">SUM(1-'Sparkling Model'!D$2:D$38^A9746)</f>
        <v>36.9719928</v>
      </c>
      <c r="C9746" s="8">
        <f t="array" ref="C9746">PRODUCT(1-'Sparkling Model'!D$2:D$38^A9746)</f>
        <v>0.9722713302</v>
      </c>
    </row>
    <row r="9747">
      <c r="A9747" s="6">
        <v>9745.0</v>
      </c>
      <c r="B9747" s="17">
        <f t="array" ref="B9747">SUM(1-'Sparkling Model'!D$2:D$38^A9747)</f>
        <v>36.97200687</v>
      </c>
      <c r="C9747" s="8">
        <f t="array" ref="C9747">PRODUCT(1-'Sparkling Model'!D$2:D$38^A9747)</f>
        <v>0.9722851148</v>
      </c>
    </row>
    <row r="9748">
      <c r="A9748" s="6">
        <v>9746.0</v>
      </c>
      <c r="B9748" s="17">
        <f t="array" ref="B9748">SUM(1-'Sparkling Model'!D$2:D$38^A9748)</f>
        <v>36.97202092</v>
      </c>
      <c r="C9748" s="8">
        <f t="array" ref="C9748">PRODUCT(1-'Sparkling Model'!D$2:D$38^A9748)</f>
        <v>0.9722988925</v>
      </c>
    </row>
    <row r="9749">
      <c r="A9749" s="6">
        <v>9747.0</v>
      </c>
      <c r="B9749" s="17">
        <f t="array" ref="B9749">SUM(1-'Sparkling Model'!D$2:D$38^A9749)</f>
        <v>36.97203498</v>
      </c>
      <c r="C9749" s="8">
        <f t="array" ref="C9749">PRODUCT(1-'Sparkling Model'!D$2:D$38^A9749)</f>
        <v>0.9723126634</v>
      </c>
    </row>
    <row r="9750">
      <c r="A9750" s="6">
        <v>9748.0</v>
      </c>
      <c r="B9750" s="17">
        <f t="array" ref="B9750">SUM(1-'Sparkling Model'!D$2:D$38^A9750)</f>
        <v>36.97204902</v>
      </c>
      <c r="C9750" s="8">
        <f t="array" ref="C9750">PRODUCT(1-'Sparkling Model'!D$2:D$38^A9750)</f>
        <v>0.9723264274</v>
      </c>
    </row>
    <row r="9751">
      <c r="A9751" s="6">
        <v>9749.0</v>
      </c>
      <c r="B9751" s="17">
        <f t="array" ref="B9751">SUM(1-'Sparkling Model'!D$2:D$38^A9751)</f>
        <v>36.97206306</v>
      </c>
      <c r="C9751" s="8">
        <f t="array" ref="C9751">PRODUCT(1-'Sparkling Model'!D$2:D$38^A9751)</f>
        <v>0.9723401845</v>
      </c>
    </row>
    <row r="9752">
      <c r="A9752" s="6">
        <v>9750.0</v>
      </c>
      <c r="B9752" s="17">
        <f t="array" ref="B9752">SUM(1-'Sparkling Model'!D$2:D$38^A9752)</f>
        <v>36.97207709</v>
      </c>
      <c r="C9752" s="8">
        <f t="array" ref="C9752">PRODUCT(1-'Sparkling Model'!D$2:D$38^A9752)</f>
        <v>0.9723539348</v>
      </c>
    </row>
    <row r="9753">
      <c r="A9753" s="6">
        <v>9751.0</v>
      </c>
      <c r="B9753" s="17">
        <f t="array" ref="B9753">SUM(1-'Sparkling Model'!D$2:D$38^A9753)</f>
        <v>36.97209111</v>
      </c>
      <c r="C9753" s="8">
        <f t="array" ref="C9753">PRODUCT(1-'Sparkling Model'!D$2:D$38^A9753)</f>
        <v>0.9723676783</v>
      </c>
    </row>
    <row r="9754">
      <c r="A9754" s="6">
        <v>9752.0</v>
      </c>
      <c r="B9754" s="17">
        <f t="array" ref="B9754">SUM(1-'Sparkling Model'!D$2:D$38^A9754)</f>
        <v>36.97210513</v>
      </c>
      <c r="C9754" s="8">
        <f t="array" ref="C9754">PRODUCT(1-'Sparkling Model'!D$2:D$38^A9754)</f>
        <v>0.9723814149</v>
      </c>
    </row>
    <row r="9755">
      <c r="A9755" s="6">
        <v>9753.0</v>
      </c>
      <c r="B9755" s="17">
        <f t="array" ref="B9755">SUM(1-'Sparkling Model'!D$2:D$38^A9755)</f>
        <v>36.97211914</v>
      </c>
      <c r="C9755" s="8">
        <f t="array" ref="C9755">PRODUCT(1-'Sparkling Model'!D$2:D$38^A9755)</f>
        <v>0.9723951446</v>
      </c>
    </row>
    <row r="9756">
      <c r="A9756" s="6">
        <v>9754.0</v>
      </c>
      <c r="B9756" s="17">
        <f t="array" ref="B9756">SUM(1-'Sparkling Model'!D$2:D$38^A9756)</f>
        <v>36.97213314</v>
      </c>
      <c r="C9756" s="8">
        <f t="array" ref="C9756">PRODUCT(1-'Sparkling Model'!D$2:D$38^A9756)</f>
        <v>0.9724088676</v>
      </c>
    </row>
    <row r="9757">
      <c r="A9757" s="6">
        <v>9755.0</v>
      </c>
      <c r="B9757" s="17">
        <f t="array" ref="B9757">SUM(1-'Sparkling Model'!D$2:D$38^A9757)</f>
        <v>36.97214713</v>
      </c>
      <c r="C9757" s="8">
        <f t="array" ref="C9757">PRODUCT(1-'Sparkling Model'!D$2:D$38^A9757)</f>
        <v>0.9724225837</v>
      </c>
    </row>
    <row r="9758">
      <c r="A9758" s="6">
        <v>9756.0</v>
      </c>
      <c r="B9758" s="17">
        <f t="array" ref="B9758">SUM(1-'Sparkling Model'!D$2:D$38^A9758)</f>
        <v>36.97216112</v>
      </c>
      <c r="C9758" s="8">
        <f t="array" ref="C9758">PRODUCT(1-'Sparkling Model'!D$2:D$38^A9758)</f>
        <v>0.9724362929</v>
      </c>
    </row>
    <row r="9759">
      <c r="A9759" s="6">
        <v>9757.0</v>
      </c>
      <c r="B9759" s="17">
        <f t="array" ref="B9759">SUM(1-'Sparkling Model'!D$2:D$38^A9759)</f>
        <v>36.9721751</v>
      </c>
      <c r="C9759" s="8">
        <f t="array" ref="C9759">PRODUCT(1-'Sparkling Model'!D$2:D$38^A9759)</f>
        <v>0.9724499954</v>
      </c>
    </row>
    <row r="9760">
      <c r="A9760" s="6">
        <v>9758.0</v>
      </c>
      <c r="B9760" s="17">
        <f t="array" ref="B9760">SUM(1-'Sparkling Model'!D$2:D$38^A9760)</f>
        <v>36.97218908</v>
      </c>
      <c r="C9760" s="8">
        <f t="array" ref="C9760">PRODUCT(1-'Sparkling Model'!D$2:D$38^A9760)</f>
        <v>0.972463691</v>
      </c>
    </row>
    <row r="9761">
      <c r="A9761" s="6">
        <v>9759.0</v>
      </c>
      <c r="B9761" s="17">
        <f t="array" ref="B9761">SUM(1-'Sparkling Model'!D$2:D$38^A9761)</f>
        <v>36.97220304</v>
      </c>
      <c r="C9761" s="8">
        <f t="array" ref="C9761">PRODUCT(1-'Sparkling Model'!D$2:D$38^A9761)</f>
        <v>0.9724773798</v>
      </c>
    </row>
    <row r="9762">
      <c r="A9762" s="6">
        <v>9760.0</v>
      </c>
      <c r="B9762" s="17">
        <f t="array" ref="B9762">SUM(1-'Sparkling Model'!D$2:D$38^A9762)</f>
        <v>36.972217</v>
      </c>
      <c r="C9762" s="8">
        <f t="array" ref="C9762">PRODUCT(1-'Sparkling Model'!D$2:D$38^A9762)</f>
        <v>0.9724910618</v>
      </c>
    </row>
    <row r="9763">
      <c r="A9763" s="6">
        <v>9761.0</v>
      </c>
      <c r="B9763" s="17">
        <f t="array" ref="B9763">SUM(1-'Sparkling Model'!D$2:D$38^A9763)</f>
        <v>36.97223095</v>
      </c>
      <c r="C9763" s="8">
        <f t="array" ref="C9763">PRODUCT(1-'Sparkling Model'!D$2:D$38^A9763)</f>
        <v>0.9725047369</v>
      </c>
    </row>
    <row r="9764">
      <c r="A9764" s="6">
        <v>9762.0</v>
      </c>
      <c r="B9764" s="17">
        <f t="array" ref="B9764">SUM(1-'Sparkling Model'!D$2:D$38^A9764)</f>
        <v>36.9722449</v>
      </c>
      <c r="C9764" s="8">
        <f t="array" ref="C9764">PRODUCT(1-'Sparkling Model'!D$2:D$38^A9764)</f>
        <v>0.9725184053</v>
      </c>
    </row>
    <row r="9765">
      <c r="A9765" s="6">
        <v>9763.0</v>
      </c>
      <c r="B9765" s="17">
        <f t="array" ref="B9765">SUM(1-'Sparkling Model'!D$2:D$38^A9765)</f>
        <v>36.97225884</v>
      </c>
      <c r="C9765" s="8">
        <f t="array" ref="C9765">PRODUCT(1-'Sparkling Model'!D$2:D$38^A9765)</f>
        <v>0.9725320669</v>
      </c>
    </row>
    <row r="9766">
      <c r="A9766" s="6">
        <v>9764.0</v>
      </c>
      <c r="B9766" s="17">
        <f t="array" ref="B9766">SUM(1-'Sparkling Model'!D$2:D$38^A9766)</f>
        <v>36.97227277</v>
      </c>
      <c r="C9766" s="8">
        <f t="array" ref="C9766">PRODUCT(1-'Sparkling Model'!D$2:D$38^A9766)</f>
        <v>0.9725457216</v>
      </c>
    </row>
    <row r="9767">
      <c r="A9767" s="6">
        <v>9765.0</v>
      </c>
      <c r="B9767" s="17">
        <f t="array" ref="B9767">SUM(1-'Sparkling Model'!D$2:D$38^A9767)</f>
        <v>36.97228669</v>
      </c>
      <c r="C9767" s="8">
        <f t="array" ref="C9767">PRODUCT(1-'Sparkling Model'!D$2:D$38^A9767)</f>
        <v>0.9725593696</v>
      </c>
    </row>
    <row r="9768">
      <c r="A9768" s="6">
        <v>9766.0</v>
      </c>
      <c r="B9768" s="17">
        <f t="array" ref="B9768">SUM(1-'Sparkling Model'!D$2:D$38^A9768)</f>
        <v>36.97230061</v>
      </c>
      <c r="C9768" s="8">
        <f t="array" ref="C9768">PRODUCT(1-'Sparkling Model'!D$2:D$38^A9768)</f>
        <v>0.9725730107</v>
      </c>
    </row>
    <row r="9769">
      <c r="A9769" s="6">
        <v>9767.0</v>
      </c>
      <c r="B9769" s="17">
        <f t="array" ref="B9769">SUM(1-'Sparkling Model'!D$2:D$38^A9769)</f>
        <v>36.97231452</v>
      </c>
      <c r="C9769" s="8">
        <f t="array" ref="C9769">PRODUCT(1-'Sparkling Model'!D$2:D$38^A9769)</f>
        <v>0.9725866451</v>
      </c>
    </row>
    <row r="9770">
      <c r="A9770" s="6">
        <v>9768.0</v>
      </c>
      <c r="B9770" s="17">
        <f t="array" ref="B9770">SUM(1-'Sparkling Model'!D$2:D$38^A9770)</f>
        <v>36.97232842</v>
      </c>
      <c r="C9770" s="8">
        <f t="array" ref="C9770">PRODUCT(1-'Sparkling Model'!D$2:D$38^A9770)</f>
        <v>0.9726002727</v>
      </c>
    </row>
    <row r="9771">
      <c r="A9771" s="6">
        <v>9769.0</v>
      </c>
      <c r="B9771" s="17">
        <f t="array" ref="B9771">SUM(1-'Sparkling Model'!D$2:D$38^A9771)</f>
        <v>36.97234232</v>
      </c>
      <c r="C9771" s="8">
        <f t="array" ref="C9771">PRODUCT(1-'Sparkling Model'!D$2:D$38^A9771)</f>
        <v>0.9726138934</v>
      </c>
    </row>
    <row r="9772">
      <c r="A9772" s="6">
        <v>9770.0</v>
      </c>
      <c r="B9772" s="17">
        <f t="array" ref="B9772">SUM(1-'Sparkling Model'!D$2:D$38^A9772)</f>
        <v>36.97235621</v>
      </c>
      <c r="C9772" s="8">
        <f t="array" ref="C9772">PRODUCT(1-'Sparkling Model'!D$2:D$38^A9772)</f>
        <v>0.9726275075</v>
      </c>
    </row>
    <row r="9773">
      <c r="A9773" s="6">
        <v>9771.0</v>
      </c>
      <c r="B9773" s="17">
        <f t="array" ref="B9773">SUM(1-'Sparkling Model'!D$2:D$38^A9773)</f>
        <v>36.97237009</v>
      </c>
      <c r="C9773" s="8">
        <f t="array" ref="C9773">PRODUCT(1-'Sparkling Model'!D$2:D$38^A9773)</f>
        <v>0.9726411147</v>
      </c>
    </row>
    <row r="9774">
      <c r="A9774" s="6">
        <v>9772.0</v>
      </c>
      <c r="B9774" s="17">
        <f t="array" ref="B9774">SUM(1-'Sparkling Model'!D$2:D$38^A9774)</f>
        <v>36.97238396</v>
      </c>
      <c r="C9774" s="8">
        <f t="array" ref="C9774">PRODUCT(1-'Sparkling Model'!D$2:D$38^A9774)</f>
        <v>0.9726547151</v>
      </c>
    </row>
    <row r="9775">
      <c r="A9775" s="6">
        <v>9773.0</v>
      </c>
      <c r="B9775" s="17">
        <f t="array" ref="B9775">SUM(1-'Sparkling Model'!D$2:D$38^A9775)</f>
        <v>36.97239783</v>
      </c>
      <c r="C9775" s="8">
        <f t="array" ref="C9775">PRODUCT(1-'Sparkling Model'!D$2:D$38^A9775)</f>
        <v>0.9726683088</v>
      </c>
    </row>
    <row r="9776">
      <c r="A9776" s="6">
        <v>9774.0</v>
      </c>
      <c r="B9776" s="17">
        <f t="array" ref="B9776">SUM(1-'Sparkling Model'!D$2:D$38^A9776)</f>
        <v>36.97241169</v>
      </c>
      <c r="C9776" s="8">
        <f t="array" ref="C9776">PRODUCT(1-'Sparkling Model'!D$2:D$38^A9776)</f>
        <v>0.9726818957</v>
      </c>
    </row>
    <row r="9777">
      <c r="A9777" s="6">
        <v>9775.0</v>
      </c>
      <c r="B9777" s="17">
        <f t="array" ref="B9777">SUM(1-'Sparkling Model'!D$2:D$38^A9777)</f>
        <v>36.97242554</v>
      </c>
      <c r="C9777" s="8">
        <f t="array" ref="C9777">PRODUCT(1-'Sparkling Model'!D$2:D$38^A9777)</f>
        <v>0.9726954759</v>
      </c>
    </row>
    <row r="9778">
      <c r="A9778" s="6">
        <v>9776.0</v>
      </c>
      <c r="B9778" s="17">
        <f t="array" ref="B9778">SUM(1-'Sparkling Model'!D$2:D$38^A9778)</f>
        <v>36.97243939</v>
      </c>
      <c r="C9778" s="8">
        <f t="array" ref="C9778">PRODUCT(1-'Sparkling Model'!D$2:D$38^A9778)</f>
        <v>0.9727090493</v>
      </c>
    </row>
    <row r="9779">
      <c r="A9779" s="6">
        <v>9777.0</v>
      </c>
      <c r="B9779" s="17">
        <f t="array" ref="B9779">SUM(1-'Sparkling Model'!D$2:D$38^A9779)</f>
        <v>36.97245323</v>
      </c>
      <c r="C9779" s="8">
        <f t="array" ref="C9779">PRODUCT(1-'Sparkling Model'!D$2:D$38^A9779)</f>
        <v>0.9727226159</v>
      </c>
    </row>
    <row r="9780">
      <c r="A9780" s="6">
        <v>9778.0</v>
      </c>
      <c r="B9780" s="17">
        <f t="array" ref="B9780">SUM(1-'Sparkling Model'!D$2:D$38^A9780)</f>
        <v>36.97246706</v>
      </c>
      <c r="C9780" s="8">
        <f t="array" ref="C9780">PRODUCT(1-'Sparkling Model'!D$2:D$38^A9780)</f>
        <v>0.9727361758</v>
      </c>
    </row>
    <row r="9781">
      <c r="A9781" s="6">
        <v>9779.0</v>
      </c>
      <c r="B9781" s="17">
        <f t="array" ref="B9781">SUM(1-'Sparkling Model'!D$2:D$38^A9781)</f>
        <v>36.97248088</v>
      </c>
      <c r="C9781" s="8">
        <f t="array" ref="C9781">PRODUCT(1-'Sparkling Model'!D$2:D$38^A9781)</f>
        <v>0.9727497289</v>
      </c>
    </row>
    <row r="9782">
      <c r="A9782" s="6">
        <v>9780.0</v>
      </c>
      <c r="B9782" s="17">
        <f t="array" ref="B9782">SUM(1-'Sparkling Model'!D$2:D$38^A9782)</f>
        <v>36.9724947</v>
      </c>
      <c r="C9782" s="8">
        <f t="array" ref="C9782">PRODUCT(1-'Sparkling Model'!D$2:D$38^A9782)</f>
        <v>0.9727632753</v>
      </c>
    </row>
    <row r="9783">
      <c r="A9783" s="6">
        <v>9781.0</v>
      </c>
      <c r="B9783" s="17">
        <f t="array" ref="B9783">SUM(1-'Sparkling Model'!D$2:D$38^A9783)</f>
        <v>36.97250851</v>
      </c>
      <c r="C9783" s="8">
        <f t="array" ref="C9783">PRODUCT(1-'Sparkling Model'!D$2:D$38^A9783)</f>
        <v>0.9727768149</v>
      </c>
    </row>
    <row r="9784">
      <c r="A9784" s="6">
        <v>9782.0</v>
      </c>
      <c r="B9784" s="17">
        <f t="array" ref="B9784">SUM(1-'Sparkling Model'!D$2:D$38^A9784)</f>
        <v>36.97252232</v>
      </c>
      <c r="C9784" s="8">
        <f t="array" ref="C9784">PRODUCT(1-'Sparkling Model'!D$2:D$38^A9784)</f>
        <v>0.9727903478</v>
      </c>
    </row>
    <row r="9785">
      <c r="A9785" s="6">
        <v>9783.0</v>
      </c>
      <c r="B9785" s="17">
        <f t="array" ref="B9785">SUM(1-'Sparkling Model'!D$2:D$38^A9785)</f>
        <v>36.97253611</v>
      </c>
      <c r="C9785" s="8">
        <f t="array" ref="C9785">PRODUCT(1-'Sparkling Model'!D$2:D$38^A9785)</f>
        <v>0.9728038739</v>
      </c>
    </row>
    <row r="9786">
      <c r="A9786" s="6">
        <v>9784.0</v>
      </c>
      <c r="B9786" s="17">
        <f t="array" ref="B9786">SUM(1-'Sparkling Model'!D$2:D$38^A9786)</f>
        <v>36.97254991</v>
      </c>
      <c r="C9786" s="8">
        <f t="array" ref="C9786">PRODUCT(1-'Sparkling Model'!D$2:D$38^A9786)</f>
        <v>0.9728173933</v>
      </c>
    </row>
    <row r="9787">
      <c r="A9787" s="6">
        <v>9785.0</v>
      </c>
      <c r="B9787" s="17">
        <f t="array" ref="B9787">SUM(1-'Sparkling Model'!D$2:D$38^A9787)</f>
        <v>36.97256369</v>
      </c>
      <c r="C9787" s="8">
        <f t="array" ref="C9787">PRODUCT(1-'Sparkling Model'!D$2:D$38^A9787)</f>
        <v>0.972830906</v>
      </c>
    </row>
    <row r="9788">
      <c r="A9788" s="6">
        <v>9786.0</v>
      </c>
      <c r="B9788" s="17">
        <f t="array" ref="B9788">SUM(1-'Sparkling Model'!D$2:D$38^A9788)</f>
        <v>36.97257746</v>
      </c>
      <c r="C9788" s="8">
        <f t="array" ref="C9788">PRODUCT(1-'Sparkling Model'!D$2:D$38^A9788)</f>
        <v>0.972844412</v>
      </c>
    </row>
    <row r="9789">
      <c r="A9789" s="6">
        <v>9787.0</v>
      </c>
      <c r="B9789" s="17">
        <f t="array" ref="B9789">SUM(1-'Sparkling Model'!D$2:D$38^A9789)</f>
        <v>36.97259123</v>
      </c>
      <c r="C9789" s="8">
        <f t="array" ref="C9789">PRODUCT(1-'Sparkling Model'!D$2:D$38^A9789)</f>
        <v>0.9728579112</v>
      </c>
    </row>
    <row r="9790">
      <c r="A9790" s="6">
        <v>9788.0</v>
      </c>
      <c r="B9790" s="17">
        <f t="array" ref="B9790">SUM(1-'Sparkling Model'!D$2:D$38^A9790)</f>
        <v>36.972605</v>
      </c>
      <c r="C9790" s="8">
        <f t="array" ref="C9790">PRODUCT(1-'Sparkling Model'!D$2:D$38^A9790)</f>
        <v>0.9728714037</v>
      </c>
    </row>
    <row r="9791">
      <c r="A9791" s="6">
        <v>9789.0</v>
      </c>
      <c r="B9791" s="17">
        <f t="array" ref="B9791">SUM(1-'Sparkling Model'!D$2:D$38^A9791)</f>
        <v>36.97261875</v>
      </c>
      <c r="C9791" s="8">
        <f t="array" ref="C9791">PRODUCT(1-'Sparkling Model'!D$2:D$38^A9791)</f>
        <v>0.9728848895</v>
      </c>
    </row>
    <row r="9792">
      <c r="A9792" s="6">
        <v>9790.0</v>
      </c>
      <c r="B9792" s="17">
        <f t="array" ref="B9792">SUM(1-'Sparkling Model'!D$2:D$38^A9792)</f>
        <v>36.9726325</v>
      </c>
      <c r="C9792" s="8">
        <f t="array" ref="C9792">PRODUCT(1-'Sparkling Model'!D$2:D$38^A9792)</f>
        <v>0.9728983685</v>
      </c>
    </row>
    <row r="9793">
      <c r="A9793" s="6">
        <v>9791.0</v>
      </c>
      <c r="B9793" s="17">
        <f t="array" ref="B9793">SUM(1-'Sparkling Model'!D$2:D$38^A9793)</f>
        <v>36.97264624</v>
      </c>
      <c r="C9793" s="8">
        <f t="array" ref="C9793">PRODUCT(1-'Sparkling Model'!D$2:D$38^A9793)</f>
        <v>0.9729118409</v>
      </c>
    </row>
    <row r="9794">
      <c r="A9794" s="6">
        <v>9792.0</v>
      </c>
      <c r="B9794" s="17">
        <f t="array" ref="B9794">SUM(1-'Sparkling Model'!D$2:D$38^A9794)</f>
        <v>36.97265997</v>
      </c>
      <c r="C9794" s="8">
        <f t="array" ref="C9794">PRODUCT(1-'Sparkling Model'!D$2:D$38^A9794)</f>
        <v>0.9729253066</v>
      </c>
    </row>
    <row r="9795">
      <c r="A9795" s="6">
        <v>9793.0</v>
      </c>
      <c r="B9795" s="17">
        <f t="array" ref="B9795">SUM(1-'Sparkling Model'!D$2:D$38^A9795)</f>
        <v>36.9726737</v>
      </c>
      <c r="C9795" s="8">
        <f t="array" ref="C9795">PRODUCT(1-'Sparkling Model'!D$2:D$38^A9795)</f>
        <v>0.9729387655</v>
      </c>
    </row>
    <row r="9796">
      <c r="A9796" s="6">
        <v>9794.0</v>
      </c>
      <c r="B9796" s="17">
        <f t="array" ref="B9796">SUM(1-'Sparkling Model'!D$2:D$38^A9796)</f>
        <v>36.97268742</v>
      </c>
      <c r="C9796" s="8">
        <f t="array" ref="C9796">PRODUCT(1-'Sparkling Model'!D$2:D$38^A9796)</f>
        <v>0.9729522177</v>
      </c>
    </row>
    <row r="9797">
      <c r="A9797" s="6">
        <v>9795.0</v>
      </c>
      <c r="B9797" s="17">
        <f t="array" ref="B9797">SUM(1-'Sparkling Model'!D$2:D$38^A9797)</f>
        <v>36.97270113</v>
      </c>
      <c r="C9797" s="8">
        <f t="array" ref="C9797">PRODUCT(1-'Sparkling Model'!D$2:D$38^A9797)</f>
        <v>0.9729656633</v>
      </c>
    </row>
    <row r="9798">
      <c r="A9798" s="6">
        <v>9796.0</v>
      </c>
      <c r="B9798" s="17">
        <f t="array" ref="B9798">SUM(1-'Sparkling Model'!D$2:D$38^A9798)</f>
        <v>36.97271484</v>
      </c>
      <c r="C9798" s="8">
        <f t="array" ref="C9798">PRODUCT(1-'Sparkling Model'!D$2:D$38^A9798)</f>
        <v>0.9729791021</v>
      </c>
    </row>
    <row r="9799">
      <c r="A9799" s="6">
        <v>9797.0</v>
      </c>
      <c r="B9799" s="17">
        <f t="array" ref="B9799">SUM(1-'Sparkling Model'!D$2:D$38^A9799)</f>
        <v>36.97272854</v>
      </c>
      <c r="C9799" s="8">
        <f t="array" ref="C9799">PRODUCT(1-'Sparkling Model'!D$2:D$38^A9799)</f>
        <v>0.9729925343</v>
      </c>
    </row>
    <row r="9800">
      <c r="A9800" s="6">
        <v>9798.0</v>
      </c>
      <c r="B9800" s="17">
        <f t="array" ref="B9800">SUM(1-'Sparkling Model'!D$2:D$38^A9800)</f>
        <v>36.97274223</v>
      </c>
      <c r="C9800" s="8">
        <f t="array" ref="C9800">PRODUCT(1-'Sparkling Model'!D$2:D$38^A9800)</f>
        <v>0.9730059598</v>
      </c>
    </row>
    <row r="9801">
      <c r="A9801" s="6">
        <v>9799.0</v>
      </c>
      <c r="B9801" s="17">
        <f t="array" ref="B9801">SUM(1-'Sparkling Model'!D$2:D$38^A9801)</f>
        <v>36.97275592</v>
      </c>
      <c r="C9801" s="8">
        <f t="array" ref="C9801">PRODUCT(1-'Sparkling Model'!D$2:D$38^A9801)</f>
        <v>0.9730193786</v>
      </c>
    </row>
    <row r="9802">
      <c r="A9802" s="6">
        <v>9800.0</v>
      </c>
      <c r="B9802" s="17">
        <f t="array" ref="B9802">SUM(1-'Sparkling Model'!D$2:D$38^A9802)</f>
        <v>36.9727696</v>
      </c>
      <c r="C9802" s="8">
        <f t="array" ref="C9802">PRODUCT(1-'Sparkling Model'!D$2:D$38^A9802)</f>
        <v>0.9730327907</v>
      </c>
    </row>
    <row r="9803">
      <c r="A9803" s="6">
        <v>9801.0</v>
      </c>
      <c r="B9803" s="17">
        <f t="array" ref="B9803">SUM(1-'Sparkling Model'!D$2:D$38^A9803)</f>
        <v>36.97278327</v>
      </c>
      <c r="C9803" s="8">
        <f t="array" ref="C9803">PRODUCT(1-'Sparkling Model'!D$2:D$38^A9803)</f>
        <v>0.9730461961</v>
      </c>
    </row>
    <row r="9804">
      <c r="A9804" s="6">
        <v>9802.0</v>
      </c>
      <c r="B9804" s="17">
        <f t="array" ref="B9804">SUM(1-'Sparkling Model'!D$2:D$38^A9804)</f>
        <v>36.97279693</v>
      </c>
      <c r="C9804" s="8">
        <f t="array" ref="C9804">PRODUCT(1-'Sparkling Model'!D$2:D$38^A9804)</f>
        <v>0.9730595948</v>
      </c>
    </row>
    <row r="9805">
      <c r="A9805" s="6">
        <v>9803.0</v>
      </c>
      <c r="B9805" s="17">
        <f t="array" ref="B9805">SUM(1-'Sparkling Model'!D$2:D$38^A9805)</f>
        <v>36.97281059</v>
      </c>
      <c r="C9805" s="8">
        <f t="array" ref="C9805">PRODUCT(1-'Sparkling Model'!D$2:D$38^A9805)</f>
        <v>0.9730729869</v>
      </c>
    </row>
    <row r="9806">
      <c r="A9806" s="6">
        <v>9804.0</v>
      </c>
      <c r="B9806" s="17">
        <f t="array" ref="B9806">SUM(1-'Sparkling Model'!D$2:D$38^A9806)</f>
        <v>36.97282424</v>
      </c>
      <c r="C9806" s="8">
        <f t="array" ref="C9806">PRODUCT(1-'Sparkling Model'!D$2:D$38^A9806)</f>
        <v>0.9730863723</v>
      </c>
    </row>
    <row r="9807">
      <c r="A9807" s="6">
        <v>9805.0</v>
      </c>
      <c r="B9807" s="17">
        <f t="array" ref="B9807">SUM(1-'Sparkling Model'!D$2:D$38^A9807)</f>
        <v>36.97283788</v>
      </c>
      <c r="C9807" s="8">
        <f t="array" ref="C9807">PRODUCT(1-'Sparkling Model'!D$2:D$38^A9807)</f>
        <v>0.9730997511</v>
      </c>
    </row>
    <row r="9808">
      <c r="A9808" s="6">
        <v>9806.0</v>
      </c>
      <c r="B9808" s="17">
        <f t="array" ref="B9808">SUM(1-'Sparkling Model'!D$2:D$38^A9808)</f>
        <v>36.97285152</v>
      </c>
      <c r="C9808" s="8">
        <f t="array" ref="C9808">PRODUCT(1-'Sparkling Model'!D$2:D$38^A9808)</f>
        <v>0.9731131232</v>
      </c>
    </row>
    <row r="9809">
      <c r="A9809" s="6">
        <v>9807.0</v>
      </c>
      <c r="B9809" s="17">
        <f t="array" ref="B9809">SUM(1-'Sparkling Model'!D$2:D$38^A9809)</f>
        <v>36.97286515</v>
      </c>
      <c r="C9809" s="8">
        <f t="array" ref="C9809">PRODUCT(1-'Sparkling Model'!D$2:D$38^A9809)</f>
        <v>0.9731264886</v>
      </c>
    </row>
    <row r="9810">
      <c r="A9810" s="6">
        <v>9808.0</v>
      </c>
      <c r="B9810" s="17">
        <f t="array" ref="B9810">SUM(1-'Sparkling Model'!D$2:D$38^A9810)</f>
        <v>36.97287877</v>
      </c>
      <c r="C9810" s="8">
        <f t="array" ref="C9810">PRODUCT(1-'Sparkling Model'!D$2:D$38^A9810)</f>
        <v>0.9731398473</v>
      </c>
    </row>
    <row r="9811">
      <c r="A9811" s="6">
        <v>9809.0</v>
      </c>
      <c r="B9811" s="17">
        <f t="array" ref="B9811">SUM(1-'Sparkling Model'!D$2:D$38^A9811)</f>
        <v>36.97289239</v>
      </c>
      <c r="C9811" s="8">
        <f t="array" ref="C9811">PRODUCT(1-'Sparkling Model'!D$2:D$38^A9811)</f>
        <v>0.9731531995</v>
      </c>
    </row>
    <row r="9812">
      <c r="A9812" s="6">
        <v>9810.0</v>
      </c>
      <c r="B9812" s="17">
        <f t="array" ref="B9812">SUM(1-'Sparkling Model'!D$2:D$38^A9812)</f>
        <v>36.972906</v>
      </c>
      <c r="C9812" s="8">
        <f t="array" ref="C9812">PRODUCT(1-'Sparkling Model'!D$2:D$38^A9812)</f>
        <v>0.9731665449</v>
      </c>
    </row>
    <row r="9813">
      <c r="A9813" s="6">
        <v>9811.0</v>
      </c>
      <c r="B9813" s="17">
        <f t="array" ref="B9813">SUM(1-'Sparkling Model'!D$2:D$38^A9813)</f>
        <v>36.9729196</v>
      </c>
      <c r="C9813" s="8">
        <f t="array" ref="C9813">PRODUCT(1-'Sparkling Model'!D$2:D$38^A9813)</f>
        <v>0.9731798838</v>
      </c>
    </row>
    <row r="9814">
      <c r="A9814" s="6">
        <v>9812.0</v>
      </c>
      <c r="B9814" s="17">
        <f t="array" ref="B9814">SUM(1-'Sparkling Model'!D$2:D$38^A9814)</f>
        <v>36.97293319</v>
      </c>
      <c r="C9814" s="8">
        <f t="array" ref="C9814">PRODUCT(1-'Sparkling Model'!D$2:D$38^A9814)</f>
        <v>0.9731932159</v>
      </c>
    </row>
    <row r="9815">
      <c r="A9815" s="6">
        <v>9813.0</v>
      </c>
      <c r="B9815" s="17">
        <f t="array" ref="B9815">SUM(1-'Sparkling Model'!D$2:D$38^A9815)</f>
        <v>36.97294678</v>
      </c>
      <c r="C9815" s="8">
        <f t="array" ref="C9815">PRODUCT(1-'Sparkling Model'!D$2:D$38^A9815)</f>
        <v>0.9732065415</v>
      </c>
    </row>
    <row r="9816">
      <c r="A9816" s="6">
        <v>9814.0</v>
      </c>
      <c r="B9816" s="17">
        <f t="array" ref="B9816">SUM(1-'Sparkling Model'!D$2:D$38^A9816)</f>
        <v>36.97296036</v>
      </c>
      <c r="C9816" s="8">
        <f t="array" ref="C9816">PRODUCT(1-'Sparkling Model'!D$2:D$38^A9816)</f>
        <v>0.9732198604</v>
      </c>
    </row>
    <row r="9817">
      <c r="A9817" s="6">
        <v>9815.0</v>
      </c>
      <c r="B9817" s="17">
        <f t="array" ref="B9817">SUM(1-'Sparkling Model'!D$2:D$38^A9817)</f>
        <v>36.97297394</v>
      </c>
      <c r="C9817" s="8">
        <f t="array" ref="C9817">PRODUCT(1-'Sparkling Model'!D$2:D$38^A9817)</f>
        <v>0.9732331727</v>
      </c>
    </row>
    <row r="9818">
      <c r="A9818" s="6">
        <v>9816.0</v>
      </c>
      <c r="B9818" s="17">
        <f t="array" ref="B9818">SUM(1-'Sparkling Model'!D$2:D$38^A9818)</f>
        <v>36.97298751</v>
      </c>
      <c r="C9818" s="8">
        <f t="array" ref="C9818">PRODUCT(1-'Sparkling Model'!D$2:D$38^A9818)</f>
        <v>0.9732464783</v>
      </c>
    </row>
    <row r="9819">
      <c r="A9819" s="6">
        <v>9817.0</v>
      </c>
      <c r="B9819" s="17">
        <f t="array" ref="B9819">SUM(1-'Sparkling Model'!D$2:D$38^A9819)</f>
        <v>36.97300107</v>
      </c>
      <c r="C9819" s="8">
        <f t="array" ref="C9819">PRODUCT(1-'Sparkling Model'!D$2:D$38^A9819)</f>
        <v>0.9732597773</v>
      </c>
    </row>
    <row r="9820">
      <c r="A9820" s="6">
        <v>9818.0</v>
      </c>
      <c r="B9820" s="17">
        <f t="array" ref="B9820">SUM(1-'Sparkling Model'!D$2:D$38^A9820)</f>
        <v>36.97301462</v>
      </c>
      <c r="C9820" s="8">
        <f t="array" ref="C9820">PRODUCT(1-'Sparkling Model'!D$2:D$38^A9820)</f>
        <v>0.9732730697</v>
      </c>
    </row>
    <row r="9821">
      <c r="A9821" s="6">
        <v>9819.0</v>
      </c>
      <c r="B9821" s="17">
        <f t="array" ref="B9821">SUM(1-'Sparkling Model'!D$2:D$38^A9821)</f>
        <v>36.97302817</v>
      </c>
      <c r="C9821" s="8">
        <f t="array" ref="C9821">PRODUCT(1-'Sparkling Model'!D$2:D$38^A9821)</f>
        <v>0.9732863555</v>
      </c>
    </row>
    <row r="9822">
      <c r="A9822" s="6">
        <v>9820.0</v>
      </c>
      <c r="B9822" s="17">
        <f t="array" ref="B9822">SUM(1-'Sparkling Model'!D$2:D$38^A9822)</f>
        <v>36.97304171</v>
      </c>
      <c r="C9822" s="8">
        <f t="array" ref="C9822">PRODUCT(1-'Sparkling Model'!D$2:D$38^A9822)</f>
        <v>0.9732996347</v>
      </c>
    </row>
    <row r="9823">
      <c r="A9823" s="6">
        <v>9821.0</v>
      </c>
      <c r="B9823" s="17">
        <f t="array" ref="B9823">SUM(1-'Sparkling Model'!D$2:D$38^A9823)</f>
        <v>36.97305524</v>
      </c>
      <c r="C9823" s="8">
        <f t="array" ref="C9823">PRODUCT(1-'Sparkling Model'!D$2:D$38^A9823)</f>
        <v>0.9733129072</v>
      </c>
    </row>
    <row r="9824">
      <c r="A9824" s="6">
        <v>9822.0</v>
      </c>
      <c r="B9824" s="17">
        <f t="array" ref="B9824">SUM(1-'Sparkling Model'!D$2:D$38^A9824)</f>
        <v>36.97306877</v>
      </c>
      <c r="C9824" s="8">
        <f t="array" ref="C9824">PRODUCT(1-'Sparkling Model'!D$2:D$38^A9824)</f>
        <v>0.9733261732</v>
      </c>
    </row>
    <row r="9825">
      <c r="A9825" s="6">
        <v>9823.0</v>
      </c>
      <c r="B9825" s="17">
        <f t="array" ref="B9825">SUM(1-'Sparkling Model'!D$2:D$38^A9825)</f>
        <v>36.97308229</v>
      </c>
      <c r="C9825" s="8">
        <f t="array" ref="C9825">PRODUCT(1-'Sparkling Model'!D$2:D$38^A9825)</f>
        <v>0.9733394325</v>
      </c>
    </row>
    <row r="9826">
      <c r="A9826" s="6">
        <v>9824.0</v>
      </c>
      <c r="B9826" s="17">
        <f t="array" ref="B9826">SUM(1-'Sparkling Model'!D$2:D$38^A9826)</f>
        <v>36.9730958</v>
      </c>
      <c r="C9826" s="8">
        <f t="array" ref="C9826">PRODUCT(1-'Sparkling Model'!D$2:D$38^A9826)</f>
        <v>0.9733526852</v>
      </c>
    </row>
    <row r="9827">
      <c r="A9827" s="6">
        <v>9825.0</v>
      </c>
      <c r="B9827" s="17">
        <f t="array" ref="B9827">SUM(1-'Sparkling Model'!D$2:D$38^A9827)</f>
        <v>36.9731093</v>
      </c>
      <c r="C9827" s="8">
        <f t="array" ref="C9827">PRODUCT(1-'Sparkling Model'!D$2:D$38^A9827)</f>
        <v>0.9733659314</v>
      </c>
    </row>
    <row r="9828">
      <c r="A9828" s="6">
        <v>9826.0</v>
      </c>
      <c r="B9828" s="17">
        <f t="array" ref="B9828">SUM(1-'Sparkling Model'!D$2:D$38^A9828)</f>
        <v>36.9731228</v>
      </c>
      <c r="C9828" s="8">
        <f t="array" ref="C9828">PRODUCT(1-'Sparkling Model'!D$2:D$38^A9828)</f>
        <v>0.9733791709</v>
      </c>
    </row>
    <row r="9829">
      <c r="A9829" s="6">
        <v>9827.0</v>
      </c>
      <c r="B9829" s="17">
        <f t="array" ref="B9829">SUM(1-'Sparkling Model'!D$2:D$38^A9829)</f>
        <v>36.9731363</v>
      </c>
      <c r="C9829" s="8">
        <f t="array" ref="C9829">PRODUCT(1-'Sparkling Model'!D$2:D$38^A9829)</f>
        <v>0.9733924039</v>
      </c>
    </row>
    <row r="9830">
      <c r="A9830" s="6">
        <v>9828.0</v>
      </c>
      <c r="B9830" s="17">
        <f t="array" ref="B9830">SUM(1-'Sparkling Model'!D$2:D$38^A9830)</f>
        <v>36.97314978</v>
      </c>
      <c r="C9830" s="8">
        <f t="array" ref="C9830">PRODUCT(1-'Sparkling Model'!D$2:D$38^A9830)</f>
        <v>0.9734056302</v>
      </c>
    </row>
    <row r="9831">
      <c r="A9831" s="6">
        <v>9829.0</v>
      </c>
      <c r="B9831" s="17">
        <f t="array" ref="B9831">SUM(1-'Sparkling Model'!D$2:D$38^A9831)</f>
        <v>36.97316326</v>
      </c>
      <c r="C9831" s="8">
        <f t="array" ref="C9831">PRODUCT(1-'Sparkling Model'!D$2:D$38^A9831)</f>
        <v>0.97341885</v>
      </c>
    </row>
    <row r="9832">
      <c r="A9832" s="6">
        <v>9830.0</v>
      </c>
      <c r="B9832" s="17">
        <f t="array" ref="B9832">SUM(1-'Sparkling Model'!D$2:D$38^A9832)</f>
        <v>36.97317673</v>
      </c>
      <c r="C9832" s="8">
        <f t="array" ref="C9832">PRODUCT(1-'Sparkling Model'!D$2:D$38^A9832)</f>
        <v>0.9734320632</v>
      </c>
    </row>
    <row r="9833">
      <c r="A9833" s="6">
        <v>9831.0</v>
      </c>
      <c r="B9833" s="17">
        <f t="array" ref="B9833">SUM(1-'Sparkling Model'!D$2:D$38^A9833)</f>
        <v>36.9731902</v>
      </c>
      <c r="C9833" s="8">
        <f t="array" ref="C9833">PRODUCT(1-'Sparkling Model'!D$2:D$38^A9833)</f>
        <v>0.9734452698</v>
      </c>
    </row>
    <row r="9834">
      <c r="A9834" s="6">
        <v>9832.0</v>
      </c>
      <c r="B9834" s="17">
        <f t="array" ref="B9834">SUM(1-'Sparkling Model'!D$2:D$38^A9834)</f>
        <v>36.97320365</v>
      </c>
      <c r="C9834" s="8">
        <f t="array" ref="C9834">PRODUCT(1-'Sparkling Model'!D$2:D$38^A9834)</f>
        <v>0.9734584698</v>
      </c>
    </row>
    <row r="9835">
      <c r="A9835" s="6">
        <v>9833.0</v>
      </c>
      <c r="B9835" s="17">
        <f t="array" ref="B9835">SUM(1-'Sparkling Model'!D$2:D$38^A9835)</f>
        <v>36.9732171</v>
      </c>
      <c r="C9835" s="8">
        <f t="array" ref="C9835">PRODUCT(1-'Sparkling Model'!D$2:D$38^A9835)</f>
        <v>0.9734716633</v>
      </c>
    </row>
    <row r="9836">
      <c r="A9836" s="6">
        <v>9834.0</v>
      </c>
      <c r="B9836" s="17">
        <f t="array" ref="B9836">SUM(1-'Sparkling Model'!D$2:D$38^A9836)</f>
        <v>36.97323055</v>
      </c>
      <c r="C9836" s="8">
        <f t="array" ref="C9836">PRODUCT(1-'Sparkling Model'!D$2:D$38^A9836)</f>
        <v>0.9734848502</v>
      </c>
    </row>
    <row r="9837">
      <c r="A9837" s="6">
        <v>9835.0</v>
      </c>
      <c r="B9837" s="17">
        <f t="array" ref="B9837">SUM(1-'Sparkling Model'!D$2:D$38^A9837)</f>
        <v>36.97324399</v>
      </c>
      <c r="C9837" s="8">
        <f t="array" ref="C9837">PRODUCT(1-'Sparkling Model'!D$2:D$38^A9837)</f>
        <v>0.9734980305</v>
      </c>
    </row>
    <row r="9838">
      <c r="A9838" s="6">
        <v>9836.0</v>
      </c>
      <c r="B9838" s="17">
        <f t="array" ref="B9838">SUM(1-'Sparkling Model'!D$2:D$38^A9838)</f>
        <v>36.97325742</v>
      </c>
      <c r="C9838" s="8">
        <f t="array" ref="C9838">PRODUCT(1-'Sparkling Model'!D$2:D$38^A9838)</f>
        <v>0.9735112043</v>
      </c>
    </row>
    <row r="9839">
      <c r="A9839" s="6">
        <v>9837.0</v>
      </c>
      <c r="B9839" s="17">
        <f t="array" ref="B9839">SUM(1-'Sparkling Model'!D$2:D$38^A9839)</f>
        <v>36.97327084</v>
      </c>
      <c r="C9839" s="8">
        <f t="array" ref="C9839">PRODUCT(1-'Sparkling Model'!D$2:D$38^A9839)</f>
        <v>0.9735243715</v>
      </c>
    </row>
    <row r="9840">
      <c r="A9840" s="6">
        <v>9838.0</v>
      </c>
      <c r="B9840" s="17">
        <f t="array" ref="B9840">SUM(1-'Sparkling Model'!D$2:D$38^A9840)</f>
        <v>36.97328426</v>
      </c>
      <c r="C9840" s="8">
        <f t="array" ref="C9840">PRODUCT(1-'Sparkling Model'!D$2:D$38^A9840)</f>
        <v>0.9735375321</v>
      </c>
    </row>
    <row r="9841">
      <c r="A9841" s="6">
        <v>9839.0</v>
      </c>
      <c r="B9841" s="17">
        <f t="array" ref="B9841">SUM(1-'Sparkling Model'!D$2:D$38^A9841)</f>
        <v>36.97329767</v>
      </c>
      <c r="C9841" s="8">
        <f t="array" ref="C9841">PRODUCT(1-'Sparkling Model'!D$2:D$38^A9841)</f>
        <v>0.9735506862</v>
      </c>
    </row>
    <row r="9842">
      <c r="A9842" s="6">
        <v>9840.0</v>
      </c>
      <c r="B9842" s="17">
        <f t="array" ref="B9842">SUM(1-'Sparkling Model'!D$2:D$38^A9842)</f>
        <v>36.97331107</v>
      </c>
      <c r="C9842" s="8">
        <f t="array" ref="C9842">PRODUCT(1-'Sparkling Model'!D$2:D$38^A9842)</f>
        <v>0.9735638338</v>
      </c>
    </row>
    <row r="9843">
      <c r="A9843" s="6">
        <v>9841.0</v>
      </c>
      <c r="B9843" s="17">
        <f t="array" ref="B9843">SUM(1-'Sparkling Model'!D$2:D$38^A9843)</f>
        <v>36.97332447</v>
      </c>
      <c r="C9843" s="8">
        <f t="array" ref="C9843">PRODUCT(1-'Sparkling Model'!D$2:D$38^A9843)</f>
        <v>0.9735769748</v>
      </c>
    </row>
    <row r="9844">
      <c r="A9844" s="6">
        <v>9842.0</v>
      </c>
      <c r="B9844" s="17">
        <f t="array" ref="B9844">SUM(1-'Sparkling Model'!D$2:D$38^A9844)</f>
        <v>36.97333786</v>
      </c>
      <c r="C9844" s="8">
        <f t="array" ref="C9844">PRODUCT(1-'Sparkling Model'!D$2:D$38^A9844)</f>
        <v>0.9735901092</v>
      </c>
    </row>
    <row r="9845">
      <c r="A9845" s="6">
        <v>9843.0</v>
      </c>
      <c r="B9845" s="17">
        <f t="array" ref="B9845">SUM(1-'Sparkling Model'!D$2:D$38^A9845)</f>
        <v>36.97335124</v>
      </c>
      <c r="C9845" s="8">
        <f t="array" ref="C9845">PRODUCT(1-'Sparkling Model'!D$2:D$38^A9845)</f>
        <v>0.9736032371</v>
      </c>
    </row>
    <row r="9846">
      <c r="A9846" s="6">
        <v>9844.0</v>
      </c>
      <c r="B9846" s="17">
        <f t="array" ref="B9846">SUM(1-'Sparkling Model'!D$2:D$38^A9846)</f>
        <v>36.97336461</v>
      </c>
      <c r="C9846" s="8">
        <f t="array" ref="C9846">PRODUCT(1-'Sparkling Model'!D$2:D$38^A9846)</f>
        <v>0.9736163585</v>
      </c>
    </row>
    <row r="9847">
      <c r="A9847" s="6">
        <v>9845.0</v>
      </c>
      <c r="B9847" s="17">
        <f t="array" ref="B9847">SUM(1-'Sparkling Model'!D$2:D$38^A9847)</f>
        <v>36.97337798</v>
      </c>
      <c r="C9847" s="8">
        <f t="array" ref="C9847">PRODUCT(1-'Sparkling Model'!D$2:D$38^A9847)</f>
        <v>0.9736294733</v>
      </c>
    </row>
    <row r="9848">
      <c r="A9848" s="6">
        <v>9846.0</v>
      </c>
      <c r="B9848" s="17">
        <f t="array" ref="B9848">SUM(1-'Sparkling Model'!D$2:D$38^A9848)</f>
        <v>36.97339135</v>
      </c>
      <c r="C9848" s="8">
        <f t="array" ref="C9848">PRODUCT(1-'Sparkling Model'!D$2:D$38^A9848)</f>
        <v>0.9736425817</v>
      </c>
    </row>
    <row r="9849">
      <c r="A9849" s="6">
        <v>9847.0</v>
      </c>
      <c r="B9849" s="17">
        <f t="array" ref="B9849">SUM(1-'Sparkling Model'!D$2:D$38^A9849)</f>
        <v>36.9734047</v>
      </c>
      <c r="C9849" s="8">
        <f t="array" ref="C9849">PRODUCT(1-'Sparkling Model'!D$2:D$38^A9849)</f>
        <v>0.9736556834</v>
      </c>
    </row>
    <row r="9850">
      <c r="A9850" s="6">
        <v>9848.0</v>
      </c>
      <c r="B9850" s="17">
        <f t="array" ref="B9850">SUM(1-'Sparkling Model'!D$2:D$38^A9850)</f>
        <v>36.97341805</v>
      </c>
      <c r="C9850" s="8">
        <f t="array" ref="C9850">PRODUCT(1-'Sparkling Model'!D$2:D$38^A9850)</f>
        <v>0.9736687787</v>
      </c>
    </row>
    <row r="9851">
      <c r="A9851" s="6">
        <v>9849.0</v>
      </c>
      <c r="B9851" s="17">
        <f t="array" ref="B9851">SUM(1-'Sparkling Model'!D$2:D$38^A9851)</f>
        <v>36.97343139</v>
      </c>
      <c r="C9851" s="8">
        <f t="array" ref="C9851">PRODUCT(1-'Sparkling Model'!D$2:D$38^A9851)</f>
        <v>0.9736818674</v>
      </c>
    </row>
    <row r="9852">
      <c r="A9852" s="6">
        <v>9850.0</v>
      </c>
      <c r="B9852" s="17">
        <f t="array" ref="B9852">SUM(1-'Sparkling Model'!D$2:D$38^A9852)</f>
        <v>36.97344473</v>
      </c>
      <c r="C9852" s="8">
        <f t="array" ref="C9852">PRODUCT(1-'Sparkling Model'!D$2:D$38^A9852)</f>
        <v>0.9736949497</v>
      </c>
    </row>
    <row r="9853">
      <c r="A9853" s="6">
        <v>9851.0</v>
      </c>
      <c r="B9853" s="17">
        <f t="array" ref="B9853">SUM(1-'Sparkling Model'!D$2:D$38^A9853)</f>
        <v>36.97345806</v>
      </c>
      <c r="C9853" s="8">
        <f t="array" ref="C9853">PRODUCT(1-'Sparkling Model'!D$2:D$38^A9853)</f>
        <v>0.9737080254</v>
      </c>
    </row>
    <row r="9854">
      <c r="A9854" s="6">
        <v>9852.0</v>
      </c>
      <c r="B9854" s="17">
        <f t="array" ref="B9854">SUM(1-'Sparkling Model'!D$2:D$38^A9854)</f>
        <v>36.97347138</v>
      </c>
      <c r="C9854" s="8">
        <f t="array" ref="C9854">PRODUCT(1-'Sparkling Model'!D$2:D$38^A9854)</f>
        <v>0.9737210946</v>
      </c>
    </row>
    <row r="9855">
      <c r="A9855" s="6">
        <v>9853.0</v>
      </c>
      <c r="B9855" s="17">
        <f t="array" ref="B9855">SUM(1-'Sparkling Model'!D$2:D$38^A9855)</f>
        <v>36.97348469</v>
      </c>
      <c r="C9855" s="8">
        <f t="array" ref="C9855">PRODUCT(1-'Sparkling Model'!D$2:D$38^A9855)</f>
        <v>0.9737341572</v>
      </c>
    </row>
    <row r="9856">
      <c r="A9856" s="6">
        <v>9854.0</v>
      </c>
      <c r="B9856" s="17">
        <f t="array" ref="B9856">SUM(1-'Sparkling Model'!D$2:D$38^A9856)</f>
        <v>36.973498</v>
      </c>
      <c r="C9856" s="8">
        <f t="array" ref="C9856">PRODUCT(1-'Sparkling Model'!D$2:D$38^A9856)</f>
        <v>0.9737472134</v>
      </c>
    </row>
    <row r="9857">
      <c r="A9857" s="6">
        <v>9855.0</v>
      </c>
      <c r="B9857" s="17">
        <f t="array" ref="B9857">SUM(1-'Sparkling Model'!D$2:D$38^A9857)</f>
        <v>36.9735113</v>
      </c>
      <c r="C9857" s="8">
        <f t="array" ref="C9857">PRODUCT(1-'Sparkling Model'!D$2:D$38^A9857)</f>
        <v>0.9737602631</v>
      </c>
    </row>
    <row r="9858">
      <c r="A9858" s="6">
        <v>9856.0</v>
      </c>
      <c r="B9858" s="17">
        <f t="array" ref="B9858">SUM(1-'Sparkling Model'!D$2:D$38^A9858)</f>
        <v>36.9735246</v>
      </c>
      <c r="C9858" s="8">
        <f t="array" ref="C9858">PRODUCT(1-'Sparkling Model'!D$2:D$38^A9858)</f>
        <v>0.9737733063</v>
      </c>
    </row>
    <row r="9859">
      <c r="A9859" s="6">
        <v>9857.0</v>
      </c>
      <c r="B9859" s="17">
        <f t="array" ref="B9859">SUM(1-'Sparkling Model'!D$2:D$38^A9859)</f>
        <v>36.97353788</v>
      </c>
      <c r="C9859" s="8">
        <f t="array" ref="C9859">PRODUCT(1-'Sparkling Model'!D$2:D$38^A9859)</f>
        <v>0.973786343</v>
      </c>
    </row>
    <row r="9860">
      <c r="A9860" s="6">
        <v>9858.0</v>
      </c>
      <c r="B9860" s="17">
        <f t="array" ref="B9860">SUM(1-'Sparkling Model'!D$2:D$38^A9860)</f>
        <v>36.97355117</v>
      </c>
      <c r="C9860" s="8">
        <f t="array" ref="C9860">PRODUCT(1-'Sparkling Model'!D$2:D$38^A9860)</f>
        <v>0.9737993732</v>
      </c>
    </row>
    <row r="9861">
      <c r="A9861" s="6">
        <v>9859.0</v>
      </c>
      <c r="B9861" s="17">
        <f t="array" ref="B9861">SUM(1-'Sparkling Model'!D$2:D$38^A9861)</f>
        <v>36.97356444</v>
      </c>
      <c r="C9861" s="8">
        <f t="array" ref="C9861">PRODUCT(1-'Sparkling Model'!D$2:D$38^A9861)</f>
        <v>0.9738123969</v>
      </c>
    </row>
    <row r="9862">
      <c r="A9862" s="6">
        <v>9860.0</v>
      </c>
      <c r="B9862" s="17">
        <f t="array" ref="B9862">SUM(1-'Sparkling Model'!D$2:D$38^A9862)</f>
        <v>36.97357771</v>
      </c>
      <c r="C9862" s="8">
        <f t="array" ref="C9862">PRODUCT(1-'Sparkling Model'!D$2:D$38^A9862)</f>
        <v>0.9738254141</v>
      </c>
    </row>
    <row r="9863">
      <c r="A9863" s="6">
        <v>9861.0</v>
      </c>
      <c r="B9863" s="17">
        <f t="array" ref="B9863">SUM(1-'Sparkling Model'!D$2:D$38^A9863)</f>
        <v>36.97359097</v>
      </c>
      <c r="C9863" s="8">
        <f t="array" ref="C9863">PRODUCT(1-'Sparkling Model'!D$2:D$38^A9863)</f>
        <v>0.9738384249</v>
      </c>
    </row>
    <row r="9864">
      <c r="A9864" s="6">
        <v>9862.0</v>
      </c>
      <c r="B9864" s="17">
        <f t="array" ref="B9864">SUM(1-'Sparkling Model'!D$2:D$38^A9864)</f>
        <v>36.97360422</v>
      </c>
      <c r="C9864" s="8">
        <f t="array" ref="C9864">PRODUCT(1-'Sparkling Model'!D$2:D$38^A9864)</f>
        <v>0.9738514291</v>
      </c>
    </row>
    <row r="9865">
      <c r="A9865" s="6">
        <v>9863.0</v>
      </c>
      <c r="B9865" s="17">
        <f t="array" ref="B9865">SUM(1-'Sparkling Model'!D$2:D$38^A9865)</f>
        <v>36.97361747</v>
      </c>
      <c r="C9865" s="8">
        <f t="array" ref="C9865">PRODUCT(1-'Sparkling Model'!D$2:D$38^A9865)</f>
        <v>0.9738644269</v>
      </c>
    </row>
    <row r="9866">
      <c r="A9866" s="6">
        <v>9864.0</v>
      </c>
      <c r="B9866" s="17">
        <f t="array" ref="B9866">SUM(1-'Sparkling Model'!D$2:D$38^A9866)</f>
        <v>36.97363071</v>
      </c>
      <c r="C9866" s="8">
        <f t="array" ref="C9866">PRODUCT(1-'Sparkling Model'!D$2:D$38^A9866)</f>
        <v>0.9738774182</v>
      </c>
    </row>
    <row r="9867">
      <c r="A9867" s="6">
        <v>9865.0</v>
      </c>
      <c r="B9867" s="17">
        <f t="array" ref="B9867">SUM(1-'Sparkling Model'!D$2:D$38^A9867)</f>
        <v>36.97364395</v>
      </c>
      <c r="C9867" s="8">
        <f t="array" ref="C9867">PRODUCT(1-'Sparkling Model'!D$2:D$38^A9867)</f>
        <v>0.9738904031</v>
      </c>
    </row>
    <row r="9868">
      <c r="A9868" s="6">
        <v>9866.0</v>
      </c>
      <c r="B9868" s="17">
        <f t="array" ref="B9868">SUM(1-'Sparkling Model'!D$2:D$38^A9868)</f>
        <v>36.97365717</v>
      </c>
      <c r="C9868" s="8">
        <f t="array" ref="C9868">PRODUCT(1-'Sparkling Model'!D$2:D$38^A9868)</f>
        <v>0.9739033814</v>
      </c>
    </row>
    <row r="9869">
      <c r="A9869" s="6">
        <v>9867.0</v>
      </c>
      <c r="B9869" s="17">
        <f t="array" ref="B9869">SUM(1-'Sparkling Model'!D$2:D$38^A9869)</f>
        <v>36.97367039</v>
      </c>
      <c r="C9869" s="8">
        <f t="array" ref="C9869">PRODUCT(1-'Sparkling Model'!D$2:D$38^A9869)</f>
        <v>0.9739163534</v>
      </c>
    </row>
    <row r="9870">
      <c r="A9870" s="6">
        <v>9868.0</v>
      </c>
      <c r="B9870" s="17">
        <f t="array" ref="B9870">SUM(1-'Sparkling Model'!D$2:D$38^A9870)</f>
        <v>36.97368361</v>
      </c>
      <c r="C9870" s="8">
        <f t="array" ref="C9870">PRODUCT(1-'Sparkling Model'!D$2:D$38^A9870)</f>
        <v>0.9739293188</v>
      </c>
    </row>
    <row r="9871">
      <c r="A9871" s="6">
        <v>9869.0</v>
      </c>
      <c r="B9871" s="17">
        <f t="array" ref="B9871">SUM(1-'Sparkling Model'!D$2:D$38^A9871)</f>
        <v>36.97369681</v>
      </c>
      <c r="C9871" s="8">
        <f t="array" ref="C9871">PRODUCT(1-'Sparkling Model'!D$2:D$38^A9871)</f>
        <v>0.9739422778</v>
      </c>
    </row>
    <row r="9872">
      <c r="A9872" s="6">
        <v>9870.0</v>
      </c>
      <c r="B9872" s="17">
        <f t="array" ref="B9872">SUM(1-'Sparkling Model'!D$2:D$38^A9872)</f>
        <v>36.97371002</v>
      </c>
      <c r="C9872" s="8">
        <f t="array" ref="C9872">PRODUCT(1-'Sparkling Model'!D$2:D$38^A9872)</f>
        <v>0.9739552304</v>
      </c>
    </row>
    <row r="9873">
      <c r="A9873" s="6">
        <v>9871.0</v>
      </c>
      <c r="B9873" s="17">
        <f t="array" ref="B9873">SUM(1-'Sparkling Model'!D$2:D$38^A9873)</f>
        <v>36.97372321</v>
      </c>
      <c r="C9873" s="8">
        <f t="array" ref="C9873">PRODUCT(1-'Sparkling Model'!D$2:D$38^A9873)</f>
        <v>0.9739681765</v>
      </c>
    </row>
    <row r="9874">
      <c r="A9874" s="6">
        <v>9872.0</v>
      </c>
      <c r="B9874" s="17">
        <f t="array" ref="B9874">SUM(1-'Sparkling Model'!D$2:D$38^A9874)</f>
        <v>36.9737364</v>
      </c>
      <c r="C9874" s="8">
        <f t="array" ref="C9874">PRODUCT(1-'Sparkling Model'!D$2:D$38^A9874)</f>
        <v>0.9739811161</v>
      </c>
    </row>
    <row r="9875">
      <c r="A9875" s="6">
        <v>9873.0</v>
      </c>
      <c r="B9875" s="17">
        <f t="array" ref="B9875">SUM(1-'Sparkling Model'!D$2:D$38^A9875)</f>
        <v>36.97374958</v>
      </c>
      <c r="C9875" s="8">
        <f t="array" ref="C9875">PRODUCT(1-'Sparkling Model'!D$2:D$38^A9875)</f>
        <v>0.9739940493</v>
      </c>
    </row>
    <row r="9876">
      <c r="A9876" s="6">
        <v>9874.0</v>
      </c>
      <c r="B9876" s="17">
        <f t="array" ref="B9876">SUM(1-'Sparkling Model'!D$2:D$38^A9876)</f>
        <v>36.97376275</v>
      </c>
      <c r="C9876" s="8">
        <f t="array" ref="C9876">PRODUCT(1-'Sparkling Model'!D$2:D$38^A9876)</f>
        <v>0.9740069761</v>
      </c>
    </row>
    <row r="9877">
      <c r="A9877" s="6">
        <v>9875.0</v>
      </c>
      <c r="B9877" s="17">
        <f t="array" ref="B9877">SUM(1-'Sparkling Model'!D$2:D$38^A9877)</f>
        <v>36.97377592</v>
      </c>
      <c r="C9877" s="8">
        <f t="array" ref="C9877">PRODUCT(1-'Sparkling Model'!D$2:D$38^A9877)</f>
        <v>0.9740198964</v>
      </c>
    </row>
    <row r="9878">
      <c r="A9878" s="6">
        <v>9876.0</v>
      </c>
      <c r="B9878" s="17">
        <f t="array" ref="B9878">SUM(1-'Sparkling Model'!D$2:D$38^A9878)</f>
        <v>36.97378908</v>
      </c>
      <c r="C9878" s="8">
        <f t="array" ref="C9878">PRODUCT(1-'Sparkling Model'!D$2:D$38^A9878)</f>
        <v>0.9740328103</v>
      </c>
    </row>
    <row r="9879">
      <c r="A9879" s="6">
        <v>9877.0</v>
      </c>
      <c r="B9879" s="17">
        <f t="array" ref="B9879">SUM(1-'Sparkling Model'!D$2:D$38^A9879)</f>
        <v>36.97380223</v>
      </c>
      <c r="C9879" s="8">
        <f t="array" ref="C9879">PRODUCT(1-'Sparkling Model'!D$2:D$38^A9879)</f>
        <v>0.9740457178</v>
      </c>
    </row>
    <row r="9880">
      <c r="A9880" s="6">
        <v>9878.0</v>
      </c>
      <c r="B9880" s="17">
        <f t="array" ref="B9880">SUM(1-'Sparkling Model'!D$2:D$38^A9880)</f>
        <v>36.97381538</v>
      </c>
      <c r="C9880" s="8">
        <f t="array" ref="C9880">PRODUCT(1-'Sparkling Model'!D$2:D$38^A9880)</f>
        <v>0.9740586188</v>
      </c>
    </row>
    <row r="9881">
      <c r="A9881" s="6">
        <v>9879.0</v>
      </c>
      <c r="B9881" s="17">
        <f t="array" ref="B9881">SUM(1-'Sparkling Model'!D$2:D$38^A9881)</f>
        <v>36.97382852</v>
      </c>
      <c r="C9881" s="8">
        <f t="array" ref="C9881">PRODUCT(1-'Sparkling Model'!D$2:D$38^A9881)</f>
        <v>0.9740715135</v>
      </c>
    </row>
    <row r="9882">
      <c r="A9882" s="6">
        <v>9880.0</v>
      </c>
      <c r="B9882" s="17">
        <f t="array" ref="B9882">SUM(1-'Sparkling Model'!D$2:D$38^A9882)</f>
        <v>36.97384165</v>
      </c>
      <c r="C9882" s="8">
        <f t="array" ref="C9882">PRODUCT(1-'Sparkling Model'!D$2:D$38^A9882)</f>
        <v>0.9740844017</v>
      </c>
    </row>
    <row r="9883">
      <c r="A9883" s="6">
        <v>9881.0</v>
      </c>
      <c r="B9883" s="17">
        <f t="array" ref="B9883">SUM(1-'Sparkling Model'!D$2:D$38^A9883)</f>
        <v>36.97385478</v>
      </c>
      <c r="C9883" s="8">
        <f t="array" ref="C9883">PRODUCT(1-'Sparkling Model'!D$2:D$38^A9883)</f>
        <v>0.9740972834</v>
      </c>
    </row>
    <row r="9884">
      <c r="A9884" s="6">
        <v>9882.0</v>
      </c>
      <c r="B9884" s="17">
        <f t="array" ref="B9884">SUM(1-'Sparkling Model'!D$2:D$38^A9884)</f>
        <v>36.9738679</v>
      </c>
      <c r="C9884" s="8">
        <f t="array" ref="C9884">PRODUCT(1-'Sparkling Model'!D$2:D$38^A9884)</f>
        <v>0.9741101588</v>
      </c>
    </row>
    <row r="9885">
      <c r="A9885" s="6">
        <v>9883.0</v>
      </c>
      <c r="B9885" s="17">
        <f t="array" ref="B9885">SUM(1-'Sparkling Model'!D$2:D$38^A9885)</f>
        <v>36.97388101</v>
      </c>
      <c r="C9885" s="8">
        <f t="array" ref="C9885">PRODUCT(1-'Sparkling Model'!D$2:D$38^A9885)</f>
        <v>0.9741230277</v>
      </c>
    </row>
    <row r="9886">
      <c r="A9886" s="6">
        <v>9884.0</v>
      </c>
      <c r="B9886" s="17">
        <f t="array" ref="B9886">SUM(1-'Sparkling Model'!D$2:D$38^A9886)</f>
        <v>36.97389412</v>
      </c>
      <c r="C9886" s="8">
        <f t="array" ref="C9886">PRODUCT(1-'Sparkling Model'!D$2:D$38^A9886)</f>
        <v>0.9741358903</v>
      </c>
    </row>
    <row r="9887">
      <c r="A9887" s="6">
        <v>9885.0</v>
      </c>
      <c r="B9887" s="17">
        <f t="array" ref="B9887">SUM(1-'Sparkling Model'!D$2:D$38^A9887)</f>
        <v>36.97390722</v>
      </c>
      <c r="C9887" s="8">
        <f t="array" ref="C9887">PRODUCT(1-'Sparkling Model'!D$2:D$38^A9887)</f>
        <v>0.9741487464</v>
      </c>
    </row>
    <row r="9888">
      <c r="A9888" s="6">
        <v>9886.0</v>
      </c>
      <c r="B9888" s="17">
        <f t="array" ref="B9888">SUM(1-'Sparkling Model'!D$2:D$38^A9888)</f>
        <v>36.97392031</v>
      </c>
      <c r="C9888" s="8">
        <f t="array" ref="C9888">PRODUCT(1-'Sparkling Model'!D$2:D$38^A9888)</f>
        <v>0.9741615962</v>
      </c>
    </row>
    <row r="9889">
      <c r="A9889" s="6">
        <v>9887.0</v>
      </c>
      <c r="B9889" s="17">
        <f t="array" ref="B9889">SUM(1-'Sparkling Model'!D$2:D$38^A9889)</f>
        <v>36.9739334</v>
      </c>
      <c r="C9889" s="8">
        <f t="array" ref="C9889">PRODUCT(1-'Sparkling Model'!D$2:D$38^A9889)</f>
        <v>0.9741744395</v>
      </c>
    </row>
    <row r="9890">
      <c r="A9890" s="6">
        <v>9888.0</v>
      </c>
      <c r="B9890" s="17">
        <f t="array" ref="B9890">SUM(1-'Sparkling Model'!D$2:D$38^A9890)</f>
        <v>36.97394648</v>
      </c>
      <c r="C9890" s="8">
        <f t="array" ref="C9890">PRODUCT(1-'Sparkling Model'!D$2:D$38^A9890)</f>
        <v>0.9741872764</v>
      </c>
    </row>
    <row r="9891">
      <c r="A9891" s="6">
        <v>9889.0</v>
      </c>
      <c r="B9891" s="17">
        <f t="array" ref="B9891">SUM(1-'Sparkling Model'!D$2:D$38^A9891)</f>
        <v>36.97395956</v>
      </c>
      <c r="C9891" s="8">
        <f t="array" ref="C9891">PRODUCT(1-'Sparkling Model'!D$2:D$38^A9891)</f>
        <v>0.974200107</v>
      </c>
    </row>
    <row r="9892">
      <c r="A9892" s="6">
        <v>9890.0</v>
      </c>
      <c r="B9892" s="17">
        <f t="array" ref="B9892">SUM(1-'Sparkling Model'!D$2:D$38^A9892)</f>
        <v>36.97397262</v>
      </c>
      <c r="C9892" s="8">
        <f t="array" ref="C9892">PRODUCT(1-'Sparkling Model'!D$2:D$38^A9892)</f>
        <v>0.9742129312</v>
      </c>
    </row>
    <row r="9893">
      <c r="A9893" s="6">
        <v>9891.0</v>
      </c>
      <c r="B9893" s="17">
        <f t="array" ref="B9893">SUM(1-'Sparkling Model'!D$2:D$38^A9893)</f>
        <v>36.97398568</v>
      </c>
      <c r="C9893" s="8">
        <f t="array" ref="C9893">PRODUCT(1-'Sparkling Model'!D$2:D$38^A9893)</f>
        <v>0.9742257489</v>
      </c>
    </row>
    <row r="9894">
      <c r="A9894" s="6">
        <v>9892.0</v>
      </c>
      <c r="B9894" s="17">
        <f t="array" ref="B9894">SUM(1-'Sparkling Model'!D$2:D$38^A9894)</f>
        <v>36.97399874</v>
      </c>
      <c r="C9894" s="8">
        <f t="array" ref="C9894">PRODUCT(1-'Sparkling Model'!D$2:D$38^A9894)</f>
        <v>0.9742385603</v>
      </c>
    </row>
    <row r="9895">
      <c r="A9895" s="6">
        <v>9893.0</v>
      </c>
      <c r="B9895" s="17">
        <f t="array" ref="B9895">SUM(1-'Sparkling Model'!D$2:D$38^A9895)</f>
        <v>36.97401178</v>
      </c>
      <c r="C9895" s="8">
        <f t="array" ref="C9895">PRODUCT(1-'Sparkling Model'!D$2:D$38^A9895)</f>
        <v>0.9742513653</v>
      </c>
    </row>
    <row r="9896">
      <c r="A9896" s="6">
        <v>9894.0</v>
      </c>
      <c r="B9896" s="17">
        <f t="array" ref="B9896">SUM(1-'Sparkling Model'!D$2:D$38^A9896)</f>
        <v>36.97402482</v>
      </c>
      <c r="C9896" s="8">
        <f t="array" ref="C9896">PRODUCT(1-'Sparkling Model'!D$2:D$38^A9896)</f>
        <v>0.974264164</v>
      </c>
    </row>
    <row r="9897">
      <c r="A9897" s="6">
        <v>9895.0</v>
      </c>
      <c r="B9897" s="17">
        <f t="array" ref="B9897">SUM(1-'Sparkling Model'!D$2:D$38^A9897)</f>
        <v>36.97403786</v>
      </c>
      <c r="C9897" s="8">
        <f t="array" ref="C9897">PRODUCT(1-'Sparkling Model'!D$2:D$38^A9897)</f>
        <v>0.9742769562</v>
      </c>
    </row>
    <row r="9898">
      <c r="A9898" s="6">
        <v>9896.0</v>
      </c>
      <c r="B9898" s="17">
        <f t="array" ref="B9898">SUM(1-'Sparkling Model'!D$2:D$38^A9898)</f>
        <v>36.97405089</v>
      </c>
      <c r="C9898" s="8">
        <f t="array" ref="C9898">PRODUCT(1-'Sparkling Model'!D$2:D$38^A9898)</f>
        <v>0.9742897421</v>
      </c>
    </row>
    <row r="9899">
      <c r="A9899" s="6">
        <v>9897.0</v>
      </c>
      <c r="B9899" s="17">
        <f t="array" ref="B9899">SUM(1-'Sparkling Model'!D$2:D$38^A9899)</f>
        <v>36.97406391</v>
      </c>
      <c r="C9899" s="8">
        <f t="array" ref="C9899">PRODUCT(1-'Sparkling Model'!D$2:D$38^A9899)</f>
        <v>0.9743025217</v>
      </c>
    </row>
    <row r="9900">
      <c r="A9900" s="6">
        <v>9898.0</v>
      </c>
      <c r="B9900" s="17">
        <f t="array" ref="B9900">SUM(1-'Sparkling Model'!D$2:D$38^A9900)</f>
        <v>36.97407692</v>
      </c>
      <c r="C9900" s="8">
        <f t="array" ref="C9900">PRODUCT(1-'Sparkling Model'!D$2:D$38^A9900)</f>
        <v>0.9743152948</v>
      </c>
    </row>
    <row r="9901">
      <c r="A9901" s="6">
        <v>9899.0</v>
      </c>
      <c r="B9901" s="17">
        <f t="array" ref="B9901">SUM(1-'Sparkling Model'!D$2:D$38^A9901)</f>
        <v>36.97408993</v>
      </c>
      <c r="C9901" s="8">
        <f t="array" ref="C9901">PRODUCT(1-'Sparkling Model'!D$2:D$38^A9901)</f>
        <v>0.9743280616</v>
      </c>
    </row>
    <row r="9902">
      <c r="A9902" s="6">
        <v>9900.0</v>
      </c>
      <c r="B9902" s="17">
        <f t="array" ref="B9902">SUM(1-'Sparkling Model'!D$2:D$38^A9902)</f>
        <v>36.97410293</v>
      </c>
      <c r="C9902" s="8">
        <f t="array" ref="C9902">PRODUCT(1-'Sparkling Model'!D$2:D$38^A9902)</f>
        <v>0.9743408221</v>
      </c>
    </row>
    <row r="9903">
      <c r="A9903" s="6">
        <v>9901.0</v>
      </c>
      <c r="B9903" s="17">
        <f t="array" ref="B9903">SUM(1-'Sparkling Model'!D$2:D$38^A9903)</f>
        <v>36.97411592</v>
      </c>
      <c r="C9903" s="8">
        <f t="array" ref="C9903">PRODUCT(1-'Sparkling Model'!D$2:D$38^A9903)</f>
        <v>0.9743535762</v>
      </c>
    </row>
    <row r="9904">
      <c r="A9904" s="6">
        <v>9902.0</v>
      </c>
      <c r="B9904" s="17">
        <f t="array" ref="B9904">SUM(1-'Sparkling Model'!D$2:D$38^A9904)</f>
        <v>36.97412891</v>
      </c>
      <c r="C9904" s="8">
        <f t="array" ref="C9904">PRODUCT(1-'Sparkling Model'!D$2:D$38^A9904)</f>
        <v>0.9743663239</v>
      </c>
    </row>
    <row r="9905">
      <c r="A9905" s="6">
        <v>9903.0</v>
      </c>
      <c r="B9905" s="17">
        <f t="array" ref="B9905">SUM(1-'Sparkling Model'!D$2:D$38^A9905)</f>
        <v>36.97414189</v>
      </c>
      <c r="C9905" s="8">
        <f t="array" ref="C9905">PRODUCT(1-'Sparkling Model'!D$2:D$38^A9905)</f>
        <v>0.9743790653</v>
      </c>
    </row>
    <row r="9906">
      <c r="A9906" s="6">
        <v>9904.0</v>
      </c>
      <c r="B9906" s="17">
        <f t="array" ref="B9906">SUM(1-'Sparkling Model'!D$2:D$38^A9906)</f>
        <v>36.97415487</v>
      </c>
      <c r="C9906" s="8">
        <f t="array" ref="C9906">PRODUCT(1-'Sparkling Model'!D$2:D$38^A9906)</f>
        <v>0.9743918003</v>
      </c>
    </row>
    <row r="9907">
      <c r="A9907" s="6">
        <v>9905.0</v>
      </c>
      <c r="B9907" s="17">
        <f t="array" ref="B9907">SUM(1-'Sparkling Model'!D$2:D$38^A9907)</f>
        <v>36.97416784</v>
      </c>
      <c r="C9907" s="8">
        <f t="array" ref="C9907">PRODUCT(1-'Sparkling Model'!D$2:D$38^A9907)</f>
        <v>0.974404529</v>
      </c>
    </row>
    <row r="9908">
      <c r="A9908" s="6">
        <v>9906.0</v>
      </c>
      <c r="B9908" s="17">
        <f t="array" ref="B9908">SUM(1-'Sparkling Model'!D$2:D$38^A9908)</f>
        <v>36.9741808</v>
      </c>
      <c r="C9908" s="8">
        <f t="array" ref="C9908">PRODUCT(1-'Sparkling Model'!D$2:D$38^A9908)</f>
        <v>0.9744172514</v>
      </c>
    </row>
    <row r="9909">
      <c r="A9909" s="6">
        <v>9907.0</v>
      </c>
      <c r="B9909" s="17">
        <f t="array" ref="B9909">SUM(1-'Sparkling Model'!D$2:D$38^A9909)</f>
        <v>36.97419375</v>
      </c>
      <c r="C9909" s="8">
        <f t="array" ref="C9909">PRODUCT(1-'Sparkling Model'!D$2:D$38^A9909)</f>
        <v>0.9744299674</v>
      </c>
    </row>
    <row r="9910">
      <c r="A9910" s="6">
        <v>9908.0</v>
      </c>
      <c r="B9910" s="17">
        <f t="array" ref="B9910">SUM(1-'Sparkling Model'!D$2:D$38^A9910)</f>
        <v>36.9742067</v>
      </c>
      <c r="C9910" s="8">
        <f t="array" ref="C9910">PRODUCT(1-'Sparkling Model'!D$2:D$38^A9910)</f>
        <v>0.9744426771</v>
      </c>
    </row>
    <row r="9911">
      <c r="A9911" s="6">
        <v>9909.0</v>
      </c>
      <c r="B9911" s="17">
        <f t="array" ref="B9911">SUM(1-'Sparkling Model'!D$2:D$38^A9911)</f>
        <v>36.97421964</v>
      </c>
      <c r="C9911" s="8">
        <f t="array" ref="C9911">PRODUCT(1-'Sparkling Model'!D$2:D$38^A9911)</f>
        <v>0.9744553805</v>
      </c>
    </row>
    <row r="9912">
      <c r="A9912" s="6">
        <v>9910.0</v>
      </c>
      <c r="B9912" s="17">
        <f t="array" ref="B9912">SUM(1-'Sparkling Model'!D$2:D$38^A9912)</f>
        <v>36.97423258</v>
      </c>
      <c r="C9912" s="8">
        <f t="array" ref="C9912">PRODUCT(1-'Sparkling Model'!D$2:D$38^A9912)</f>
        <v>0.9744680776</v>
      </c>
    </row>
    <row r="9913">
      <c r="A9913" s="6">
        <v>9911.0</v>
      </c>
      <c r="B9913" s="17">
        <f t="array" ref="B9913">SUM(1-'Sparkling Model'!D$2:D$38^A9913)</f>
        <v>36.97424551</v>
      </c>
      <c r="C9913" s="8">
        <f t="array" ref="C9913">PRODUCT(1-'Sparkling Model'!D$2:D$38^A9913)</f>
        <v>0.9744807683</v>
      </c>
    </row>
    <row r="9914">
      <c r="A9914" s="6">
        <v>9912.0</v>
      </c>
      <c r="B9914" s="17">
        <f t="array" ref="B9914">SUM(1-'Sparkling Model'!D$2:D$38^A9914)</f>
        <v>36.97425843</v>
      </c>
      <c r="C9914" s="8">
        <f t="array" ref="C9914">PRODUCT(1-'Sparkling Model'!D$2:D$38^A9914)</f>
        <v>0.9744934527</v>
      </c>
    </row>
    <row r="9915">
      <c r="A9915" s="6">
        <v>9913.0</v>
      </c>
      <c r="B9915" s="17">
        <f t="array" ref="B9915">SUM(1-'Sparkling Model'!D$2:D$38^A9915)</f>
        <v>36.97427134</v>
      </c>
      <c r="C9915" s="8">
        <f t="array" ref="C9915">PRODUCT(1-'Sparkling Model'!D$2:D$38^A9915)</f>
        <v>0.9745061308</v>
      </c>
    </row>
    <row r="9916">
      <c r="A9916" s="6">
        <v>9914.0</v>
      </c>
      <c r="B9916" s="17">
        <f t="array" ref="B9916">SUM(1-'Sparkling Model'!D$2:D$38^A9916)</f>
        <v>36.97428425</v>
      </c>
      <c r="C9916" s="8">
        <f t="array" ref="C9916">PRODUCT(1-'Sparkling Model'!D$2:D$38^A9916)</f>
        <v>0.9745188025</v>
      </c>
    </row>
    <row r="9917">
      <c r="A9917" s="6">
        <v>9915.0</v>
      </c>
      <c r="B9917" s="17">
        <f t="array" ref="B9917">SUM(1-'Sparkling Model'!D$2:D$38^A9917)</f>
        <v>36.97429715</v>
      </c>
      <c r="C9917" s="8">
        <f t="array" ref="C9917">PRODUCT(1-'Sparkling Model'!D$2:D$38^A9917)</f>
        <v>0.974531468</v>
      </c>
    </row>
    <row r="9918">
      <c r="A9918" s="6">
        <v>9916.0</v>
      </c>
      <c r="B9918" s="17">
        <f t="array" ref="B9918">SUM(1-'Sparkling Model'!D$2:D$38^A9918)</f>
        <v>36.97431005</v>
      </c>
      <c r="C9918" s="8">
        <f t="array" ref="C9918">PRODUCT(1-'Sparkling Model'!D$2:D$38^A9918)</f>
        <v>0.9745441272</v>
      </c>
    </row>
    <row r="9919">
      <c r="A9919" s="6">
        <v>9917.0</v>
      </c>
      <c r="B9919" s="17">
        <f t="array" ref="B9919">SUM(1-'Sparkling Model'!D$2:D$38^A9919)</f>
        <v>36.97432294</v>
      </c>
      <c r="C9919" s="8">
        <f t="array" ref="C9919">PRODUCT(1-'Sparkling Model'!D$2:D$38^A9919)</f>
        <v>0.97455678</v>
      </c>
    </row>
    <row r="9920">
      <c r="A9920" s="6">
        <v>9918.0</v>
      </c>
      <c r="B9920" s="17">
        <f t="array" ref="B9920">SUM(1-'Sparkling Model'!D$2:D$38^A9920)</f>
        <v>36.97433582</v>
      </c>
      <c r="C9920" s="8">
        <f t="array" ref="C9920">PRODUCT(1-'Sparkling Model'!D$2:D$38^A9920)</f>
        <v>0.9745694266</v>
      </c>
    </row>
    <row r="9921">
      <c r="A9921" s="6">
        <v>9919.0</v>
      </c>
      <c r="B9921" s="17">
        <f t="array" ref="B9921">SUM(1-'Sparkling Model'!D$2:D$38^A9921)</f>
        <v>36.9743487</v>
      </c>
      <c r="C9921" s="8">
        <f t="array" ref="C9921">PRODUCT(1-'Sparkling Model'!D$2:D$38^A9921)</f>
        <v>0.9745820668</v>
      </c>
    </row>
    <row r="9922">
      <c r="A9922" s="6">
        <v>9920.0</v>
      </c>
      <c r="B9922" s="17">
        <f t="array" ref="B9922">SUM(1-'Sparkling Model'!D$2:D$38^A9922)</f>
        <v>36.97436157</v>
      </c>
      <c r="C9922" s="8">
        <f t="array" ref="C9922">PRODUCT(1-'Sparkling Model'!D$2:D$38^A9922)</f>
        <v>0.9745947008</v>
      </c>
    </row>
    <row r="9923">
      <c r="A9923" s="6">
        <v>9921.0</v>
      </c>
      <c r="B9923" s="17">
        <f t="array" ref="B9923">SUM(1-'Sparkling Model'!D$2:D$38^A9923)</f>
        <v>36.97437443</v>
      </c>
      <c r="C9923" s="8">
        <f t="array" ref="C9923">PRODUCT(1-'Sparkling Model'!D$2:D$38^A9923)</f>
        <v>0.9746073284</v>
      </c>
    </row>
    <row r="9924">
      <c r="A9924" s="6">
        <v>9922.0</v>
      </c>
      <c r="B9924" s="17">
        <f t="array" ref="B9924">SUM(1-'Sparkling Model'!D$2:D$38^A9924)</f>
        <v>36.97438729</v>
      </c>
      <c r="C9924" s="8">
        <f t="array" ref="C9924">PRODUCT(1-'Sparkling Model'!D$2:D$38^A9924)</f>
        <v>0.9746199498</v>
      </c>
    </row>
    <row r="9925">
      <c r="A9925" s="6">
        <v>9923.0</v>
      </c>
      <c r="B9925" s="17">
        <f t="array" ref="B9925">SUM(1-'Sparkling Model'!D$2:D$38^A9925)</f>
        <v>36.97440014</v>
      </c>
      <c r="C9925" s="8">
        <f t="array" ref="C9925">PRODUCT(1-'Sparkling Model'!D$2:D$38^A9925)</f>
        <v>0.9746325649</v>
      </c>
    </row>
    <row r="9926">
      <c r="A9926" s="6">
        <v>9924.0</v>
      </c>
      <c r="B9926" s="17">
        <f t="array" ref="B9926">SUM(1-'Sparkling Model'!D$2:D$38^A9926)</f>
        <v>36.97441298</v>
      </c>
      <c r="C9926" s="8">
        <f t="array" ref="C9926">PRODUCT(1-'Sparkling Model'!D$2:D$38^A9926)</f>
        <v>0.9746451737</v>
      </c>
    </row>
    <row r="9927">
      <c r="A9927" s="6">
        <v>9925.0</v>
      </c>
      <c r="B9927" s="17">
        <f t="array" ref="B9927">SUM(1-'Sparkling Model'!D$2:D$38^A9927)</f>
        <v>36.97442582</v>
      </c>
      <c r="C9927" s="8">
        <f t="array" ref="C9927">PRODUCT(1-'Sparkling Model'!D$2:D$38^A9927)</f>
        <v>0.9746577763</v>
      </c>
    </row>
    <row r="9928">
      <c r="A9928" s="6">
        <v>9926.0</v>
      </c>
      <c r="B9928" s="17">
        <f t="array" ref="B9928">SUM(1-'Sparkling Model'!D$2:D$38^A9928)</f>
        <v>36.97443865</v>
      </c>
      <c r="C9928" s="8">
        <f t="array" ref="C9928">PRODUCT(1-'Sparkling Model'!D$2:D$38^A9928)</f>
        <v>0.9746703725</v>
      </c>
    </row>
    <row r="9929">
      <c r="A9929" s="6">
        <v>9927.0</v>
      </c>
      <c r="B9929" s="17">
        <f t="array" ref="B9929">SUM(1-'Sparkling Model'!D$2:D$38^A9929)</f>
        <v>36.97445147</v>
      </c>
      <c r="C9929" s="8">
        <f t="array" ref="C9929">PRODUCT(1-'Sparkling Model'!D$2:D$38^A9929)</f>
        <v>0.9746829625</v>
      </c>
    </row>
    <row r="9930">
      <c r="A9930" s="6">
        <v>9928.0</v>
      </c>
      <c r="B9930" s="17">
        <f t="array" ref="B9930">SUM(1-'Sparkling Model'!D$2:D$38^A9930)</f>
        <v>36.97446429</v>
      </c>
      <c r="C9930" s="8">
        <f t="array" ref="C9930">PRODUCT(1-'Sparkling Model'!D$2:D$38^A9930)</f>
        <v>0.9746955462</v>
      </c>
    </row>
    <row r="9931">
      <c r="A9931" s="6">
        <v>9929.0</v>
      </c>
      <c r="B9931" s="17">
        <f t="array" ref="B9931">SUM(1-'Sparkling Model'!D$2:D$38^A9931)</f>
        <v>36.9744771</v>
      </c>
      <c r="C9931" s="8">
        <f t="array" ref="C9931">PRODUCT(1-'Sparkling Model'!D$2:D$38^A9931)</f>
        <v>0.9747081237</v>
      </c>
    </row>
    <row r="9932">
      <c r="A9932" s="6">
        <v>9930.0</v>
      </c>
      <c r="B9932" s="17">
        <f t="array" ref="B9932">SUM(1-'Sparkling Model'!D$2:D$38^A9932)</f>
        <v>36.97448991</v>
      </c>
      <c r="C9932" s="8">
        <f t="array" ref="C9932">PRODUCT(1-'Sparkling Model'!D$2:D$38^A9932)</f>
        <v>0.9747206949</v>
      </c>
    </row>
    <row r="9933">
      <c r="A9933" s="6">
        <v>9931.0</v>
      </c>
      <c r="B9933" s="17">
        <f t="array" ref="B9933">SUM(1-'Sparkling Model'!D$2:D$38^A9933)</f>
        <v>36.9745027</v>
      </c>
      <c r="C9933" s="8">
        <f t="array" ref="C9933">PRODUCT(1-'Sparkling Model'!D$2:D$38^A9933)</f>
        <v>0.9747332598</v>
      </c>
    </row>
    <row r="9934">
      <c r="A9934" s="6">
        <v>9932.0</v>
      </c>
      <c r="B9934" s="17">
        <f t="array" ref="B9934">SUM(1-'Sparkling Model'!D$2:D$38^A9934)</f>
        <v>36.97451549</v>
      </c>
      <c r="C9934" s="8">
        <f t="array" ref="C9934">PRODUCT(1-'Sparkling Model'!D$2:D$38^A9934)</f>
        <v>0.9747458185</v>
      </c>
    </row>
    <row r="9935">
      <c r="A9935" s="6">
        <v>9933.0</v>
      </c>
      <c r="B9935" s="17">
        <f t="array" ref="B9935">SUM(1-'Sparkling Model'!D$2:D$38^A9935)</f>
        <v>36.97452828</v>
      </c>
      <c r="C9935" s="8">
        <f t="array" ref="C9935">PRODUCT(1-'Sparkling Model'!D$2:D$38^A9935)</f>
        <v>0.9747583709</v>
      </c>
    </row>
    <row r="9936">
      <c r="A9936" s="6">
        <v>9934.0</v>
      </c>
      <c r="B9936" s="17">
        <f t="array" ref="B9936">SUM(1-'Sparkling Model'!D$2:D$38^A9936)</f>
        <v>36.97454106</v>
      </c>
      <c r="C9936" s="8">
        <f t="array" ref="C9936">PRODUCT(1-'Sparkling Model'!D$2:D$38^A9936)</f>
        <v>0.9747709171</v>
      </c>
    </row>
    <row r="9937">
      <c r="A9937" s="6">
        <v>9935.0</v>
      </c>
      <c r="B9937" s="17">
        <f t="array" ref="B9937">SUM(1-'Sparkling Model'!D$2:D$38^A9937)</f>
        <v>36.97455383</v>
      </c>
      <c r="C9937" s="8">
        <f t="array" ref="C9937">PRODUCT(1-'Sparkling Model'!D$2:D$38^A9937)</f>
        <v>0.974783457</v>
      </c>
    </row>
    <row r="9938">
      <c r="A9938" s="6">
        <v>9936.0</v>
      </c>
      <c r="B9938" s="17">
        <f t="array" ref="B9938">SUM(1-'Sparkling Model'!D$2:D$38^A9938)</f>
        <v>36.9745666</v>
      </c>
      <c r="C9938" s="8">
        <f t="array" ref="C9938">PRODUCT(1-'Sparkling Model'!D$2:D$38^A9938)</f>
        <v>0.9747959907</v>
      </c>
    </row>
    <row r="9939">
      <c r="A9939" s="6">
        <v>9937.0</v>
      </c>
      <c r="B9939" s="17">
        <f t="array" ref="B9939">SUM(1-'Sparkling Model'!D$2:D$38^A9939)</f>
        <v>36.97457935</v>
      </c>
      <c r="C9939" s="8">
        <f t="array" ref="C9939">PRODUCT(1-'Sparkling Model'!D$2:D$38^A9939)</f>
        <v>0.9748085181</v>
      </c>
    </row>
    <row r="9940">
      <c r="A9940" s="6">
        <v>9938.0</v>
      </c>
      <c r="B9940" s="17">
        <f t="array" ref="B9940">SUM(1-'Sparkling Model'!D$2:D$38^A9940)</f>
        <v>36.97459211</v>
      </c>
      <c r="C9940" s="8">
        <f t="array" ref="C9940">PRODUCT(1-'Sparkling Model'!D$2:D$38^A9940)</f>
        <v>0.9748210393</v>
      </c>
    </row>
    <row r="9941">
      <c r="A9941" s="6">
        <v>9939.0</v>
      </c>
      <c r="B9941" s="17">
        <f t="array" ref="B9941">SUM(1-'Sparkling Model'!D$2:D$38^A9941)</f>
        <v>36.97460485</v>
      </c>
      <c r="C9941" s="8">
        <f t="array" ref="C9941">PRODUCT(1-'Sparkling Model'!D$2:D$38^A9941)</f>
        <v>0.9748335542</v>
      </c>
    </row>
    <row r="9942">
      <c r="A9942" s="6">
        <v>9940.0</v>
      </c>
      <c r="B9942" s="17">
        <f t="array" ref="B9942">SUM(1-'Sparkling Model'!D$2:D$38^A9942)</f>
        <v>36.97461759</v>
      </c>
      <c r="C9942" s="8">
        <f t="array" ref="C9942">PRODUCT(1-'Sparkling Model'!D$2:D$38^A9942)</f>
        <v>0.974846063</v>
      </c>
    </row>
    <row r="9943">
      <c r="A9943" s="6">
        <v>9941.0</v>
      </c>
      <c r="B9943" s="17">
        <f t="array" ref="B9943">SUM(1-'Sparkling Model'!D$2:D$38^A9943)</f>
        <v>36.97463033</v>
      </c>
      <c r="C9943" s="8">
        <f t="array" ref="C9943">PRODUCT(1-'Sparkling Model'!D$2:D$38^A9943)</f>
        <v>0.9748585655</v>
      </c>
    </row>
    <row r="9944">
      <c r="A9944" s="6">
        <v>9942.0</v>
      </c>
      <c r="B9944" s="17">
        <f t="array" ref="B9944">SUM(1-'Sparkling Model'!D$2:D$38^A9944)</f>
        <v>36.97464305</v>
      </c>
      <c r="C9944" s="8">
        <f t="array" ref="C9944">PRODUCT(1-'Sparkling Model'!D$2:D$38^A9944)</f>
        <v>0.9748710617</v>
      </c>
    </row>
    <row r="9945">
      <c r="A9945" s="6">
        <v>9943.0</v>
      </c>
      <c r="B9945" s="17">
        <f t="array" ref="B9945">SUM(1-'Sparkling Model'!D$2:D$38^A9945)</f>
        <v>36.97465577</v>
      </c>
      <c r="C9945" s="8">
        <f t="array" ref="C9945">PRODUCT(1-'Sparkling Model'!D$2:D$38^A9945)</f>
        <v>0.9748835518</v>
      </c>
    </row>
    <row r="9946">
      <c r="A9946" s="6">
        <v>9944.0</v>
      </c>
      <c r="B9946" s="17">
        <f t="array" ref="B9946">SUM(1-'Sparkling Model'!D$2:D$38^A9946)</f>
        <v>36.97466849</v>
      </c>
      <c r="C9946" s="8">
        <f t="array" ref="C9946">PRODUCT(1-'Sparkling Model'!D$2:D$38^A9946)</f>
        <v>0.9748960356</v>
      </c>
    </row>
    <row r="9947">
      <c r="A9947" s="6">
        <v>9945.0</v>
      </c>
      <c r="B9947" s="17">
        <f t="array" ref="B9947">SUM(1-'Sparkling Model'!D$2:D$38^A9947)</f>
        <v>36.97468119</v>
      </c>
      <c r="C9947" s="8">
        <f t="array" ref="C9947">PRODUCT(1-'Sparkling Model'!D$2:D$38^A9947)</f>
        <v>0.9749085132</v>
      </c>
    </row>
    <row r="9948">
      <c r="A9948" s="6">
        <v>9946.0</v>
      </c>
      <c r="B9948" s="17">
        <f t="array" ref="B9948">SUM(1-'Sparkling Model'!D$2:D$38^A9948)</f>
        <v>36.9746939</v>
      </c>
      <c r="C9948" s="8">
        <f t="array" ref="C9948">PRODUCT(1-'Sparkling Model'!D$2:D$38^A9948)</f>
        <v>0.9749209846</v>
      </c>
    </row>
    <row r="9949">
      <c r="A9949" s="6">
        <v>9947.0</v>
      </c>
      <c r="B9949" s="17">
        <f t="array" ref="B9949">SUM(1-'Sparkling Model'!D$2:D$38^A9949)</f>
        <v>36.97470659</v>
      </c>
      <c r="C9949" s="8">
        <f t="array" ref="C9949">PRODUCT(1-'Sparkling Model'!D$2:D$38^A9949)</f>
        <v>0.9749334498</v>
      </c>
    </row>
    <row r="9950">
      <c r="A9950" s="6">
        <v>9948.0</v>
      </c>
      <c r="B9950" s="17">
        <f t="array" ref="B9950">SUM(1-'Sparkling Model'!D$2:D$38^A9950)</f>
        <v>36.97471928</v>
      </c>
      <c r="C9950" s="8">
        <f t="array" ref="C9950">PRODUCT(1-'Sparkling Model'!D$2:D$38^A9950)</f>
        <v>0.9749459088</v>
      </c>
    </row>
    <row r="9951">
      <c r="A9951" s="6">
        <v>9949.0</v>
      </c>
      <c r="B9951" s="17">
        <f t="array" ref="B9951">SUM(1-'Sparkling Model'!D$2:D$38^A9951)</f>
        <v>36.97473196</v>
      </c>
      <c r="C9951" s="8">
        <f t="array" ref="C9951">PRODUCT(1-'Sparkling Model'!D$2:D$38^A9951)</f>
        <v>0.9749583616</v>
      </c>
    </row>
    <row r="9952">
      <c r="A9952" s="6">
        <v>9950.0</v>
      </c>
      <c r="B9952" s="17">
        <f t="array" ref="B9952">SUM(1-'Sparkling Model'!D$2:D$38^A9952)</f>
        <v>36.97474463</v>
      </c>
      <c r="C9952" s="8">
        <f t="array" ref="C9952">PRODUCT(1-'Sparkling Model'!D$2:D$38^A9952)</f>
        <v>0.9749708082</v>
      </c>
    </row>
    <row r="9953">
      <c r="A9953" s="6">
        <v>9951.0</v>
      </c>
      <c r="B9953" s="17">
        <f t="array" ref="B9953">SUM(1-'Sparkling Model'!D$2:D$38^A9953)</f>
        <v>36.9747573</v>
      </c>
      <c r="C9953" s="8">
        <f t="array" ref="C9953">PRODUCT(1-'Sparkling Model'!D$2:D$38^A9953)</f>
        <v>0.9749832486</v>
      </c>
    </row>
    <row r="9954">
      <c r="A9954" s="6">
        <v>9952.0</v>
      </c>
      <c r="B9954" s="17">
        <f t="array" ref="B9954">SUM(1-'Sparkling Model'!D$2:D$38^A9954)</f>
        <v>36.97476997</v>
      </c>
      <c r="C9954" s="8">
        <f t="array" ref="C9954">PRODUCT(1-'Sparkling Model'!D$2:D$38^A9954)</f>
        <v>0.9749956827</v>
      </c>
    </row>
    <row r="9955">
      <c r="A9955" s="6">
        <v>9953.0</v>
      </c>
      <c r="B9955" s="17">
        <f t="array" ref="B9955">SUM(1-'Sparkling Model'!D$2:D$38^A9955)</f>
        <v>36.97478262</v>
      </c>
      <c r="C9955" s="8">
        <f t="array" ref="C9955">PRODUCT(1-'Sparkling Model'!D$2:D$38^A9955)</f>
        <v>0.9750081107</v>
      </c>
    </row>
    <row r="9956">
      <c r="A9956" s="6">
        <v>9954.0</v>
      </c>
      <c r="B9956" s="17">
        <f t="array" ref="B9956">SUM(1-'Sparkling Model'!D$2:D$38^A9956)</f>
        <v>36.97479527</v>
      </c>
      <c r="C9956" s="8">
        <f t="array" ref="C9956">PRODUCT(1-'Sparkling Model'!D$2:D$38^A9956)</f>
        <v>0.9750205325</v>
      </c>
    </row>
    <row r="9957">
      <c r="A9957" s="6">
        <v>9955.0</v>
      </c>
      <c r="B9957" s="17">
        <f t="array" ref="B9957">SUM(1-'Sparkling Model'!D$2:D$38^A9957)</f>
        <v>36.97480791</v>
      </c>
      <c r="C9957" s="8">
        <f t="array" ref="C9957">PRODUCT(1-'Sparkling Model'!D$2:D$38^A9957)</f>
        <v>0.9750329482</v>
      </c>
    </row>
    <row r="9958">
      <c r="A9958" s="6">
        <v>9956.0</v>
      </c>
      <c r="B9958" s="17">
        <f t="array" ref="B9958">SUM(1-'Sparkling Model'!D$2:D$38^A9958)</f>
        <v>36.97482055</v>
      </c>
      <c r="C9958" s="8">
        <f t="array" ref="C9958">PRODUCT(1-'Sparkling Model'!D$2:D$38^A9958)</f>
        <v>0.9750453576</v>
      </c>
    </row>
    <row r="9959">
      <c r="A9959" s="6">
        <v>9957.0</v>
      </c>
      <c r="B9959" s="17">
        <f t="array" ref="B9959">SUM(1-'Sparkling Model'!D$2:D$38^A9959)</f>
        <v>36.97483318</v>
      </c>
      <c r="C9959" s="8">
        <f t="array" ref="C9959">PRODUCT(1-'Sparkling Model'!D$2:D$38^A9959)</f>
        <v>0.9750577608</v>
      </c>
    </row>
    <row r="9960">
      <c r="A9960" s="6">
        <v>9958.0</v>
      </c>
      <c r="B9960" s="17">
        <f t="array" ref="B9960">SUM(1-'Sparkling Model'!D$2:D$38^A9960)</f>
        <v>36.9748458</v>
      </c>
      <c r="C9960" s="8">
        <f t="array" ref="C9960">PRODUCT(1-'Sparkling Model'!D$2:D$38^A9960)</f>
        <v>0.9750701579</v>
      </c>
    </row>
    <row r="9961">
      <c r="A9961" s="6">
        <v>9959.0</v>
      </c>
      <c r="B9961" s="17">
        <f t="array" ref="B9961">SUM(1-'Sparkling Model'!D$2:D$38^A9961)</f>
        <v>36.97485842</v>
      </c>
      <c r="C9961" s="8">
        <f t="array" ref="C9961">PRODUCT(1-'Sparkling Model'!D$2:D$38^A9961)</f>
        <v>0.9750825488</v>
      </c>
    </row>
    <row r="9962">
      <c r="A9962" s="6">
        <v>9960.0</v>
      </c>
      <c r="B9962" s="17">
        <f t="array" ref="B9962">SUM(1-'Sparkling Model'!D$2:D$38^A9962)</f>
        <v>36.97487103</v>
      </c>
      <c r="C9962" s="8">
        <f t="array" ref="C9962">PRODUCT(1-'Sparkling Model'!D$2:D$38^A9962)</f>
        <v>0.9750949336</v>
      </c>
    </row>
    <row r="9963">
      <c r="A9963" s="6">
        <v>9961.0</v>
      </c>
      <c r="B9963" s="17">
        <f t="array" ref="B9963">SUM(1-'Sparkling Model'!D$2:D$38^A9963)</f>
        <v>36.97488364</v>
      </c>
      <c r="C9963" s="8">
        <f t="array" ref="C9963">PRODUCT(1-'Sparkling Model'!D$2:D$38^A9963)</f>
        <v>0.9751073121</v>
      </c>
    </row>
    <row r="9964">
      <c r="A9964" s="6">
        <v>9962.0</v>
      </c>
      <c r="B9964" s="17">
        <f t="array" ref="B9964">SUM(1-'Sparkling Model'!D$2:D$38^A9964)</f>
        <v>36.97489624</v>
      </c>
      <c r="C9964" s="8">
        <f t="array" ref="C9964">PRODUCT(1-'Sparkling Model'!D$2:D$38^A9964)</f>
        <v>0.9751196845</v>
      </c>
    </row>
    <row r="9965">
      <c r="A9965" s="6">
        <v>9963.0</v>
      </c>
      <c r="B9965" s="17">
        <f t="array" ref="B9965">SUM(1-'Sparkling Model'!D$2:D$38^A9965)</f>
        <v>36.97490883</v>
      </c>
      <c r="C9965" s="8">
        <f t="array" ref="C9965">PRODUCT(1-'Sparkling Model'!D$2:D$38^A9965)</f>
        <v>0.9751320508</v>
      </c>
    </row>
    <row r="9966">
      <c r="A9966" s="6">
        <v>9964.0</v>
      </c>
      <c r="B9966" s="17">
        <f t="array" ref="B9966">SUM(1-'Sparkling Model'!D$2:D$38^A9966)</f>
        <v>36.97492141</v>
      </c>
      <c r="C9966" s="8">
        <f t="array" ref="C9966">PRODUCT(1-'Sparkling Model'!D$2:D$38^A9966)</f>
        <v>0.9751444109</v>
      </c>
    </row>
    <row r="9967">
      <c r="A9967" s="6">
        <v>9965.0</v>
      </c>
      <c r="B9967" s="17">
        <f t="array" ref="B9967">SUM(1-'Sparkling Model'!D$2:D$38^A9967)</f>
        <v>36.97493399</v>
      </c>
      <c r="C9967" s="8">
        <f t="array" ref="C9967">PRODUCT(1-'Sparkling Model'!D$2:D$38^A9967)</f>
        <v>0.9751567648</v>
      </c>
    </row>
    <row r="9968">
      <c r="A9968" s="6">
        <v>9966.0</v>
      </c>
      <c r="B9968" s="17">
        <f t="array" ref="B9968">SUM(1-'Sparkling Model'!D$2:D$38^A9968)</f>
        <v>36.97494656</v>
      </c>
      <c r="C9968" s="8">
        <f t="array" ref="C9968">PRODUCT(1-'Sparkling Model'!D$2:D$38^A9968)</f>
        <v>0.9751691126</v>
      </c>
    </row>
    <row r="9969">
      <c r="A9969" s="6">
        <v>9967.0</v>
      </c>
      <c r="B9969" s="17">
        <f t="array" ref="B9969">SUM(1-'Sparkling Model'!D$2:D$38^A9969)</f>
        <v>36.97495913</v>
      </c>
      <c r="C9969" s="8">
        <f t="array" ref="C9969">PRODUCT(1-'Sparkling Model'!D$2:D$38^A9969)</f>
        <v>0.9751814542</v>
      </c>
    </row>
    <row r="9970">
      <c r="A9970" s="6">
        <v>9968.0</v>
      </c>
      <c r="B9970" s="17">
        <f t="array" ref="B9970">SUM(1-'Sparkling Model'!D$2:D$38^A9970)</f>
        <v>36.97497169</v>
      </c>
      <c r="C9970" s="8">
        <f t="array" ref="C9970">PRODUCT(1-'Sparkling Model'!D$2:D$38^A9970)</f>
        <v>0.9751937897</v>
      </c>
    </row>
    <row r="9971">
      <c r="A9971" s="6">
        <v>9969.0</v>
      </c>
      <c r="B9971" s="17">
        <f t="array" ref="B9971">SUM(1-'Sparkling Model'!D$2:D$38^A9971)</f>
        <v>36.97498424</v>
      </c>
      <c r="C9971" s="8">
        <f t="array" ref="C9971">PRODUCT(1-'Sparkling Model'!D$2:D$38^A9971)</f>
        <v>0.975206119</v>
      </c>
    </row>
    <row r="9972">
      <c r="A9972" s="6">
        <v>9970.0</v>
      </c>
      <c r="B9972" s="17">
        <f t="array" ref="B9972">SUM(1-'Sparkling Model'!D$2:D$38^A9972)</f>
        <v>36.97499679</v>
      </c>
      <c r="C9972" s="8">
        <f t="array" ref="C9972">PRODUCT(1-'Sparkling Model'!D$2:D$38^A9972)</f>
        <v>0.9752184422</v>
      </c>
    </row>
    <row r="9973">
      <c r="A9973" s="6">
        <v>9971.0</v>
      </c>
      <c r="B9973" s="17">
        <f t="array" ref="B9973">SUM(1-'Sparkling Model'!D$2:D$38^A9973)</f>
        <v>36.97500933</v>
      </c>
      <c r="C9973" s="8">
        <f t="array" ref="C9973">PRODUCT(1-'Sparkling Model'!D$2:D$38^A9973)</f>
        <v>0.9752307593</v>
      </c>
    </row>
    <row r="9974">
      <c r="A9974" s="6">
        <v>9972.0</v>
      </c>
      <c r="B9974" s="17">
        <f t="array" ref="B9974">SUM(1-'Sparkling Model'!D$2:D$38^A9974)</f>
        <v>36.97502187</v>
      </c>
      <c r="C9974" s="8">
        <f t="array" ref="C9974">PRODUCT(1-'Sparkling Model'!D$2:D$38^A9974)</f>
        <v>0.9752430702</v>
      </c>
    </row>
    <row r="9975">
      <c r="A9975" s="6">
        <v>9973.0</v>
      </c>
      <c r="B9975" s="17">
        <f t="array" ref="B9975">SUM(1-'Sparkling Model'!D$2:D$38^A9975)</f>
        <v>36.9750344</v>
      </c>
      <c r="C9975" s="8">
        <f t="array" ref="C9975">PRODUCT(1-'Sparkling Model'!D$2:D$38^A9975)</f>
        <v>0.975255375</v>
      </c>
    </row>
    <row r="9976">
      <c r="A9976" s="6">
        <v>9974.0</v>
      </c>
      <c r="B9976" s="17">
        <f t="array" ref="B9976">SUM(1-'Sparkling Model'!D$2:D$38^A9976)</f>
        <v>36.97504692</v>
      </c>
      <c r="C9976" s="8">
        <f t="array" ref="C9976">PRODUCT(1-'Sparkling Model'!D$2:D$38^A9976)</f>
        <v>0.9752676737</v>
      </c>
    </row>
    <row r="9977">
      <c r="A9977" s="6">
        <v>9975.0</v>
      </c>
      <c r="B9977" s="17">
        <f t="array" ref="B9977">SUM(1-'Sparkling Model'!D$2:D$38^A9977)</f>
        <v>36.97505943</v>
      </c>
      <c r="C9977" s="8">
        <f t="array" ref="C9977">PRODUCT(1-'Sparkling Model'!D$2:D$38^A9977)</f>
        <v>0.9752799663</v>
      </c>
    </row>
    <row r="9978">
      <c r="A9978" s="6">
        <v>9976.0</v>
      </c>
      <c r="B9978" s="17">
        <f t="array" ref="B9978">SUM(1-'Sparkling Model'!D$2:D$38^A9978)</f>
        <v>36.97507194</v>
      </c>
      <c r="C9978" s="8">
        <f t="array" ref="C9978">PRODUCT(1-'Sparkling Model'!D$2:D$38^A9978)</f>
        <v>0.9752922527</v>
      </c>
    </row>
    <row r="9979">
      <c r="A9979" s="6">
        <v>9977.0</v>
      </c>
      <c r="B9979" s="17">
        <f t="array" ref="B9979">SUM(1-'Sparkling Model'!D$2:D$38^A9979)</f>
        <v>36.97508444</v>
      </c>
      <c r="C9979" s="8">
        <f t="array" ref="C9979">PRODUCT(1-'Sparkling Model'!D$2:D$38^A9979)</f>
        <v>0.975304533</v>
      </c>
    </row>
    <row r="9980">
      <c r="A9980" s="6">
        <v>9978.0</v>
      </c>
      <c r="B9980" s="17">
        <f t="array" ref="B9980">SUM(1-'Sparkling Model'!D$2:D$38^A9980)</f>
        <v>36.97509694</v>
      </c>
      <c r="C9980" s="8">
        <f t="array" ref="C9980">PRODUCT(1-'Sparkling Model'!D$2:D$38^A9980)</f>
        <v>0.9753168072</v>
      </c>
    </row>
    <row r="9981">
      <c r="A9981" s="6">
        <v>9979.0</v>
      </c>
      <c r="B9981" s="17">
        <f t="array" ref="B9981">SUM(1-'Sparkling Model'!D$2:D$38^A9981)</f>
        <v>36.97510943</v>
      </c>
      <c r="C9981" s="8">
        <f t="array" ref="C9981">PRODUCT(1-'Sparkling Model'!D$2:D$38^A9981)</f>
        <v>0.9753290753</v>
      </c>
    </row>
    <row r="9982">
      <c r="A9982" s="6">
        <v>9980.0</v>
      </c>
      <c r="B9982" s="17">
        <f t="array" ref="B9982">SUM(1-'Sparkling Model'!D$2:D$38^A9982)</f>
        <v>36.97512191</v>
      </c>
      <c r="C9982" s="8">
        <f t="array" ref="C9982">PRODUCT(1-'Sparkling Model'!D$2:D$38^A9982)</f>
        <v>0.9753413373</v>
      </c>
    </row>
    <row r="9983">
      <c r="A9983" s="6">
        <v>9981.0</v>
      </c>
      <c r="B9983" s="17">
        <f t="array" ref="B9983">SUM(1-'Sparkling Model'!D$2:D$38^A9983)</f>
        <v>36.97513439</v>
      </c>
      <c r="C9983" s="8">
        <f t="array" ref="C9983">PRODUCT(1-'Sparkling Model'!D$2:D$38^A9983)</f>
        <v>0.9753535931</v>
      </c>
    </row>
    <row r="9984">
      <c r="A9984" s="6">
        <v>9982.0</v>
      </c>
      <c r="B9984" s="17">
        <f t="array" ref="B9984">SUM(1-'Sparkling Model'!D$2:D$38^A9984)</f>
        <v>36.97514686</v>
      </c>
      <c r="C9984" s="8">
        <f t="array" ref="C9984">PRODUCT(1-'Sparkling Model'!D$2:D$38^A9984)</f>
        <v>0.9753658429</v>
      </c>
    </row>
    <row r="9985">
      <c r="A9985" s="6">
        <v>9983.0</v>
      </c>
      <c r="B9985" s="17">
        <f t="array" ref="B9985">SUM(1-'Sparkling Model'!D$2:D$38^A9985)</f>
        <v>36.97515933</v>
      </c>
      <c r="C9985" s="8">
        <f t="array" ref="C9985">PRODUCT(1-'Sparkling Model'!D$2:D$38^A9985)</f>
        <v>0.9753780865</v>
      </c>
    </row>
    <row r="9986">
      <c r="A9986" s="6">
        <v>9984.0</v>
      </c>
      <c r="B9986" s="17">
        <f t="array" ref="B9986">SUM(1-'Sparkling Model'!D$2:D$38^A9986)</f>
        <v>36.97517179</v>
      </c>
      <c r="C9986" s="8">
        <f t="array" ref="C9986">PRODUCT(1-'Sparkling Model'!D$2:D$38^A9986)</f>
        <v>0.9753903241</v>
      </c>
    </row>
    <row r="9987">
      <c r="A9987" s="6">
        <v>9985.0</v>
      </c>
      <c r="B9987" s="17">
        <f t="array" ref="B9987">SUM(1-'Sparkling Model'!D$2:D$38^A9987)</f>
        <v>36.97518424</v>
      </c>
      <c r="C9987" s="8">
        <f t="array" ref="C9987">PRODUCT(1-'Sparkling Model'!D$2:D$38^A9987)</f>
        <v>0.9754025556</v>
      </c>
    </row>
    <row r="9988">
      <c r="A9988" s="6">
        <v>9986.0</v>
      </c>
      <c r="B9988" s="17">
        <f t="array" ref="B9988">SUM(1-'Sparkling Model'!D$2:D$38^A9988)</f>
        <v>36.97519668</v>
      </c>
      <c r="C9988" s="8">
        <f t="array" ref="C9988">PRODUCT(1-'Sparkling Model'!D$2:D$38^A9988)</f>
        <v>0.975414781</v>
      </c>
    </row>
    <row r="9989">
      <c r="A9989" s="6">
        <v>9987.0</v>
      </c>
      <c r="B9989" s="17">
        <f t="array" ref="B9989">SUM(1-'Sparkling Model'!D$2:D$38^A9989)</f>
        <v>36.97520912</v>
      </c>
      <c r="C9989" s="8">
        <f t="array" ref="C9989">PRODUCT(1-'Sparkling Model'!D$2:D$38^A9989)</f>
        <v>0.9754270003</v>
      </c>
    </row>
    <row r="9990">
      <c r="A9990" s="6">
        <v>9988.0</v>
      </c>
      <c r="B9990" s="17">
        <f t="array" ref="B9990">SUM(1-'Sparkling Model'!D$2:D$38^A9990)</f>
        <v>36.97522156</v>
      </c>
      <c r="C9990" s="8">
        <f t="array" ref="C9990">PRODUCT(1-'Sparkling Model'!D$2:D$38^A9990)</f>
        <v>0.9754392135</v>
      </c>
    </row>
    <row r="9991">
      <c r="A9991" s="6">
        <v>9989.0</v>
      </c>
      <c r="B9991" s="17">
        <f t="array" ref="B9991">SUM(1-'Sparkling Model'!D$2:D$38^A9991)</f>
        <v>36.97523398</v>
      </c>
      <c r="C9991" s="8">
        <f t="array" ref="C9991">PRODUCT(1-'Sparkling Model'!D$2:D$38^A9991)</f>
        <v>0.9754514206</v>
      </c>
    </row>
    <row r="9992">
      <c r="A9992" s="6">
        <v>9990.0</v>
      </c>
      <c r="B9992" s="17">
        <f t="array" ref="B9992">SUM(1-'Sparkling Model'!D$2:D$38^A9992)</f>
        <v>36.9752464</v>
      </c>
      <c r="C9992" s="8">
        <f t="array" ref="C9992">PRODUCT(1-'Sparkling Model'!D$2:D$38^A9992)</f>
        <v>0.9754636217</v>
      </c>
    </row>
    <row r="9993">
      <c r="A9993" s="6">
        <v>9991.0</v>
      </c>
      <c r="B9993" s="17">
        <f t="array" ref="B9993">SUM(1-'Sparkling Model'!D$2:D$38^A9993)</f>
        <v>36.97525882</v>
      </c>
      <c r="C9993" s="8">
        <f t="array" ref="C9993">PRODUCT(1-'Sparkling Model'!D$2:D$38^A9993)</f>
        <v>0.9754758166</v>
      </c>
    </row>
    <row r="9994">
      <c r="A9994" s="6">
        <v>9992.0</v>
      </c>
      <c r="B9994" s="17">
        <f t="array" ref="B9994">SUM(1-'Sparkling Model'!D$2:D$38^A9994)</f>
        <v>36.97527123</v>
      </c>
      <c r="C9994" s="8">
        <f t="array" ref="C9994">PRODUCT(1-'Sparkling Model'!D$2:D$38^A9994)</f>
        <v>0.9754880055</v>
      </c>
    </row>
    <row r="9995">
      <c r="A9995" s="6">
        <v>9993.0</v>
      </c>
      <c r="B9995" s="17">
        <f t="array" ref="B9995">SUM(1-'Sparkling Model'!D$2:D$38^A9995)</f>
        <v>36.97528363</v>
      </c>
      <c r="C9995" s="8">
        <f t="array" ref="C9995">PRODUCT(1-'Sparkling Model'!D$2:D$38^A9995)</f>
        <v>0.9755001884</v>
      </c>
    </row>
    <row r="9996">
      <c r="A9996" s="6">
        <v>9994.0</v>
      </c>
      <c r="B9996" s="17">
        <f t="array" ref="B9996">SUM(1-'Sparkling Model'!D$2:D$38^A9996)</f>
        <v>36.97529602</v>
      </c>
      <c r="C9996" s="8">
        <f t="array" ref="C9996">PRODUCT(1-'Sparkling Model'!D$2:D$38^A9996)</f>
        <v>0.9755123651</v>
      </c>
    </row>
    <row r="9997">
      <c r="A9997" s="6">
        <v>9995.0</v>
      </c>
      <c r="B9997" s="17">
        <f t="array" ref="B9997">SUM(1-'Sparkling Model'!D$2:D$38^A9997)</f>
        <v>36.97530841</v>
      </c>
      <c r="C9997" s="8">
        <f t="array" ref="C9997">PRODUCT(1-'Sparkling Model'!D$2:D$38^A9997)</f>
        <v>0.9755245358</v>
      </c>
    </row>
    <row r="9998">
      <c r="A9998" s="6">
        <v>9996.0</v>
      </c>
      <c r="B9998" s="17">
        <f t="array" ref="B9998">SUM(1-'Sparkling Model'!D$2:D$38^A9998)</f>
        <v>36.97532079</v>
      </c>
      <c r="C9998" s="8">
        <f t="array" ref="C9998">PRODUCT(1-'Sparkling Model'!D$2:D$38^A9998)</f>
        <v>0.9755367005</v>
      </c>
    </row>
    <row r="9999">
      <c r="A9999" s="6">
        <v>9997.0</v>
      </c>
      <c r="B9999" s="17">
        <f t="array" ref="B9999">SUM(1-'Sparkling Model'!D$2:D$38^A9999)</f>
        <v>36.97533317</v>
      </c>
      <c r="C9999" s="8">
        <f t="array" ref="C9999">PRODUCT(1-'Sparkling Model'!D$2:D$38^A9999)</f>
        <v>0.975548859</v>
      </c>
    </row>
    <row r="10000">
      <c r="A10000" s="6">
        <v>9998.0</v>
      </c>
      <c r="B10000" s="17">
        <f t="array" ref="B10000">SUM(1-'Sparkling Model'!D$2:D$38^A10000)</f>
        <v>36.97534554</v>
      </c>
      <c r="C10000" s="8">
        <f t="array" ref="C10000">PRODUCT(1-'Sparkling Model'!D$2:D$38^A10000)</f>
        <v>0.9755610116</v>
      </c>
    </row>
    <row r="10001">
      <c r="A10001" s="6">
        <v>9999.0</v>
      </c>
      <c r="B10001" s="17">
        <f t="array" ref="B10001">SUM(1-'Sparkling Model'!D$2:D$38^A10001)</f>
        <v>36.97535791</v>
      </c>
      <c r="C10001" s="8">
        <f t="array" ref="C10001">PRODUCT(1-'Sparkling Model'!D$2:D$38^A10001)</f>
        <v>0.975573158</v>
      </c>
    </row>
    <row r="10002">
      <c r="A10002" s="6">
        <v>10000.0</v>
      </c>
      <c r="B10002" s="17">
        <f t="array" ref="B10002">SUM(1-'Sparkling Model'!D$2:D$38^A10002)</f>
        <v>36.97537026</v>
      </c>
      <c r="C10002" s="8">
        <f t="array" ref="C10002">PRODUCT(1-'Sparkling Model'!D$2:D$38^A10002)</f>
        <v>0.9755852985</v>
      </c>
    </row>
    <row r="10003">
      <c r="A10003" s="6">
        <v>10001.0</v>
      </c>
      <c r="B10003" s="17">
        <f t="array" ref="B10003">SUM(1-'Sparkling Model'!D$2:D$38^A10003)</f>
        <v>36.97538261</v>
      </c>
      <c r="C10003" s="8">
        <f t="array" ref="C10003">PRODUCT(1-'Sparkling Model'!D$2:D$38^A10003)</f>
        <v>0.9755974328</v>
      </c>
    </row>
    <row r="10004">
      <c r="A10004" s="6">
        <v>10002.0</v>
      </c>
      <c r="B10004" s="17">
        <f t="array" ref="B10004">SUM(1-'Sparkling Model'!D$2:D$38^A10004)</f>
        <v>36.97539496</v>
      </c>
      <c r="C10004" s="8">
        <f t="array" ref="C10004">PRODUCT(1-'Sparkling Model'!D$2:D$38^A10004)</f>
        <v>0.9756095612</v>
      </c>
    </row>
    <row r="10005">
      <c r="A10005" s="6">
        <v>10003.0</v>
      </c>
      <c r="B10005" s="17">
        <f t="array" ref="B10005">SUM(1-'Sparkling Model'!D$2:D$38^A10005)</f>
        <v>36.9754073</v>
      </c>
      <c r="C10005" s="8">
        <f t="array" ref="C10005">PRODUCT(1-'Sparkling Model'!D$2:D$38^A10005)</f>
        <v>0.9756216835</v>
      </c>
    </row>
    <row r="10006">
      <c r="A10006" s="6">
        <v>10004.0</v>
      </c>
      <c r="B10006" s="17">
        <f t="array" ref="B10006">SUM(1-'Sparkling Model'!D$2:D$38^A10006)</f>
        <v>36.97541963</v>
      </c>
      <c r="C10006" s="8">
        <f t="array" ref="C10006">PRODUCT(1-'Sparkling Model'!D$2:D$38^A10006)</f>
        <v>0.9756337997</v>
      </c>
    </row>
    <row r="10007">
      <c r="A10007" s="6">
        <v>10005.0</v>
      </c>
      <c r="B10007" s="17">
        <f t="array" ref="B10007">SUM(1-'Sparkling Model'!D$2:D$38^A10007)</f>
        <v>36.97543196</v>
      </c>
      <c r="C10007" s="8">
        <f t="array" ref="C10007">PRODUCT(1-'Sparkling Model'!D$2:D$38^A10007)</f>
        <v>0.97564591</v>
      </c>
    </row>
    <row r="10008">
      <c r="A10008" s="6">
        <v>10006.0</v>
      </c>
      <c r="B10008" s="17">
        <f t="array" ref="B10008">SUM(1-'Sparkling Model'!D$2:D$38^A10008)</f>
        <v>36.97544428</v>
      </c>
      <c r="C10008" s="8">
        <f t="array" ref="C10008">PRODUCT(1-'Sparkling Model'!D$2:D$38^A10008)</f>
        <v>0.9756580142</v>
      </c>
    </row>
    <row r="10009">
      <c r="A10009" s="6">
        <v>10007.0</v>
      </c>
      <c r="B10009" s="17">
        <f t="array" ref="B10009">SUM(1-'Sparkling Model'!D$2:D$38^A10009)</f>
        <v>36.97545659</v>
      </c>
      <c r="C10009" s="8">
        <f t="array" ref="C10009">PRODUCT(1-'Sparkling Model'!D$2:D$38^A10009)</f>
        <v>0.9756701123</v>
      </c>
    </row>
    <row r="10010">
      <c r="A10010" s="6">
        <v>10008.0</v>
      </c>
      <c r="B10010" s="17">
        <f t="array" ref="B10010">SUM(1-'Sparkling Model'!D$2:D$38^A10010)</f>
        <v>36.9754689</v>
      </c>
      <c r="C10010" s="8">
        <f t="array" ref="C10010">PRODUCT(1-'Sparkling Model'!D$2:D$38^A10010)</f>
        <v>0.9756822045</v>
      </c>
    </row>
    <row r="10011">
      <c r="A10011" s="6">
        <v>10009.0</v>
      </c>
      <c r="B10011" s="17">
        <f t="array" ref="B10011">SUM(1-'Sparkling Model'!D$2:D$38^A10011)</f>
        <v>36.9754812</v>
      </c>
      <c r="C10011" s="8">
        <f t="array" ref="C10011">PRODUCT(1-'Sparkling Model'!D$2:D$38^A10011)</f>
        <v>0.9756942906</v>
      </c>
    </row>
    <row r="10012">
      <c r="A10012" s="6">
        <v>10010.0</v>
      </c>
      <c r="B10012" s="17">
        <f t="array" ref="B10012">SUM(1-'Sparkling Model'!D$2:D$38^A10012)</f>
        <v>36.9754935</v>
      </c>
      <c r="C10012" s="8">
        <f t="array" ref="C10012">PRODUCT(1-'Sparkling Model'!D$2:D$38^A10012)</f>
        <v>0.9757063707</v>
      </c>
    </row>
    <row r="10013">
      <c r="A10013" s="6">
        <v>10011.0</v>
      </c>
      <c r="B10013" s="17">
        <f t="array" ref="B10013">SUM(1-'Sparkling Model'!D$2:D$38^A10013)</f>
        <v>36.97550578</v>
      </c>
      <c r="C10013" s="8">
        <f t="array" ref="C10013">PRODUCT(1-'Sparkling Model'!D$2:D$38^A10013)</f>
        <v>0.9757184448</v>
      </c>
    </row>
    <row r="10014">
      <c r="A10014" s="6">
        <v>10012.0</v>
      </c>
      <c r="B10014" s="17">
        <f t="array" ref="B10014">SUM(1-'Sparkling Model'!D$2:D$38^A10014)</f>
        <v>36.97551807</v>
      </c>
      <c r="C10014" s="8">
        <f t="array" ref="C10014">PRODUCT(1-'Sparkling Model'!D$2:D$38^A10014)</f>
        <v>0.9757305129</v>
      </c>
    </row>
    <row r="10015">
      <c r="A10015" s="6">
        <v>10013.0</v>
      </c>
      <c r="B10015" s="17">
        <f t="array" ref="B10015">SUM(1-'Sparkling Model'!D$2:D$38^A10015)</f>
        <v>36.97553034</v>
      </c>
      <c r="C10015" s="8">
        <f t="array" ref="C10015">PRODUCT(1-'Sparkling Model'!D$2:D$38^A10015)</f>
        <v>0.975742575</v>
      </c>
    </row>
    <row r="10016">
      <c r="A10016" s="6">
        <v>10014.0</v>
      </c>
      <c r="B10016" s="17">
        <f t="array" ref="B10016">SUM(1-'Sparkling Model'!D$2:D$38^A10016)</f>
        <v>36.97554261</v>
      </c>
      <c r="C10016" s="8">
        <f t="array" ref="C10016">PRODUCT(1-'Sparkling Model'!D$2:D$38^A10016)</f>
        <v>0.975754631</v>
      </c>
    </row>
    <row r="10017">
      <c r="A10017" s="6">
        <v>10015.0</v>
      </c>
      <c r="B10017" s="17">
        <f t="array" ref="B10017">SUM(1-'Sparkling Model'!D$2:D$38^A10017)</f>
        <v>36.97555488</v>
      </c>
      <c r="C10017" s="8">
        <f t="array" ref="C10017">PRODUCT(1-'Sparkling Model'!D$2:D$38^A10017)</f>
        <v>0.9757666811</v>
      </c>
    </row>
    <row r="10018">
      <c r="A10018" s="6">
        <v>10016.0</v>
      </c>
      <c r="B10018" s="17">
        <f t="array" ref="B10018">SUM(1-'Sparkling Model'!D$2:D$38^A10018)</f>
        <v>36.97556714</v>
      </c>
      <c r="C10018" s="8">
        <f t="array" ref="C10018">PRODUCT(1-'Sparkling Model'!D$2:D$38^A10018)</f>
        <v>0.9757787251</v>
      </c>
    </row>
    <row r="10019">
      <c r="A10019" s="6">
        <v>10017.0</v>
      </c>
      <c r="B10019" s="17">
        <f t="array" ref="B10019">SUM(1-'Sparkling Model'!D$2:D$38^A10019)</f>
        <v>36.97557939</v>
      </c>
      <c r="C10019" s="8">
        <f t="array" ref="C10019">PRODUCT(1-'Sparkling Model'!D$2:D$38^A10019)</f>
        <v>0.9757907632</v>
      </c>
    </row>
    <row r="10020">
      <c r="A10020" s="6">
        <v>10018.0</v>
      </c>
      <c r="B10020" s="17">
        <f t="array" ref="B10020">SUM(1-'Sparkling Model'!D$2:D$38^A10020)</f>
        <v>36.97559163</v>
      </c>
      <c r="C10020" s="8">
        <f t="array" ref="C10020">PRODUCT(1-'Sparkling Model'!D$2:D$38^A10020)</f>
        <v>0.9758027953</v>
      </c>
    </row>
    <row r="10021">
      <c r="A10021" s="6">
        <v>10019.0</v>
      </c>
      <c r="B10021" s="17">
        <f t="array" ref="B10021">SUM(1-'Sparkling Model'!D$2:D$38^A10021)</f>
        <v>36.97560387</v>
      </c>
      <c r="C10021" s="8">
        <f t="array" ref="C10021">PRODUCT(1-'Sparkling Model'!D$2:D$38^A10021)</f>
        <v>0.9758148213</v>
      </c>
    </row>
    <row r="10022">
      <c r="A10022" s="6">
        <v>10020.0</v>
      </c>
      <c r="B10022" s="17">
        <f t="array" ref="B10022">SUM(1-'Sparkling Model'!D$2:D$38^A10022)</f>
        <v>36.97561611</v>
      </c>
      <c r="C10022" s="8">
        <f t="array" ref="C10022">PRODUCT(1-'Sparkling Model'!D$2:D$38^A10022)</f>
        <v>0.9758268414</v>
      </c>
    </row>
    <row r="10023">
      <c r="A10023" s="6">
        <v>10021.0</v>
      </c>
      <c r="B10023" s="17">
        <f t="array" ref="B10023">SUM(1-'Sparkling Model'!D$2:D$38^A10023)</f>
        <v>36.97562833</v>
      </c>
      <c r="C10023" s="8">
        <f t="array" ref="C10023">PRODUCT(1-'Sparkling Model'!D$2:D$38^A10023)</f>
        <v>0.9758388555</v>
      </c>
    </row>
    <row r="10024">
      <c r="A10024" s="6">
        <v>10022.0</v>
      </c>
      <c r="B10024" s="17">
        <f t="array" ref="B10024">SUM(1-'Sparkling Model'!D$2:D$38^A10024)</f>
        <v>36.97564055</v>
      </c>
      <c r="C10024" s="8">
        <f t="array" ref="C10024">PRODUCT(1-'Sparkling Model'!D$2:D$38^A10024)</f>
        <v>0.9758508636</v>
      </c>
    </row>
    <row r="10025">
      <c r="A10025" s="6">
        <v>10023.0</v>
      </c>
      <c r="B10025" s="17">
        <f t="array" ref="B10025">SUM(1-'Sparkling Model'!D$2:D$38^A10025)</f>
        <v>36.97565277</v>
      </c>
      <c r="C10025" s="8">
        <f t="array" ref="C10025">PRODUCT(1-'Sparkling Model'!D$2:D$38^A10025)</f>
        <v>0.9758628658</v>
      </c>
    </row>
    <row r="10026">
      <c r="A10026" s="6">
        <v>10024.0</v>
      </c>
      <c r="B10026" s="17">
        <f t="array" ref="B10026">SUM(1-'Sparkling Model'!D$2:D$38^A10026)</f>
        <v>36.97566498</v>
      </c>
      <c r="C10026" s="8">
        <f t="array" ref="C10026">PRODUCT(1-'Sparkling Model'!D$2:D$38^A10026)</f>
        <v>0.9758748619</v>
      </c>
    </row>
    <row r="10027">
      <c r="A10027" s="6">
        <v>10025.0</v>
      </c>
      <c r="B10027" s="17">
        <f t="array" ref="B10027">SUM(1-'Sparkling Model'!D$2:D$38^A10027)</f>
        <v>36.97567718</v>
      </c>
      <c r="C10027" s="8">
        <f t="array" ref="C10027">PRODUCT(1-'Sparkling Model'!D$2:D$38^A10027)</f>
        <v>0.9758868521</v>
      </c>
    </row>
    <row r="10028">
      <c r="A10028" s="6">
        <v>10026.0</v>
      </c>
      <c r="B10028" s="17">
        <f t="array" ref="B10028">SUM(1-'Sparkling Model'!D$2:D$38^A10028)</f>
        <v>36.97568937</v>
      </c>
      <c r="C10028" s="8">
        <f t="array" ref="C10028">PRODUCT(1-'Sparkling Model'!D$2:D$38^A10028)</f>
        <v>0.9758988363</v>
      </c>
    </row>
    <row r="10029">
      <c r="A10029" s="6">
        <v>10027.0</v>
      </c>
      <c r="B10029" s="17">
        <f t="array" ref="B10029">SUM(1-'Sparkling Model'!D$2:D$38^A10029)</f>
        <v>36.97570156</v>
      </c>
      <c r="C10029" s="8">
        <f t="array" ref="C10029">PRODUCT(1-'Sparkling Model'!D$2:D$38^A10029)</f>
        <v>0.9759108146</v>
      </c>
    </row>
    <row r="10030">
      <c r="A10030" s="6">
        <v>10028.0</v>
      </c>
      <c r="B10030" s="17">
        <f t="array" ref="B10030">SUM(1-'Sparkling Model'!D$2:D$38^A10030)</f>
        <v>36.97571375</v>
      </c>
      <c r="C10030" s="8">
        <f t="array" ref="C10030">PRODUCT(1-'Sparkling Model'!D$2:D$38^A10030)</f>
        <v>0.9759227868</v>
      </c>
    </row>
    <row r="10031">
      <c r="A10031" s="6">
        <v>10029.0</v>
      </c>
      <c r="B10031" s="17">
        <f t="array" ref="B10031">SUM(1-'Sparkling Model'!D$2:D$38^A10031)</f>
        <v>36.97572592</v>
      </c>
      <c r="C10031" s="8">
        <f t="array" ref="C10031">PRODUCT(1-'Sparkling Model'!D$2:D$38^A10031)</f>
        <v>0.9759347532</v>
      </c>
    </row>
    <row r="10032">
      <c r="A10032" s="6">
        <v>10030.0</v>
      </c>
      <c r="B10032" s="17">
        <f t="array" ref="B10032">SUM(1-'Sparkling Model'!D$2:D$38^A10032)</f>
        <v>36.97573809</v>
      </c>
      <c r="C10032" s="8">
        <f t="array" ref="C10032">PRODUCT(1-'Sparkling Model'!D$2:D$38^A10032)</f>
        <v>0.9759467135</v>
      </c>
    </row>
    <row r="10033">
      <c r="A10033" s="6">
        <v>10031.0</v>
      </c>
      <c r="B10033" s="17">
        <f t="array" ref="B10033">SUM(1-'Sparkling Model'!D$2:D$38^A10033)</f>
        <v>36.97575026</v>
      </c>
      <c r="C10033" s="8">
        <f t="array" ref="C10033">PRODUCT(1-'Sparkling Model'!D$2:D$38^A10033)</f>
        <v>0.9759586679</v>
      </c>
    </row>
    <row r="10034">
      <c r="A10034" s="6">
        <v>10032.0</v>
      </c>
      <c r="B10034" s="17">
        <f t="array" ref="B10034">SUM(1-'Sparkling Model'!D$2:D$38^A10034)</f>
        <v>36.97576242</v>
      </c>
      <c r="C10034" s="8">
        <f t="array" ref="C10034">PRODUCT(1-'Sparkling Model'!D$2:D$38^A10034)</f>
        <v>0.9759706164</v>
      </c>
    </row>
    <row r="10035">
      <c r="A10035" s="6">
        <v>10033.0</v>
      </c>
      <c r="B10035" s="17">
        <f t="array" ref="B10035">SUM(1-'Sparkling Model'!D$2:D$38^A10035)</f>
        <v>36.97577457</v>
      </c>
      <c r="C10035" s="8">
        <f t="array" ref="C10035">PRODUCT(1-'Sparkling Model'!D$2:D$38^A10035)</f>
        <v>0.9759825589</v>
      </c>
    </row>
    <row r="10036">
      <c r="A10036" s="6">
        <v>10034.0</v>
      </c>
      <c r="B10036" s="17">
        <f t="array" ref="B10036">SUM(1-'Sparkling Model'!D$2:D$38^A10036)</f>
        <v>36.97578672</v>
      </c>
      <c r="C10036" s="8">
        <f t="array" ref="C10036">PRODUCT(1-'Sparkling Model'!D$2:D$38^A10036)</f>
        <v>0.9759944954</v>
      </c>
    </row>
    <row r="10037">
      <c r="A10037" s="6">
        <v>10035.0</v>
      </c>
      <c r="B10037" s="17">
        <f t="array" ref="B10037">SUM(1-'Sparkling Model'!D$2:D$38^A10037)</f>
        <v>36.97579886</v>
      </c>
      <c r="C10037" s="8">
        <f t="array" ref="C10037">PRODUCT(1-'Sparkling Model'!D$2:D$38^A10037)</f>
        <v>0.9760064261</v>
      </c>
    </row>
    <row r="10038">
      <c r="A10038" s="6">
        <v>10036.0</v>
      </c>
      <c r="B10038" s="17">
        <f t="array" ref="B10038">SUM(1-'Sparkling Model'!D$2:D$38^A10038)</f>
        <v>36.97581099</v>
      </c>
      <c r="C10038" s="8">
        <f t="array" ref="C10038">PRODUCT(1-'Sparkling Model'!D$2:D$38^A10038)</f>
        <v>0.9760183507</v>
      </c>
    </row>
    <row r="10039">
      <c r="A10039" s="6">
        <v>10037.0</v>
      </c>
      <c r="B10039" s="17">
        <f t="array" ref="B10039">SUM(1-'Sparkling Model'!D$2:D$38^A10039)</f>
        <v>36.97582312</v>
      </c>
      <c r="C10039" s="8">
        <f t="array" ref="C10039">PRODUCT(1-'Sparkling Model'!D$2:D$38^A10039)</f>
        <v>0.9760302695</v>
      </c>
    </row>
    <row r="10040">
      <c r="A10040" s="6">
        <v>10038.0</v>
      </c>
      <c r="B10040" s="17">
        <f t="array" ref="B10040">SUM(1-'Sparkling Model'!D$2:D$38^A10040)</f>
        <v>36.97583524</v>
      </c>
      <c r="C10040" s="8">
        <f t="array" ref="C10040">PRODUCT(1-'Sparkling Model'!D$2:D$38^A10040)</f>
        <v>0.9760421822</v>
      </c>
    </row>
    <row r="10041">
      <c r="A10041" s="6">
        <v>10039.0</v>
      </c>
      <c r="B10041" s="17">
        <f t="array" ref="B10041">SUM(1-'Sparkling Model'!D$2:D$38^A10041)</f>
        <v>36.97584736</v>
      </c>
      <c r="C10041" s="8">
        <f t="array" ref="C10041">PRODUCT(1-'Sparkling Model'!D$2:D$38^A10041)</f>
        <v>0.9760540891</v>
      </c>
    </row>
    <row r="10042">
      <c r="A10042" s="6">
        <v>10040.0</v>
      </c>
      <c r="B10042" s="17">
        <f t="array" ref="B10042">SUM(1-'Sparkling Model'!D$2:D$38^A10042)</f>
        <v>36.97585947</v>
      </c>
      <c r="C10042" s="8">
        <f t="array" ref="C10042">PRODUCT(1-'Sparkling Model'!D$2:D$38^A10042)</f>
        <v>0.97606599</v>
      </c>
    </row>
    <row r="10043">
      <c r="A10043" s="6">
        <v>10041.0</v>
      </c>
      <c r="B10043" s="17">
        <f t="array" ref="B10043">SUM(1-'Sparkling Model'!D$2:D$38^A10043)</f>
        <v>36.97587157</v>
      </c>
      <c r="C10043" s="8">
        <f t="array" ref="C10043">PRODUCT(1-'Sparkling Model'!D$2:D$38^A10043)</f>
        <v>0.9760778851</v>
      </c>
    </row>
    <row r="10044">
      <c r="A10044" s="6">
        <v>10042.0</v>
      </c>
      <c r="B10044" s="17">
        <f t="array" ref="B10044">SUM(1-'Sparkling Model'!D$2:D$38^A10044)</f>
        <v>36.97588367</v>
      </c>
      <c r="C10044" s="8">
        <f t="array" ref="C10044">PRODUCT(1-'Sparkling Model'!D$2:D$38^A10044)</f>
        <v>0.9760897741</v>
      </c>
    </row>
    <row r="10045">
      <c r="A10045" s="6">
        <v>10043.0</v>
      </c>
      <c r="B10045" s="17">
        <f t="array" ref="B10045">SUM(1-'Sparkling Model'!D$2:D$38^A10045)</f>
        <v>36.97589576</v>
      </c>
      <c r="C10045" s="8">
        <f t="array" ref="C10045">PRODUCT(1-'Sparkling Model'!D$2:D$38^A10045)</f>
        <v>0.9761016573</v>
      </c>
    </row>
    <row r="10046">
      <c r="A10046" s="6">
        <v>10044.0</v>
      </c>
      <c r="B10046" s="17">
        <f t="array" ref="B10046">SUM(1-'Sparkling Model'!D$2:D$38^A10046)</f>
        <v>36.97590784</v>
      </c>
      <c r="C10046" s="8">
        <f t="array" ref="C10046">PRODUCT(1-'Sparkling Model'!D$2:D$38^A10046)</f>
        <v>0.9761135345</v>
      </c>
    </row>
    <row r="10047">
      <c r="A10047" s="6">
        <v>10045.0</v>
      </c>
      <c r="B10047" s="17">
        <f t="array" ref="B10047">SUM(1-'Sparkling Model'!D$2:D$38^A10047)</f>
        <v>36.97591992</v>
      </c>
      <c r="C10047" s="8">
        <f t="array" ref="C10047">PRODUCT(1-'Sparkling Model'!D$2:D$38^A10047)</f>
        <v>0.9761254059</v>
      </c>
    </row>
    <row r="10048">
      <c r="A10048" s="6">
        <v>10046.0</v>
      </c>
      <c r="B10048" s="17">
        <f t="array" ref="B10048">SUM(1-'Sparkling Model'!D$2:D$38^A10048)</f>
        <v>36.975932</v>
      </c>
      <c r="C10048" s="8">
        <f t="array" ref="C10048">PRODUCT(1-'Sparkling Model'!D$2:D$38^A10048)</f>
        <v>0.9761372713</v>
      </c>
    </row>
    <row r="10049">
      <c r="A10049" s="6">
        <v>10047.0</v>
      </c>
      <c r="B10049" s="17">
        <f t="array" ref="B10049">SUM(1-'Sparkling Model'!D$2:D$38^A10049)</f>
        <v>36.97594406</v>
      </c>
      <c r="C10049" s="8">
        <f t="array" ref="C10049">PRODUCT(1-'Sparkling Model'!D$2:D$38^A10049)</f>
        <v>0.9761491308</v>
      </c>
    </row>
    <row r="10050">
      <c r="A10050" s="6">
        <v>10048.0</v>
      </c>
      <c r="B10050" s="17">
        <f t="array" ref="B10050">SUM(1-'Sparkling Model'!D$2:D$38^A10050)</f>
        <v>36.97595612</v>
      </c>
      <c r="C10050" s="8">
        <f t="array" ref="C10050">PRODUCT(1-'Sparkling Model'!D$2:D$38^A10050)</f>
        <v>0.9761609844</v>
      </c>
    </row>
    <row r="10051">
      <c r="A10051" s="6">
        <v>10049.0</v>
      </c>
      <c r="B10051" s="17">
        <f t="array" ref="B10051">SUM(1-'Sparkling Model'!D$2:D$38^A10051)</f>
        <v>36.97596818</v>
      </c>
      <c r="C10051" s="8">
        <f t="array" ref="C10051">PRODUCT(1-'Sparkling Model'!D$2:D$38^A10051)</f>
        <v>0.9761728321</v>
      </c>
    </row>
    <row r="10052">
      <c r="A10052" s="6">
        <v>10050.0</v>
      </c>
      <c r="B10052" s="17">
        <f t="array" ref="B10052">SUM(1-'Sparkling Model'!D$2:D$38^A10052)</f>
        <v>36.97598023</v>
      </c>
      <c r="C10052" s="8">
        <f t="array" ref="C10052">PRODUCT(1-'Sparkling Model'!D$2:D$38^A10052)</f>
        <v>0.9761846739</v>
      </c>
    </row>
    <row r="10053">
      <c r="A10053" s="6">
        <v>10051.0</v>
      </c>
      <c r="B10053" s="17">
        <f t="array" ref="B10053">SUM(1-'Sparkling Model'!D$2:D$38^A10053)</f>
        <v>36.97599227</v>
      </c>
      <c r="C10053" s="8">
        <f t="array" ref="C10053">PRODUCT(1-'Sparkling Model'!D$2:D$38^A10053)</f>
        <v>0.9761965098</v>
      </c>
    </row>
    <row r="10054">
      <c r="A10054" s="6">
        <v>10052.0</v>
      </c>
      <c r="B10054" s="17">
        <f t="array" ref="B10054">SUM(1-'Sparkling Model'!D$2:D$38^A10054)</f>
        <v>36.9760043</v>
      </c>
      <c r="C10054" s="8">
        <f t="array" ref="C10054">PRODUCT(1-'Sparkling Model'!D$2:D$38^A10054)</f>
        <v>0.9762083398</v>
      </c>
    </row>
    <row r="10055">
      <c r="A10055" s="6">
        <v>10053.0</v>
      </c>
      <c r="B10055" s="17">
        <f t="array" ref="B10055">SUM(1-'Sparkling Model'!D$2:D$38^A10055)</f>
        <v>36.97601633</v>
      </c>
      <c r="C10055" s="8">
        <f t="array" ref="C10055">PRODUCT(1-'Sparkling Model'!D$2:D$38^A10055)</f>
        <v>0.976220164</v>
      </c>
    </row>
    <row r="10056">
      <c r="A10056" s="6">
        <v>10054.0</v>
      </c>
      <c r="B10056" s="17">
        <f t="array" ref="B10056">SUM(1-'Sparkling Model'!D$2:D$38^A10056)</f>
        <v>36.97602836</v>
      </c>
      <c r="C10056" s="8">
        <f t="array" ref="C10056">PRODUCT(1-'Sparkling Model'!D$2:D$38^A10056)</f>
        <v>0.9762319822</v>
      </c>
    </row>
    <row r="10057">
      <c r="A10057" s="6">
        <v>10055.0</v>
      </c>
      <c r="B10057" s="17">
        <f t="array" ref="B10057">SUM(1-'Sparkling Model'!D$2:D$38^A10057)</f>
        <v>36.97604038</v>
      </c>
      <c r="C10057" s="8">
        <f t="array" ref="C10057">PRODUCT(1-'Sparkling Model'!D$2:D$38^A10057)</f>
        <v>0.9762437945</v>
      </c>
    </row>
    <row r="10058">
      <c r="A10058" s="6">
        <v>10056.0</v>
      </c>
      <c r="B10058" s="17">
        <f t="array" ref="B10058">SUM(1-'Sparkling Model'!D$2:D$38^A10058)</f>
        <v>36.97605239</v>
      </c>
      <c r="C10058" s="8">
        <f t="array" ref="C10058">PRODUCT(1-'Sparkling Model'!D$2:D$38^A10058)</f>
        <v>0.976255601</v>
      </c>
    </row>
    <row r="10059">
      <c r="A10059" s="6">
        <v>10057.0</v>
      </c>
      <c r="B10059" s="17">
        <f t="array" ref="B10059">SUM(1-'Sparkling Model'!D$2:D$38^A10059)</f>
        <v>36.97606439</v>
      </c>
      <c r="C10059" s="8">
        <f t="array" ref="C10059">PRODUCT(1-'Sparkling Model'!D$2:D$38^A10059)</f>
        <v>0.9762674016</v>
      </c>
    </row>
    <row r="10060">
      <c r="A10060" s="6">
        <v>10058.0</v>
      </c>
      <c r="B10060" s="17">
        <f t="array" ref="B10060">SUM(1-'Sparkling Model'!D$2:D$38^A10060)</f>
        <v>36.97607639</v>
      </c>
      <c r="C10060" s="8">
        <f t="array" ref="C10060">PRODUCT(1-'Sparkling Model'!D$2:D$38^A10060)</f>
        <v>0.9762791963</v>
      </c>
    </row>
    <row r="10061">
      <c r="A10061" s="6">
        <v>10059.0</v>
      </c>
      <c r="B10061" s="17">
        <f t="array" ref="B10061">SUM(1-'Sparkling Model'!D$2:D$38^A10061)</f>
        <v>36.97608839</v>
      </c>
      <c r="C10061" s="8">
        <f t="array" ref="C10061">PRODUCT(1-'Sparkling Model'!D$2:D$38^A10061)</f>
        <v>0.9762909851</v>
      </c>
    </row>
    <row r="10062">
      <c r="A10062" s="6">
        <v>10060.0</v>
      </c>
      <c r="B10062" s="17">
        <f t="array" ref="B10062">SUM(1-'Sparkling Model'!D$2:D$38^A10062)</f>
        <v>36.97610037</v>
      </c>
      <c r="C10062" s="8">
        <f t="array" ref="C10062">PRODUCT(1-'Sparkling Model'!D$2:D$38^A10062)</f>
        <v>0.9763027681</v>
      </c>
    </row>
    <row r="10063">
      <c r="A10063" s="6">
        <v>10061.0</v>
      </c>
      <c r="B10063" s="17">
        <f t="array" ref="B10063">SUM(1-'Sparkling Model'!D$2:D$38^A10063)</f>
        <v>36.97611235</v>
      </c>
      <c r="C10063" s="8">
        <f t="array" ref="C10063">PRODUCT(1-'Sparkling Model'!D$2:D$38^A10063)</f>
        <v>0.9763145452</v>
      </c>
    </row>
    <row r="10064">
      <c r="A10064" s="6">
        <v>10062.0</v>
      </c>
      <c r="B10064" s="17">
        <f t="array" ref="B10064">SUM(1-'Sparkling Model'!D$2:D$38^A10064)</f>
        <v>36.97612433</v>
      </c>
      <c r="C10064" s="8">
        <f t="array" ref="C10064">PRODUCT(1-'Sparkling Model'!D$2:D$38^A10064)</f>
        <v>0.9763263164</v>
      </c>
    </row>
    <row r="10065">
      <c r="A10065" s="6">
        <v>10063.0</v>
      </c>
      <c r="B10065" s="17">
        <f t="array" ref="B10065">SUM(1-'Sparkling Model'!D$2:D$38^A10065)</f>
        <v>36.9761363</v>
      </c>
      <c r="C10065" s="8">
        <f t="array" ref="C10065">PRODUCT(1-'Sparkling Model'!D$2:D$38^A10065)</f>
        <v>0.9763380818</v>
      </c>
    </row>
    <row r="10066">
      <c r="A10066" s="6">
        <v>10064.0</v>
      </c>
      <c r="B10066" s="17">
        <f t="array" ref="B10066">SUM(1-'Sparkling Model'!D$2:D$38^A10066)</f>
        <v>36.97614826</v>
      </c>
      <c r="C10066" s="8">
        <f t="array" ref="C10066">PRODUCT(1-'Sparkling Model'!D$2:D$38^A10066)</f>
        <v>0.9763498413</v>
      </c>
    </row>
    <row r="10067">
      <c r="A10067" s="6">
        <v>10065.0</v>
      </c>
      <c r="B10067" s="17">
        <f t="array" ref="B10067">SUM(1-'Sparkling Model'!D$2:D$38^A10067)</f>
        <v>36.97616022</v>
      </c>
      <c r="C10067" s="8">
        <f t="array" ref="C10067">PRODUCT(1-'Sparkling Model'!D$2:D$38^A10067)</f>
        <v>0.976361595</v>
      </c>
    </row>
    <row r="10068">
      <c r="A10068" s="6">
        <v>10066.0</v>
      </c>
      <c r="B10068" s="17">
        <f t="array" ref="B10068">SUM(1-'Sparkling Model'!D$2:D$38^A10068)</f>
        <v>36.97617217</v>
      </c>
      <c r="C10068" s="8">
        <f t="array" ref="C10068">PRODUCT(1-'Sparkling Model'!D$2:D$38^A10068)</f>
        <v>0.9763733428</v>
      </c>
    </row>
    <row r="10069">
      <c r="A10069" s="6">
        <v>10067.0</v>
      </c>
      <c r="B10069" s="17">
        <f t="array" ref="B10069">SUM(1-'Sparkling Model'!D$2:D$38^A10069)</f>
        <v>36.97618411</v>
      </c>
      <c r="C10069" s="8">
        <f t="array" ref="C10069">PRODUCT(1-'Sparkling Model'!D$2:D$38^A10069)</f>
        <v>0.9763850847</v>
      </c>
    </row>
    <row r="10070">
      <c r="A10070" s="6">
        <v>10068.0</v>
      </c>
      <c r="B10070" s="17">
        <f t="array" ref="B10070">SUM(1-'Sparkling Model'!D$2:D$38^A10070)</f>
        <v>36.97619605</v>
      </c>
      <c r="C10070" s="8">
        <f t="array" ref="C10070">PRODUCT(1-'Sparkling Model'!D$2:D$38^A10070)</f>
        <v>0.9763968208</v>
      </c>
    </row>
    <row r="10071">
      <c r="A10071" s="6">
        <v>10069.0</v>
      </c>
      <c r="B10071" s="17">
        <f t="array" ref="B10071">SUM(1-'Sparkling Model'!D$2:D$38^A10071)</f>
        <v>36.97620799</v>
      </c>
      <c r="C10071" s="8">
        <f t="array" ref="C10071">PRODUCT(1-'Sparkling Model'!D$2:D$38^A10071)</f>
        <v>0.9764085511</v>
      </c>
    </row>
    <row r="10072">
      <c r="A10072" s="6">
        <v>10070.0</v>
      </c>
      <c r="B10072" s="17">
        <f t="array" ref="B10072">SUM(1-'Sparkling Model'!D$2:D$38^A10072)</f>
        <v>36.97621991</v>
      </c>
      <c r="C10072" s="8">
        <f t="array" ref="C10072">PRODUCT(1-'Sparkling Model'!D$2:D$38^A10072)</f>
        <v>0.9764202755</v>
      </c>
    </row>
    <row r="10073">
      <c r="A10073" s="6">
        <v>10071.0</v>
      </c>
      <c r="B10073" s="17">
        <f t="array" ref="B10073">SUM(1-'Sparkling Model'!D$2:D$38^A10073)</f>
        <v>36.97623183</v>
      </c>
      <c r="C10073" s="8">
        <f t="array" ref="C10073">PRODUCT(1-'Sparkling Model'!D$2:D$38^A10073)</f>
        <v>0.9764319941</v>
      </c>
    </row>
    <row r="10074">
      <c r="A10074" s="6">
        <v>10072.0</v>
      </c>
      <c r="B10074" s="17">
        <f t="array" ref="B10074">SUM(1-'Sparkling Model'!D$2:D$38^A10074)</f>
        <v>36.97624375</v>
      </c>
      <c r="C10074" s="8">
        <f t="array" ref="C10074">PRODUCT(1-'Sparkling Model'!D$2:D$38^A10074)</f>
        <v>0.9764437068</v>
      </c>
    </row>
    <row r="10075">
      <c r="A10075" s="6">
        <v>10073.0</v>
      </c>
      <c r="B10075" s="17">
        <f t="array" ref="B10075">SUM(1-'Sparkling Model'!D$2:D$38^A10075)</f>
        <v>36.97625566</v>
      </c>
      <c r="C10075" s="8">
        <f t="array" ref="C10075">PRODUCT(1-'Sparkling Model'!D$2:D$38^A10075)</f>
        <v>0.9764554137</v>
      </c>
    </row>
    <row r="10076">
      <c r="A10076" s="6">
        <v>10074.0</v>
      </c>
      <c r="B10076" s="17">
        <f t="array" ref="B10076">SUM(1-'Sparkling Model'!D$2:D$38^A10076)</f>
        <v>36.97626756</v>
      </c>
      <c r="C10076" s="8">
        <f t="array" ref="C10076">PRODUCT(1-'Sparkling Model'!D$2:D$38^A10076)</f>
        <v>0.9764671148</v>
      </c>
    </row>
    <row r="10077">
      <c r="A10077" s="6">
        <v>10075.0</v>
      </c>
      <c r="B10077" s="17">
        <f t="array" ref="B10077">SUM(1-'Sparkling Model'!D$2:D$38^A10077)</f>
        <v>36.97627946</v>
      </c>
      <c r="C10077" s="8">
        <f t="array" ref="C10077">PRODUCT(1-'Sparkling Model'!D$2:D$38^A10077)</f>
        <v>0.9764788101</v>
      </c>
    </row>
    <row r="10078">
      <c r="A10078" s="6">
        <v>10076.0</v>
      </c>
      <c r="B10078" s="17">
        <f t="array" ref="B10078">SUM(1-'Sparkling Model'!D$2:D$38^A10078)</f>
        <v>36.97629135</v>
      </c>
      <c r="C10078" s="8">
        <f t="array" ref="C10078">PRODUCT(1-'Sparkling Model'!D$2:D$38^A10078)</f>
        <v>0.9764904995</v>
      </c>
    </row>
    <row r="10079">
      <c r="A10079" s="6">
        <v>10077.0</v>
      </c>
      <c r="B10079" s="17">
        <f t="array" ref="B10079">SUM(1-'Sparkling Model'!D$2:D$38^A10079)</f>
        <v>36.97630323</v>
      </c>
      <c r="C10079" s="8">
        <f t="array" ref="C10079">PRODUCT(1-'Sparkling Model'!D$2:D$38^A10079)</f>
        <v>0.9765021831</v>
      </c>
    </row>
    <row r="10080">
      <c r="A10080" s="6">
        <v>10078.0</v>
      </c>
      <c r="B10080" s="17">
        <f t="array" ref="B10080">SUM(1-'Sparkling Model'!D$2:D$38^A10080)</f>
        <v>36.97631511</v>
      </c>
      <c r="C10080" s="8">
        <f t="array" ref="C10080">PRODUCT(1-'Sparkling Model'!D$2:D$38^A10080)</f>
        <v>0.9765138609</v>
      </c>
    </row>
    <row r="10081">
      <c r="A10081" s="6">
        <v>10079.0</v>
      </c>
      <c r="B10081" s="17">
        <f t="array" ref="B10081">SUM(1-'Sparkling Model'!D$2:D$38^A10081)</f>
        <v>36.97632698</v>
      </c>
      <c r="C10081" s="8">
        <f t="array" ref="C10081">PRODUCT(1-'Sparkling Model'!D$2:D$38^A10081)</f>
        <v>0.9765255329</v>
      </c>
    </row>
    <row r="10082">
      <c r="A10082" s="6">
        <v>10080.0</v>
      </c>
      <c r="B10082" s="17">
        <f t="array" ref="B10082">SUM(1-'Sparkling Model'!D$2:D$38^A10082)</f>
        <v>36.97633885</v>
      </c>
      <c r="C10082" s="8">
        <f t="array" ref="C10082">PRODUCT(1-'Sparkling Model'!D$2:D$38^A10082)</f>
        <v>0.9765371991</v>
      </c>
    </row>
    <row r="10083">
      <c r="A10083" s="6">
        <v>10081.0</v>
      </c>
      <c r="B10083" s="17">
        <f t="array" ref="B10083">SUM(1-'Sparkling Model'!D$2:D$38^A10083)</f>
        <v>36.97635071</v>
      </c>
      <c r="C10083" s="8">
        <f t="array" ref="C10083">PRODUCT(1-'Sparkling Model'!D$2:D$38^A10083)</f>
        <v>0.9765488594</v>
      </c>
    </row>
    <row r="10084">
      <c r="A10084" s="6">
        <v>10082.0</v>
      </c>
      <c r="B10084" s="17">
        <f t="array" ref="B10084">SUM(1-'Sparkling Model'!D$2:D$38^A10084)</f>
        <v>36.97636256</v>
      </c>
      <c r="C10084" s="8">
        <f t="array" ref="C10084">PRODUCT(1-'Sparkling Model'!D$2:D$38^A10084)</f>
        <v>0.976560514</v>
      </c>
    </row>
    <row r="10085">
      <c r="A10085" s="6">
        <v>10083.0</v>
      </c>
      <c r="B10085" s="17">
        <f t="array" ref="B10085">SUM(1-'Sparkling Model'!D$2:D$38^A10085)</f>
        <v>36.97637441</v>
      </c>
      <c r="C10085" s="8">
        <f t="array" ref="C10085">PRODUCT(1-'Sparkling Model'!D$2:D$38^A10085)</f>
        <v>0.9765721627</v>
      </c>
    </row>
    <row r="10086">
      <c r="A10086" s="6">
        <v>10084.0</v>
      </c>
      <c r="B10086" s="17">
        <f t="array" ref="B10086">SUM(1-'Sparkling Model'!D$2:D$38^A10086)</f>
        <v>36.97638626</v>
      </c>
      <c r="C10086" s="8">
        <f t="array" ref="C10086">PRODUCT(1-'Sparkling Model'!D$2:D$38^A10086)</f>
        <v>0.9765838056</v>
      </c>
    </row>
    <row r="10087">
      <c r="A10087" s="6">
        <v>10085.0</v>
      </c>
      <c r="B10087" s="17">
        <f t="array" ref="B10087">SUM(1-'Sparkling Model'!D$2:D$38^A10087)</f>
        <v>36.97639809</v>
      </c>
      <c r="C10087" s="8">
        <f t="array" ref="C10087">PRODUCT(1-'Sparkling Model'!D$2:D$38^A10087)</f>
        <v>0.9765954428</v>
      </c>
    </row>
    <row r="10088">
      <c r="A10088" s="6">
        <v>10086.0</v>
      </c>
      <c r="B10088" s="17">
        <f t="array" ref="B10088">SUM(1-'Sparkling Model'!D$2:D$38^A10088)</f>
        <v>36.97640992</v>
      </c>
      <c r="C10088" s="8">
        <f t="array" ref="C10088">PRODUCT(1-'Sparkling Model'!D$2:D$38^A10088)</f>
        <v>0.9766070741</v>
      </c>
    </row>
    <row r="10089">
      <c r="A10089" s="6">
        <v>10087.0</v>
      </c>
      <c r="B10089" s="17">
        <f t="array" ref="B10089">SUM(1-'Sparkling Model'!D$2:D$38^A10089)</f>
        <v>36.97642175</v>
      </c>
      <c r="C10089" s="8">
        <f t="array" ref="C10089">PRODUCT(1-'Sparkling Model'!D$2:D$38^A10089)</f>
        <v>0.9766186997</v>
      </c>
    </row>
    <row r="10090">
      <c r="A10090" s="6">
        <v>10088.0</v>
      </c>
      <c r="B10090" s="17">
        <f t="array" ref="B10090">SUM(1-'Sparkling Model'!D$2:D$38^A10090)</f>
        <v>36.97643356</v>
      </c>
      <c r="C10090" s="8">
        <f t="array" ref="C10090">PRODUCT(1-'Sparkling Model'!D$2:D$38^A10090)</f>
        <v>0.9766303195</v>
      </c>
    </row>
    <row r="10091">
      <c r="A10091" s="6">
        <v>10089.0</v>
      </c>
      <c r="B10091" s="17">
        <f t="array" ref="B10091">SUM(1-'Sparkling Model'!D$2:D$38^A10091)</f>
        <v>36.97644538</v>
      </c>
      <c r="C10091" s="8">
        <f t="array" ref="C10091">PRODUCT(1-'Sparkling Model'!D$2:D$38^A10091)</f>
        <v>0.9766419334</v>
      </c>
    </row>
    <row r="10092">
      <c r="A10092" s="6">
        <v>10090.0</v>
      </c>
      <c r="B10092" s="17">
        <f t="array" ref="B10092">SUM(1-'Sparkling Model'!D$2:D$38^A10092)</f>
        <v>36.97645718</v>
      </c>
      <c r="C10092" s="8">
        <f t="array" ref="C10092">PRODUCT(1-'Sparkling Model'!D$2:D$38^A10092)</f>
        <v>0.9766535416</v>
      </c>
    </row>
    <row r="10093">
      <c r="A10093" s="6">
        <v>10091.0</v>
      </c>
      <c r="B10093" s="17">
        <f t="array" ref="B10093">SUM(1-'Sparkling Model'!D$2:D$38^A10093)</f>
        <v>36.97646898</v>
      </c>
      <c r="C10093" s="8">
        <f t="array" ref="C10093">PRODUCT(1-'Sparkling Model'!D$2:D$38^A10093)</f>
        <v>0.9766651441</v>
      </c>
    </row>
    <row r="10094">
      <c r="A10094" s="6">
        <v>10092.0</v>
      </c>
      <c r="B10094" s="17">
        <f t="array" ref="B10094">SUM(1-'Sparkling Model'!D$2:D$38^A10094)</f>
        <v>36.97648078</v>
      </c>
      <c r="C10094" s="8">
        <f t="array" ref="C10094">PRODUCT(1-'Sparkling Model'!D$2:D$38^A10094)</f>
        <v>0.9766767407</v>
      </c>
    </row>
    <row r="10095">
      <c r="A10095" s="6">
        <v>10093.0</v>
      </c>
      <c r="B10095" s="17">
        <f t="array" ref="B10095">SUM(1-'Sparkling Model'!D$2:D$38^A10095)</f>
        <v>36.97649257</v>
      </c>
      <c r="C10095" s="8">
        <f t="array" ref="C10095">PRODUCT(1-'Sparkling Model'!D$2:D$38^A10095)</f>
        <v>0.9766883316</v>
      </c>
    </row>
    <row r="10096">
      <c r="A10096" s="6">
        <v>10094.0</v>
      </c>
      <c r="B10096" s="17">
        <f t="array" ref="B10096">SUM(1-'Sparkling Model'!D$2:D$38^A10096)</f>
        <v>36.97650435</v>
      </c>
      <c r="C10096" s="8">
        <f t="array" ref="C10096">PRODUCT(1-'Sparkling Model'!D$2:D$38^A10096)</f>
        <v>0.9766999167</v>
      </c>
    </row>
    <row r="10097">
      <c r="A10097" s="6">
        <v>10095.0</v>
      </c>
      <c r="B10097" s="17">
        <f t="array" ref="B10097">SUM(1-'Sparkling Model'!D$2:D$38^A10097)</f>
        <v>36.97651613</v>
      </c>
      <c r="C10097" s="8">
        <f t="array" ref="C10097">PRODUCT(1-'Sparkling Model'!D$2:D$38^A10097)</f>
        <v>0.976711496</v>
      </c>
    </row>
    <row r="10098">
      <c r="A10098" s="6">
        <v>10096.0</v>
      </c>
      <c r="B10098" s="17">
        <f t="array" ref="B10098">SUM(1-'Sparkling Model'!D$2:D$38^A10098)</f>
        <v>36.9765279</v>
      </c>
      <c r="C10098" s="8">
        <f t="array" ref="C10098">PRODUCT(1-'Sparkling Model'!D$2:D$38^A10098)</f>
        <v>0.9767230695</v>
      </c>
    </row>
    <row r="10099">
      <c r="A10099" s="6">
        <v>10097.0</v>
      </c>
      <c r="B10099" s="17">
        <f t="array" ref="B10099">SUM(1-'Sparkling Model'!D$2:D$38^A10099)</f>
        <v>36.97653966</v>
      </c>
      <c r="C10099" s="8">
        <f t="array" ref="C10099">PRODUCT(1-'Sparkling Model'!D$2:D$38^A10099)</f>
        <v>0.9767346373</v>
      </c>
    </row>
    <row r="10100">
      <c r="A10100" s="6">
        <v>10098.0</v>
      </c>
      <c r="B10100" s="17">
        <f t="array" ref="B10100">SUM(1-'Sparkling Model'!D$2:D$38^A10100)</f>
        <v>36.97655142</v>
      </c>
      <c r="C10100" s="8">
        <f t="array" ref="C10100">PRODUCT(1-'Sparkling Model'!D$2:D$38^A10100)</f>
        <v>0.9767461994</v>
      </c>
    </row>
    <row r="10101">
      <c r="A10101" s="6">
        <v>10099.0</v>
      </c>
      <c r="B10101" s="17">
        <f t="array" ref="B10101">SUM(1-'Sparkling Model'!D$2:D$38^A10101)</f>
        <v>36.97656317</v>
      </c>
      <c r="C10101" s="8">
        <f t="array" ref="C10101">PRODUCT(1-'Sparkling Model'!D$2:D$38^A10101)</f>
        <v>0.9767577557</v>
      </c>
    </row>
    <row r="10102">
      <c r="A10102" s="6">
        <v>10100.0</v>
      </c>
      <c r="B10102" s="17">
        <f t="array" ref="B10102">SUM(1-'Sparkling Model'!D$2:D$38^A10102)</f>
        <v>36.97657492</v>
      </c>
      <c r="C10102" s="8">
        <f t="array" ref="C10102">PRODUCT(1-'Sparkling Model'!D$2:D$38^A10102)</f>
        <v>0.9767693062</v>
      </c>
    </row>
    <row r="10103">
      <c r="A10103" s="6">
        <v>10101.0</v>
      </c>
      <c r="B10103" s="17">
        <f t="array" ref="B10103">SUM(1-'Sparkling Model'!D$2:D$38^A10103)</f>
        <v>36.97658666</v>
      </c>
      <c r="C10103" s="8">
        <f t="array" ref="C10103">PRODUCT(1-'Sparkling Model'!D$2:D$38^A10103)</f>
        <v>0.9767808509</v>
      </c>
    </row>
    <row r="10104">
      <c r="A10104" s="6">
        <v>10102.0</v>
      </c>
      <c r="B10104" s="17">
        <f t="array" ref="B10104">SUM(1-'Sparkling Model'!D$2:D$38^A10104)</f>
        <v>36.9765984</v>
      </c>
      <c r="C10104" s="8">
        <f t="array" ref="C10104">PRODUCT(1-'Sparkling Model'!D$2:D$38^A10104)</f>
        <v>0.97679239</v>
      </c>
    </row>
    <row r="10105">
      <c r="A10105" s="6">
        <v>10103.0</v>
      </c>
      <c r="B10105" s="17">
        <f t="array" ref="B10105">SUM(1-'Sparkling Model'!D$2:D$38^A10105)</f>
        <v>36.97661013</v>
      </c>
      <c r="C10105" s="8">
        <f t="array" ref="C10105">PRODUCT(1-'Sparkling Model'!D$2:D$38^A10105)</f>
        <v>0.9768039232</v>
      </c>
    </row>
    <row r="10106">
      <c r="A10106" s="6">
        <v>10104.0</v>
      </c>
      <c r="B10106" s="17">
        <f t="array" ref="B10106">SUM(1-'Sparkling Model'!D$2:D$38^A10106)</f>
        <v>36.97662185</v>
      </c>
      <c r="C10106" s="8">
        <f t="array" ref="C10106">PRODUCT(1-'Sparkling Model'!D$2:D$38^A10106)</f>
        <v>0.9768154508</v>
      </c>
    </row>
    <row r="10107">
      <c r="A10107" s="6">
        <v>10105.0</v>
      </c>
      <c r="B10107" s="17">
        <f t="array" ref="B10107">SUM(1-'Sparkling Model'!D$2:D$38^A10107)</f>
        <v>36.97663357</v>
      </c>
      <c r="C10107" s="8">
        <f t="array" ref="C10107">PRODUCT(1-'Sparkling Model'!D$2:D$38^A10107)</f>
        <v>0.9768269726</v>
      </c>
    </row>
    <row r="10108">
      <c r="A10108" s="6">
        <v>10106.0</v>
      </c>
      <c r="B10108" s="17">
        <f t="array" ref="B10108">SUM(1-'Sparkling Model'!D$2:D$38^A10108)</f>
        <v>36.97664528</v>
      </c>
      <c r="C10108" s="8">
        <f t="array" ref="C10108">PRODUCT(1-'Sparkling Model'!D$2:D$38^A10108)</f>
        <v>0.9768384886</v>
      </c>
    </row>
    <row r="10109">
      <c r="A10109" s="6">
        <v>10107.0</v>
      </c>
      <c r="B10109" s="17">
        <f t="array" ref="B10109">SUM(1-'Sparkling Model'!D$2:D$38^A10109)</f>
        <v>36.97665698</v>
      </c>
      <c r="C10109" s="8">
        <f t="array" ref="C10109">PRODUCT(1-'Sparkling Model'!D$2:D$38^A10109)</f>
        <v>0.9768499989</v>
      </c>
    </row>
    <row r="10110">
      <c r="A10110" s="6">
        <v>10108.0</v>
      </c>
      <c r="B10110" s="17">
        <f t="array" ref="B10110">SUM(1-'Sparkling Model'!D$2:D$38^A10110)</f>
        <v>36.97666868</v>
      </c>
      <c r="C10110" s="8">
        <f t="array" ref="C10110">PRODUCT(1-'Sparkling Model'!D$2:D$38^A10110)</f>
        <v>0.9768615035</v>
      </c>
    </row>
    <row r="10111">
      <c r="A10111" s="6">
        <v>10109.0</v>
      </c>
      <c r="B10111" s="17">
        <f t="array" ref="B10111">SUM(1-'Sparkling Model'!D$2:D$38^A10111)</f>
        <v>36.97668037</v>
      </c>
      <c r="C10111" s="8">
        <f t="array" ref="C10111">PRODUCT(1-'Sparkling Model'!D$2:D$38^A10111)</f>
        <v>0.9768730024</v>
      </c>
    </row>
    <row r="10112">
      <c r="A10112" s="6">
        <v>10110.0</v>
      </c>
      <c r="B10112" s="17">
        <f t="array" ref="B10112">SUM(1-'Sparkling Model'!D$2:D$38^A10112)</f>
        <v>36.97669206</v>
      </c>
      <c r="C10112" s="8">
        <f t="array" ref="C10112">PRODUCT(1-'Sparkling Model'!D$2:D$38^A10112)</f>
        <v>0.9768844955</v>
      </c>
    </row>
    <row r="10113">
      <c r="A10113" s="6">
        <v>10111.0</v>
      </c>
      <c r="B10113" s="17">
        <f t="array" ref="B10113">SUM(1-'Sparkling Model'!D$2:D$38^A10113)</f>
        <v>36.97670374</v>
      </c>
      <c r="C10113" s="8">
        <f t="array" ref="C10113">PRODUCT(1-'Sparkling Model'!D$2:D$38^A10113)</f>
        <v>0.9768959829</v>
      </c>
    </row>
    <row r="10114">
      <c r="A10114" s="6">
        <v>10112.0</v>
      </c>
      <c r="B10114" s="17">
        <f t="array" ref="B10114">SUM(1-'Sparkling Model'!D$2:D$38^A10114)</f>
        <v>36.97671542</v>
      </c>
      <c r="C10114" s="8">
        <f t="array" ref="C10114">PRODUCT(1-'Sparkling Model'!D$2:D$38^A10114)</f>
        <v>0.9769074646</v>
      </c>
    </row>
    <row r="10115">
      <c r="A10115" s="6">
        <v>10113.0</v>
      </c>
      <c r="B10115" s="17">
        <f t="array" ref="B10115">SUM(1-'Sparkling Model'!D$2:D$38^A10115)</f>
        <v>36.97672709</v>
      </c>
      <c r="C10115" s="8">
        <f t="array" ref="C10115">PRODUCT(1-'Sparkling Model'!D$2:D$38^A10115)</f>
        <v>0.9769189406</v>
      </c>
    </row>
    <row r="10116">
      <c r="A10116" s="6">
        <v>10114.0</v>
      </c>
      <c r="B10116" s="17">
        <f t="array" ref="B10116">SUM(1-'Sparkling Model'!D$2:D$38^A10116)</f>
        <v>36.97673875</v>
      </c>
      <c r="C10116" s="8">
        <f t="array" ref="C10116">PRODUCT(1-'Sparkling Model'!D$2:D$38^A10116)</f>
        <v>0.9769304108</v>
      </c>
    </row>
    <row r="10117">
      <c r="A10117" s="6">
        <v>10115.0</v>
      </c>
      <c r="B10117" s="17">
        <f t="array" ref="B10117">SUM(1-'Sparkling Model'!D$2:D$38^A10117)</f>
        <v>36.97675041</v>
      </c>
      <c r="C10117" s="8">
        <f t="array" ref="C10117">PRODUCT(1-'Sparkling Model'!D$2:D$38^A10117)</f>
        <v>0.9769418754</v>
      </c>
    </row>
    <row r="10118">
      <c r="A10118" s="6">
        <v>10116.0</v>
      </c>
      <c r="B10118" s="17">
        <f t="array" ref="B10118">SUM(1-'Sparkling Model'!D$2:D$38^A10118)</f>
        <v>36.97676206</v>
      </c>
      <c r="C10118" s="8">
        <f t="array" ref="C10118">PRODUCT(1-'Sparkling Model'!D$2:D$38^A10118)</f>
        <v>0.9769533342</v>
      </c>
    </row>
    <row r="10119">
      <c r="A10119" s="6">
        <v>10117.0</v>
      </c>
      <c r="B10119" s="17">
        <f t="array" ref="B10119">SUM(1-'Sparkling Model'!D$2:D$38^A10119)</f>
        <v>36.97677371</v>
      </c>
      <c r="C10119" s="8">
        <f t="array" ref="C10119">PRODUCT(1-'Sparkling Model'!D$2:D$38^A10119)</f>
        <v>0.9769647873</v>
      </c>
    </row>
    <row r="10120">
      <c r="A10120" s="6">
        <v>10118.0</v>
      </c>
      <c r="B10120" s="17">
        <f t="array" ref="B10120">SUM(1-'Sparkling Model'!D$2:D$38^A10120)</f>
        <v>36.97678535</v>
      </c>
      <c r="C10120" s="8">
        <f t="array" ref="C10120">PRODUCT(1-'Sparkling Model'!D$2:D$38^A10120)</f>
        <v>0.9769762348</v>
      </c>
    </row>
    <row r="10121">
      <c r="A10121" s="6">
        <v>10119.0</v>
      </c>
      <c r="B10121" s="17">
        <f t="array" ref="B10121">SUM(1-'Sparkling Model'!D$2:D$38^A10121)</f>
        <v>36.97679698</v>
      </c>
      <c r="C10121" s="8">
        <f t="array" ref="C10121">PRODUCT(1-'Sparkling Model'!D$2:D$38^A10121)</f>
        <v>0.9769876765</v>
      </c>
    </row>
    <row r="10122">
      <c r="A10122" s="6">
        <v>10120.0</v>
      </c>
      <c r="B10122" s="17">
        <f t="array" ref="B10122">SUM(1-'Sparkling Model'!D$2:D$38^A10122)</f>
        <v>36.97680861</v>
      </c>
      <c r="C10122" s="8">
        <f t="array" ref="C10122">PRODUCT(1-'Sparkling Model'!D$2:D$38^A10122)</f>
        <v>0.9769991125</v>
      </c>
    </row>
    <row r="10123">
      <c r="A10123" s="6">
        <v>10121.0</v>
      </c>
      <c r="B10123" s="17">
        <f t="array" ref="B10123">SUM(1-'Sparkling Model'!D$2:D$38^A10123)</f>
        <v>36.97682023</v>
      </c>
      <c r="C10123" s="8">
        <f t="array" ref="C10123">PRODUCT(1-'Sparkling Model'!D$2:D$38^A10123)</f>
        <v>0.9770105428</v>
      </c>
    </row>
    <row r="10124">
      <c r="A10124" s="6">
        <v>10122.0</v>
      </c>
      <c r="B10124" s="17">
        <f t="array" ref="B10124">SUM(1-'Sparkling Model'!D$2:D$38^A10124)</f>
        <v>36.97683185</v>
      </c>
      <c r="C10124" s="8">
        <f t="array" ref="C10124">PRODUCT(1-'Sparkling Model'!D$2:D$38^A10124)</f>
        <v>0.9770219675</v>
      </c>
    </row>
    <row r="10125">
      <c r="A10125" s="6">
        <v>10123.0</v>
      </c>
      <c r="B10125" s="17">
        <f t="array" ref="B10125">SUM(1-'Sparkling Model'!D$2:D$38^A10125)</f>
        <v>36.97684346</v>
      </c>
      <c r="C10125" s="8">
        <f t="array" ref="C10125">PRODUCT(1-'Sparkling Model'!D$2:D$38^A10125)</f>
        <v>0.9770333864</v>
      </c>
    </row>
    <row r="10126">
      <c r="A10126" s="6">
        <v>10124.0</v>
      </c>
      <c r="B10126" s="17">
        <f t="array" ref="B10126">SUM(1-'Sparkling Model'!D$2:D$38^A10126)</f>
        <v>36.97685507</v>
      </c>
      <c r="C10126" s="8">
        <f t="array" ref="C10126">PRODUCT(1-'Sparkling Model'!D$2:D$38^A10126)</f>
        <v>0.9770447997</v>
      </c>
    </row>
    <row r="10127">
      <c r="A10127" s="6">
        <v>10125.0</v>
      </c>
      <c r="B10127" s="17">
        <f t="array" ref="B10127">SUM(1-'Sparkling Model'!D$2:D$38^A10127)</f>
        <v>36.97686666</v>
      </c>
      <c r="C10127" s="8">
        <f t="array" ref="C10127">PRODUCT(1-'Sparkling Model'!D$2:D$38^A10127)</f>
        <v>0.9770562073</v>
      </c>
    </row>
    <row r="10128">
      <c r="A10128" s="6">
        <v>10126.0</v>
      </c>
      <c r="B10128" s="17">
        <f t="array" ref="B10128">SUM(1-'Sparkling Model'!D$2:D$38^A10128)</f>
        <v>36.97687826</v>
      </c>
      <c r="C10128" s="8">
        <f t="array" ref="C10128">PRODUCT(1-'Sparkling Model'!D$2:D$38^A10128)</f>
        <v>0.9770676092</v>
      </c>
    </row>
    <row r="10129">
      <c r="A10129" s="6">
        <v>10127.0</v>
      </c>
      <c r="B10129" s="17">
        <f t="array" ref="B10129">SUM(1-'Sparkling Model'!D$2:D$38^A10129)</f>
        <v>36.97688984</v>
      </c>
      <c r="C10129" s="8">
        <f t="array" ref="C10129">PRODUCT(1-'Sparkling Model'!D$2:D$38^A10129)</f>
        <v>0.9770790054</v>
      </c>
    </row>
    <row r="10130">
      <c r="A10130" s="6">
        <v>10128.0</v>
      </c>
      <c r="B10130" s="17">
        <f t="array" ref="B10130">SUM(1-'Sparkling Model'!D$2:D$38^A10130)</f>
        <v>36.97690143</v>
      </c>
      <c r="C10130" s="8">
        <f t="array" ref="C10130">PRODUCT(1-'Sparkling Model'!D$2:D$38^A10130)</f>
        <v>0.9770903959</v>
      </c>
    </row>
    <row r="10131">
      <c r="A10131" s="6">
        <v>10129.0</v>
      </c>
      <c r="B10131" s="17">
        <f t="array" ref="B10131">SUM(1-'Sparkling Model'!D$2:D$38^A10131)</f>
        <v>36.976913</v>
      </c>
      <c r="C10131" s="8">
        <f t="array" ref="C10131">PRODUCT(1-'Sparkling Model'!D$2:D$38^A10131)</f>
        <v>0.9771017808</v>
      </c>
    </row>
    <row r="10132">
      <c r="A10132" s="6">
        <v>10130.0</v>
      </c>
      <c r="B10132" s="17">
        <f t="array" ref="B10132">SUM(1-'Sparkling Model'!D$2:D$38^A10132)</f>
        <v>36.97692457</v>
      </c>
      <c r="C10132" s="8">
        <f t="array" ref="C10132">PRODUCT(1-'Sparkling Model'!D$2:D$38^A10132)</f>
        <v>0.97711316</v>
      </c>
    </row>
    <row r="10133">
      <c r="A10133" s="6">
        <v>10131.0</v>
      </c>
      <c r="B10133" s="17">
        <f t="array" ref="B10133">SUM(1-'Sparkling Model'!D$2:D$38^A10133)</f>
        <v>36.97693613</v>
      </c>
      <c r="C10133" s="8">
        <f t="array" ref="C10133">PRODUCT(1-'Sparkling Model'!D$2:D$38^A10133)</f>
        <v>0.9771245335</v>
      </c>
    </row>
    <row r="10134">
      <c r="A10134" s="6">
        <v>10132.0</v>
      </c>
      <c r="B10134" s="17">
        <f t="array" ref="B10134">SUM(1-'Sparkling Model'!D$2:D$38^A10134)</f>
        <v>36.97694769</v>
      </c>
      <c r="C10134" s="8">
        <f t="array" ref="C10134">PRODUCT(1-'Sparkling Model'!D$2:D$38^A10134)</f>
        <v>0.9771359014</v>
      </c>
    </row>
    <row r="10135">
      <c r="A10135" s="6">
        <v>10133.0</v>
      </c>
      <c r="B10135" s="17">
        <f t="array" ref="B10135">SUM(1-'Sparkling Model'!D$2:D$38^A10135)</f>
        <v>36.97695924</v>
      </c>
      <c r="C10135" s="8">
        <f t="array" ref="C10135">PRODUCT(1-'Sparkling Model'!D$2:D$38^A10135)</f>
        <v>0.9771472636</v>
      </c>
    </row>
    <row r="10136">
      <c r="A10136" s="6">
        <v>10134.0</v>
      </c>
      <c r="B10136" s="17">
        <f t="array" ref="B10136">SUM(1-'Sparkling Model'!D$2:D$38^A10136)</f>
        <v>36.97697079</v>
      </c>
      <c r="C10136" s="8">
        <f t="array" ref="C10136">PRODUCT(1-'Sparkling Model'!D$2:D$38^A10136)</f>
        <v>0.9771586202</v>
      </c>
    </row>
    <row r="10137">
      <c r="A10137" s="6">
        <v>10135.0</v>
      </c>
      <c r="B10137" s="17">
        <f t="array" ref="B10137">SUM(1-'Sparkling Model'!D$2:D$38^A10137)</f>
        <v>36.97698233</v>
      </c>
      <c r="C10137" s="8">
        <f t="array" ref="C10137">PRODUCT(1-'Sparkling Model'!D$2:D$38^A10137)</f>
        <v>0.9771699711</v>
      </c>
    </row>
    <row r="10138">
      <c r="A10138" s="6">
        <v>10136.0</v>
      </c>
      <c r="B10138" s="17">
        <f t="array" ref="B10138">SUM(1-'Sparkling Model'!D$2:D$38^A10138)</f>
        <v>36.97699387</v>
      </c>
      <c r="C10138" s="8">
        <f t="array" ref="C10138">PRODUCT(1-'Sparkling Model'!D$2:D$38^A10138)</f>
        <v>0.9771813163</v>
      </c>
    </row>
    <row r="10139">
      <c r="A10139" s="6">
        <v>10137.0</v>
      </c>
      <c r="B10139" s="17">
        <f t="array" ref="B10139">SUM(1-'Sparkling Model'!D$2:D$38^A10139)</f>
        <v>36.97700539</v>
      </c>
      <c r="C10139" s="8">
        <f t="array" ref="C10139">PRODUCT(1-'Sparkling Model'!D$2:D$38^A10139)</f>
        <v>0.9771926559</v>
      </c>
    </row>
    <row r="10140">
      <c r="A10140" s="6">
        <v>10138.0</v>
      </c>
      <c r="B10140" s="17">
        <f t="array" ref="B10140">SUM(1-'Sparkling Model'!D$2:D$38^A10140)</f>
        <v>36.97701692</v>
      </c>
      <c r="C10140" s="8">
        <f t="array" ref="C10140">PRODUCT(1-'Sparkling Model'!D$2:D$38^A10140)</f>
        <v>0.9772039899</v>
      </c>
    </row>
    <row r="10141">
      <c r="A10141" s="6">
        <v>10139.0</v>
      </c>
      <c r="B10141" s="17">
        <f t="array" ref="B10141">SUM(1-'Sparkling Model'!D$2:D$38^A10141)</f>
        <v>36.97702843</v>
      </c>
      <c r="C10141" s="8">
        <f t="array" ref="C10141">PRODUCT(1-'Sparkling Model'!D$2:D$38^A10141)</f>
        <v>0.9772153182</v>
      </c>
    </row>
    <row r="10142">
      <c r="A10142" s="6">
        <v>10140.0</v>
      </c>
      <c r="B10142" s="17">
        <f t="array" ref="B10142">SUM(1-'Sparkling Model'!D$2:D$38^A10142)</f>
        <v>36.97703995</v>
      </c>
      <c r="C10142" s="8">
        <f t="array" ref="C10142">PRODUCT(1-'Sparkling Model'!D$2:D$38^A10142)</f>
        <v>0.9772266408</v>
      </c>
    </row>
    <row r="10143">
      <c r="A10143" s="6">
        <v>10141.0</v>
      </c>
      <c r="B10143" s="17">
        <f t="array" ref="B10143">SUM(1-'Sparkling Model'!D$2:D$38^A10143)</f>
        <v>36.97705145</v>
      </c>
      <c r="C10143" s="8">
        <f t="array" ref="C10143">PRODUCT(1-'Sparkling Model'!D$2:D$38^A10143)</f>
        <v>0.9772379579</v>
      </c>
    </row>
    <row r="10144">
      <c r="A10144" s="6">
        <v>10142.0</v>
      </c>
      <c r="B10144" s="17">
        <f t="array" ref="B10144">SUM(1-'Sparkling Model'!D$2:D$38^A10144)</f>
        <v>36.97706295</v>
      </c>
      <c r="C10144" s="8">
        <f t="array" ref="C10144">PRODUCT(1-'Sparkling Model'!D$2:D$38^A10144)</f>
        <v>0.9772492692</v>
      </c>
    </row>
    <row r="10145">
      <c r="A10145" s="6">
        <v>10143.0</v>
      </c>
      <c r="B10145" s="17">
        <f t="array" ref="B10145">SUM(1-'Sparkling Model'!D$2:D$38^A10145)</f>
        <v>36.97707444</v>
      </c>
      <c r="C10145" s="8">
        <f t="array" ref="C10145">PRODUCT(1-'Sparkling Model'!D$2:D$38^A10145)</f>
        <v>0.977260575</v>
      </c>
    </row>
    <row r="10146">
      <c r="A10146" s="6">
        <v>10144.0</v>
      </c>
      <c r="B10146" s="17">
        <f t="array" ref="B10146">SUM(1-'Sparkling Model'!D$2:D$38^A10146)</f>
        <v>36.97708593</v>
      </c>
      <c r="C10146" s="8">
        <f t="array" ref="C10146">PRODUCT(1-'Sparkling Model'!D$2:D$38^A10146)</f>
        <v>0.9772718751</v>
      </c>
    </row>
    <row r="10147">
      <c r="A10147" s="6">
        <v>10145.0</v>
      </c>
      <c r="B10147" s="17">
        <f t="array" ref="B10147">SUM(1-'Sparkling Model'!D$2:D$38^A10147)</f>
        <v>36.97709741</v>
      </c>
      <c r="C10147" s="8">
        <f t="array" ref="C10147">PRODUCT(1-'Sparkling Model'!D$2:D$38^A10147)</f>
        <v>0.9772831696</v>
      </c>
    </row>
    <row r="10148">
      <c r="A10148" s="6">
        <v>10146.0</v>
      </c>
      <c r="B10148" s="17">
        <f t="array" ref="B10148">SUM(1-'Sparkling Model'!D$2:D$38^A10148)</f>
        <v>36.97710889</v>
      </c>
      <c r="C10148" s="8">
        <f t="array" ref="C10148">PRODUCT(1-'Sparkling Model'!D$2:D$38^A10148)</f>
        <v>0.9772944585</v>
      </c>
    </row>
    <row r="10149">
      <c r="A10149" s="6">
        <v>10147.0</v>
      </c>
      <c r="B10149" s="17">
        <f t="array" ref="B10149">SUM(1-'Sparkling Model'!D$2:D$38^A10149)</f>
        <v>36.97712036</v>
      </c>
      <c r="C10149" s="8">
        <f t="array" ref="C10149">PRODUCT(1-'Sparkling Model'!D$2:D$38^A10149)</f>
        <v>0.9773057418</v>
      </c>
    </row>
    <row r="10150">
      <c r="A10150" s="6">
        <v>10148.0</v>
      </c>
      <c r="B10150" s="17">
        <f t="array" ref="B10150">SUM(1-'Sparkling Model'!D$2:D$38^A10150)</f>
        <v>36.97713182</v>
      </c>
      <c r="C10150" s="8">
        <f t="array" ref="C10150">PRODUCT(1-'Sparkling Model'!D$2:D$38^A10150)</f>
        <v>0.9773170194</v>
      </c>
    </row>
    <row r="10151">
      <c r="A10151" s="6">
        <v>10149.0</v>
      </c>
      <c r="B10151" s="17">
        <f t="array" ref="B10151">SUM(1-'Sparkling Model'!D$2:D$38^A10151)</f>
        <v>36.97714328</v>
      </c>
      <c r="C10151" s="8">
        <f t="array" ref="C10151">PRODUCT(1-'Sparkling Model'!D$2:D$38^A10151)</f>
        <v>0.9773282914</v>
      </c>
    </row>
    <row r="10152">
      <c r="A10152" s="6">
        <v>10150.0</v>
      </c>
      <c r="B10152" s="17">
        <f t="array" ref="B10152">SUM(1-'Sparkling Model'!D$2:D$38^A10152)</f>
        <v>36.97715474</v>
      </c>
      <c r="C10152" s="8">
        <f t="array" ref="C10152">PRODUCT(1-'Sparkling Model'!D$2:D$38^A10152)</f>
        <v>0.9773395578</v>
      </c>
    </row>
    <row r="10153">
      <c r="A10153" s="6">
        <v>10151.0</v>
      </c>
      <c r="B10153" s="17">
        <f t="array" ref="B10153">SUM(1-'Sparkling Model'!D$2:D$38^A10153)</f>
        <v>36.97716618</v>
      </c>
      <c r="C10153" s="8">
        <f t="array" ref="C10153">PRODUCT(1-'Sparkling Model'!D$2:D$38^A10153)</f>
        <v>0.9773508186</v>
      </c>
    </row>
    <row r="10154">
      <c r="A10154" s="6">
        <v>10152.0</v>
      </c>
      <c r="B10154" s="17">
        <f t="array" ref="B10154">SUM(1-'Sparkling Model'!D$2:D$38^A10154)</f>
        <v>36.97717763</v>
      </c>
      <c r="C10154" s="8">
        <f t="array" ref="C10154">PRODUCT(1-'Sparkling Model'!D$2:D$38^A10154)</f>
        <v>0.9773620738</v>
      </c>
    </row>
    <row r="10155">
      <c r="A10155" s="6">
        <v>10153.0</v>
      </c>
      <c r="B10155" s="17">
        <f t="array" ref="B10155">SUM(1-'Sparkling Model'!D$2:D$38^A10155)</f>
        <v>36.97718906</v>
      </c>
      <c r="C10155" s="8">
        <f t="array" ref="C10155">PRODUCT(1-'Sparkling Model'!D$2:D$38^A10155)</f>
        <v>0.9773733234</v>
      </c>
    </row>
    <row r="10156">
      <c r="A10156" s="6">
        <v>10154.0</v>
      </c>
      <c r="B10156" s="17">
        <f t="array" ref="B10156">SUM(1-'Sparkling Model'!D$2:D$38^A10156)</f>
        <v>36.97720049</v>
      </c>
      <c r="C10156" s="8">
        <f t="array" ref="C10156">PRODUCT(1-'Sparkling Model'!D$2:D$38^A10156)</f>
        <v>0.9773845674</v>
      </c>
    </row>
    <row r="10157">
      <c r="A10157" s="6">
        <v>10155.0</v>
      </c>
      <c r="B10157" s="17">
        <f t="array" ref="B10157">SUM(1-'Sparkling Model'!D$2:D$38^A10157)</f>
        <v>36.97721191</v>
      </c>
      <c r="C10157" s="8">
        <f t="array" ref="C10157">PRODUCT(1-'Sparkling Model'!D$2:D$38^A10157)</f>
        <v>0.9773958057</v>
      </c>
    </row>
    <row r="10158">
      <c r="A10158" s="6">
        <v>10156.0</v>
      </c>
      <c r="B10158" s="17">
        <f t="array" ref="B10158">SUM(1-'Sparkling Model'!D$2:D$38^A10158)</f>
        <v>36.97722333</v>
      </c>
      <c r="C10158" s="8">
        <f t="array" ref="C10158">PRODUCT(1-'Sparkling Model'!D$2:D$38^A10158)</f>
        <v>0.9774070385</v>
      </c>
    </row>
    <row r="10159">
      <c r="A10159" s="6">
        <v>10157.0</v>
      </c>
      <c r="B10159" s="17">
        <f t="array" ref="B10159">SUM(1-'Sparkling Model'!D$2:D$38^A10159)</f>
        <v>36.97723475</v>
      </c>
      <c r="C10159" s="8">
        <f t="array" ref="C10159">PRODUCT(1-'Sparkling Model'!D$2:D$38^A10159)</f>
        <v>0.9774182657</v>
      </c>
    </row>
    <row r="10160">
      <c r="A10160" s="6">
        <v>10158.0</v>
      </c>
      <c r="B10160" s="17">
        <f t="array" ref="B10160">SUM(1-'Sparkling Model'!D$2:D$38^A10160)</f>
        <v>36.97724615</v>
      </c>
      <c r="C10160" s="8">
        <f t="array" ref="C10160">PRODUCT(1-'Sparkling Model'!D$2:D$38^A10160)</f>
        <v>0.9774294873</v>
      </c>
    </row>
    <row r="10161">
      <c r="A10161" s="6">
        <v>10159.0</v>
      </c>
      <c r="B10161" s="17">
        <f t="array" ref="B10161">SUM(1-'Sparkling Model'!D$2:D$38^A10161)</f>
        <v>36.97725755</v>
      </c>
      <c r="C10161" s="8">
        <f t="array" ref="C10161">PRODUCT(1-'Sparkling Model'!D$2:D$38^A10161)</f>
        <v>0.9774407033</v>
      </c>
    </row>
    <row r="10162">
      <c r="A10162" s="6">
        <v>10160.0</v>
      </c>
      <c r="B10162" s="17">
        <f t="array" ref="B10162">SUM(1-'Sparkling Model'!D$2:D$38^A10162)</f>
        <v>36.97726895</v>
      </c>
      <c r="C10162" s="8">
        <f t="array" ref="C10162">PRODUCT(1-'Sparkling Model'!D$2:D$38^A10162)</f>
        <v>0.9774519137</v>
      </c>
    </row>
    <row r="10163">
      <c r="A10163" s="6">
        <v>10161.0</v>
      </c>
      <c r="B10163" s="17">
        <f t="array" ref="B10163">SUM(1-'Sparkling Model'!D$2:D$38^A10163)</f>
        <v>36.97728034</v>
      </c>
      <c r="C10163" s="8">
        <f t="array" ref="C10163">PRODUCT(1-'Sparkling Model'!D$2:D$38^A10163)</f>
        <v>0.9774631186</v>
      </c>
    </row>
    <row r="10164">
      <c r="A10164" s="6">
        <v>10162.0</v>
      </c>
      <c r="B10164" s="17">
        <f t="array" ref="B10164">SUM(1-'Sparkling Model'!D$2:D$38^A10164)</f>
        <v>36.97729172</v>
      </c>
      <c r="C10164" s="8">
        <f t="array" ref="C10164">PRODUCT(1-'Sparkling Model'!D$2:D$38^A10164)</f>
        <v>0.9774743178</v>
      </c>
    </row>
    <row r="10165">
      <c r="A10165" s="6">
        <v>10163.0</v>
      </c>
      <c r="B10165" s="17">
        <f t="array" ref="B10165">SUM(1-'Sparkling Model'!D$2:D$38^A10165)</f>
        <v>36.9773031</v>
      </c>
      <c r="C10165" s="8">
        <f t="array" ref="C10165">PRODUCT(1-'Sparkling Model'!D$2:D$38^A10165)</f>
        <v>0.9774855115</v>
      </c>
    </row>
    <row r="10166">
      <c r="A10166" s="6">
        <v>10164.0</v>
      </c>
      <c r="B10166" s="17">
        <f t="array" ref="B10166">SUM(1-'Sparkling Model'!D$2:D$38^A10166)</f>
        <v>36.97731447</v>
      </c>
      <c r="C10166" s="8">
        <f t="array" ref="C10166">PRODUCT(1-'Sparkling Model'!D$2:D$38^A10166)</f>
        <v>0.9774966996</v>
      </c>
    </row>
    <row r="10167">
      <c r="A10167" s="6">
        <v>10165.0</v>
      </c>
      <c r="B10167" s="17">
        <f t="array" ref="B10167">SUM(1-'Sparkling Model'!D$2:D$38^A10167)</f>
        <v>36.97732584</v>
      </c>
      <c r="C10167" s="8">
        <f t="array" ref="C10167">PRODUCT(1-'Sparkling Model'!D$2:D$38^A10167)</f>
        <v>0.9775078822</v>
      </c>
    </row>
    <row r="10168">
      <c r="A10168" s="6">
        <v>10166.0</v>
      </c>
      <c r="B10168" s="17">
        <f t="array" ref="B10168">SUM(1-'Sparkling Model'!D$2:D$38^A10168)</f>
        <v>36.9773372</v>
      </c>
      <c r="C10168" s="8">
        <f t="array" ref="C10168">PRODUCT(1-'Sparkling Model'!D$2:D$38^A10168)</f>
        <v>0.9775190592</v>
      </c>
    </row>
    <row r="10169">
      <c r="A10169" s="6">
        <v>10167.0</v>
      </c>
      <c r="B10169" s="17">
        <f t="array" ref="B10169">SUM(1-'Sparkling Model'!D$2:D$38^A10169)</f>
        <v>36.97734855</v>
      </c>
      <c r="C10169" s="8">
        <f t="array" ref="C10169">PRODUCT(1-'Sparkling Model'!D$2:D$38^A10169)</f>
        <v>0.9775302306</v>
      </c>
    </row>
    <row r="10170">
      <c r="A10170" s="6">
        <v>10168.0</v>
      </c>
      <c r="B10170" s="17">
        <f t="array" ref="B10170">SUM(1-'Sparkling Model'!D$2:D$38^A10170)</f>
        <v>36.9773599</v>
      </c>
      <c r="C10170" s="8">
        <f t="array" ref="C10170">PRODUCT(1-'Sparkling Model'!D$2:D$38^A10170)</f>
        <v>0.9775413964</v>
      </c>
    </row>
    <row r="10171">
      <c r="A10171" s="6">
        <v>10169.0</v>
      </c>
      <c r="B10171" s="17">
        <f t="array" ref="B10171">SUM(1-'Sparkling Model'!D$2:D$38^A10171)</f>
        <v>36.97737124</v>
      </c>
      <c r="C10171" s="8">
        <f t="array" ref="C10171">PRODUCT(1-'Sparkling Model'!D$2:D$38^A10171)</f>
        <v>0.9775525567</v>
      </c>
    </row>
    <row r="10172">
      <c r="A10172" s="6">
        <v>10170.0</v>
      </c>
      <c r="B10172" s="17">
        <f t="array" ref="B10172">SUM(1-'Sparkling Model'!D$2:D$38^A10172)</f>
        <v>36.97738258</v>
      </c>
      <c r="C10172" s="8">
        <f t="array" ref="C10172">PRODUCT(1-'Sparkling Model'!D$2:D$38^A10172)</f>
        <v>0.9775637114</v>
      </c>
    </row>
    <row r="10173">
      <c r="A10173" s="6">
        <v>10171.0</v>
      </c>
      <c r="B10173" s="17">
        <f t="array" ref="B10173">SUM(1-'Sparkling Model'!D$2:D$38^A10173)</f>
        <v>36.97739391</v>
      </c>
      <c r="C10173" s="8">
        <f t="array" ref="C10173">PRODUCT(1-'Sparkling Model'!D$2:D$38^A10173)</f>
        <v>0.9775748606</v>
      </c>
    </row>
    <row r="10174">
      <c r="A10174" s="6">
        <v>10172.0</v>
      </c>
      <c r="B10174" s="17">
        <f t="array" ref="B10174">SUM(1-'Sparkling Model'!D$2:D$38^A10174)</f>
        <v>36.97740524</v>
      </c>
      <c r="C10174" s="8">
        <f t="array" ref="C10174">PRODUCT(1-'Sparkling Model'!D$2:D$38^A10174)</f>
        <v>0.9775860042</v>
      </c>
    </row>
    <row r="10175">
      <c r="A10175" s="6">
        <v>10173.0</v>
      </c>
      <c r="B10175" s="17">
        <f t="array" ref="B10175">SUM(1-'Sparkling Model'!D$2:D$38^A10175)</f>
        <v>36.97741656</v>
      </c>
      <c r="C10175" s="8">
        <f t="array" ref="C10175">PRODUCT(1-'Sparkling Model'!D$2:D$38^A10175)</f>
        <v>0.9775971423</v>
      </c>
    </row>
    <row r="10176">
      <c r="A10176" s="6">
        <v>10174.0</v>
      </c>
      <c r="B10176" s="17">
        <f t="array" ref="B10176">SUM(1-'Sparkling Model'!D$2:D$38^A10176)</f>
        <v>36.97742788</v>
      </c>
      <c r="C10176" s="8">
        <f t="array" ref="C10176">PRODUCT(1-'Sparkling Model'!D$2:D$38^A10176)</f>
        <v>0.9776082748</v>
      </c>
    </row>
    <row r="10177">
      <c r="A10177" s="6">
        <v>10175.0</v>
      </c>
      <c r="B10177" s="17">
        <f t="array" ref="B10177">SUM(1-'Sparkling Model'!D$2:D$38^A10177)</f>
        <v>36.97743918</v>
      </c>
      <c r="C10177" s="8">
        <f t="array" ref="C10177">PRODUCT(1-'Sparkling Model'!D$2:D$38^A10177)</f>
        <v>0.9776194018</v>
      </c>
    </row>
    <row r="10178">
      <c r="A10178" s="6">
        <v>10176.0</v>
      </c>
      <c r="B10178" s="17">
        <f t="array" ref="B10178">SUM(1-'Sparkling Model'!D$2:D$38^A10178)</f>
        <v>36.97745049</v>
      </c>
      <c r="C10178" s="8">
        <f t="array" ref="C10178">PRODUCT(1-'Sparkling Model'!D$2:D$38^A10178)</f>
        <v>0.9776305232</v>
      </c>
    </row>
    <row r="10179">
      <c r="A10179" s="6">
        <v>10177.0</v>
      </c>
      <c r="B10179" s="17">
        <f t="array" ref="B10179">SUM(1-'Sparkling Model'!D$2:D$38^A10179)</f>
        <v>36.97746178</v>
      </c>
      <c r="C10179" s="8">
        <f t="array" ref="C10179">PRODUCT(1-'Sparkling Model'!D$2:D$38^A10179)</f>
        <v>0.9776416391</v>
      </c>
    </row>
    <row r="10180">
      <c r="A10180" s="6">
        <v>10178.0</v>
      </c>
      <c r="B10180" s="17">
        <f t="array" ref="B10180">SUM(1-'Sparkling Model'!D$2:D$38^A10180)</f>
        <v>36.97747308</v>
      </c>
      <c r="C10180" s="8">
        <f t="array" ref="C10180">PRODUCT(1-'Sparkling Model'!D$2:D$38^A10180)</f>
        <v>0.9776527495</v>
      </c>
    </row>
    <row r="10181">
      <c r="A10181" s="6">
        <v>10179.0</v>
      </c>
      <c r="B10181" s="17">
        <f t="array" ref="B10181">SUM(1-'Sparkling Model'!D$2:D$38^A10181)</f>
        <v>36.97748436</v>
      </c>
      <c r="C10181" s="8">
        <f t="array" ref="C10181">PRODUCT(1-'Sparkling Model'!D$2:D$38^A10181)</f>
        <v>0.9776638543</v>
      </c>
    </row>
    <row r="10182">
      <c r="A10182" s="6">
        <v>10180.0</v>
      </c>
      <c r="B10182" s="17">
        <f t="array" ref="B10182">SUM(1-'Sparkling Model'!D$2:D$38^A10182)</f>
        <v>36.97749564</v>
      </c>
      <c r="C10182" s="8">
        <f t="array" ref="C10182">PRODUCT(1-'Sparkling Model'!D$2:D$38^A10182)</f>
        <v>0.9776749536</v>
      </c>
    </row>
    <row r="10183">
      <c r="A10183" s="6">
        <v>10181.0</v>
      </c>
      <c r="B10183" s="17">
        <f t="array" ref="B10183">SUM(1-'Sparkling Model'!D$2:D$38^A10183)</f>
        <v>36.97750692</v>
      </c>
      <c r="C10183" s="8">
        <f t="array" ref="C10183">PRODUCT(1-'Sparkling Model'!D$2:D$38^A10183)</f>
        <v>0.9776860474</v>
      </c>
    </row>
    <row r="10184">
      <c r="A10184" s="6">
        <v>10182.0</v>
      </c>
      <c r="B10184" s="17">
        <f t="array" ref="B10184">SUM(1-'Sparkling Model'!D$2:D$38^A10184)</f>
        <v>36.97751819</v>
      </c>
      <c r="C10184" s="8">
        <f t="array" ref="C10184">PRODUCT(1-'Sparkling Model'!D$2:D$38^A10184)</f>
        <v>0.9776971356</v>
      </c>
    </row>
    <row r="10185">
      <c r="A10185" s="6">
        <v>10183.0</v>
      </c>
      <c r="B10185" s="17">
        <f t="array" ref="B10185">SUM(1-'Sparkling Model'!D$2:D$38^A10185)</f>
        <v>36.97752945</v>
      </c>
      <c r="C10185" s="8">
        <f t="array" ref="C10185">PRODUCT(1-'Sparkling Model'!D$2:D$38^A10185)</f>
        <v>0.9777082183</v>
      </c>
    </row>
    <row r="10186">
      <c r="A10186" s="6">
        <v>10184.0</v>
      </c>
      <c r="B10186" s="17">
        <f t="array" ref="B10186">SUM(1-'Sparkling Model'!D$2:D$38^A10186)</f>
        <v>36.97754071</v>
      </c>
      <c r="C10186" s="8">
        <f t="array" ref="C10186">PRODUCT(1-'Sparkling Model'!D$2:D$38^A10186)</f>
        <v>0.9777192955</v>
      </c>
    </row>
    <row r="10187">
      <c r="A10187" s="6">
        <v>10185.0</v>
      </c>
      <c r="B10187" s="17">
        <f t="array" ref="B10187">SUM(1-'Sparkling Model'!D$2:D$38^A10187)</f>
        <v>36.97755196</v>
      </c>
      <c r="C10187" s="8">
        <f t="array" ref="C10187">PRODUCT(1-'Sparkling Model'!D$2:D$38^A10187)</f>
        <v>0.9777303672</v>
      </c>
    </row>
    <row r="10188">
      <c r="A10188" s="6">
        <v>10186.0</v>
      </c>
      <c r="B10188" s="17">
        <f t="array" ref="B10188">SUM(1-'Sparkling Model'!D$2:D$38^A10188)</f>
        <v>36.9775632</v>
      </c>
      <c r="C10188" s="8">
        <f t="array" ref="C10188">PRODUCT(1-'Sparkling Model'!D$2:D$38^A10188)</f>
        <v>0.9777414334</v>
      </c>
    </row>
    <row r="10189">
      <c r="A10189" s="6">
        <v>10187.0</v>
      </c>
      <c r="B10189" s="17">
        <f t="array" ref="B10189">SUM(1-'Sparkling Model'!D$2:D$38^A10189)</f>
        <v>36.97757444</v>
      </c>
      <c r="C10189" s="8">
        <f t="array" ref="C10189">PRODUCT(1-'Sparkling Model'!D$2:D$38^A10189)</f>
        <v>0.9777524941</v>
      </c>
    </row>
    <row r="10190">
      <c r="A10190" s="6">
        <v>10188.0</v>
      </c>
      <c r="B10190" s="17">
        <f t="array" ref="B10190">SUM(1-'Sparkling Model'!D$2:D$38^A10190)</f>
        <v>36.97758568</v>
      </c>
      <c r="C10190" s="8">
        <f t="array" ref="C10190">PRODUCT(1-'Sparkling Model'!D$2:D$38^A10190)</f>
        <v>0.9777635492</v>
      </c>
    </row>
    <row r="10191">
      <c r="A10191" s="6">
        <v>10189.0</v>
      </c>
      <c r="B10191" s="17">
        <f t="array" ref="B10191">SUM(1-'Sparkling Model'!D$2:D$38^A10191)</f>
        <v>36.97759691</v>
      </c>
      <c r="C10191" s="8">
        <f t="array" ref="C10191">PRODUCT(1-'Sparkling Model'!D$2:D$38^A10191)</f>
        <v>0.9777745989</v>
      </c>
    </row>
    <row r="10192">
      <c r="A10192" s="6">
        <v>10190.0</v>
      </c>
      <c r="B10192" s="17">
        <f t="array" ref="B10192">SUM(1-'Sparkling Model'!D$2:D$38^A10192)</f>
        <v>36.97760813</v>
      </c>
      <c r="C10192" s="8">
        <f t="array" ref="C10192">PRODUCT(1-'Sparkling Model'!D$2:D$38^A10192)</f>
        <v>0.977785643</v>
      </c>
    </row>
    <row r="10193">
      <c r="A10193" s="6">
        <v>10191.0</v>
      </c>
      <c r="B10193" s="17">
        <f t="array" ref="B10193">SUM(1-'Sparkling Model'!D$2:D$38^A10193)</f>
        <v>36.97761935</v>
      </c>
      <c r="C10193" s="8">
        <f t="array" ref="C10193">PRODUCT(1-'Sparkling Model'!D$2:D$38^A10193)</f>
        <v>0.9777966817</v>
      </c>
    </row>
    <row r="10194">
      <c r="A10194" s="6">
        <v>10192.0</v>
      </c>
      <c r="B10194" s="17">
        <f t="array" ref="B10194">SUM(1-'Sparkling Model'!D$2:D$38^A10194)</f>
        <v>36.97763056</v>
      </c>
      <c r="C10194" s="8">
        <f t="array" ref="C10194">PRODUCT(1-'Sparkling Model'!D$2:D$38^A10194)</f>
        <v>0.9778077148</v>
      </c>
    </row>
    <row r="10195">
      <c r="A10195" s="6">
        <v>10193.0</v>
      </c>
      <c r="B10195" s="17">
        <f t="array" ref="B10195">SUM(1-'Sparkling Model'!D$2:D$38^A10195)</f>
        <v>36.97764177</v>
      </c>
      <c r="C10195" s="8">
        <f t="array" ref="C10195">PRODUCT(1-'Sparkling Model'!D$2:D$38^A10195)</f>
        <v>0.9778187425</v>
      </c>
    </row>
    <row r="10196">
      <c r="A10196" s="6">
        <v>10194.0</v>
      </c>
      <c r="B10196" s="17">
        <f t="array" ref="B10196">SUM(1-'Sparkling Model'!D$2:D$38^A10196)</f>
        <v>36.97765297</v>
      </c>
      <c r="C10196" s="8">
        <f t="array" ref="C10196">PRODUCT(1-'Sparkling Model'!D$2:D$38^A10196)</f>
        <v>0.9778297647</v>
      </c>
    </row>
    <row r="10197">
      <c r="A10197" s="6">
        <v>10195.0</v>
      </c>
      <c r="B10197" s="17">
        <f t="array" ref="B10197">SUM(1-'Sparkling Model'!D$2:D$38^A10197)</f>
        <v>36.97766416</v>
      </c>
      <c r="C10197" s="8">
        <f t="array" ref="C10197">PRODUCT(1-'Sparkling Model'!D$2:D$38^A10197)</f>
        <v>0.9778407814</v>
      </c>
    </row>
    <row r="10198">
      <c r="A10198" s="6">
        <v>10196.0</v>
      </c>
      <c r="B10198" s="17">
        <f t="array" ref="B10198">SUM(1-'Sparkling Model'!D$2:D$38^A10198)</f>
        <v>36.97767535</v>
      </c>
      <c r="C10198" s="8">
        <f t="array" ref="C10198">PRODUCT(1-'Sparkling Model'!D$2:D$38^A10198)</f>
        <v>0.9778517926</v>
      </c>
    </row>
    <row r="10199">
      <c r="A10199" s="6">
        <v>10197.0</v>
      </c>
      <c r="B10199" s="17">
        <f t="array" ref="B10199">SUM(1-'Sparkling Model'!D$2:D$38^A10199)</f>
        <v>36.97768654</v>
      </c>
      <c r="C10199" s="8">
        <f t="array" ref="C10199">PRODUCT(1-'Sparkling Model'!D$2:D$38^A10199)</f>
        <v>0.9778627983</v>
      </c>
    </row>
    <row r="10200">
      <c r="A10200" s="6">
        <v>10198.0</v>
      </c>
      <c r="B10200" s="17">
        <f t="array" ref="B10200">SUM(1-'Sparkling Model'!D$2:D$38^A10200)</f>
        <v>36.97769771</v>
      </c>
      <c r="C10200" s="8">
        <f t="array" ref="C10200">PRODUCT(1-'Sparkling Model'!D$2:D$38^A10200)</f>
        <v>0.9778737985</v>
      </c>
    </row>
    <row r="10201">
      <c r="A10201" s="6">
        <v>10199.0</v>
      </c>
      <c r="B10201" s="17">
        <f t="array" ref="B10201">SUM(1-'Sparkling Model'!D$2:D$38^A10201)</f>
        <v>36.97770889</v>
      </c>
      <c r="C10201" s="8">
        <f t="array" ref="C10201">PRODUCT(1-'Sparkling Model'!D$2:D$38^A10201)</f>
        <v>0.9778847932</v>
      </c>
    </row>
    <row r="10202">
      <c r="A10202" s="6">
        <v>10200.0</v>
      </c>
      <c r="B10202" s="17">
        <f t="array" ref="B10202">SUM(1-'Sparkling Model'!D$2:D$38^A10202)</f>
        <v>36.97772005</v>
      </c>
      <c r="C10202" s="8">
        <f t="array" ref="C10202">PRODUCT(1-'Sparkling Model'!D$2:D$38^A10202)</f>
        <v>0.9778957825</v>
      </c>
    </row>
    <row r="10203">
      <c r="A10203" s="6">
        <v>10201.0</v>
      </c>
      <c r="B10203" s="17">
        <f t="array" ref="B10203">SUM(1-'Sparkling Model'!D$2:D$38^A10203)</f>
        <v>36.97773121</v>
      </c>
      <c r="C10203" s="8">
        <f t="array" ref="C10203">PRODUCT(1-'Sparkling Model'!D$2:D$38^A10203)</f>
        <v>0.9779067663</v>
      </c>
    </row>
    <row r="10204">
      <c r="A10204" s="6">
        <v>10202.0</v>
      </c>
      <c r="B10204" s="17">
        <f t="array" ref="B10204">SUM(1-'Sparkling Model'!D$2:D$38^A10204)</f>
        <v>36.97774237</v>
      </c>
      <c r="C10204" s="8">
        <f t="array" ref="C10204">PRODUCT(1-'Sparkling Model'!D$2:D$38^A10204)</f>
        <v>0.9779177447</v>
      </c>
    </row>
    <row r="10205">
      <c r="A10205" s="6">
        <v>10203.0</v>
      </c>
      <c r="B10205" s="17">
        <f t="array" ref="B10205">SUM(1-'Sparkling Model'!D$2:D$38^A10205)</f>
        <v>36.97775352</v>
      </c>
      <c r="C10205" s="8">
        <f t="array" ref="C10205">PRODUCT(1-'Sparkling Model'!D$2:D$38^A10205)</f>
        <v>0.9779287175</v>
      </c>
    </row>
    <row r="10206">
      <c r="A10206" s="6">
        <v>10204.0</v>
      </c>
      <c r="B10206" s="17">
        <f t="array" ref="B10206">SUM(1-'Sparkling Model'!D$2:D$38^A10206)</f>
        <v>36.97776466</v>
      </c>
      <c r="C10206" s="8">
        <f t="array" ref="C10206">PRODUCT(1-'Sparkling Model'!D$2:D$38^A10206)</f>
        <v>0.9779396849</v>
      </c>
    </row>
    <row r="10207">
      <c r="A10207" s="6">
        <v>10205.0</v>
      </c>
      <c r="B10207" s="17">
        <f t="array" ref="B10207">SUM(1-'Sparkling Model'!D$2:D$38^A10207)</f>
        <v>36.9777758</v>
      </c>
      <c r="C10207" s="8">
        <f t="array" ref="C10207">PRODUCT(1-'Sparkling Model'!D$2:D$38^A10207)</f>
        <v>0.9779506469</v>
      </c>
    </row>
    <row r="10208">
      <c r="A10208" s="6">
        <v>10206.0</v>
      </c>
      <c r="B10208" s="17">
        <f t="array" ref="B10208">SUM(1-'Sparkling Model'!D$2:D$38^A10208)</f>
        <v>36.97778693</v>
      </c>
      <c r="C10208" s="8">
        <f t="array" ref="C10208">PRODUCT(1-'Sparkling Model'!D$2:D$38^A10208)</f>
        <v>0.9779616033</v>
      </c>
    </row>
    <row r="10209">
      <c r="A10209" s="6">
        <v>10207.0</v>
      </c>
      <c r="B10209" s="17">
        <f t="array" ref="B10209">SUM(1-'Sparkling Model'!D$2:D$38^A10209)</f>
        <v>36.97779806</v>
      </c>
      <c r="C10209" s="8">
        <f t="array" ref="C10209">PRODUCT(1-'Sparkling Model'!D$2:D$38^A10209)</f>
        <v>0.9779725544</v>
      </c>
    </row>
    <row r="10210">
      <c r="A10210" s="6">
        <v>10208.0</v>
      </c>
      <c r="B10210" s="17">
        <f t="array" ref="B10210">SUM(1-'Sparkling Model'!D$2:D$38^A10210)</f>
        <v>36.97780918</v>
      </c>
      <c r="C10210" s="8">
        <f t="array" ref="C10210">PRODUCT(1-'Sparkling Model'!D$2:D$38^A10210)</f>
        <v>0.9779834999</v>
      </c>
    </row>
    <row r="10211">
      <c r="A10211" s="6">
        <v>10209.0</v>
      </c>
      <c r="B10211" s="17">
        <f t="array" ref="B10211">SUM(1-'Sparkling Model'!D$2:D$38^A10211)</f>
        <v>36.9778203</v>
      </c>
      <c r="C10211" s="8">
        <f t="array" ref="C10211">PRODUCT(1-'Sparkling Model'!D$2:D$38^A10211)</f>
        <v>0.9779944401</v>
      </c>
    </row>
    <row r="10212">
      <c r="A10212" s="6">
        <v>10210.0</v>
      </c>
      <c r="B10212" s="17">
        <f t="array" ref="B10212">SUM(1-'Sparkling Model'!D$2:D$38^A10212)</f>
        <v>36.97783141</v>
      </c>
      <c r="C10212" s="8">
        <f t="array" ref="C10212">PRODUCT(1-'Sparkling Model'!D$2:D$38^A10212)</f>
        <v>0.9780053747</v>
      </c>
    </row>
    <row r="10213">
      <c r="A10213" s="6">
        <v>10211.0</v>
      </c>
      <c r="B10213" s="17">
        <f t="array" ref="B10213">SUM(1-'Sparkling Model'!D$2:D$38^A10213)</f>
        <v>36.97784251</v>
      </c>
      <c r="C10213" s="8">
        <f t="array" ref="C10213">PRODUCT(1-'Sparkling Model'!D$2:D$38^A10213)</f>
        <v>0.978016304</v>
      </c>
    </row>
    <row r="10214">
      <c r="A10214" s="6">
        <v>10212.0</v>
      </c>
      <c r="B10214" s="17">
        <f t="array" ref="B10214">SUM(1-'Sparkling Model'!D$2:D$38^A10214)</f>
        <v>36.97785361</v>
      </c>
      <c r="C10214" s="8">
        <f t="array" ref="C10214">PRODUCT(1-'Sparkling Model'!D$2:D$38^A10214)</f>
        <v>0.9780272278</v>
      </c>
    </row>
    <row r="10215">
      <c r="A10215" s="6">
        <v>10213.0</v>
      </c>
      <c r="B10215" s="17">
        <f t="array" ref="B10215">SUM(1-'Sparkling Model'!D$2:D$38^A10215)</f>
        <v>36.97786471</v>
      </c>
      <c r="C10215" s="8">
        <f t="array" ref="C10215">PRODUCT(1-'Sparkling Model'!D$2:D$38^A10215)</f>
        <v>0.9780381461</v>
      </c>
    </row>
    <row r="10216">
      <c r="A10216" s="6">
        <v>10214.0</v>
      </c>
      <c r="B10216" s="17">
        <f t="array" ref="B10216">SUM(1-'Sparkling Model'!D$2:D$38^A10216)</f>
        <v>36.97787579</v>
      </c>
      <c r="C10216" s="8">
        <f t="array" ref="C10216">PRODUCT(1-'Sparkling Model'!D$2:D$38^A10216)</f>
        <v>0.978049059</v>
      </c>
    </row>
    <row r="10217">
      <c r="A10217" s="6">
        <v>10215.0</v>
      </c>
      <c r="B10217" s="17">
        <f t="array" ref="B10217">SUM(1-'Sparkling Model'!D$2:D$38^A10217)</f>
        <v>36.97788688</v>
      </c>
      <c r="C10217" s="8">
        <f t="array" ref="C10217">PRODUCT(1-'Sparkling Model'!D$2:D$38^A10217)</f>
        <v>0.9780599665</v>
      </c>
    </row>
    <row r="10218">
      <c r="A10218" s="6">
        <v>10216.0</v>
      </c>
      <c r="B10218" s="17">
        <f t="array" ref="B10218">SUM(1-'Sparkling Model'!D$2:D$38^A10218)</f>
        <v>36.97789795</v>
      </c>
      <c r="C10218" s="8">
        <f t="array" ref="C10218">PRODUCT(1-'Sparkling Model'!D$2:D$38^A10218)</f>
        <v>0.9780708685</v>
      </c>
    </row>
    <row r="10219">
      <c r="A10219" s="6">
        <v>10217.0</v>
      </c>
      <c r="B10219" s="17">
        <f t="array" ref="B10219">SUM(1-'Sparkling Model'!D$2:D$38^A10219)</f>
        <v>36.97790902</v>
      </c>
      <c r="C10219" s="8">
        <f t="array" ref="C10219">PRODUCT(1-'Sparkling Model'!D$2:D$38^A10219)</f>
        <v>0.9780817651</v>
      </c>
    </row>
    <row r="10220">
      <c r="A10220" s="6">
        <v>10218.0</v>
      </c>
      <c r="B10220" s="17">
        <f t="array" ref="B10220">SUM(1-'Sparkling Model'!D$2:D$38^A10220)</f>
        <v>36.97792009</v>
      </c>
      <c r="C10220" s="8">
        <f t="array" ref="C10220">PRODUCT(1-'Sparkling Model'!D$2:D$38^A10220)</f>
        <v>0.9780926563</v>
      </c>
    </row>
    <row r="10221">
      <c r="A10221" s="6">
        <v>10219.0</v>
      </c>
      <c r="B10221" s="17">
        <f t="array" ref="B10221">SUM(1-'Sparkling Model'!D$2:D$38^A10221)</f>
        <v>36.97793115</v>
      </c>
      <c r="C10221" s="8">
        <f t="array" ref="C10221">PRODUCT(1-'Sparkling Model'!D$2:D$38^A10221)</f>
        <v>0.9781035421</v>
      </c>
    </row>
    <row r="10222">
      <c r="A10222" s="6">
        <v>10220.0</v>
      </c>
      <c r="B10222" s="17">
        <f t="array" ref="B10222">SUM(1-'Sparkling Model'!D$2:D$38^A10222)</f>
        <v>36.9779422</v>
      </c>
      <c r="C10222" s="8">
        <f t="array" ref="C10222">PRODUCT(1-'Sparkling Model'!D$2:D$38^A10222)</f>
        <v>0.9781144224</v>
      </c>
    </row>
    <row r="10223">
      <c r="A10223" s="6">
        <v>10221.0</v>
      </c>
      <c r="B10223" s="17">
        <f t="array" ref="B10223">SUM(1-'Sparkling Model'!D$2:D$38^A10223)</f>
        <v>36.97795325</v>
      </c>
      <c r="C10223" s="8">
        <f t="array" ref="C10223">PRODUCT(1-'Sparkling Model'!D$2:D$38^A10223)</f>
        <v>0.9781252974</v>
      </c>
    </row>
    <row r="10224">
      <c r="A10224" s="6">
        <v>10222.0</v>
      </c>
      <c r="B10224" s="17">
        <f t="array" ref="B10224">SUM(1-'Sparkling Model'!D$2:D$38^A10224)</f>
        <v>36.97796429</v>
      </c>
      <c r="C10224" s="8">
        <f t="array" ref="C10224">PRODUCT(1-'Sparkling Model'!D$2:D$38^A10224)</f>
        <v>0.9781361669</v>
      </c>
    </row>
    <row r="10225">
      <c r="A10225" s="6">
        <v>10223.0</v>
      </c>
      <c r="B10225" s="17">
        <f t="array" ref="B10225">SUM(1-'Sparkling Model'!D$2:D$38^A10225)</f>
        <v>36.97797533</v>
      </c>
      <c r="C10225" s="8">
        <f t="array" ref="C10225">PRODUCT(1-'Sparkling Model'!D$2:D$38^A10225)</f>
        <v>0.978147031</v>
      </c>
    </row>
    <row r="10226">
      <c r="A10226" s="6">
        <v>10224.0</v>
      </c>
      <c r="B10226" s="17">
        <f t="array" ref="B10226">SUM(1-'Sparkling Model'!D$2:D$38^A10226)</f>
        <v>36.97798636</v>
      </c>
      <c r="C10226" s="8">
        <f t="array" ref="C10226">PRODUCT(1-'Sparkling Model'!D$2:D$38^A10226)</f>
        <v>0.9781578897</v>
      </c>
    </row>
    <row r="10227">
      <c r="A10227" s="6">
        <v>10225.0</v>
      </c>
      <c r="B10227" s="17">
        <f t="array" ref="B10227">SUM(1-'Sparkling Model'!D$2:D$38^A10227)</f>
        <v>36.97799739</v>
      </c>
      <c r="C10227" s="8">
        <f t="array" ref="C10227">PRODUCT(1-'Sparkling Model'!D$2:D$38^A10227)</f>
        <v>0.9781687429</v>
      </c>
    </row>
    <row r="10228">
      <c r="A10228" s="6">
        <v>10226.0</v>
      </c>
      <c r="B10228" s="17">
        <f t="array" ref="B10228">SUM(1-'Sparkling Model'!D$2:D$38^A10228)</f>
        <v>36.97800841</v>
      </c>
      <c r="C10228" s="8">
        <f t="array" ref="C10228">PRODUCT(1-'Sparkling Model'!D$2:D$38^A10228)</f>
        <v>0.9781795908</v>
      </c>
    </row>
    <row r="10229">
      <c r="A10229" s="6">
        <v>10227.0</v>
      </c>
      <c r="B10229" s="17">
        <f t="array" ref="B10229">SUM(1-'Sparkling Model'!D$2:D$38^A10229)</f>
        <v>36.97801942</v>
      </c>
      <c r="C10229" s="8">
        <f t="array" ref="C10229">PRODUCT(1-'Sparkling Model'!D$2:D$38^A10229)</f>
        <v>0.9781904333</v>
      </c>
    </row>
    <row r="10230">
      <c r="A10230" s="6">
        <v>10228.0</v>
      </c>
      <c r="B10230" s="17">
        <f t="array" ref="B10230">SUM(1-'Sparkling Model'!D$2:D$38^A10230)</f>
        <v>36.97803043</v>
      </c>
      <c r="C10230" s="8">
        <f t="array" ref="C10230">PRODUCT(1-'Sparkling Model'!D$2:D$38^A10230)</f>
        <v>0.9782012704</v>
      </c>
    </row>
    <row r="10231">
      <c r="A10231" s="6">
        <v>10229.0</v>
      </c>
      <c r="B10231" s="17">
        <f t="array" ref="B10231">SUM(1-'Sparkling Model'!D$2:D$38^A10231)</f>
        <v>36.97804144</v>
      </c>
      <c r="C10231" s="8">
        <f t="array" ref="C10231">PRODUCT(1-'Sparkling Model'!D$2:D$38^A10231)</f>
        <v>0.978212102</v>
      </c>
    </row>
    <row r="10232">
      <c r="A10232" s="6">
        <v>10230.0</v>
      </c>
      <c r="B10232" s="17">
        <f t="array" ref="B10232">SUM(1-'Sparkling Model'!D$2:D$38^A10232)</f>
        <v>36.97805244</v>
      </c>
      <c r="C10232" s="8">
        <f t="array" ref="C10232">PRODUCT(1-'Sparkling Model'!D$2:D$38^A10232)</f>
        <v>0.9782229283</v>
      </c>
    </row>
    <row r="10233">
      <c r="A10233" s="6">
        <v>10231.0</v>
      </c>
      <c r="B10233" s="17">
        <f t="array" ref="B10233">SUM(1-'Sparkling Model'!D$2:D$38^A10233)</f>
        <v>36.97806343</v>
      </c>
      <c r="C10233" s="8">
        <f t="array" ref="C10233">PRODUCT(1-'Sparkling Model'!D$2:D$38^A10233)</f>
        <v>0.9782337492</v>
      </c>
    </row>
    <row r="10234">
      <c r="A10234" s="6">
        <v>10232.0</v>
      </c>
      <c r="B10234" s="17">
        <f t="array" ref="B10234">SUM(1-'Sparkling Model'!D$2:D$38^A10234)</f>
        <v>36.97807442</v>
      </c>
      <c r="C10234" s="8">
        <f t="array" ref="C10234">PRODUCT(1-'Sparkling Model'!D$2:D$38^A10234)</f>
        <v>0.9782445647</v>
      </c>
    </row>
    <row r="10235">
      <c r="A10235" s="6">
        <v>10233.0</v>
      </c>
      <c r="B10235" s="17">
        <f t="array" ref="B10235">SUM(1-'Sparkling Model'!D$2:D$38^A10235)</f>
        <v>36.9780854</v>
      </c>
      <c r="C10235" s="8">
        <f t="array" ref="C10235">PRODUCT(1-'Sparkling Model'!D$2:D$38^A10235)</f>
        <v>0.9782553748</v>
      </c>
    </row>
    <row r="10236">
      <c r="A10236" s="6">
        <v>10234.0</v>
      </c>
      <c r="B10236" s="17">
        <f t="array" ref="B10236">SUM(1-'Sparkling Model'!D$2:D$38^A10236)</f>
        <v>36.97809637</v>
      </c>
      <c r="C10236" s="8">
        <f t="array" ref="C10236">PRODUCT(1-'Sparkling Model'!D$2:D$38^A10236)</f>
        <v>0.9782661796</v>
      </c>
    </row>
    <row r="10237">
      <c r="A10237" s="6">
        <v>10235.0</v>
      </c>
      <c r="B10237" s="17">
        <f t="array" ref="B10237">SUM(1-'Sparkling Model'!D$2:D$38^A10237)</f>
        <v>36.97810734</v>
      </c>
      <c r="C10237" s="8">
        <f t="array" ref="C10237">PRODUCT(1-'Sparkling Model'!D$2:D$38^A10237)</f>
        <v>0.9782769789</v>
      </c>
    </row>
    <row r="10238">
      <c r="A10238" s="6">
        <v>10236.0</v>
      </c>
      <c r="B10238" s="17">
        <f t="array" ref="B10238">SUM(1-'Sparkling Model'!D$2:D$38^A10238)</f>
        <v>36.97811831</v>
      </c>
      <c r="C10238" s="8">
        <f t="array" ref="C10238">PRODUCT(1-'Sparkling Model'!D$2:D$38^A10238)</f>
        <v>0.9782877729</v>
      </c>
    </row>
    <row r="10239">
      <c r="A10239" s="6">
        <v>10237.0</v>
      </c>
      <c r="B10239" s="17">
        <f t="array" ref="B10239">SUM(1-'Sparkling Model'!D$2:D$38^A10239)</f>
        <v>36.97812927</v>
      </c>
      <c r="C10239" s="8">
        <f t="array" ref="C10239">PRODUCT(1-'Sparkling Model'!D$2:D$38^A10239)</f>
        <v>0.9782985615</v>
      </c>
    </row>
    <row r="10240">
      <c r="A10240" s="6">
        <v>10238.0</v>
      </c>
      <c r="B10240" s="17">
        <f t="array" ref="B10240">SUM(1-'Sparkling Model'!D$2:D$38^A10240)</f>
        <v>36.97814022</v>
      </c>
      <c r="C10240" s="8">
        <f t="array" ref="C10240">PRODUCT(1-'Sparkling Model'!D$2:D$38^A10240)</f>
        <v>0.9783093447</v>
      </c>
    </row>
    <row r="10241">
      <c r="A10241" s="6">
        <v>10239.0</v>
      </c>
      <c r="B10241" s="17">
        <f t="array" ref="B10241">SUM(1-'Sparkling Model'!D$2:D$38^A10241)</f>
        <v>36.97815117</v>
      </c>
      <c r="C10241" s="8">
        <f t="array" ref="C10241">PRODUCT(1-'Sparkling Model'!D$2:D$38^A10241)</f>
        <v>0.9783201226</v>
      </c>
    </row>
    <row r="10242">
      <c r="A10242" s="6">
        <v>10240.0</v>
      </c>
      <c r="B10242" s="17">
        <f t="array" ref="B10242">SUM(1-'Sparkling Model'!D$2:D$38^A10242)</f>
        <v>36.97816211</v>
      </c>
      <c r="C10242" s="8">
        <f t="array" ref="C10242">PRODUCT(1-'Sparkling Model'!D$2:D$38^A10242)</f>
        <v>0.9783308951</v>
      </c>
    </row>
    <row r="10243">
      <c r="A10243" s="6">
        <v>10241.0</v>
      </c>
      <c r="B10243" s="17">
        <f t="array" ref="B10243">SUM(1-'Sparkling Model'!D$2:D$38^A10243)</f>
        <v>36.97817305</v>
      </c>
      <c r="C10243" s="8">
        <f t="array" ref="C10243">PRODUCT(1-'Sparkling Model'!D$2:D$38^A10243)</f>
        <v>0.9783416622</v>
      </c>
    </row>
    <row r="10244">
      <c r="A10244" s="6">
        <v>10242.0</v>
      </c>
      <c r="B10244" s="17">
        <f t="array" ref="B10244">SUM(1-'Sparkling Model'!D$2:D$38^A10244)</f>
        <v>36.97818398</v>
      </c>
      <c r="C10244" s="8">
        <f t="array" ref="C10244">PRODUCT(1-'Sparkling Model'!D$2:D$38^A10244)</f>
        <v>0.9783524239</v>
      </c>
    </row>
    <row r="10245">
      <c r="A10245" s="6">
        <v>10243.0</v>
      </c>
      <c r="B10245" s="17">
        <f t="array" ref="B10245">SUM(1-'Sparkling Model'!D$2:D$38^A10245)</f>
        <v>36.97819491</v>
      </c>
      <c r="C10245" s="8">
        <f t="array" ref="C10245">PRODUCT(1-'Sparkling Model'!D$2:D$38^A10245)</f>
        <v>0.9783631803</v>
      </c>
    </row>
    <row r="10246">
      <c r="A10246" s="6">
        <v>10244.0</v>
      </c>
      <c r="B10246" s="17">
        <f t="array" ref="B10246">SUM(1-'Sparkling Model'!D$2:D$38^A10246)</f>
        <v>36.97820583</v>
      </c>
      <c r="C10246" s="8">
        <f t="array" ref="C10246">PRODUCT(1-'Sparkling Model'!D$2:D$38^A10246)</f>
        <v>0.9783739314</v>
      </c>
    </row>
    <row r="10247">
      <c r="A10247" s="6">
        <v>10245.0</v>
      </c>
      <c r="B10247" s="17">
        <f t="array" ref="B10247">SUM(1-'Sparkling Model'!D$2:D$38^A10247)</f>
        <v>36.97821675</v>
      </c>
      <c r="C10247" s="8">
        <f t="array" ref="C10247">PRODUCT(1-'Sparkling Model'!D$2:D$38^A10247)</f>
        <v>0.9783846771</v>
      </c>
    </row>
    <row r="10248">
      <c r="A10248" s="6">
        <v>10246.0</v>
      </c>
      <c r="B10248" s="17">
        <f t="array" ref="B10248">SUM(1-'Sparkling Model'!D$2:D$38^A10248)</f>
        <v>36.97822765</v>
      </c>
      <c r="C10248" s="8">
        <f t="array" ref="C10248">PRODUCT(1-'Sparkling Model'!D$2:D$38^A10248)</f>
        <v>0.9783954174</v>
      </c>
    </row>
    <row r="10249">
      <c r="A10249" s="6">
        <v>10247.0</v>
      </c>
      <c r="B10249" s="17">
        <f t="array" ref="B10249">SUM(1-'Sparkling Model'!D$2:D$38^A10249)</f>
        <v>36.97823856</v>
      </c>
      <c r="C10249" s="8">
        <f t="array" ref="C10249">PRODUCT(1-'Sparkling Model'!D$2:D$38^A10249)</f>
        <v>0.9784061524</v>
      </c>
    </row>
    <row r="10250">
      <c r="A10250" s="6">
        <v>10248.0</v>
      </c>
      <c r="B10250" s="17">
        <f t="array" ref="B10250">SUM(1-'Sparkling Model'!D$2:D$38^A10250)</f>
        <v>36.97824946</v>
      </c>
      <c r="C10250" s="8">
        <f t="array" ref="C10250">PRODUCT(1-'Sparkling Model'!D$2:D$38^A10250)</f>
        <v>0.9784168821</v>
      </c>
    </row>
    <row r="10251">
      <c r="A10251" s="6">
        <v>10249.0</v>
      </c>
      <c r="B10251" s="17">
        <f t="array" ref="B10251">SUM(1-'Sparkling Model'!D$2:D$38^A10251)</f>
        <v>36.97826035</v>
      </c>
      <c r="C10251" s="8">
        <f t="array" ref="C10251">PRODUCT(1-'Sparkling Model'!D$2:D$38^A10251)</f>
        <v>0.9784276064</v>
      </c>
    </row>
    <row r="10252">
      <c r="A10252" s="6">
        <v>10250.0</v>
      </c>
      <c r="B10252" s="17">
        <f t="array" ref="B10252">SUM(1-'Sparkling Model'!D$2:D$38^A10252)</f>
        <v>36.97827124</v>
      </c>
      <c r="C10252" s="8">
        <f t="array" ref="C10252">PRODUCT(1-'Sparkling Model'!D$2:D$38^A10252)</f>
        <v>0.9784383253</v>
      </c>
    </row>
    <row r="10253">
      <c r="A10253" s="6">
        <v>10251.0</v>
      </c>
      <c r="B10253" s="17">
        <f t="array" ref="B10253">SUM(1-'Sparkling Model'!D$2:D$38^A10253)</f>
        <v>36.97828212</v>
      </c>
      <c r="C10253" s="8">
        <f t="array" ref="C10253">PRODUCT(1-'Sparkling Model'!D$2:D$38^A10253)</f>
        <v>0.978449039</v>
      </c>
    </row>
    <row r="10254">
      <c r="A10254" s="6">
        <v>10252.0</v>
      </c>
      <c r="B10254" s="17">
        <f t="array" ref="B10254">SUM(1-'Sparkling Model'!D$2:D$38^A10254)</f>
        <v>36.978293</v>
      </c>
      <c r="C10254" s="8">
        <f t="array" ref="C10254">PRODUCT(1-'Sparkling Model'!D$2:D$38^A10254)</f>
        <v>0.9784597473</v>
      </c>
    </row>
    <row r="10255">
      <c r="A10255" s="6">
        <v>10253.0</v>
      </c>
      <c r="B10255" s="17">
        <f t="array" ref="B10255">SUM(1-'Sparkling Model'!D$2:D$38^A10255)</f>
        <v>36.97830387</v>
      </c>
      <c r="C10255" s="8">
        <f t="array" ref="C10255">PRODUCT(1-'Sparkling Model'!D$2:D$38^A10255)</f>
        <v>0.9784704502</v>
      </c>
    </row>
    <row r="10256">
      <c r="A10256" s="6">
        <v>10254.0</v>
      </c>
      <c r="B10256" s="17">
        <f t="array" ref="B10256">SUM(1-'Sparkling Model'!D$2:D$38^A10256)</f>
        <v>36.97831473</v>
      </c>
      <c r="C10256" s="8">
        <f t="array" ref="C10256">PRODUCT(1-'Sparkling Model'!D$2:D$38^A10256)</f>
        <v>0.9784811479</v>
      </c>
    </row>
    <row r="10257">
      <c r="A10257" s="6">
        <v>10255.0</v>
      </c>
      <c r="B10257" s="17">
        <f t="array" ref="B10257">SUM(1-'Sparkling Model'!D$2:D$38^A10257)</f>
        <v>36.97832559</v>
      </c>
      <c r="C10257" s="8">
        <f t="array" ref="C10257">PRODUCT(1-'Sparkling Model'!D$2:D$38^A10257)</f>
        <v>0.9784918402</v>
      </c>
    </row>
    <row r="10258">
      <c r="A10258" s="6">
        <v>10256.0</v>
      </c>
      <c r="B10258" s="17">
        <f t="array" ref="B10258">SUM(1-'Sparkling Model'!D$2:D$38^A10258)</f>
        <v>36.97833645</v>
      </c>
      <c r="C10258" s="8">
        <f t="array" ref="C10258">PRODUCT(1-'Sparkling Model'!D$2:D$38^A10258)</f>
        <v>0.9785025271</v>
      </c>
    </row>
    <row r="10259">
      <c r="A10259" s="6">
        <v>10257.0</v>
      </c>
      <c r="B10259" s="17">
        <f t="array" ref="B10259">SUM(1-'Sparkling Model'!D$2:D$38^A10259)</f>
        <v>36.9783473</v>
      </c>
      <c r="C10259" s="8">
        <f t="array" ref="C10259">PRODUCT(1-'Sparkling Model'!D$2:D$38^A10259)</f>
        <v>0.9785132088</v>
      </c>
    </row>
    <row r="10260">
      <c r="A10260" s="6">
        <v>10258.0</v>
      </c>
      <c r="B10260" s="17">
        <f t="array" ref="B10260">SUM(1-'Sparkling Model'!D$2:D$38^A10260)</f>
        <v>36.97835814</v>
      </c>
      <c r="C10260" s="8">
        <f t="array" ref="C10260">PRODUCT(1-'Sparkling Model'!D$2:D$38^A10260)</f>
        <v>0.9785238851</v>
      </c>
    </row>
    <row r="10261">
      <c r="A10261" s="6">
        <v>10259.0</v>
      </c>
      <c r="B10261" s="17">
        <f t="array" ref="B10261">SUM(1-'Sparkling Model'!D$2:D$38^A10261)</f>
        <v>36.97836898</v>
      </c>
      <c r="C10261" s="8">
        <f t="array" ref="C10261">PRODUCT(1-'Sparkling Model'!D$2:D$38^A10261)</f>
        <v>0.9785345561</v>
      </c>
    </row>
    <row r="10262">
      <c r="A10262" s="6">
        <v>10260.0</v>
      </c>
      <c r="B10262" s="17">
        <f t="array" ref="B10262">SUM(1-'Sparkling Model'!D$2:D$38^A10262)</f>
        <v>36.97837981</v>
      </c>
      <c r="C10262" s="8">
        <f t="array" ref="C10262">PRODUCT(1-'Sparkling Model'!D$2:D$38^A10262)</f>
        <v>0.9785452219</v>
      </c>
    </row>
    <row r="10263">
      <c r="A10263" s="6">
        <v>10261.0</v>
      </c>
      <c r="B10263" s="17">
        <f t="array" ref="B10263">SUM(1-'Sparkling Model'!D$2:D$38^A10263)</f>
        <v>36.97839064</v>
      </c>
      <c r="C10263" s="8">
        <f t="array" ref="C10263">PRODUCT(1-'Sparkling Model'!D$2:D$38^A10263)</f>
        <v>0.9785558822</v>
      </c>
    </row>
    <row r="10264">
      <c r="A10264" s="6">
        <v>10262.0</v>
      </c>
      <c r="B10264" s="17">
        <f t="array" ref="B10264">SUM(1-'Sparkling Model'!D$2:D$38^A10264)</f>
        <v>36.97840146</v>
      </c>
      <c r="C10264" s="8">
        <f t="array" ref="C10264">PRODUCT(1-'Sparkling Model'!D$2:D$38^A10264)</f>
        <v>0.9785665373</v>
      </c>
    </row>
    <row r="10265">
      <c r="A10265" s="6">
        <v>10263.0</v>
      </c>
      <c r="B10265" s="17">
        <f t="array" ref="B10265">SUM(1-'Sparkling Model'!D$2:D$38^A10265)</f>
        <v>36.97841228</v>
      </c>
      <c r="C10265" s="8">
        <f t="array" ref="C10265">PRODUCT(1-'Sparkling Model'!D$2:D$38^A10265)</f>
        <v>0.9785771871</v>
      </c>
    </row>
    <row r="10266">
      <c r="A10266" s="6">
        <v>10264.0</v>
      </c>
      <c r="B10266" s="17">
        <f t="array" ref="B10266">SUM(1-'Sparkling Model'!D$2:D$38^A10266)</f>
        <v>36.97842309</v>
      </c>
      <c r="C10266" s="8">
        <f t="array" ref="C10266">PRODUCT(1-'Sparkling Model'!D$2:D$38^A10266)</f>
        <v>0.9785878316</v>
      </c>
    </row>
    <row r="10267">
      <c r="A10267" s="6">
        <v>10265.0</v>
      </c>
      <c r="B10267" s="17">
        <f t="array" ref="B10267">SUM(1-'Sparkling Model'!D$2:D$38^A10267)</f>
        <v>36.97843389</v>
      </c>
      <c r="C10267" s="8">
        <f t="array" ref="C10267">PRODUCT(1-'Sparkling Model'!D$2:D$38^A10267)</f>
        <v>0.9785984708</v>
      </c>
    </row>
    <row r="10268">
      <c r="A10268" s="6">
        <v>10266.0</v>
      </c>
      <c r="B10268" s="17">
        <f t="array" ref="B10268">SUM(1-'Sparkling Model'!D$2:D$38^A10268)</f>
        <v>36.97844469</v>
      </c>
      <c r="C10268" s="8">
        <f t="array" ref="C10268">PRODUCT(1-'Sparkling Model'!D$2:D$38^A10268)</f>
        <v>0.9786091046</v>
      </c>
    </row>
    <row r="10269">
      <c r="A10269" s="6">
        <v>10267.0</v>
      </c>
      <c r="B10269" s="17">
        <f t="array" ref="B10269">SUM(1-'Sparkling Model'!D$2:D$38^A10269)</f>
        <v>36.97845549</v>
      </c>
      <c r="C10269" s="8">
        <f t="array" ref="C10269">PRODUCT(1-'Sparkling Model'!D$2:D$38^A10269)</f>
        <v>0.9786197332</v>
      </c>
    </row>
    <row r="10270">
      <c r="A10270" s="6">
        <v>10268.0</v>
      </c>
      <c r="B10270" s="17">
        <f t="array" ref="B10270">SUM(1-'Sparkling Model'!D$2:D$38^A10270)</f>
        <v>36.97846627</v>
      </c>
      <c r="C10270" s="8">
        <f t="array" ref="C10270">PRODUCT(1-'Sparkling Model'!D$2:D$38^A10270)</f>
        <v>0.9786303565</v>
      </c>
    </row>
    <row r="10271">
      <c r="A10271" s="6">
        <v>10269.0</v>
      </c>
      <c r="B10271" s="17">
        <f t="array" ref="B10271">SUM(1-'Sparkling Model'!D$2:D$38^A10271)</f>
        <v>36.97847706</v>
      </c>
      <c r="C10271" s="8">
        <f t="array" ref="C10271">PRODUCT(1-'Sparkling Model'!D$2:D$38^A10271)</f>
        <v>0.9786409745</v>
      </c>
    </row>
    <row r="10272">
      <c r="A10272" s="6">
        <v>10270.0</v>
      </c>
      <c r="B10272" s="17">
        <f t="array" ref="B10272">SUM(1-'Sparkling Model'!D$2:D$38^A10272)</f>
        <v>36.97848784</v>
      </c>
      <c r="C10272" s="8">
        <f t="array" ref="C10272">PRODUCT(1-'Sparkling Model'!D$2:D$38^A10272)</f>
        <v>0.9786515872</v>
      </c>
    </row>
    <row r="10273">
      <c r="A10273" s="6">
        <v>10271.0</v>
      </c>
      <c r="B10273" s="17">
        <f t="array" ref="B10273">SUM(1-'Sparkling Model'!D$2:D$38^A10273)</f>
        <v>36.97849861</v>
      </c>
      <c r="C10273" s="8">
        <f t="array" ref="C10273">PRODUCT(1-'Sparkling Model'!D$2:D$38^A10273)</f>
        <v>0.9786621947</v>
      </c>
    </row>
    <row r="10274">
      <c r="A10274" s="6">
        <v>10272.0</v>
      </c>
      <c r="B10274" s="17">
        <f t="array" ref="B10274">SUM(1-'Sparkling Model'!D$2:D$38^A10274)</f>
        <v>36.97850938</v>
      </c>
      <c r="C10274" s="8">
        <f t="array" ref="C10274">PRODUCT(1-'Sparkling Model'!D$2:D$38^A10274)</f>
        <v>0.9786727968</v>
      </c>
    </row>
    <row r="10275">
      <c r="A10275" s="6">
        <v>10273.0</v>
      </c>
      <c r="B10275" s="17">
        <f t="array" ref="B10275">SUM(1-'Sparkling Model'!D$2:D$38^A10275)</f>
        <v>36.97852014</v>
      </c>
      <c r="C10275" s="8">
        <f t="array" ref="C10275">PRODUCT(1-'Sparkling Model'!D$2:D$38^A10275)</f>
        <v>0.9786833937</v>
      </c>
    </row>
    <row r="10276">
      <c r="A10276" s="6">
        <v>10274.0</v>
      </c>
      <c r="B10276" s="17">
        <f t="array" ref="B10276">SUM(1-'Sparkling Model'!D$2:D$38^A10276)</f>
        <v>36.97853089</v>
      </c>
      <c r="C10276" s="8">
        <f t="array" ref="C10276">PRODUCT(1-'Sparkling Model'!D$2:D$38^A10276)</f>
        <v>0.9786939853</v>
      </c>
    </row>
    <row r="10277">
      <c r="A10277" s="6">
        <v>10275.0</v>
      </c>
      <c r="B10277" s="17">
        <f t="array" ref="B10277">SUM(1-'Sparkling Model'!D$2:D$38^A10277)</f>
        <v>36.97854164</v>
      </c>
      <c r="C10277" s="8">
        <f t="array" ref="C10277">PRODUCT(1-'Sparkling Model'!D$2:D$38^A10277)</f>
        <v>0.9787045716</v>
      </c>
    </row>
    <row r="10278">
      <c r="A10278" s="6">
        <v>10276.0</v>
      </c>
      <c r="B10278" s="17">
        <f t="array" ref="B10278">SUM(1-'Sparkling Model'!D$2:D$38^A10278)</f>
        <v>36.97855239</v>
      </c>
      <c r="C10278" s="8">
        <f t="array" ref="C10278">PRODUCT(1-'Sparkling Model'!D$2:D$38^A10278)</f>
        <v>0.9787151526</v>
      </c>
    </row>
    <row r="10279">
      <c r="A10279" s="6">
        <v>10277.0</v>
      </c>
      <c r="B10279" s="17">
        <f t="array" ref="B10279">SUM(1-'Sparkling Model'!D$2:D$38^A10279)</f>
        <v>36.97856313</v>
      </c>
      <c r="C10279" s="8">
        <f t="array" ref="C10279">PRODUCT(1-'Sparkling Model'!D$2:D$38^A10279)</f>
        <v>0.9787257284</v>
      </c>
    </row>
    <row r="10280">
      <c r="A10280" s="6">
        <v>10278.0</v>
      </c>
      <c r="B10280" s="17">
        <f t="array" ref="B10280">SUM(1-'Sparkling Model'!D$2:D$38^A10280)</f>
        <v>36.97857386</v>
      </c>
      <c r="C10280" s="8">
        <f t="array" ref="C10280">PRODUCT(1-'Sparkling Model'!D$2:D$38^A10280)</f>
        <v>0.9787362989</v>
      </c>
    </row>
    <row r="10281">
      <c r="A10281" s="6">
        <v>10279.0</v>
      </c>
      <c r="B10281" s="17">
        <f t="array" ref="B10281">SUM(1-'Sparkling Model'!D$2:D$38^A10281)</f>
        <v>36.97858459</v>
      </c>
      <c r="C10281" s="8">
        <f t="array" ref="C10281">PRODUCT(1-'Sparkling Model'!D$2:D$38^A10281)</f>
        <v>0.9787468641</v>
      </c>
    </row>
    <row r="10282">
      <c r="A10282" s="6">
        <v>10280.0</v>
      </c>
      <c r="B10282" s="17">
        <f t="array" ref="B10282">SUM(1-'Sparkling Model'!D$2:D$38^A10282)</f>
        <v>36.97859532</v>
      </c>
      <c r="C10282" s="8">
        <f t="array" ref="C10282">PRODUCT(1-'Sparkling Model'!D$2:D$38^A10282)</f>
        <v>0.9787574241</v>
      </c>
    </row>
    <row r="10283">
      <c r="A10283" s="6">
        <v>10281.0</v>
      </c>
      <c r="B10283" s="17">
        <f t="array" ref="B10283">SUM(1-'Sparkling Model'!D$2:D$38^A10283)</f>
        <v>36.97860603</v>
      </c>
      <c r="C10283" s="8">
        <f t="array" ref="C10283">PRODUCT(1-'Sparkling Model'!D$2:D$38^A10283)</f>
        <v>0.9787679788</v>
      </c>
    </row>
    <row r="10284">
      <c r="A10284" s="6">
        <v>10282.0</v>
      </c>
      <c r="B10284" s="17">
        <f t="array" ref="B10284">SUM(1-'Sparkling Model'!D$2:D$38^A10284)</f>
        <v>36.97861675</v>
      </c>
      <c r="C10284" s="8">
        <f t="array" ref="C10284">PRODUCT(1-'Sparkling Model'!D$2:D$38^A10284)</f>
        <v>0.9787785283</v>
      </c>
    </row>
    <row r="10285">
      <c r="A10285" s="6">
        <v>10283.0</v>
      </c>
      <c r="B10285" s="17">
        <f t="array" ref="B10285">SUM(1-'Sparkling Model'!D$2:D$38^A10285)</f>
        <v>36.97862745</v>
      </c>
      <c r="C10285" s="8">
        <f t="array" ref="C10285">PRODUCT(1-'Sparkling Model'!D$2:D$38^A10285)</f>
        <v>0.9787890725</v>
      </c>
    </row>
    <row r="10286">
      <c r="A10286" s="6">
        <v>10284.0</v>
      </c>
      <c r="B10286" s="17">
        <f t="array" ref="B10286">SUM(1-'Sparkling Model'!D$2:D$38^A10286)</f>
        <v>36.97863816</v>
      </c>
      <c r="C10286" s="8">
        <f t="array" ref="C10286">PRODUCT(1-'Sparkling Model'!D$2:D$38^A10286)</f>
        <v>0.9787996115</v>
      </c>
    </row>
    <row r="10287">
      <c r="A10287" s="6">
        <v>10285.0</v>
      </c>
      <c r="B10287" s="17">
        <f t="array" ref="B10287">SUM(1-'Sparkling Model'!D$2:D$38^A10287)</f>
        <v>36.97864885</v>
      </c>
      <c r="C10287" s="8">
        <f t="array" ref="C10287">PRODUCT(1-'Sparkling Model'!D$2:D$38^A10287)</f>
        <v>0.9788101452</v>
      </c>
    </row>
    <row r="10288">
      <c r="A10288" s="6">
        <v>10286.0</v>
      </c>
      <c r="B10288" s="17">
        <f t="array" ref="B10288">SUM(1-'Sparkling Model'!D$2:D$38^A10288)</f>
        <v>36.97865954</v>
      </c>
      <c r="C10288" s="8">
        <f t="array" ref="C10288">PRODUCT(1-'Sparkling Model'!D$2:D$38^A10288)</f>
        <v>0.9788206737</v>
      </c>
    </row>
    <row r="10289">
      <c r="A10289" s="6">
        <v>10287.0</v>
      </c>
      <c r="B10289" s="17">
        <f t="array" ref="B10289">SUM(1-'Sparkling Model'!D$2:D$38^A10289)</f>
        <v>36.97867023</v>
      </c>
      <c r="C10289" s="8">
        <f t="array" ref="C10289">PRODUCT(1-'Sparkling Model'!D$2:D$38^A10289)</f>
        <v>0.9788311969</v>
      </c>
    </row>
    <row r="10290">
      <c r="A10290" s="6">
        <v>10288.0</v>
      </c>
      <c r="B10290" s="17">
        <f t="array" ref="B10290">SUM(1-'Sparkling Model'!D$2:D$38^A10290)</f>
        <v>36.97868091</v>
      </c>
      <c r="C10290" s="8">
        <f t="array" ref="C10290">PRODUCT(1-'Sparkling Model'!D$2:D$38^A10290)</f>
        <v>0.9788417149</v>
      </c>
    </row>
    <row r="10291">
      <c r="A10291" s="6">
        <v>10289.0</v>
      </c>
      <c r="B10291" s="17">
        <f t="array" ref="B10291">SUM(1-'Sparkling Model'!D$2:D$38^A10291)</f>
        <v>36.97869158</v>
      </c>
      <c r="C10291" s="8">
        <f t="array" ref="C10291">PRODUCT(1-'Sparkling Model'!D$2:D$38^A10291)</f>
        <v>0.9788522276</v>
      </c>
    </row>
    <row r="10292">
      <c r="A10292" s="6">
        <v>10290.0</v>
      </c>
      <c r="B10292" s="17">
        <f t="array" ref="B10292">SUM(1-'Sparkling Model'!D$2:D$38^A10292)</f>
        <v>36.97870225</v>
      </c>
      <c r="C10292" s="8">
        <f t="array" ref="C10292">PRODUCT(1-'Sparkling Model'!D$2:D$38^A10292)</f>
        <v>0.9788627351</v>
      </c>
    </row>
    <row r="10293">
      <c r="A10293" s="6">
        <v>10291.0</v>
      </c>
      <c r="B10293" s="17">
        <f t="array" ref="B10293">SUM(1-'Sparkling Model'!D$2:D$38^A10293)</f>
        <v>36.97871292</v>
      </c>
      <c r="C10293" s="8">
        <f t="array" ref="C10293">PRODUCT(1-'Sparkling Model'!D$2:D$38^A10293)</f>
        <v>0.9788732374</v>
      </c>
    </row>
    <row r="10294">
      <c r="A10294" s="6">
        <v>10292.0</v>
      </c>
      <c r="B10294" s="17">
        <f t="array" ref="B10294">SUM(1-'Sparkling Model'!D$2:D$38^A10294)</f>
        <v>36.97872358</v>
      </c>
      <c r="C10294" s="8">
        <f t="array" ref="C10294">PRODUCT(1-'Sparkling Model'!D$2:D$38^A10294)</f>
        <v>0.9788837345</v>
      </c>
    </row>
    <row r="10295">
      <c r="A10295" s="6">
        <v>10293.0</v>
      </c>
      <c r="B10295" s="17">
        <f t="array" ref="B10295">SUM(1-'Sparkling Model'!D$2:D$38^A10295)</f>
        <v>36.97873423</v>
      </c>
      <c r="C10295" s="8">
        <f t="array" ref="C10295">PRODUCT(1-'Sparkling Model'!D$2:D$38^A10295)</f>
        <v>0.9788942263</v>
      </c>
    </row>
    <row r="10296">
      <c r="A10296" s="6">
        <v>10294.0</v>
      </c>
      <c r="B10296" s="17">
        <f t="array" ref="B10296">SUM(1-'Sparkling Model'!D$2:D$38^A10296)</f>
        <v>36.97874488</v>
      </c>
      <c r="C10296" s="8">
        <f t="array" ref="C10296">PRODUCT(1-'Sparkling Model'!D$2:D$38^A10296)</f>
        <v>0.9789047129</v>
      </c>
    </row>
    <row r="10297">
      <c r="A10297" s="6">
        <v>10295.0</v>
      </c>
      <c r="B10297" s="17">
        <f t="array" ref="B10297">SUM(1-'Sparkling Model'!D$2:D$38^A10297)</f>
        <v>36.97875552</v>
      </c>
      <c r="C10297" s="8">
        <f t="array" ref="C10297">PRODUCT(1-'Sparkling Model'!D$2:D$38^A10297)</f>
        <v>0.9789151943</v>
      </c>
    </row>
    <row r="10298">
      <c r="A10298" s="6">
        <v>10296.0</v>
      </c>
      <c r="B10298" s="17">
        <f t="array" ref="B10298">SUM(1-'Sparkling Model'!D$2:D$38^A10298)</f>
        <v>36.97876616</v>
      </c>
      <c r="C10298" s="8">
        <f t="array" ref="C10298">PRODUCT(1-'Sparkling Model'!D$2:D$38^A10298)</f>
        <v>0.9789256704</v>
      </c>
    </row>
    <row r="10299">
      <c r="A10299" s="6">
        <v>10297.0</v>
      </c>
      <c r="B10299" s="17">
        <f t="array" ref="B10299">SUM(1-'Sparkling Model'!D$2:D$38^A10299)</f>
        <v>36.97877679</v>
      </c>
      <c r="C10299" s="8">
        <f t="array" ref="C10299">PRODUCT(1-'Sparkling Model'!D$2:D$38^A10299)</f>
        <v>0.9789361413</v>
      </c>
    </row>
    <row r="10300">
      <c r="A10300" s="6">
        <v>10298.0</v>
      </c>
      <c r="B10300" s="17">
        <f t="array" ref="B10300">SUM(1-'Sparkling Model'!D$2:D$38^A10300)</f>
        <v>36.97878741</v>
      </c>
      <c r="C10300" s="8">
        <f t="array" ref="C10300">PRODUCT(1-'Sparkling Model'!D$2:D$38^A10300)</f>
        <v>0.9789466071</v>
      </c>
    </row>
    <row r="10301">
      <c r="A10301" s="6">
        <v>10299.0</v>
      </c>
      <c r="B10301" s="17">
        <f t="array" ref="B10301">SUM(1-'Sparkling Model'!D$2:D$38^A10301)</f>
        <v>36.97879803</v>
      </c>
      <c r="C10301" s="8">
        <f t="array" ref="C10301">PRODUCT(1-'Sparkling Model'!D$2:D$38^A10301)</f>
        <v>0.9789570676</v>
      </c>
    </row>
    <row r="10302">
      <c r="A10302" s="6">
        <v>10300.0</v>
      </c>
      <c r="B10302" s="17">
        <f t="array" ref="B10302">SUM(1-'Sparkling Model'!D$2:D$38^A10302)</f>
        <v>36.97880865</v>
      </c>
      <c r="C10302" s="8">
        <f t="array" ref="C10302">PRODUCT(1-'Sparkling Model'!D$2:D$38^A10302)</f>
        <v>0.9789675229</v>
      </c>
    </row>
    <row r="10303">
      <c r="A10303" s="6">
        <v>10301.0</v>
      </c>
      <c r="B10303" s="17">
        <f t="array" ref="B10303">SUM(1-'Sparkling Model'!D$2:D$38^A10303)</f>
        <v>36.97881926</v>
      </c>
      <c r="C10303" s="8">
        <f t="array" ref="C10303">PRODUCT(1-'Sparkling Model'!D$2:D$38^A10303)</f>
        <v>0.978977973</v>
      </c>
    </row>
    <row r="10304">
      <c r="A10304" s="6">
        <v>10302.0</v>
      </c>
      <c r="B10304" s="17">
        <f t="array" ref="B10304">SUM(1-'Sparkling Model'!D$2:D$38^A10304)</f>
        <v>36.97882987</v>
      </c>
      <c r="C10304" s="8">
        <f t="array" ref="C10304">PRODUCT(1-'Sparkling Model'!D$2:D$38^A10304)</f>
        <v>0.9789884179</v>
      </c>
    </row>
    <row r="10305">
      <c r="A10305" s="6">
        <v>10303.0</v>
      </c>
      <c r="B10305" s="17">
        <f t="array" ref="B10305">SUM(1-'Sparkling Model'!D$2:D$38^A10305)</f>
        <v>36.97884046</v>
      </c>
      <c r="C10305" s="8">
        <f t="array" ref="C10305">PRODUCT(1-'Sparkling Model'!D$2:D$38^A10305)</f>
        <v>0.9789988576</v>
      </c>
    </row>
    <row r="10306">
      <c r="A10306" s="6">
        <v>10304.0</v>
      </c>
      <c r="B10306" s="17">
        <f t="array" ref="B10306">SUM(1-'Sparkling Model'!D$2:D$38^A10306)</f>
        <v>36.97885106</v>
      </c>
      <c r="C10306" s="8">
        <f t="array" ref="C10306">PRODUCT(1-'Sparkling Model'!D$2:D$38^A10306)</f>
        <v>0.9790092921</v>
      </c>
    </row>
    <row r="10307">
      <c r="A10307" s="6">
        <v>10305.0</v>
      </c>
      <c r="B10307" s="17">
        <f t="array" ref="B10307">SUM(1-'Sparkling Model'!D$2:D$38^A10307)</f>
        <v>36.97886165</v>
      </c>
      <c r="C10307" s="8">
        <f t="array" ref="C10307">PRODUCT(1-'Sparkling Model'!D$2:D$38^A10307)</f>
        <v>0.9790197214</v>
      </c>
    </row>
    <row r="10308">
      <c r="A10308" s="6">
        <v>10306.0</v>
      </c>
      <c r="B10308" s="17">
        <f t="array" ref="B10308">SUM(1-'Sparkling Model'!D$2:D$38^A10308)</f>
        <v>36.97887223</v>
      </c>
      <c r="C10308" s="8">
        <f t="array" ref="C10308">PRODUCT(1-'Sparkling Model'!D$2:D$38^A10308)</f>
        <v>0.9790301455</v>
      </c>
    </row>
    <row r="10309">
      <c r="A10309" s="6">
        <v>10307.0</v>
      </c>
      <c r="B10309" s="17">
        <f t="array" ref="B10309">SUM(1-'Sparkling Model'!D$2:D$38^A10309)</f>
        <v>36.97888281</v>
      </c>
      <c r="C10309" s="8">
        <f t="array" ref="C10309">PRODUCT(1-'Sparkling Model'!D$2:D$38^A10309)</f>
        <v>0.9790405644</v>
      </c>
    </row>
    <row r="10310">
      <c r="A10310" s="6">
        <v>10308.0</v>
      </c>
      <c r="B10310" s="17">
        <f t="array" ref="B10310">SUM(1-'Sparkling Model'!D$2:D$38^A10310)</f>
        <v>36.97889338</v>
      </c>
      <c r="C10310" s="8">
        <f t="array" ref="C10310">PRODUCT(1-'Sparkling Model'!D$2:D$38^A10310)</f>
        <v>0.9790509781</v>
      </c>
    </row>
    <row r="10311">
      <c r="A10311" s="6">
        <v>10309.0</v>
      </c>
      <c r="B10311" s="17">
        <f t="array" ref="B10311">SUM(1-'Sparkling Model'!D$2:D$38^A10311)</f>
        <v>36.97890395</v>
      </c>
      <c r="C10311" s="8">
        <f t="array" ref="C10311">PRODUCT(1-'Sparkling Model'!D$2:D$38^A10311)</f>
        <v>0.9790613867</v>
      </c>
    </row>
    <row r="10312">
      <c r="A10312" s="6">
        <v>10310.0</v>
      </c>
      <c r="B10312" s="17">
        <f t="array" ref="B10312">SUM(1-'Sparkling Model'!D$2:D$38^A10312)</f>
        <v>36.97891451</v>
      </c>
      <c r="C10312" s="8">
        <f t="array" ref="C10312">PRODUCT(1-'Sparkling Model'!D$2:D$38^A10312)</f>
        <v>0.97907179</v>
      </c>
    </row>
    <row r="10313">
      <c r="A10313" s="6">
        <v>10311.0</v>
      </c>
      <c r="B10313" s="17">
        <f t="array" ref="B10313">SUM(1-'Sparkling Model'!D$2:D$38^A10313)</f>
        <v>36.97892507</v>
      </c>
      <c r="C10313" s="8">
        <f t="array" ref="C10313">PRODUCT(1-'Sparkling Model'!D$2:D$38^A10313)</f>
        <v>0.9790821882</v>
      </c>
    </row>
    <row r="10314">
      <c r="A10314" s="6">
        <v>10312.0</v>
      </c>
      <c r="B10314" s="17">
        <f t="array" ref="B10314">SUM(1-'Sparkling Model'!D$2:D$38^A10314)</f>
        <v>36.97893562</v>
      </c>
      <c r="C10314" s="8">
        <f t="array" ref="C10314">PRODUCT(1-'Sparkling Model'!D$2:D$38^A10314)</f>
        <v>0.9790925812</v>
      </c>
    </row>
    <row r="10315">
      <c r="A10315" s="6">
        <v>10313.0</v>
      </c>
      <c r="B10315" s="17">
        <f t="array" ref="B10315">SUM(1-'Sparkling Model'!D$2:D$38^A10315)</f>
        <v>36.97894616</v>
      </c>
      <c r="C10315" s="8">
        <f t="array" ref="C10315">PRODUCT(1-'Sparkling Model'!D$2:D$38^A10315)</f>
        <v>0.979102969</v>
      </c>
    </row>
    <row r="10316">
      <c r="A10316" s="6">
        <v>10314.0</v>
      </c>
      <c r="B10316" s="17">
        <f t="array" ref="B10316">SUM(1-'Sparkling Model'!D$2:D$38^A10316)</f>
        <v>36.97895671</v>
      </c>
      <c r="C10316" s="8">
        <f t="array" ref="C10316">PRODUCT(1-'Sparkling Model'!D$2:D$38^A10316)</f>
        <v>0.9791133517</v>
      </c>
    </row>
    <row r="10317">
      <c r="A10317" s="6">
        <v>10315.0</v>
      </c>
      <c r="B10317" s="17">
        <f t="array" ref="B10317">SUM(1-'Sparkling Model'!D$2:D$38^A10317)</f>
        <v>36.97896724</v>
      </c>
      <c r="C10317" s="8">
        <f t="array" ref="C10317">PRODUCT(1-'Sparkling Model'!D$2:D$38^A10317)</f>
        <v>0.9791237291</v>
      </c>
    </row>
    <row r="10318">
      <c r="A10318" s="6">
        <v>10316.0</v>
      </c>
      <c r="B10318" s="17">
        <f t="array" ref="B10318">SUM(1-'Sparkling Model'!D$2:D$38^A10318)</f>
        <v>36.97897777</v>
      </c>
      <c r="C10318" s="8">
        <f t="array" ref="C10318">PRODUCT(1-'Sparkling Model'!D$2:D$38^A10318)</f>
        <v>0.9791341014</v>
      </c>
    </row>
    <row r="10319">
      <c r="A10319" s="6">
        <v>10317.0</v>
      </c>
      <c r="B10319" s="17">
        <f t="array" ref="B10319">SUM(1-'Sparkling Model'!D$2:D$38^A10319)</f>
        <v>36.9789883</v>
      </c>
      <c r="C10319" s="8">
        <f t="array" ref="C10319">PRODUCT(1-'Sparkling Model'!D$2:D$38^A10319)</f>
        <v>0.9791444686</v>
      </c>
    </row>
    <row r="10320">
      <c r="A10320" s="6">
        <v>10318.0</v>
      </c>
      <c r="B10320" s="17">
        <f t="array" ref="B10320">SUM(1-'Sparkling Model'!D$2:D$38^A10320)</f>
        <v>36.97899881</v>
      </c>
      <c r="C10320" s="8">
        <f t="array" ref="C10320">PRODUCT(1-'Sparkling Model'!D$2:D$38^A10320)</f>
        <v>0.9791548306</v>
      </c>
    </row>
    <row r="10321">
      <c r="A10321" s="6">
        <v>10319.0</v>
      </c>
      <c r="B10321" s="17">
        <f t="array" ref="B10321">SUM(1-'Sparkling Model'!D$2:D$38^A10321)</f>
        <v>36.97900933</v>
      </c>
      <c r="C10321" s="8">
        <f t="array" ref="C10321">PRODUCT(1-'Sparkling Model'!D$2:D$38^A10321)</f>
        <v>0.9791651874</v>
      </c>
    </row>
    <row r="10322">
      <c r="A10322" s="6">
        <v>10320.0</v>
      </c>
      <c r="B10322" s="17">
        <f t="array" ref="B10322">SUM(1-'Sparkling Model'!D$2:D$38^A10322)</f>
        <v>36.97901984</v>
      </c>
      <c r="C10322" s="8">
        <f t="array" ref="C10322">PRODUCT(1-'Sparkling Model'!D$2:D$38^A10322)</f>
        <v>0.9791755391</v>
      </c>
    </row>
    <row r="10323">
      <c r="A10323" s="6">
        <v>10321.0</v>
      </c>
      <c r="B10323" s="17">
        <f t="array" ref="B10323">SUM(1-'Sparkling Model'!D$2:D$38^A10323)</f>
        <v>36.97903034</v>
      </c>
      <c r="C10323" s="8">
        <f t="array" ref="C10323">PRODUCT(1-'Sparkling Model'!D$2:D$38^A10323)</f>
        <v>0.9791858856</v>
      </c>
    </row>
    <row r="10324">
      <c r="A10324" s="6">
        <v>10322.0</v>
      </c>
      <c r="B10324" s="17">
        <f t="array" ref="B10324">SUM(1-'Sparkling Model'!D$2:D$38^A10324)</f>
        <v>36.97904084</v>
      </c>
      <c r="C10324" s="8">
        <f t="array" ref="C10324">PRODUCT(1-'Sparkling Model'!D$2:D$38^A10324)</f>
        <v>0.9791962269</v>
      </c>
    </row>
    <row r="10325">
      <c r="A10325" s="6">
        <v>10323.0</v>
      </c>
      <c r="B10325" s="17">
        <f t="array" ref="B10325">SUM(1-'Sparkling Model'!D$2:D$38^A10325)</f>
        <v>36.97905133</v>
      </c>
      <c r="C10325" s="8">
        <f t="array" ref="C10325">PRODUCT(1-'Sparkling Model'!D$2:D$38^A10325)</f>
        <v>0.9792065631</v>
      </c>
    </row>
    <row r="10326">
      <c r="A10326" s="6">
        <v>10324.0</v>
      </c>
      <c r="B10326" s="17">
        <f t="array" ref="B10326">SUM(1-'Sparkling Model'!D$2:D$38^A10326)</f>
        <v>36.97906182</v>
      </c>
      <c r="C10326" s="8">
        <f t="array" ref="C10326">PRODUCT(1-'Sparkling Model'!D$2:D$38^A10326)</f>
        <v>0.9792168942</v>
      </c>
    </row>
    <row r="10327">
      <c r="A10327" s="6">
        <v>10325.0</v>
      </c>
      <c r="B10327" s="17">
        <f t="array" ref="B10327">SUM(1-'Sparkling Model'!D$2:D$38^A10327)</f>
        <v>36.9790723</v>
      </c>
      <c r="C10327" s="8">
        <f t="array" ref="C10327">PRODUCT(1-'Sparkling Model'!D$2:D$38^A10327)</f>
        <v>0.9792272201</v>
      </c>
    </row>
    <row r="10328">
      <c r="A10328" s="6">
        <v>10326.0</v>
      </c>
      <c r="B10328" s="17">
        <f t="array" ref="B10328">SUM(1-'Sparkling Model'!D$2:D$38^A10328)</f>
        <v>36.97908278</v>
      </c>
      <c r="C10328" s="8">
        <f t="array" ref="C10328">PRODUCT(1-'Sparkling Model'!D$2:D$38^A10328)</f>
        <v>0.9792375409</v>
      </c>
    </row>
    <row r="10329">
      <c r="A10329" s="6">
        <v>10327.0</v>
      </c>
      <c r="B10329" s="17">
        <f t="array" ref="B10329">SUM(1-'Sparkling Model'!D$2:D$38^A10329)</f>
        <v>36.97909325</v>
      </c>
      <c r="C10329" s="8">
        <f t="array" ref="C10329">PRODUCT(1-'Sparkling Model'!D$2:D$38^A10329)</f>
        <v>0.9792478565</v>
      </c>
    </row>
    <row r="10330">
      <c r="A10330" s="6">
        <v>10328.0</v>
      </c>
      <c r="B10330" s="17">
        <f t="array" ref="B10330">SUM(1-'Sparkling Model'!D$2:D$38^A10330)</f>
        <v>36.97910372</v>
      </c>
      <c r="C10330" s="8">
        <f t="array" ref="C10330">PRODUCT(1-'Sparkling Model'!D$2:D$38^A10330)</f>
        <v>0.979258167</v>
      </c>
    </row>
    <row r="10331">
      <c r="A10331" s="6">
        <v>10329.0</v>
      </c>
      <c r="B10331" s="17">
        <f t="array" ref="B10331">SUM(1-'Sparkling Model'!D$2:D$38^A10331)</f>
        <v>36.97911418</v>
      </c>
      <c r="C10331" s="8">
        <f t="array" ref="C10331">PRODUCT(1-'Sparkling Model'!D$2:D$38^A10331)</f>
        <v>0.9792684724</v>
      </c>
    </row>
    <row r="10332">
      <c r="A10332" s="6">
        <v>10330.0</v>
      </c>
      <c r="B10332" s="17">
        <f t="array" ref="B10332">SUM(1-'Sparkling Model'!D$2:D$38^A10332)</f>
        <v>36.97912463</v>
      </c>
      <c r="C10332" s="8">
        <f t="array" ref="C10332">PRODUCT(1-'Sparkling Model'!D$2:D$38^A10332)</f>
        <v>0.9792787726</v>
      </c>
    </row>
    <row r="10333">
      <c r="A10333" s="6">
        <v>10331.0</v>
      </c>
      <c r="B10333" s="17">
        <f t="array" ref="B10333">SUM(1-'Sparkling Model'!D$2:D$38^A10333)</f>
        <v>36.97913508</v>
      </c>
      <c r="C10333" s="8">
        <f t="array" ref="C10333">PRODUCT(1-'Sparkling Model'!D$2:D$38^A10333)</f>
        <v>0.9792890677</v>
      </c>
    </row>
    <row r="10334">
      <c r="A10334" s="6">
        <v>10332.0</v>
      </c>
      <c r="B10334" s="17">
        <f t="array" ref="B10334">SUM(1-'Sparkling Model'!D$2:D$38^A10334)</f>
        <v>36.97914553</v>
      </c>
      <c r="C10334" s="8">
        <f t="array" ref="C10334">PRODUCT(1-'Sparkling Model'!D$2:D$38^A10334)</f>
        <v>0.9792993577</v>
      </c>
    </row>
    <row r="10335">
      <c r="A10335" s="6">
        <v>10333.0</v>
      </c>
      <c r="B10335" s="17">
        <f t="array" ref="B10335">SUM(1-'Sparkling Model'!D$2:D$38^A10335)</f>
        <v>36.97915597</v>
      </c>
      <c r="C10335" s="8">
        <f t="array" ref="C10335">PRODUCT(1-'Sparkling Model'!D$2:D$38^A10335)</f>
        <v>0.9793096426</v>
      </c>
    </row>
    <row r="10336">
      <c r="A10336" s="6">
        <v>10334.0</v>
      </c>
      <c r="B10336" s="17">
        <f t="array" ref="B10336">SUM(1-'Sparkling Model'!D$2:D$38^A10336)</f>
        <v>36.9791664</v>
      </c>
      <c r="C10336" s="8">
        <f t="array" ref="C10336">PRODUCT(1-'Sparkling Model'!D$2:D$38^A10336)</f>
        <v>0.9793199223</v>
      </c>
    </row>
    <row r="10337">
      <c r="A10337" s="6">
        <v>10335.0</v>
      </c>
      <c r="B10337" s="17">
        <f t="array" ref="B10337">SUM(1-'Sparkling Model'!D$2:D$38^A10337)</f>
        <v>36.97917683</v>
      </c>
      <c r="C10337" s="8">
        <f t="array" ref="C10337">PRODUCT(1-'Sparkling Model'!D$2:D$38^A10337)</f>
        <v>0.9793301969</v>
      </c>
    </row>
    <row r="10338">
      <c r="A10338" s="6">
        <v>10336.0</v>
      </c>
      <c r="B10338" s="17">
        <f t="array" ref="B10338">SUM(1-'Sparkling Model'!D$2:D$38^A10338)</f>
        <v>36.97918726</v>
      </c>
      <c r="C10338" s="8">
        <f t="array" ref="C10338">PRODUCT(1-'Sparkling Model'!D$2:D$38^A10338)</f>
        <v>0.9793404664</v>
      </c>
    </row>
    <row r="10339">
      <c r="A10339" s="6">
        <v>10337.0</v>
      </c>
      <c r="B10339" s="17">
        <f t="array" ref="B10339">SUM(1-'Sparkling Model'!D$2:D$38^A10339)</f>
        <v>36.97919767</v>
      </c>
      <c r="C10339" s="8">
        <f t="array" ref="C10339">PRODUCT(1-'Sparkling Model'!D$2:D$38^A10339)</f>
        <v>0.9793507308</v>
      </c>
    </row>
    <row r="10340">
      <c r="A10340" s="6">
        <v>10338.0</v>
      </c>
      <c r="B10340" s="17">
        <f t="array" ref="B10340">SUM(1-'Sparkling Model'!D$2:D$38^A10340)</f>
        <v>36.97920809</v>
      </c>
      <c r="C10340" s="8">
        <f t="array" ref="C10340">PRODUCT(1-'Sparkling Model'!D$2:D$38^A10340)</f>
        <v>0.97936099</v>
      </c>
    </row>
    <row r="10341">
      <c r="A10341" s="6">
        <v>10339.0</v>
      </c>
      <c r="B10341" s="17">
        <f t="array" ref="B10341">SUM(1-'Sparkling Model'!D$2:D$38^A10341)</f>
        <v>36.9792185</v>
      </c>
      <c r="C10341" s="8">
        <f t="array" ref="C10341">PRODUCT(1-'Sparkling Model'!D$2:D$38^A10341)</f>
        <v>0.9793712442</v>
      </c>
    </row>
    <row r="10342">
      <c r="A10342" s="6">
        <v>10340.0</v>
      </c>
      <c r="B10342" s="17">
        <f t="array" ref="B10342">SUM(1-'Sparkling Model'!D$2:D$38^A10342)</f>
        <v>36.9792289</v>
      </c>
      <c r="C10342" s="8">
        <f t="array" ref="C10342">PRODUCT(1-'Sparkling Model'!D$2:D$38^A10342)</f>
        <v>0.9793814933</v>
      </c>
    </row>
    <row r="10343">
      <c r="A10343" s="6">
        <v>10341.0</v>
      </c>
      <c r="B10343" s="17">
        <f t="array" ref="B10343">SUM(1-'Sparkling Model'!D$2:D$38^A10343)</f>
        <v>36.9792393</v>
      </c>
      <c r="C10343" s="8">
        <f t="array" ref="C10343">PRODUCT(1-'Sparkling Model'!D$2:D$38^A10343)</f>
        <v>0.9793917372</v>
      </c>
    </row>
    <row r="10344">
      <c r="A10344" s="6">
        <v>10342.0</v>
      </c>
      <c r="B10344" s="17">
        <f t="array" ref="B10344">SUM(1-'Sparkling Model'!D$2:D$38^A10344)</f>
        <v>36.97924969</v>
      </c>
      <c r="C10344" s="8">
        <f t="array" ref="C10344">PRODUCT(1-'Sparkling Model'!D$2:D$38^A10344)</f>
        <v>0.9794019761</v>
      </c>
    </row>
    <row r="10345">
      <c r="A10345" s="6">
        <v>10343.0</v>
      </c>
      <c r="B10345" s="17">
        <f t="array" ref="B10345">SUM(1-'Sparkling Model'!D$2:D$38^A10345)</f>
        <v>36.97926008</v>
      </c>
      <c r="C10345" s="8">
        <f t="array" ref="C10345">PRODUCT(1-'Sparkling Model'!D$2:D$38^A10345)</f>
        <v>0.9794122098</v>
      </c>
    </row>
    <row r="10346">
      <c r="A10346" s="6">
        <v>10344.0</v>
      </c>
      <c r="B10346" s="17">
        <f t="array" ref="B10346">SUM(1-'Sparkling Model'!D$2:D$38^A10346)</f>
        <v>36.97927046</v>
      </c>
      <c r="C10346" s="8">
        <f t="array" ref="C10346">PRODUCT(1-'Sparkling Model'!D$2:D$38^A10346)</f>
        <v>0.9794224385</v>
      </c>
    </row>
    <row r="10347">
      <c r="A10347" s="6">
        <v>10345.0</v>
      </c>
      <c r="B10347" s="17">
        <f t="array" ref="B10347">SUM(1-'Sparkling Model'!D$2:D$38^A10347)</f>
        <v>36.97928084</v>
      </c>
      <c r="C10347" s="8">
        <f t="array" ref="C10347">PRODUCT(1-'Sparkling Model'!D$2:D$38^A10347)</f>
        <v>0.979432662</v>
      </c>
    </row>
    <row r="10348">
      <c r="A10348" s="6">
        <v>10346.0</v>
      </c>
      <c r="B10348" s="17">
        <f t="array" ref="B10348">SUM(1-'Sparkling Model'!D$2:D$38^A10348)</f>
        <v>36.97929121</v>
      </c>
      <c r="C10348" s="8">
        <f t="array" ref="C10348">PRODUCT(1-'Sparkling Model'!D$2:D$38^A10348)</f>
        <v>0.9794428805</v>
      </c>
    </row>
    <row r="10349">
      <c r="A10349" s="6">
        <v>10347.0</v>
      </c>
      <c r="B10349" s="17">
        <f t="array" ref="B10349">SUM(1-'Sparkling Model'!D$2:D$38^A10349)</f>
        <v>36.97930157</v>
      </c>
      <c r="C10349" s="8">
        <f t="array" ref="C10349">PRODUCT(1-'Sparkling Model'!D$2:D$38^A10349)</f>
        <v>0.9794530939</v>
      </c>
    </row>
    <row r="10350">
      <c r="A10350" s="6">
        <v>10348.0</v>
      </c>
      <c r="B10350" s="17">
        <f t="array" ref="B10350">SUM(1-'Sparkling Model'!D$2:D$38^A10350)</f>
        <v>36.97931193</v>
      </c>
      <c r="C10350" s="8">
        <f t="array" ref="C10350">PRODUCT(1-'Sparkling Model'!D$2:D$38^A10350)</f>
        <v>0.9794633022</v>
      </c>
    </row>
    <row r="10351">
      <c r="A10351" s="6">
        <v>10349.0</v>
      </c>
      <c r="B10351" s="17">
        <f t="array" ref="B10351">SUM(1-'Sparkling Model'!D$2:D$38^A10351)</f>
        <v>36.97932229</v>
      </c>
      <c r="C10351" s="8">
        <f t="array" ref="C10351">PRODUCT(1-'Sparkling Model'!D$2:D$38^A10351)</f>
        <v>0.9794735054</v>
      </c>
    </row>
    <row r="10352">
      <c r="A10352" s="6">
        <v>10350.0</v>
      </c>
      <c r="B10352" s="17">
        <f t="array" ref="B10352">SUM(1-'Sparkling Model'!D$2:D$38^A10352)</f>
        <v>36.97933264</v>
      </c>
      <c r="C10352" s="8">
        <f t="array" ref="C10352">PRODUCT(1-'Sparkling Model'!D$2:D$38^A10352)</f>
        <v>0.9794837035</v>
      </c>
    </row>
    <row r="10353">
      <c r="A10353" s="6">
        <v>10351.0</v>
      </c>
      <c r="B10353" s="17">
        <f t="array" ref="B10353">SUM(1-'Sparkling Model'!D$2:D$38^A10353)</f>
        <v>36.97934298</v>
      </c>
      <c r="C10353" s="8">
        <f t="array" ref="C10353">PRODUCT(1-'Sparkling Model'!D$2:D$38^A10353)</f>
        <v>0.9794938966</v>
      </c>
    </row>
    <row r="10354">
      <c r="A10354" s="6">
        <v>10352.0</v>
      </c>
      <c r="B10354" s="17">
        <f t="array" ref="B10354">SUM(1-'Sparkling Model'!D$2:D$38^A10354)</f>
        <v>36.97935332</v>
      </c>
      <c r="C10354" s="8">
        <f t="array" ref="C10354">PRODUCT(1-'Sparkling Model'!D$2:D$38^A10354)</f>
        <v>0.9795040845</v>
      </c>
    </row>
    <row r="10355">
      <c r="A10355" s="6">
        <v>10353.0</v>
      </c>
      <c r="B10355" s="17">
        <f t="array" ref="B10355">SUM(1-'Sparkling Model'!D$2:D$38^A10355)</f>
        <v>36.97936366</v>
      </c>
      <c r="C10355" s="8">
        <f t="array" ref="C10355">PRODUCT(1-'Sparkling Model'!D$2:D$38^A10355)</f>
        <v>0.9795142675</v>
      </c>
    </row>
    <row r="10356">
      <c r="A10356" s="6">
        <v>10354.0</v>
      </c>
      <c r="B10356" s="17">
        <f t="array" ref="B10356">SUM(1-'Sparkling Model'!D$2:D$38^A10356)</f>
        <v>36.97937399</v>
      </c>
      <c r="C10356" s="8">
        <f t="array" ref="C10356">PRODUCT(1-'Sparkling Model'!D$2:D$38^A10356)</f>
        <v>0.9795244453</v>
      </c>
    </row>
    <row r="10357">
      <c r="A10357" s="6">
        <v>10355.0</v>
      </c>
      <c r="B10357" s="17">
        <f t="array" ref="B10357">SUM(1-'Sparkling Model'!D$2:D$38^A10357)</f>
        <v>36.97938431</v>
      </c>
      <c r="C10357" s="8">
        <f t="array" ref="C10357">PRODUCT(1-'Sparkling Model'!D$2:D$38^A10357)</f>
        <v>0.979534618</v>
      </c>
    </row>
    <row r="10358">
      <c r="A10358" s="6">
        <v>10356.0</v>
      </c>
      <c r="B10358" s="17">
        <f t="array" ref="B10358">SUM(1-'Sparkling Model'!D$2:D$38^A10358)</f>
        <v>36.97939463</v>
      </c>
      <c r="C10358" s="8">
        <f t="array" ref="C10358">PRODUCT(1-'Sparkling Model'!D$2:D$38^A10358)</f>
        <v>0.9795447857</v>
      </c>
    </row>
    <row r="10359">
      <c r="A10359" s="6">
        <v>10357.0</v>
      </c>
      <c r="B10359" s="17">
        <f t="array" ref="B10359">SUM(1-'Sparkling Model'!D$2:D$38^A10359)</f>
        <v>36.97940495</v>
      </c>
      <c r="C10359" s="8">
        <f t="array" ref="C10359">PRODUCT(1-'Sparkling Model'!D$2:D$38^A10359)</f>
        <v>0.9795549484</v>
      </c>
    </row>
    <row r="10360">
      <c r="A10360" s="6">
        <v>10358.0</v>
      </c>
      <c r="B10360" s="17">
        <f t="array" ref="B10360">SUM(1-'Sparkling Model'!D$2:D$38^A10360)</f>
        <v>36.97941526</v>
      </c>
      <c r="C10360" s="8">
        <f t="array" ref="C10360">PRODUCT(1-'Sparkling Model'!D$2:D$38^A10360)</f>
        <v>0.979565106</v>
      </c>
    </row>
    <row r="10361">
      <c r="A10361" s="6">
        <v>10359.0</v>
      </c>
      <c r="B10361" s="17">
        <f t="array" ref="B10361">SUM(1-'Sparkling Model'!D$2:D$38^A10361)</f>
        <v>36.97942556</v>
      </c>
      <c r="C10361" s="8">
        <f t="array" ref="C10361">PRODUCT(1-'Sparkling Model'!D$2:D$38^A10361)</f>
        <v>0.9795752585</v>
      </c>
    </row>
    <row r="10362">
      <c r="A10362" s="6">
        <v>10360.0</v>
      </c>
      <c r="B10362" s="17">
        <f t="array" ref="B10362">SUM(1-'Sparkling Model'!D$2:D$38^A10362)</f>
        <v>36.97943586</v>
      </c>
      <c r="C10362" s="8">
        <f t="array" ref="C10362">PRODUCT(1-'Sparkling Model'!D$2:D$38^A10362)</f>
        <v>0.9795854059</v>
      </c>
    </row>
    <row r="10363">
      <c r="A10363" s="6">
        <v>10361.0</v>
      </c>
      <c r="B10363" s="17">
        <f t="array" ref="B10363">SUM(1-'Sparkling Model'!D$2:D$38^A10363)</f>
        <v>36.97944615</v>
      </c>
      <c r="C10363" s="8">
        <f t="array" ref="C10363">PRODUCT(1-'Sparkling Model'!D$2:D$38^A10363)</f>
        <v>0.9795955483</v>
      </c>
    </row>
    <row r="10364">
      <c r="A10364" s="6">
        <v>10362.0</v>
      </c>
      <c r="B10364" s="17">
        <f t="array" ref="B10364">SUM(1-'Sparkling Model'!D$2:D$38^A10364)</f>
        <v>36.97945644</v>
      </c>
      <c r="C10364" s="8">
        <f t="array" ref="C10364">PRODUCT(1-'Sparkling Model'!D$2:D$38^A10364)</f>
        <v>0.9796056857</v>
      </c>
    </row>
    <row r="10365">
      <c r="A10365" s="6">
        <v>10363.0</v>
      </c>
      <c r="B10365" s="17">
        <f t="array" ref="B10365">SUM(1-'Sparkling Model'!D$2:D$38^A10365)</f>
        <v>36.97946672</v>
      </c>
      <c r="C10365" s="8">
        <f t="array" ref="C10365">PRODUCT(1-'Sparkling Model'!D$2:D$38^A10365)</f>
        <v>0.979615818</v>
      </c>
    </row>
    <row r="10366">
      <c r="A10366" s="6">
        <v>10364.0</v>
      </c>
      <c r="B10366" s="17">
        <f t="array" ref="B10366">SUM(1-'Sparkling Model'!D$2:D$38^A10366)</f>
        <v>36.979477</v>
      </c>
      <c r="C10366" s="8">
        <f t="array" ref="C10366">PRODUCT(1-'Sparkling Model'!D$2:D$38^A10366)</f>
        <v>0.9796259453</v>
      </c>
    </row>
    <row r="10367">
      <c r="A10367" s="6">
        <v>10365.0</v>
      </c>
      <c r="B10367" s="17">
        <f t="array" ref="B10367">SUM(1-'Sparkling Model'!D$2:D$38^A10367)</f>
        <v>36.97948727</v>
      </c>
      <c r="C10367" s="8">
        <f t="array" ref="C10367">PRODUCT(1-'Sparkling Model'!D$2:D$38^A10367)</f>
        <v>0.9796360675</v>
      </c>
    </row>
    <row r="10368">
      <c r="A10368" s="6">
        <v>10366.0</v>
      </c>
      <c r="B10368" s="17">
        <f t="array" ref="B10368">SUM(1-'Sparkling Model'!D$2:D$38^A10368)</f>
        <v>36.97949754</v>
      </c>
      <c r="C10368" s="8">
        <f t="array" ref="C10368">PRODUCT(1-'Sparkling Model'!D$2:D$38^A10368)</f>
        <v>0.9796461847</v>
      </c>
    </row>
    <row r="10369">
      <c r="A10369" s="6">
        <v>10367.0</v>
      </c>
      <c r="B10369" s="17">
        <f t="array" ref="B10369">SUM(1-'Sparkling Model'!D$2:D$38^A10369)</f>
        <v>36.9795078</v>
      </c>
      <c r="C10369" s="8">
        <f t="array" ref="C10369">PRODUCT(1-'Sparkling Model'!D$2:D$38^A10369)</f>
        <v>0.9796562968</v>
      </c>
    </row>
    <row r="10370">
      <c r="A10370" s="6">
        <v>10368.0</v>
      </c>
      <c r="B10370" s="17">
        <f t="array" ref="B10370">SUM(1-'Sparkling Model'!D$2:D$38^A10370)</f>
        <v>36.97951806</v>
      </c>
      <c r="C10370" s="8">
        <f t="array" ref="C10370">PRODUCT(1-'Sparkling Model'!D$2:D$38^A10370)</f>
        <v>0.9796664039</v>
      </c>
    </row>
    <row r="10371">
      <c r="A10371" s="6">
        <v>10369.0</v>
      </c>
      <c r="B10371" s="17">
        <f t="array" ref="B10371">SUM(1-'Sparkling Model'!D$2:D$38^A10371)</f>
        <v>36.97952831</v>
      </c>
      <c r="C10371" s="8">
        <f t="array" ref="C10371">PRODUCT(1-'Sparkling Model'!D$2:D$38^A10371)</f>
        <v>0.979676506</v>
      </c>
    </row>
    <row r="10372">
      <c r="A10372" s="6">
        <v>10370.0</v>
      </c>
      <c r="B10372" s="17">
        <f t="array" ref="B10372">SUM(1-'Sparkling Model'!D$2:D$38^A10372)</f>
        <v>36.97953855</v>
      </c>
      <c r="C10372" s="8">
        <f t="array" ref="C10372">PRODUCT(1-'Sparkling Model'!D$2:D$38^A10372)</f>
        <v>0.979686603</v>
      </c>
    </row>
    <row r="10373">
      <c r="A10373" s="6">
        <v>10371.0</v>
      </c>
      <c r="B10373" s="17">
        <f t="array" ref="B10373">SUM(1-'Sparkling Model'!D$2:D$38^A10373)</f>
        <v>36.97954879</v>
      </c>
      <c r="C10373" s="8">
        <f t="array" ref="C10373">PRODUCT(1-'Sparkling Model'!D$2:D$38^A10373)</f>
        <v>0.9796966951</v>
      </c>
    </row>
    <row r="10374">
      <c r="A10374" s="6">
        <v>10372.0</v>
      </c>
      <c r="B10374" s="17">
        <f t="array" ref="B10374">SUM(1-'Sparkling Model'!D$2:D$38^A10374)</f>
        <v>36.97955903</v>
      </c>
      <c r="C10374" s="8">
        <f t="array" ref="C10374">PRODUCT(1-'Sparkling Model'!D$2:D$38^A10374)</f>
        <v>0.979706782</v>
      </c>
    </row>
    <row r="10375">
      <c r="A10375" s="6">
        <v>10373.0</v>
      </c>
      <c r="B10375" s="17">
        <f t="array" ref="B10375">SUM(1-'Sparkling Model'!D$2:D$38^A10375)</f>
        <v>36.97956926</v>
      </c>
      <c r="C10375" s="8">
        <f t="array" ref="C10375">PRODUCT(1-'Sparkling Model'!D$2:D$38^A10375)</f>
        <v>0.979716864</v>
      </c>
    </row>
    <row r="10376">
      <c r="A10376" s="6">
        <v>10374.0</v>
      </c>
      <c r="B10376" s="17">
        <f t="array" ref="B10376">SUM(1-'Sparkling Model'!D$2:D$38^A10376)</f>
        <v>36.97957949</v>
      </c>
      <c r="C10376" s="8">
        <f t="array" ref="C10376">PRODUCT(1-'Sparkling Model'!D$2:D$38^A10376)</f>
        <v>0.979726941</v>
      </c>
    </row>
    <row r="10377">
      <c r="A10377" s="6">
        <v>10375.0</v>
      </c>
      <c r="B10377" s="17">
        <f t="array" ref="B10377">SUM(1-'Sparkling Model'!D$2:D$38^A10377)</f>
        <v>36.97958971</v>
      </c>
      <c r="C10377" s="8">
        <f t="array" ref="C10377">PRODUCT(1-'Sparkling Model'!D$2:D$38^A10377)</f>
        <v>0.9797370129</v>
      </c>
    </row>
    <row r="10378">
      <c r="A10378" s="6">
        <v>10376.0</v>
      </c>
      <c r="B10378" s="17">
        <f t="array" ref="B10378">SUM(1-'Sparkling Model'!D$2:D$38^A10378)</f>
        <v>36.97959992</v>
      </c>
      <c r="C10378" s="8">
        <f t="array" ref="C10378">PRODUCT(1-'Sparkling Model'!D$2:D$38^A10378)</f>
        <v>0.9797470798</v>
      </c>
    </row>
    <row r="10379">
      <c r="A10379" s="6">
        <v>10377.0</v>
      </c>
      <c r="B10379" s="17">
        <f t="array" ref="B10379">SUM(1-'Sparkling Model'!D$2:D$38^A10379)</f>
        <v>36.97961013</v>
      </c>
      <c r="C10379" s="8">
        <f t="array" ref="C10379">PRODUCT(1-'Sparkling Model'!D$2:D$38^A10379)</f>
        <v>0.9797571417</v>
      </c>
    </row>
    <row r="10380">
      <c r="A10380" s="6">
        <v>10378.0</v>
      </c>
      <c r="B10380" s="17">
        <f t="array" ref="B10380">SUM(1-'Sparkling Model'!D$2:D$38^A10380)</f>
        <v>36.97962034</v>
      </c>
      <c r="C10380" s="8">
        <f t="array" ref="C10380">PRODUCT(1-'Sparkling Model'!D$2:D$38^A10380)</f>
        <v>0.9797671986</v>
      </c>
    </row>
    <row r="10381">
      <c r="A10381" s="6">
        <v>10379.0</v>
      </c>
      <c r="B10381" s="17">
        <f t="array" ref="B10381">SUM(1-'Sparkling Model'!D$2:D$38^A10381)</f>
        <v>36.97963054</v>
      </c>
      <c r="C10381" s="8">
        <f t="array" ref="C10381">PRODUCT(1-'Sparkling Model'!D$2:D$38^A10381)</f>
        <v>0.9797772505</v>
      </c>
    </row>
    <row r="10382">
      <c r="A10382" s="6">
        <v>10380.0</v>
      </c>
      <c r="B10382" s="17">
        <f t="array" ref="B10382">SUM(1-'Sparkling Model'!D$2:D$38^A10382)</f>
        <v>36.97964073</v>
      </c>
      <c r="C10382" s="8">
        <f t="array" ref="C10382">PRODUCT(1-'Sparkling Model'!D$2:D$38^A10382)</f>
        <v>0.9797872973</v>
      </c>
    </row>
    <row r="10383">
      <c r="A10383" s="6">
        <v>10381.0</v>
      </c>
      <c r="B10383" s="17">
        <f t="array" ref="B10383">SUM(1-'Sparkling Model'!D$2:D$38^A10383)</f>
        <v>36.97965092</v>
      </c>
      <c r="C10383" s="8">
        <f t="array" ref="C10383">PRODUCT(1-'Sparkling Model'!D$2:D$38^A10383)</f>
        <v>0.9797973392</v>
      </c>
    </row>
    <row r="10384">
      <c r="A10384" s="6">
        <v>10382.0</v>
      </c>
      <c r="B10384" s="17">
        <f t="array" ref="B10384">SUM(1-'Sparkling Model'!D$2:D$38^A10384)</f>
        <v>36.97966111</v>
      </c>
      <c r="C10384" s="8">
        <f t="array" ref="C10384">PRODUCT(1-'Sparkling Model'!D$2:D$38^A10384)</f>
        <v>0.9798073761</v>
      </c>
    </row>
    <row r="10385">
      <c r="A10385" s="6">
        <v>10383.0</v>
      </c>
      <c r="B10385" s="17">
        <f t="array" ref="B10385">SUM(1-'Sparkling Model'!D$2:D$38^A10385)</f>
        <v>36.97967129</v>
      </c>
      <c r="C10385" s="8">
        <f t="array" ref="C10385">PRODUCT(1-'Sparkling Model'!D$2:D$38^A10385)</f>
        <v>0.979817408</v>
      </c>
    </row>
    <row r="10386">
      <c r="A10386" s="6">
        <v>10384.0</v>
      </c>
      <c r="B10386" s="17">
        <f t="array" ref="B10386">SUM(1-'Sparkling Model'!D$2:D$38^A10386)</f>
        <v>36.97968146</v>
      </c>
      <c r="C10386" s="8">
        <f t="array" ref="C10386">PRODUCT(1-'Sparkling Model'!D$2:D$38^A10386)</f>
        <v>0.9798274348</v>
      </c>
    </row>
    <row r="10387">
      <c r="A10387" s="6">
        <v>10385.0</v>
      </c>
      <c r="B10387" s="17">
        <f t="array" ref="B10387">SUM(1-'Sparkling Model'!D$2:D$38^A10387)</f>
        <v>36.97969163</v>
      </c>
      <c r="C10387" s="8">
        <f t="array" ref="C10387">PRODUCT(1-'Sparkling Model'!D$2:D$38^A10387)</f>
        <v>0.9798374567</v>
      </c>
    </row>
    <row r="10388">
      <c r="A10388" s="6">
        <v>10386.0</v>
      </c>
      <c r="B10388" s="17">
        <f t="array" ref="B10388">SUM(1-'Sparkling Model'!D$2:D$38^A10388)</f>
        <v>36.97970179</v>
      </c>
      <c r="C10388" s="8">
        <f t="array" ref="C10388">PRODUCT(1-'Sparkling Model'!D$2:D$38^A10388)</f>
        <v>0.9798474736</v>
      </c>
    </row>
    <row r="10389">
      <c r="A10389" s="6">
        <v>10387.0</v>
      </c>
      <c r="B10389" s="17">
        <f t="array" ref="B10389">SUM(1-'Sparkling Model'!D$2:D$38^A10389)</f>
        <v>36.97971195</v>
      </c>
      <c r="C10389" s="8">
        <f t="array" ref="C10389">PRODUCT(1-'Sparkling Model'!D$2:D$38^A10389)</f>
        <v>0.9798574855</v>
      </c>
    </row>
    <row r="10390">
      <c r="A10390" s="6">
        <v>10388.0</v>
      </c>
      <c r="B10390" s="17">
        <f t="array" ref="B10390">SUM(1-'Sparkling Model'!D$2:D$38^A10390)</f>
        <v>36.9797221</v>
      </c>
      <c r="C10390" s="8">
        <f t="array" ref="C10390">PRODUCT(1-'Sparkling Model'!D$2:D$38^A10390)</f>
        <v>0.9798674924</v>
      </c>
    </row>
    <row r="10391">
      <c r="A10391" s="6">
        <v>10389.0</v>
      </c>
      <c r="B10391" s="17">
        <f t="array" ref="B10391">SUM(1-'Sparkling Model'!D$2:D$38^A10391)</f>
        <v>36.97973225</v>
      </c>
      <c r="C10391" s="8">
        <f t="array" ref="C10391">PRODUCT(1-'Sparkling Model'!D$2:D$38^A10391)</f>
        <v>0.9798774944</v>
      </c>
    </row>
    <row r="10392">
      <c r="A10392" s="6">
        <v>10390.0</v>
      </c>
      <c r="B10392" s="17">
        <f t="array" ref="B10392">SUM(1-'Sparkling Model'!D$2:D$38^A10392)</f>
        <v>36.9797424</v>
      </c>
      <c r="C10392" s="8">
        <f t="array" ref="C10392">PRODUCT(1-'Sparkling Model'!D$2:D$38^A10392)</f>
        <v>0.9798874913</v>
      </c>
    </row>
    <row r="10393">
      <c r="A10393" s="6">
        <v>10391.0</v>
      </c>
      <c r="B10393" s="17">
        <f t="array" ref="B10393">SUM(1-'Sparkling Model'!D$2:D$38^A10393)</f>
        <v>36.97975253</v>
      </c>
      <c r="C10393" s="8">
        <f t="array" ref="C10393">PRODUCT(1-'Sparkling Model'!D$2:D$38^A10393)</f>
        <v>0.9798974833</v>
      </c>
    </row>
    <row r="10394">
      <c r="A10394" s="6">
        <v>10392.0</v>
      </c>
      <c r="B10394" s="17">
        <f t="array" ref="B10394">SUM(1-'Sparkling Model'!D$2:D$38^A10394)</f>
        <v>36.97976267</v>
      </c>
      <c r="C10394" s="8">
        <f t="array" ref="C10394">PRODUCT(1-'Sparkling Model'!D$2:D$38^A10394)</f>
        <v>0.9799074703</v>
      </c>
    </row>
    <row r="10395">
      <c r="A10395" s="6">
        <v>10393.0</v>
      </c>
      <c r="B10395" s="17">
        <f t="array" ref="B10395">SUM(1-'Sparkling Model'!D$2:D$38^A10395)</f>
        <v>36.97977279</v>
      </c>
      <c r="C10395" s="8">
        <f t="array" ref="C10395">PRODUCT(1-'Sparkling Model'!D$2:D$38^A10395)</f>
        <v>0.9799174524</v>
      </c>
    </row>
    <row r="10396">
      <c r="A10396" s="6">
        <v>10394.0</v>
      </c>
      <c r="B10396" s="17">
        <f t="array" ref="B10396">SUM(1-'Sparkling Model'!D$2:D$38^A10396)</f>
        <v>36.97978292</v>
      </c>
      <c r="C10396" s="8">
        <f t="array" ref="C10396">PRODUCT(1-'Sparkling Model'!D$2:D$38^A10396)</f>
        <v>0.9799274294</v>
      </c>
    </row>
    <row r="10397">
      <c r="A10397" s="6">
        <v>10395.0</v>
      </c>
      <c r="B10397" s="17">
        <f t="array" ref="B10397">SUM(1-'Sparkling Model'!D$2:D$38^A10397)</f>
        <v>36.97979304</v>
      </c>
      <c r="C10397" s="8">
        <f t="array" ref="C10397">PRODUCT(1-'Sparkling Model'!D$2:D$38^A10397)</f>
        <v>0.9799374015</v>
      </c>
    </row>
    <row r="10398">
      <c r="A10398" s="6">
        <v>10396.0</v>
      </c>
      <c r="B10398" s="17">
        <f t="array" ref="B10398">SUM(1-'Sparkling Model'!D$2:D$38^A10398)</f>
        <v>36.97980315</v>
      </c>
      <c r="C10398" s="8">
        <f t="array" ref="C10398">PRODUCT(1-'Sparkling Model'!D$2:D$38^A10398)</f>
        <v>0.9799473686</v>
      </c>
    </row>
    <row r="10399">
      <c r="A10399" s="6">
        <v>10397.0</v>
      </c>
      <c r="B10399" s="17">
        <f t="array" ref="B10399">SUM(1-'Sparkling Model'!D$2:D$38^A10399)</f>
        <v>36.97981326</v>
      </c>
      <c r="C10399" s="8">
        <f t="array" ref="C10399">PRODUCT(1-'Sparkling Model'!D$2:D$38^A10399)</f>
        <v>0.9799573308</v>
      </c>
    </row>
    <row r="10400">
      <c r="A10400" s="6">
        <v>10398.0</v>
      </c>
      <c r="B10400" s="17">
        <f t="array" ref="B10400">SUM(1-'Sparkling Model'!D$2:D$38^A10400)</f>
        <v>36.97982336</v>
      </c>
      <c r="C10400" s="8">
        <f t="array" ref="C10400">PRODUCT(1-'Sparkling Model'!D$2:D$38^A10400)</f>
        <v>0.979967288</v>
      </c>
    </row>
    <row r="10401">
      <c r="A10401" s="6">
        <v>10399.0</v>
      </c>
      <c r="B10401" s="17">
        <f t="array" ref="B10401">SUM(1-'Sparkling Model'!D$2:D$38^A10401)</f>
        <v>36.97983345</v>
      </c>
      <c r="C10401" s="8">
        <f t="array" ref="C10401">PRODUCT(1-'Sparkling Model'!D$2:D$38^A10401)</f>
        <v>0.9799772402</v>
      </c>
    </row>
    <row r="10402">
      <c r="A10402" s="6">
        <v>10400.0</v>
      </c>
      <c r="B10402" s="17">
        <f t="array" ref="B10402">SUM(1-'Sparkling Model'!D$2:D$38^A10402)</f>
        <v>36.97984355</v>
      </c>
      <c r="C10402" s="8">
        <f t="array" ref="C10402">PRODUCT(1-'Sparkling Model'!D$2:D$38^A10402)</f>
        <v>0.9799871875</v>
      </c>
    </row>
    <row r="10403">
      <c r="A10403" s="6">
        <v>10401.0</v>
      </c>
      <c r="B10403" s="17">
        <f t="array" ref="B10403">SUM(1-'Sparkling Model'!D$2:D$38^A10403)</f>
        <v>36.97985363</v>
      </c>
      <c r="C10403" s="8">
        <f t="array" ref="C10403">PRODUCT(1-'Sparkling Model'!D$2:D$38^A10403)</f>
        <v>0.9799971299</v>
      </c>
    </row>
    <row r="10404">
      <c r="A10404" s="6">
        <v>10402.0</v>
      </c>
      <c r="B10404" s="17">
        <f t="array" ref="B10404">SUM(1-'Sparkling Model'!D$2:D$38^A10404)</f>
        <v>36.97986372</v>
      </c>
      <c r="C10404" s="8">
        <f t="array" ref="C10404">PRODUCT(1-'Sparkling Model'!D$2:D$38^A10404)</f>
        <v>0.9800070672</v>
      </c>
    </row>
    <row r="10405">
      <c r="A10405" s="6">
        <v>10403.0</v>
      </c>
      <c r="B10405" s="17">
        <f t="array" ref="B10405">SUM(1-'Sparkling Model'!D$2:D$38^A10405)</f>
        <v>36.97987379</v>
      </c>
      <c r="C10405" s="8">
        <f t="array" ref="C10405">PRODUCT(1-'Sparkling Model'!D$2:D$38^A10405)</f>
        <v>0.9800169997</v>
      </c>
    </row>
    <row r="10406">
      <c r="A10406" s="6">
        <v>10404.0</v>
      </c>
      <c r="B10406" s="17">
        <f t="array" ref="B10406">SUM(1-'Sparkling Model'!D$2:D$38^A10406)</f>
        <v>36.97988386</v>
      </c>
      <c r="C10406" s="8">
        <f t="array" ref="C10406">PRODUCT(1-'Sparkling Model'!D$2:D$38^A10406)</f>
        <v>0.9800269272</v>
      </c>
    </row>
    <row r="10407">
      <c r="A10407" s="6">
        <v>10405.0</v>
      </c>
      <c r="B10407" s="17">
        <f t="array" ref="B10407">SUM(1-'Sparkling Model'!D$2:D$38^A10407)</f>
        <v>36.97989393</v>
      </c>
      <c r="C10407" s="8">
        <f t="array" ref="C10407">PRODUCT(1-'Sparkling Model'!D$2:D$38^A10407)</f>
        <v>0.9800368497</v>
      </c>
    </row>
    <row r="10408">
      <c r="A10408" s="6">
        <v>10406.0</v>
      </c>
      <c r="B10408" s="17">
        <f t="array" ref="B10408">SUM(1-'Sparkling Model'!D$2:D$38^A10408)</f>
        <v>36.97990399</v>
      </c>
      <c r="C10408" s="8">
        <f t="array" ref="C10408">PRODUCT(1-'Sparkling Model'!D$2:D$38^A10408)</f>
        <v>0.9800467673</v>
      </c>
    </row>
    <row r="10409">
      <c r="A10409" s="6">
        <v>10407.0</v>
      </c>
      <c r="B10409" s="17">
        <f t="array" ref="B10409">SUM(1-'Sparkling Model'!D$2:D$38^A10409)</f>
        <v>36.97991405</v>
      </c>
      <c r="C10409" s="8">
        <f t="array" ref="C10409">PRODUCT(1-'Sparkling Model'!D$2:D$38^A10409)</f>
        <v>0.98005668</v>
      </c>
    </row>
    <row r="10410">
      <c r="A10410" s="6">
        <v>10408.0</v>
      </c>
      <c r="B10410" s="17">
        <f t="array" ref="B10410">SUM(1-'Sparkling Model'!D$2:D$38^A10410)</f>
        <v>36.9799241</v>
      </c>
      <c r="C10410" s="8">
        <f t="array" ref="C10410">PRODUCT(1-'Sparkling Model'!D$2:D$38^A10410)</f>
        <v>0.9800665877</v>
      </c>
    </row>
    <row r="10411">
      <c r="A10411" s="6">
        <v>10409.0</v>
      </c>
      <c r="B10411" s="17">
        <f t="array" ref="B10411">SUM(1-'Sparkling Model'!D$2:D$38^A10411)</f>
        <v>36.97993415</v>
      </c>
      <c r="C10411" s="8">
        <f t="array" ref="C10411">PRODUCT(1-'Sparkling Model'!D$2:D$38^A10411)</f>
        <v>0.9800764905</v>
      </c>
    </row>
    <row r="10412">
      <c r="A10412" s="6">
        <v>10410.0</v>
      </c>
      <c r="B10412" s="17">
        <f t="array" ref="B10412">SUM(1-'Sparkling Model'!D$2:D$38^A10412)</f>
        <v>36.97994419</v>
      </c>
      <c r="C10412" s="8">
        <f t="array" ref="C10412">PRODUCT(1-'Sparkling Model'!D$2:D$38^A10412)</f>
        <v>0.9800863884</v>
      </c>
    </row>
    <row r="10413">
      <c r="A10413" s="6">
        <v>10411.0</v>
      </c>
      <c r="B10413" s="17">
        <f t="array" ref="B10413">SUM(1-'Sparkling Model'!D$2:D$38^A10413)</f>
        <v>36.97995422</v>
      </c>
      <c r="C10413" s="8">
        <f t="array" ref="C10413">PRODUCT(1-'Sparkling Model'!D$2:D$38^A10413)</f>
        <v>0.9800962813</v>
      </c>
    </row>
    <row r="10414">
      <c r="A10414" s="6">
        <v>10412.0</v>
      </c>
      <c r="B10414" s="17">
        <f t="array" ref="B10414">SUM(1-'Sparkling Model'!D$2:D$38^A10414)</f>
        <v>36.97996425</v>
      </c>
      <c r="C10414" s="8">
        <f t="array" ref="C10414">PRODUCT(1-'Sparkling Model'!D$2:D$38^A10414)</f>
        <v>0.9801061693</v>
      </c>
    </row>
    <row r="10415">
      <c r="A10415" s="6">
        <v>10413.0</v>
      </c>
      <c r="B10415" s="17">
        <f t="array" ref="B10415">SUM(1-'Sparkling Model'!D$2:D$38^A10415)</f>
        <v>36.97997428</v>
      </c>
      <c r="C10415" s="8">
        <f t="array" ref="C10415">PRODUCT(1-'Sparkling Model'!D$2:D$38^A10415)</f>
        <v>0.9801160524</v>
      </c>
    </row>
    <row r="10416">
      <c r="A10416" s="6">
        <v>10414.0</v>
      </c>
      <c r="B10416" s="17">
        <f t="array" ref="B10416">SUM(1-'Sparkling Model'!D$2:D$38^A10416)</f>
        <v>36.9799843</v>
      </c>
      <c r="C10416" s="8">
        <f t="array" ref="C10416">PRODUCT(1-'Sparkling Model'!D$2:D$38^A10416)</f>
        <v>0.9801259306</v>
      </c>
    </row>
    <row r="10417">
      <c r="A10417" s="6">
        <v>10415.0</v>
      </c>
      <c r="B10417" s="17">
        <f t="array" ref="B10417">SUM(1-'Sparkling Model'!D$2:D$38^A10417)</f>
        <v>36.97999432</v>
      </c>
      <c r="C10417" s="8">
        <f t="array" ref="C10417">PRODUCT(1-'Sparkling Model'!D$2:D$38^A10417)</f>
        <v>0.9801358038</v>
      </c>
    </row>
    <row r="10418">
      <c r="A10418" s="6">
        <v>10416.0</v>
      </c>
      <c r="B10418" s="17">
        <f t="array" ref="B10418">SUM(1-'Sparkling Model'!D$2:D$38^A10418)</f>
        <v>36.98000433</v>
      </c>
      <c r="C10418" s="8">
        <f t="array" ref="C10418">PRODUCT(1-'Sparkling Model'!D$2:D$38^A10418)</f>
        <v>0.9801456721</v>
      </c>
    </row>
    <row r="10419">
      <c r="A10419" s="6">
        <v>10417.0</v>
      </c>
      <c r="B10419" s="17">
        <f t="array" ref="B10419">SUM(1-'Sparkling Model'!D$2:D$38^A10419)</f>
        <v>36.98001433</v>
      </c>
      <c r="C10419" s="8">
        <f t="array" ref="C10419">PRODUCT(1-'Sparkling Model'!D$2:D$38^A10419)</f>
        <v>0.9801555355</v>
      </c>
    </row>
    <row r="10420">
      <c r="A10420" s="6">
        <v>10418.0</v>
      </c>
      <c r="B10420" s="17">
        <f t="array" ref="B10420">SUM(1-'Sparkling Model'!D$2:D$38^A10420)</f>
        <v>36.98002433</v>
      </c>
      <c r="C10420" s="8">
        <f t="array" ref="C10420">PRODUCT(1-'Sparkling Model'!D$2:D$38^A10420)</f>
        <v>0.9801653941</v>
      </c>
    </row>
    <row r="10421">
      <c r="A10421" s="6">
        <v>10419.0</v>
      </c>
      <c r="B10421" s="17">
        <f t="array" ref="B10421">SUM(1-'Sparkling Model'!D$2:D$38^A10421)</f>
        <v>36.98003433</v>
      </c>
      <c r="C10421" s="8">
        <f t="array" ref="C10421">PRODUCT(1-'Sparkling Model'!D$2:D$38^A10421)</f>
        <v>0.9801752476</v>
      </c>
    </row>
    <row r="10422">
      <c r="A10422" s="6">
        <v>10420.0</v>
      </c>
      <c r="B10422" s="17">
        <f t="array" ref="B10422">SUM(1-'Sparkling Model'!D$2:D$38^A10422)</f>
        <v>36.98004432</v>
      </c>
      <c r="C10422" s="8">
        <f t="array" ref="C10422">PRODUCT(1-'Sparkling Model'!D$2:D$38^A10422)</f>
        <v>0.9801850963</v>
      </c>
    </row>
    <row r="10423">
      <c r="A10423" s="6">
        <v>10421.0</v>
      </c>
      <c r="B10423" s="17">
        <f t="array" ref="B10423">SUM(1-'Sparkling Model'!D$2:D$38^A10423)</f>
        <v>36.98005431</v>
      </c>
      <c r="C10423" s="8">
        <f t="array" ref="C10423">PRODUCT(1-'Sparkling Model'!D$2:D$38^A10423)</f>
        <v>0.9801949401</v>
      </c>
    </row>
    <row r="10424">
      <c r="A10424" s="6">
        <v>10422.0</v>
      </c>
      <c r="B10424" s="17">
        <f t="array" ref="B10424">SUM(1-'Sparkling Model'!D$2:D$38^A10424)</f>
        <v>36.98006429</v>
      </c>
      <c r="C10424" s="8">
        <f t="array" ref="C10424">PRODUCT(1-'Sparkling Model'!D$2:D$38^A10424)</f>
        <v>0.980204779</v>
      </c>
    </row>
    <row r="10425">
      <c r="A10425" s="6">
        <v>10423.0</v>
      </c>
      <c r="B10425" s="17">
        <f t="array" ref="B10425">SUM(1-'Sparkling Model'!D$2:D$38^A10425)</f>
        <v>36.98007426</v>
      </c>
      <c r="C10425" s="8">
        <f t="array" ref="C10425">PRODUCT(1-'Sparkling Model'!D$2:D$38^A10425)</f>
        <v>0.980214613</v>
      </c>
    </row>
    <row r="10426">
      <c r="A10426" s="6">
        <v>10424.0</v>
      </c>
      <c r="B10426" s="17">
        <f t="array" ref="B10426">SUM(1-'Sparkling Model'!D$2:D$38^A10426)</f>
        <v>36.98008423</v>
      </c>
      <c r="C10426" s="8">
        <f t="array" ref="C10426">PRODUCT(1-'Sparkling Model'!D$2:D$38^A10426)</f>
        <v>0.9802244421</v>
      </c>
    </row>
    <row r="10427">
      <c r="A10427" s="6">
        <v>10425.0</v>
      </c>
      <c r="B10427" s="17">
        <f t="array" ref="B10427">SUM(1-'Sparkling Model'!D$2:D$38^A10427)</f>
        <v>36.9800942</v>
      </c>
      <c r="C10427" s="8">
        <f t="array" ref="C10427">PRODUCT(1-'Sparkling Model'!D$2:D$38^A10427)</f>
        <v>0.9802342662</v>
      </c>
    </row>
    <row r="10428">
      <c r="A10428" s="6">
        <v>10426.0</v>
      </c>
      <c r="B10428" s="17">
        <f t="array" ref="B10428">SUM(1-'Sparkling Model'!D$2:D$38^A10428)</f>
        <v>36.98010416</v>
      </c>
      <c r="C10428" s="8">
        <f t="array" ref="C10428">PRODUCT(1-'Sparkling Model'!D$2:D$38^A10428)</f>
        <v>0.9802440855</v>
      </c>
    </row>
    <row r="10429">
      <c r="A10429" s="6">
        <v>10427.0</v>
      </c>
      <c r="B10429" s="17">
        <f t="array" ref="B10429">SUM(1-'Sparkling Model'!D$2:D$38^A10429)</f>
        <v>36.98011411</v>
      </c>
      <c r="C10429" s="8">
        <f t="array" ref="C10429">PRODUCT(1-'Sparkling Model'!D$2:D$38^A10429)</f>
        <v>0.9802539</v>
      </c>
    </row>
    <row r="10430">
      <c r="A10430" s="6">
        <v>10428.0</v>
      </c>
      <c r="B10430" s="17">
        <f t="array" ref="B10430">SUM(1-'Sparkling Model'!D$2:D$38^A10430)</f>
        <v>36.98012406</v>
      </c>
      <c r="C10430" s="8">
        <f t="array" ref="C10430">PRODUCT(1-'Sparkling Model'!D$2:D$38^A10430)</f>
        <v>0.9802637095</v>
      </c>
    </row>
    <row r="10431">
      <c r="A10431" s="6">
        <v>10429.0</v>
      </c>
      <c r="B10431" s="17">
        <f t="array" ref="B10431">SUM(1-'Sparkling Model'!D$2:D$38^A10431)</f>
        <v>36.98013401</v>
      </c>
      <c r="C10431" s="8">
        <f t="array" ref="C10431">PRODUCT(1-'Sparkling Model'!D$2:D$38^A10431)</f>
        <v>0.9802735141</v>
      </c>
    </row>
    <row r="10432">
      <c r="A10432" s="6">
        <v>10430.0</v>
      </c>
      <c r="B10432" s="17">
        <f t="array" ref="B10432">SUM(1-'Sparkling Model'!D$2:D$38^A10432)</f>
        <v>36.98014395</v>
      </c>
      <c r="C10432" s="8">
        <f t="array" ref="C10432">PRODUCT(1-'Sparkling Model'!D$2:D$38^A10432)</f>
        <v>0.9802833139</v>
      </c>
    </row>
    <row r="10433">
      <c r="A10433" s="6">
        <v>10431.0</v>
      </c>
      <c r="B10433" s="17">
        <f t="array" ref="B10433">SUM(1-'Sparkling Model'!D$2:D$38^A10433)</f>
        <v>36.98015389</v>
      </c>
      <c r="C10433" s="8">
        <f t="array" ref="C10433">PRODUCT(1-'Sparkling Model'!D$2:D$38^A10433)</f>
        <v>0.9802931087</v>
      </c>
    </row>
    <row r="10434">
      <c r="A10434" s="6">
        <v>10432.0</v>
      </c>
      <c r="B10434" s="17">
        <f t="array" ref="B10434">SUM(1-'Sparkling Model'!D$2:D$38^A10434)</f>
        <v>36.98016382</v>
      </c>
      <c r="C10434" s="8">
        <f t="array" ref="C10434">PRODUCT(1-'Sparkling Model'!D$2:D$38^A10434)</f>
        <v>0.9803028987</v>
      </c>
    </row>
    <row r="10435">
      <c r="A10435" s="6">
        <v>10433.0</v>
      </c>
      <c r="B10435" s="17">
        <f t="array" ref="B10435">SUM(1-'Sparkling Model'!D$2:D$38^A10435)</f>
        <v>36.98017374</v>
      </c>
      <c r="C10435" s="8">
        <f t="array" ref="C10435">PRODUCT(1-'Sparkling Model'!D$2:D$38^A10435)</f>
        <v>0.9803126839</v>
      </c>
    </row>
    <row r="10436">
      <c r="A10436" s="6">
        <v>10434.0</v>
      </c>
      <c r="B10436" s="17">
        <f t="array" ref="B10436">SUM(1-'Sparkling Model'!D$2:D$38^A10436)</f>
        <v>36.98018366</v>
      </c>
      <c r="C10436" s="8">
        <f t="array" ref="C10436">PRODUCT(1-'Sparkling Model'!D$2:D$38^A10436)</f>
        <v>0.9803224641</v>
      </c>
    </row>
    <row r="10437">
      <c r="A10437" s="6">
        <v>10435.0</v>
      </c>
      <c r="B10437" s="17">
        <f t="array" ref="B10437">SUM(1-'Sparkling Model'!D$2:D$38^A10437)</f>
        <v>36.98019358</v>
      </c>
      <c r="C10437" s="8">
        <f t="array" ref="C10437">PRODUCT(1-'Sparkling Model'!D$2:D$38^A10437)</f>
        <v>0.9803322395</v>
      </c>
    </row>
    <row r="10438">
      <c r="A10438" s="6">
        <v>10436.0</v>
      </c>
      <c r="B10438" s="17">
        <f t="array" ref="B10438">SUM(1-'Sparkling Model'!D$2:D$38^A10438)</f>
        <v>36.98020349</v>
      </c>
      <c r="C10438" s="8">
        <f t="array" ref="C10438">PRODUCT(1-'Sparkling Model'!D$2:D$38^A10438)</f>
        <v>0.98034201</v>
      </c>
    </row>
    <row r="10439">
      <c r="A10439" s="6">
        <v>10437.0</v>
      </c>
      <c r="B10439" s="17">
        <f t="array" ref="B10439">SUM(1-'Sparkling Model'!D$2:D$38^A10439)</f>
        <v>36.98021339</v>
      </c>
      <c r="C10439" s="8">
        <f t="array" ref="C10439">PRODUCT(1-'Sparkling Model'!D$2:D$38^A10439)</f>
        <v>0.9803517756</v>
      </c>
    </row>
    <row r="10440">
      <c r="A10440" s="6">
        <v>10438.0</v>
      </c>
      <c r="B10440" s="17">
        <f t="array" ref="B10440">SUM(1-'Sparkling Model'!D$2:D$38^A10440)</f>
        <v>36.98022329</v>
      </c>
      <c r="C10440" s="8">
        <f t="array" ref="C10440">PRODUCT(1-'Sparkling Model'!D$2:D$38^A10440)</f>
        <v>0.9803615364</v>
      </c>
    </row>
    <row r="10441">
      <c r="A10441" s="6">
        <v>10439.0</v>
      </c>
      <c r="B10441" s="17">
        <f t="array" ref="B10441">SUM(1-'Sparkling Model'!D$2:D$38^A10441)</f>
        <v>36.98023319</v>
      </c>
      <c r="C10441" s="8">
        <f t="array" ref="C10441">PRODUCT(1-'Sparkling Model'!D$2:D$38^A10441)</f>
        <v>0.9803712923</v>
      </c>
    </row>
    <row r="10442">
      <c r="A10442" s="6">
        <v>10440.0</v>
      </c>
      <c r="B10442" s="17">
        <f t="array" ref="B10442">SUM(1-'Sparkling Model'!D$2:D$38^A10442)</f>
        <v>36.98024308</v>
      </c>
      <c r="C10442" s="8">
        <f t="array" ref="C10442">PRODUCT(1-'Sparkling Model'!D$2:D$38^A10442)</f>
        <v>0.9803810434</v>
      </c>
    </row>
    <row r="10443">
      <c r="A10443" s="6">
        <v>10441.0</v>
      </c>
      <c r="B10443" s="17">
        <f t="array" ref="B10443">SUM(1-'Sparkling Model'!D$2:D$38^A10443)</f>
        <v>36.98025296</v>
      </c>
      <c r="C10443" s="8">
        <f t="array" ref="C10443">PRODUCT(1-'Sparkling Model'!D$2:D$38^A10443)</f>
        <v>0.9803907896</v>
      </c>
    </row>
    <row r="10444">
      <c r="A10444" s="6">
        <v>10442.0</v>
      </c>
      <c r="B10444" s="17">
        <f t="array" ref="B10444">SUM(1-'Sparkling Model'!D$2:D$38^A10444)</f>
        <v>36.98026284</v>
      </c>
      <c r="C10444" s="8">
        <f t="array" ref="C10444">PRODUCT(1-'Sparkling Model'!D$2:D$38^A10444)</f>
        <v>0.980400531</v>
      </c>
    </row>
    <row r="10445">
      <c r="A10445" s="6">
        <v>10443.0</v>
      </c>
      <c r="B10445" s="17">
        <f t="array" ref="B10445">SUM(1-'Sparkling Model'!D$2:D$38^A10445)</f>
        <v>36.98027272</v>
      </c>
      <c r="C10445" s="8">
        <f t="array" ref="C10445">PRODUCT(1-'Sparkling Model'!D$2:D$38^A10445)</f>
        <v>0.9804102675</v>
      </c>
    </row>
    <row r="10446">
      <c r="A10446" s="6">
        <v>10444.0</v>
      </c>
      <c r="B10446" s="17">
        <f t="array" ref="B10446">SUM(1-'Sparkling Model'!D$2:D$38^A10446)</f>
        <v>36.98028259</v>
      </c>
      <c r="C10446" s="8">
        <f t="array" ref="C10446">PRODUCT(1-'Sparkling Model'!D$2:D$38^A10446)</f>
        <v>0.9804199991</v>
      </c>
    </row>
    <row r="10447">
      <c r="A10447" s="6">
        <v>10445.0</v>
      </c>
      <c r="B10447" s="17">
        <f t="array" ref="B10447">SUM(1-'Sparkling Model'!D$2:D$38^A10447)</f>
        <v>36.98029245</v>
      </c>
      <c r="C10447" s="8">
        <f t="array" ref="C10447">PRODUCT(1-'Sparkling Model'!D$2:D$38^A10447)</f>
        <v>0.9804297259</v>
      </c>
    </row>
    <row r="10448">
      <c r="A10448" s="6">
        <v>10446.0</v>
      </c>
      <c r="B10448" s="17">
        <f t="array" ref="B10448">SUM(1-'Sparkling Model'!D$2:D$38^A10448)</f>
        <v>36.98030231</v>
      </c>
      <c r="C10448" s="8">
        <f t="array" ref="C10448">PRODUCT(1-'Sparkling Model'!D$2:D$38^A10448)</f>
        <v>0.9804394479</v>
      </c>
    </row>
    <row r="10449">
      <c r="A10449" s="6">
        <v>10447.0</v>
      </c>
      <c r="B10449" s="17">
        <f t="array" ref="B10449">SUM(1-'Sparkling Model'!D$2:D$38^A10449)</f>
        <v>36.98031217</v>
      </c>
      <c r="C10449" s="8">
        <f t="array" ref="C10449">PRODUCT(1-'Sparkling Model'!D$2:D$38^A10449)</f>
        <v>0.980449165</v>
      </c>
    </row>
    <row r="10450">
      <c r="A10450" s="6">
        <v>10448.0</v>
      </c>
      <c r="B10450" s="17">
        <f t="array" ref="B10450">SUM(1-'Sparkling Model'!D$2:D$38^A10450)</f>
        <v>36.98032202</v>
      </c>
      <c r="C10450" s="8">
        <f t="array" ref="C10450">PRODUCT(1-'Sparkling Model'!D$2:D$38^A10450)</f>
        <v>0.9804588773</v>
      </c>
    </row>
    <row r="10451">
      <c r="A10451" s="6">
        <v>10449.0</v>
      </c>
      <c r="B10451" s="17">
        <f t="array" ref="B10451">SUM(1-'Sparkling Model'!D$2:D$38^A10451)</f>
        <v>36.98033186</v>
      </c>
      <c r="C10451" s="8">
        <f t="array" ref="C10451">PRODUCT(1-'Sparkling Model'!D$2:D$38^A10451)</f>
        <v>0.9804685848</v>
      </c>
    </row>
    <row r="10452">
      <c r="A10452" s="6">
        <v>10450.0</v>
      </c>
      <c r="B10452" s="17">
        <f t="array" ref="B10452">SUM(1-'Sparkling Model'!D$2:D$38^A10452)</f>
        <v>36.9803417</v>
      </c>
      <c r="C10452" s="8">
        <f t="array" ref="C10452">PRODUCT(1-'Sparkling Model'!D$2:D$38^A10452)</f>
        <v>0.9804782874</v>
      </c>
    </row>
    <row r="10453">
      <c r="A10453" s="6">
        <v>10451.0</v>
      </c>
      <c r="B10453" s="17">
        <f t="array" ref="B10453">SUM(1-'Sparkling Model'!D$2:D$38^A10453)</f>
        <v>36.98035154</v>
      </c>
      <c r="C10453" s="8">
        <f t="array" ref="C10453">PRODUCT(1-'Sparkling Model'!D$2:D$38^A10453)</f>
        <v>0.9804879852</v>
      </c>
    </row>
    <row r="10454">
      <c r="A10454" s="6">
        <v>10452.0</v>
      </c>
      <c r="B10454" s="17">
        <f t="array" ref="B10454">SUM(1-'Sparkling Model'!D$2:D$38^A10454)</f>
        <v>36.98036137</v>
      </c>
      <c r="C10454" s="8">
        <f t="array" ref="C10454">PRODUCT(1-'Sparkling Model'!D$2:D$38^A10454)</f>
        <v>0.9804976781</v>
      </c>
    </row>
    <row r="10455">
      <c r="A10455" s="6">
        <v>10453.0</v>
      </c>
      <c r="B10455" s="17">
        <f t="array" ref="B10455">SUM(1-'Sparkling Model'!D$2:D$38^A10455)</f>
        <v>36.98037119</v>
      </c>
      <c r="C10455" s="8">
        <f t="array" ref="C10455">PRODUCT(1-'Sparkling Model'!D$2:D$38^A10455)</f>
        <v>0.9805073663</v>
      </c>
    </row>
    <row r="10456">
      <c r="A10456" s="6">
        <v>10454.0</v>
      </c>
      <c r="B10456" s="17">
        <f t="array" ref="B10456">SUM(1-'Sparkling Model'!D$2:D$38^A10456)</f>
        <v>36.98038101</v>
      </c>
      <c r="C10456" s="8">
        <f t="array" ref="C10456">PRODUCT(1-'Sparkling Model'!D$2:D$38^A10456)</f>
        <v>0.9805170496</v>
      </c>
    </row>
    <row r="10457">
      <c r="A10457" s="6">
        <v>10455.0</v>
      </c>
      <c r="B10457" s="17">
        <f t="array" ref="B10457">SUM(1-'Sparkling Model'!D$2:D$38^A10457)</f>
        <v>36.98039083</v>
      </c>
      <c r="C10457" s="8">
        <f t="array" ref="C10457">PRODUCT(1-'Sparkling Model'!D$2:D$38^A10457)</f>
        <v>0.980526728</v>
      </c>
    </row>
    <row r="10458">
      <c r="A10458" s="6">
        <v>10456.0</v>
      </c>
      <c r="B10458" s="17">
        <f t="array" ref="B10458">SUM(1-'Sparkling Model'!D$2:D$38^A10458)</f>
        <v>36.98040064</v>
      </c>
      <c r="C10458" s="8">
        <f t="array" ref="C10458">PRODUCT(1-'Sparkling Model'!D$2:D$38^A10458)</f>
        <v>0.9805364017</v>
      </c>
    </row>
    <row r="10459">
      <c r="A10459" s="6">
        <v>10457.0</v>
      </c>
      <c r="B10459" s="17">
        <f t="array" ref="B10459">SUM(1-'Sparkling Model'!D$2:D$38^A10459)</f>
        <v>36.98041045</v>
      </c>
      <c r="C10459" s="8">
        <f t="array" ref="C10459">PRODUCT(1-'Sparkling Model'!D$2:D$38^A10459)</f>
        <v>0.9805460706</v>
      </c>
    </row>
    <row r="10460">
      <c r="A10460" s="6">
        <v>10458.0</v>
      </c>
      <c r="B10460" s="17">
        <f t="array" ref="B10460">SUM(1-'Sparkling Model'!D$2:D$38^A10460)</f>
        <v>36.98042025</v>
      </c>
      <c r="C10460" s="8">
        <f t="array" ref="C10460">PRODUCT(1-'Sparkling Model'!D$2:D$38^A10460)</f>
        <v>0.9805557346</v>
      </c>
    </row>
    <row r="10461">
      <c r="A10461" s="6">
        <v>10459.0</v>
      </c>
      <c r="B10461" s="17">
        <f t="array" ref="B10461">SUM(1-'Sparkling Model'!D$2:D$38^A10461)</f>
        <v>36.98043004</v>
      </c>
      <c r="C10461" s="8">
        <f t="array" ref="C10461">PRODUCT(1-'Sparkling Model'!D$2:D$38^A10461)</f>
        <v>0.9805653938</v>
      </c>
    </row>
    <row r="10462">
      <c r="A10462" s="6">
        <v>10460.0</v>
      </c>
      <c r="B10462" s="17">
        <f t="array" ref="B10462">SUM(1-'Sparkling Model'!D$2:D$38^A10462)</f>
        <v>36.98043983</v>
      </c>
      <c r="C10462" s="8">
        <f t="array" ref="C10462">PRODUCT(1-'Sparkling Model'!D$2:D$38^A10462)</f>
        <v>0.9805750482</v>
      </c>
    </row>
    <row r="10463">
      <c r="A10463" s="6">
        <v>10461.0</v>
      </c>
      <c r="B10463" s="17">
        <f t="array" ref="B10463">SUM(1-'Sparkling Model'!D$2:D$38^A10463)</f>
        <v>36.98044962</v>
      </c>
      <c r="C10463" s="8">
        <f t="array" ref="C10463">PRODUCT(1-'Sparkling Model'!D$2:D$38^A10463)</f>
        <v>0.9805846978</v>
      </c>
    </row>
    <row r="10464">
      <c r="A10464" s="6">
        <v>10462.0</v>
      </c>
      <c r="B10464" s="17">
        <f t="array" ref="B10464">SUM(1-'Sparkling Model'!D$2:D$38^A10464)</f>
        <v>36.9804594</v>
      </c>
      <c r="C10464" s="8">
        <f t="array" ref="C10464">PRODUCT(1-'Sparkling Model'!D$2:D$38^A10464)</f>
        <v>0.9805943426</v>
      </c>
    </row>
    <row r="10465">
      <c r="A10465" s="6">
        <v>10463.0</v>
      </c>
      <c r="B10465" s="17">
        <f t="array" ref="B10465">SUM(1-'Sparkling Model'!D$2:D$38^A10465)</f>
        <v>36.98046918</v>
      </c>
      <c r="C10465" s="8">
        <f t="array" ref="C10465">PRODUCT(1-'Sparkling Model'!D$2:D$38^A10465)</f>
        <v>0.9806039826</v>
      </c>
    </row>
    <row r="10466">
      <c r="A10466" s="6">
        <v>10464.0</v>
      </c>
      <c r="B10466" s="17">
        <f t="array" ref="B10466">SUM(1-'Sparkling Model'!D$2:D$38^A10466)</f>
        <v>36.98047895</v>
      </c>
      <c r="C10466" s="8">
        <f t="array" ref="C10466">PRODUCT(1-'Sparkling Model'!D$2:D$38^A10466)</f>
        <v>0.9806136178</v>
      </c>
    </row>
    <row r="10467">
      <c r="A10467" s="6">
        <v>10465.0</v>
      </c>
      <c r="B10467" s="17">
        <f t="array" ref="B10467">SUM(1-'Sparkling Model'!D$2:D$38^A10467)</f>
        <v>36.98048871</v>
      </c>
      <c r="C10467" s="8">
        <f t="array" ref="C10467">PRODUCT(1-'Sparkling Model'!D$2:D$38^A10467)</f>
        <v>0.9806232482</v>
      </c>
    </row>
    <row r="10468">
      <c r="A10468" s="6">
        <v>10466.0</v>
      </c>
      <c r="B10468" s="17">
        <f t="array" ref="B10468">SUM(1-'Sparkling Model'!D$2:D$38^A10468)</f>
        <v>36.98049847</v>
      </c>
      <c r="C10468" s="8">
        <f t="array" ref="C10468">PRODUCT(1-'Sparkling Model'!D$2:D$38^A10468)</f>
        <v>0.9806328738</v>
      </c>
    </row>
    <row r="10469">
      <c r="A10469" s="6">
        <v>10467.0</v>
      </c>
      <c r="B10469" s="17">
        <f t="array" ref="B10469">SUM(1-'Sparkling Model'!D$2:D$38^A10469)</f>
        <v>36.98050823</v>
      </c>
      <c r="C10469" s="8">
        <f t="array" ref="C10469">PRODUCT(1-'Sparkling Model'!D$2:D$38^A10469)</f>
        <v>0.9806424946</v>
      </c>
    </row>
    <row r="10470">
      <c r="A10470" s="6">
        <v>10468.0</v>
      </c>
      <c r="B10470" s="17">
        <f t="array" ref="B10470">SUM(1-'Sparkling Model'!D$2:D$38^A10470)</f>
        <v>36.98051798</v>
      </c>
      <c r="C10470" s="8">
        <f t="array" ref="C10470">PRODUCT(1-'Sparkling Model'!D$2:D$38^A10470)</f>
        <v>0.9806521106</v>
      </c>
    </row>
    <row r="10471">
      <c r="A10471" s="6">
        <v>10469.0</v>
      </c>
      <c r="B10471" s="17">
        <f t="array" ref="B10471">SUM(1-'Sparkling Model'!D$2:D$38^A10471)</f>
        <v>36.98052773</v>
      </c>
      <c r="C10471" s="8">
        <f t="array" ref="C10471">PRODUCT(1-'Sparkling Model'!D$2:D$38^A10471)</f>
        <v>0.9806617219</v>
      </c>
    </row>
    <row r="10472">
      <c r="A10472" s="6">
        <v>10470.0</v>
      </c>
      <c r="B10472" s="17">
        <f t="array" ref="B10472">SUM(1-'Sparkling Model'!D$2:D$38^A10472)</f>
        <v>36.98053747</v>
      </c>
      <c r="C10472" s="8">
        <f t="array" ref="C10472">PRODUCT(1-'Sparkling Model'!D$2:D$38^A10472)</f>
        <v>0.9806713283</v>
      </c>
    </row>
    <row r="10473">
      <c r="A10473" s="6">
        <v>10471.0</v>
      </c>
      <c r="B10473" s="17">
        <f t="array" ref="B10473">SUM(1-'Sparkling Model'!D$2:D$38^A10473)</f>
        <v>36.9805472</v>
      </c>
      <c r="C10473" s="8">
        <f t="array" ref="C10473">PRODUCT(1-'Sparkling Model'!D$2:D$38^A10473)</f>
        <v>0.98068093</v>
      </c>
    </row>
    <row r="10474">
      <c r="A10474" s="6">
        <v>10472.0</v>
      </c>
      <c r="B10474" s="17">
        <f t="array" ref="B10474">SUM(1-'Sparkling Model'!D$2:D$38^A10474)</f>
        <v>36.98055694</v>
      </c>
      <c r="C10474" s="8">
        <f t="array" ref="C10474">PRODUCT(1-'Sparkling Model'!D$2:D$38^A10474)</f>
        <v>0.9806905268</v>
      </c>
    </row>
    <row r="10475">
      <c r="A10475" s="6">
        <v>10473.0</v>
      </c>
      <c r="B10475" s="17">
        <f t="array" ref="B10475">SUM(1-'Sparkling Model'!D$2:D$38^A10475)</f>
        <v>36.98056666</v>
      </c>
      <c r="C10475" s="8">
        <f t="array" ref="C10475">PRODUCT(1-'Sparkling Model'!D$2:D$38^A10475)</f>
        <v>0.9807001189</v>
      </c>
    </row>
    <row r="10476">
      <c r="A10476" s="6">
        <v>10474.0</v>
      </c>
      <c r="B10476" s="17">
        <f t="array" ref="B10476">SUM(1-'Sparkling Model'!D$2:D$38^A10476)</f>
        <v>36.98057638</v>
      </c>
      <c r="C10476" s="8">
        <f t="array" ref="C10476">PRODUCT(1-'Sparkling Model'!D$2:D$38^A10476)</f>
        <v>0.9807097063</v>
      </c>
    </row>
    <row r="10477">
      <c r="A10477" s="6">
        <v>10475.0</v>
      </c>
      <c r="B10477" s="17">
        <f t="array" ref="B10477">SUM(1-'Sparkling Model'!D$2:D$38^A10477)</f>
        <v>36.9805861</v>
      </c>
      <c r="C10477" s="8">
        <f t="array" ref="C10477">PRODUCT(1-'Sparkling Model'!D$2:D$38^A10477)</f>
        <v>0.9807192888</v>
      </c>
    </row>
    <row r="10478">
      <c r="A10478" s="6">
        <v>10476.0</v>
      </c>
      <c r="B10478" s="17">
        <f t="array" ref="B10478">SUM(1-'Sparkling Model'!D$2:D$38^A10478)</f>
        <v>36.98059581</v>
      </c>
      <c r="C10478" s="8">
        <f t="array" ref="C10478">PRODUCT(1-'Sparkling Model'!D$2:D$38^A10478)</f>
        <v>0.9807288666</v>
      </c>
    </row>
    <row r="10479">
      <c r="A10479" s="6">
        <v>10477.0</v>
      </c>
      <c r="B10479" s="17">
        <f t="array" ref="B10479">SUM(1-'Sparkling Model'!D$2:D$38^A10479)</f>
        <v>36.98060552</v>
      </c>
      <c r="C10479" s="8">
        <f t="array" ref="C10479">PRODUCT(1-'Sparkling Model'!D$2:D$38^A10479)</f>
        <v>0.9807384396</v>
      </c>
    </row>
    <row r="10480">
      <c r="A10480" s="6">
        <v>10478.0</v>
      </c>
      <c r="B10480" s="17">
        <f t="array" ref="B10480">SUM(1-'Sparkling Model'!D$2:D$38^A10480)</f>
        <v>36.98061522</v>
      </c>
      <c r="C10480" s="8">
        <f t="array" ref="C10480">PRODUCT(1-'Sparkling Model'!D$2:D$38^A10480)</f>
        <v>0.9807480078</v>
      </c>
    </row>
    <row r="10481">
      <c r="A10481" s="6">
        <v>10479.0</v>
      </c>
      <c r="B10481" s="17">
        <f t="array" ref="B10481">SUM(1-'Sparkling Model'!D$2:D$38^A10481)</f>
        <v>36.98062492</v>
      </c>
      <c r="C10481" s="8">
        <f t="array" ref="C10481">PRODUCT(1-'Sparkling Model'!D$2:D$38^A10481)</f>
        <v>0.9807575713</v>
      </c>
    </row>
    <row r="10482">
      <c r="A10482" s="6">
        <v>10480.0</v>
      </c>
      <c r="B10482" s="17">
        <f t="array" ref="B10482">SUM(1-'Sparkling Model'!D$2:D$38^A10482)</f>
        <v>36.98063461</v>
      </c>
      <c r="C10482" s="8">
        <f t="array" ref="C10482">PRODUCT(1-'Sparkling Model'!D$2:D$38^A10482)</f>
        <v>0.98076713</v>
      </c>
    </row>
    <row r="10483">
      <c r="A10483" s="6">
        <v>10481.0</v>
      </c>
      <c r="B10483" s="17">
        <f t="array" ref="B10483">SUM(1-'Sparkling Model'!D$2:D$38^A10483)</f>
        <v>36.9806443</v>
      </c>
      <c r="C10483" s="8">
        <f t="array" ref="C10483">PRODUCT(1-'Sparkling Model'!D$2:D$38^A10483)</f>
        <v>0.980776684</v>
      </c>
    </row>
    <row r="10484">
      <c r="A10484" s="6">
        <v>10482.0</v>
      </c>
      <c r="B10484" s="17">
        <f t="array" ref="B10484">SUM(1-'Sparkling Model'!D$2:D$38^A10484)</f>
        <v>36.98065398</v>
      </c>
      <c r="C10484" s="8">
        <f t="array" ref="C10484">PRODUCT(1-'Sparkling Model'!D$2:D$38^A10484)</f>
        <v>0.9807862332</v>
      </c>
    </row>
    <row r="10485">
      <c r="A10485" s="6">
        <v>10483.0</v>
      </c>
      <c r="B10485" s="17">
        <f t="array" ref="B10485">SUM(1-'Sparkling Model'!D$2:D$38^A10485)</f>
        <v>36.98066366</v>
      </c>
      <c r="C10485" s="8">
        <f t="array" ref="C10485">PRODUCT(1-'Sparkling Model'!D$2:D$38^A10485)</f>
        <v>0.9807957776</v>
      </c>
    </row>
    <row r="10486">
      <c r="A10486" s="6">
        <v>10484.0</v>
      </c>
      <c r="B10486" s="17">
        <f t="array" ref="B10486">SUM(1-'Sparkling Model'!D$2:D$38^A10486)</f>
        <v>36.98067333</v>
      </c>
      <c r="C10486" s="8">
        <f t="array" ref="C10486">PRODUCT(1-'Sparkling Model'!D$2:D$38^A10486)</f>
        <v>0.9808053173</v>
      </c>
    </row>
    <row r="10487">
      <c r="A10487" s="6">
        <v>10485.0</v>
      </c>
      <c r="B10487" s="17">
        <f t="array" ref="B10487">SUM(1-'Sparkling Model'!D$2:D$38^A10487)</f>
        <v>36.980683</v>
      </c>
      <c r="C10487" s="8">
        <f t="array" ref="C10487">PRODUCT(1-'Sparkling Model'!D$2:D$38^A10487)</f>
        <v>0.9808148522</v>
      </c>
    </row>
    <row r="10488">
      <c r="A10488" s="6">
        <v>10486.0</v>
      </c>
      <c r="B10488" s="17">
        <f t="array" ref="B10488">SUM(1-'Sparkling Model'!D$2:D$38^A10488)</f>
        <v>36.98069266</v>
      </c>
      <c r="C10488" s="8">
        <f t="array" ref="C10488">PRODUCT(1-'Sparkling Model'!D$2:D$38^A10488)</f>
        <v>0.9808243824</v>
      </c>
    </row>
    <row r="10489">
      <c r="A10489" s="6">
        <v>10487.0</v>
      </c>
      <c r="B10489" s="17">
        <f t="array" ref="B10489">SUM(1-'Sparkling Model'!D$2:D$38^A10489)</f>
        <v>36.98070232</v>
      </c>
      <c r="C10489" s="8">
        <f t="array" ref="C10489">PRODUCT(1-'Sparkling Model'!D$2:D$38^A10489)</f>
        <v>0.9808339079</v>
      </c>
    </row>
    <row r="10490">
      <c r="A10490" s="6">
        <v>10488.0</v>
      </c>
      <c r="B10490" s="17">
        <f t="array" ref="B10490">SUM(1-'Sparkling Model'!D$2:D$38^A10490)</f>
        <v>36.98071197</v>
      </c>
      <c r="C10490" s="8">
        <f t="array" ref="C10490">PRODUCT(1-'Sparkling Model'!D$2:D$38^A10490)</f>
        <v>0.9808434286</v>
      </c>
    </row>
    <row r="10491">
      <c r="A10491" s="6">
        <v>10489.0</v>
      </c>
      <c r="B10491" s="17">
        <f t="array" ref="B10491">SUM(1-'Sparkling Model'!D$2:D$38^A10491)</f>
        <v>36.98072162</v>
      </c>
      <c r="C10491" s="8">
        <f t="array" ref="C10491">PRODUCT(1-'Sparkling Model'!D$2:D$38^A10491)</f>
        <v>0.9808529445</v>
      </c>
    </row>
    <row r="10492">
      <c r="A10492" s="6">
        <v>10490.0</v>
      </c>
      <c r="B10492" s="17">
        <f t="array" ref="B10492">SUM(1-'Sparkling Model'!D$2:D$38^A10492)</f>
        <v>36.98073127</v>
      </c>
      <c r="C10492" s="8">
        <f t="array" ref="C10492">PRODUCT(1-'Sparkling Model'!D$2:D$38^A10492)</f>
        <v>0.9808624558</v>
      </c>
    </row>
    <row r="10493">
      <c r="A10493" s="6">
        <v>10491.0</v>
      </c>
      <c r="B10493" s="17">
        <f t="array" ref="B10493">SUM(1-'Sparkling Model'!D$2:D$38^A10493)</f>
        <v>36.9807409</v>
      </c>
      <c r="C10493" s="8">
        <f t="array" ref="C10493">PRODUCT(1-'Sparkling Model'!D$2:D$38^A10493)</f>
        <v>0.9808719623</v>
      </c>
    </row>
    <row r="10494">
      <c r="A10494" s="6">
        <v>10492.0</v>
      </c>
      <c r="B10494" s="17">
        <f t="array" ref="B10494">SUM(1-'Sparkling Model'!D$2:D$38^A10494)</f>
        <v>36.98075054</v>
      </c>
      <c r="C10494" s="8">
        <f t="array" ref="C10494">PRODUCT(1-'Sparkling Model'!D$2:D$38^A10494)</f>
        <v>0.980881464</v>
      </c>
    </row>
    <row r="10495">
      <c r="A10495" s="6">
        <v>10493.0</v>
      </c>
      <c r="B10495" s="17">
        <f t="array" ref="B10495">SUM(1-'Sparkling Model'!D$2:D$38^A10495)</f>
        <v>36.98076017</v>
      </c>
      <c r="C10495" s="8">
        <f t="array" ref="C10495">PRODUCT(1-'Sparkling Model'!D$2:D$38^A10495)</f>
        <v>0.980890961</v>
      </c>
    </row>
    <row r="10496">
      <c r="A10496" s="6">
        <v>10494.0</v>
      </c>
      <c r="B10496" s="17">
        <f t="array" ref="B10496">SUM(1-'Sparkling Model'!D$2:D$38^A10496)</f>
        <v>36.98076979</v>
      </c>
      <c r="C10496" s="8">
        <f t="array" ref="C10496">PRODUCT(1-'Sparkling Model'!D$2:D$38^A10496)</f>
        <v>0.9809004533</v>
      </c>
    </row>
    <row r="10497">
      <c r="A10497" s="6">
        <v>10495.0</v>
      </c>
      <c r="B10497" s="17">
        <f t="array" ref="B10497">SUM(1-'Sparkling Model'!D$2:D$38^A10497)</f>
        <v>36.98077941</v>
      </c>
      <c r="C10497" s="8">
        <f t="array" ref="C10497">PRODUCT(1-'Sparkling Model'!D$2:D$38^A10497)</f>
        <v>0.9809099409</v>
      </c>
    </row>
    <row r="10498">
      <c r="A10498" s="6">
        <v>10496.0</v>
      </c>
      <c r="B10498" s="17">
        <f t="array" ref="B10498">SUM(1-'Sparkling Model'!D$2:D$38^A10498)</f>
        <v>36.98078902</v>
      </c>
      <c r="C10498" s="8">
        <f t="array" ref="C10498">PRODUCT(1-'Sparkling Model'!D$2:D$38^A10498)</f>
        <v>0.9809194237</v>
      </c>
    </row>
    <row r="10499">
      <c r="A10499" s="6">
        <v>10497.0</v>
      </c>
      <c r="B10499" s="17">
        <f t="array" ref="B10499">SUM(1-'Sparkling Model'!D$2:D$38^A10499)</f>
        <v>36.98079863</v>
      </c>
      <c r="C10499" s="8">
        <f t="array" ref="C10499">PRODUCT(1-'Sparkling Model'!D$2:D$38^A10499)</f>
        <v>0.9809289019</v>
      </c>
    </row>
    <row r="10500">
      <c r="A10500" s="6">
        <v>10498.0</v>
      </c>
      <c r="B10500" s="17">
        <f t="array" ref="B10500">SUM(1-'Sparkling Model'!D$2:D$38^A10500)</f>
        <v>36.98080824</v>
      </c>
      <c r="C10500" s="8">
        <f t="array" ref="C10500">PRODUCT(1-'Sparkling Model'!D$2:D$38^A10500)</f>
        <v>0.9809383753</v>
      </c>
    </row>
    <row r="10501">
      <c r="A10501" s="6">
        <v>10499.0</v>
      </c>
      <c r="B10501" s="17">
        <f t="array" ref="B10501">SUM(1-'Sparkling Model'!D$2:D$38^A10501)</f>
        <v>36.98081784</v>
      </c>
      <c r="C10501" s="8">
        <f t="array" ref="C10501">PRODUCT(1-'Sparkling Model'!D$2:D$38^A10501)</f>
        <v>0.9809478439</v>
      </c>
    </row>
    <row r="10502">
      <c r="A10502" s="6">
        <v>10500.0</v>
      </c>
      <c r="B10502" s="17">
        <f t="array" ref="B10502">SUM(1-'Sparkling Model'!D$2:D$38^A10502)</f>
        <v>36.98082743</v>
      </c>
      <c r="C10502" s="8">
        <f t="array" ref="C10502">PRODUCT(1-'Sparkling Model'!D$2:D$38^A10502)</f>
        <v>0.9809573079</v>
      </c>
    </row>
    <row r="10503">
      <c r="A10503" s="6">
        <v>10501.0</v>
      </c>
      <c r="B10503" s="17">
        <f t="array" ref="B10503">SUM(1-'Sparkling Model'!D$2:D$38^A10503)</f>
        <v>36.98083702</v>
      </c>
      <c r="C10503" s="8">
        <f t="array" ref="C10503">PRODUCT(1-'Sparkling Model'!D$2:D$38^A10503)</f>
        <v>0.9809667672</v>
      </c>
    </row>
    <row r="10504">
      <c r="A10504" s="6">
        <v>10502.0</v>
      </c>
      <c r="B10504" s="17">
        <f t="array" ref="B10504">SUM(1-'Sparkling Model'!D$2:D$38^A10504)</f>
        <v>36.98084661</v>
      </c>
      <c r="C10504" s="8">
        <f t="array" ref="C10504">PRODUCT(1-'Sparkling Model'!D$2:D$38^A10504)</f>
        <v>0.9809762217</v>
      </c>
    </row>
    <row r="10505">
      <c r="A10505" s="6">
        <v>10503.0</v>
      </c>
      <c r="B10505" s="17">
        <f t="array" ref="B10505">SUM(1-'Sparkling Model'!D$2:D$38^A10505)</f>
        <v>36.98085619</v>
      </c>
      <c r="C10505" s="8">
        <f t="array" ref="C10505">PRODUCT(1-'Sparkling Model'!D$2:D$38^A10505)</f>
        <v>0.9809856715</v>
      </c>
    </row>
    <row r="10506">
      <c r="A10506" s="6">
        <v>10504.0</v>
      </c>
      <c r="B10506" s="17">
        <f t="array" ref="B10506">SUM(1-'Sparkling Model'!D$2:D$38^A10506)</f>
        <v>36.98086576</v>
      </c>
      <c r="C10506" s="8">
        <f t="array" ref="C10506">PRODUCT(1-'Sparkling Model'!D$2:D$38^A10506)</f>
        <v>0.9809951167</v>
      </c>
    </row>
    <row r="10507">
      <c r="A10507" s="6">
        <v>10505.0</v>
      </c>
      <c r="B10507" s="17">
        <f t="array" ref="B10507">SUM(1-'Sparkling Model'!D$2:D$38^A10507)</f>
        <v>36.98087533</v>
      </c>
      <c r="C10507" s="8">
        <f t="array" ref="C10507">PRODUCT(1-'Sparkling Model'!D$2:D$38^A10507)</f>
        <v>0.9810045571</v>
      </c>
    </row>
    <row r="10508">
      <c r="A10508" s="6">
        <v>10506.0</v>
      </c>
      <c r="B10508" s="17">
        <f t="array" ref="B10508">SUM(1-'Sparkling Model'!D$2:D$38^A10508)</f>
        <v>36.9808849</v>
      </c>
      <c r="C10508" s="8">
        <f t="array" ref="C10508">PRODUCT(1-'Sparkling Model'!D$2:D$38^A10508)</f>
        <v>0.9810139928</v>
      </c>
    </row>
    <row r="10509">
      <c r="A10509" s="6">
        <v>10507.0</v>
      </c>
      <c r="B10509" s="17">
        <f t="array" ref="B10509">SUM(1-'Sparkling Model'!D$2:D$38^A10509)</f>
        <v>36.98089446</v>
      </c>
      <c r="C10509" s="8">
        <f t="array" ref="C10509">PRODUCT(1-'Sparkling Model'!D$2:D$38^A10509)</f>
        <v>0.9810234239</v>
      </c>
    </row>
    <row r="10510">
      <c r="A10510" s="6">
        <v>10508.0</v>
      </c>
      <c r="B10510" s="17">
        <f t="array" ref="B10510">SUM(1-'Sparkling Model'!D$2:D$38^A10510)</f>
        <v>36.98090402</v>
      </c>
      <c r="C10510" s="8">
        <f t="array" ref="C10510">PRODUCT(1-'Sparkling Model'!D$2:D$38^A10510)</f>
        <v>0.9810328502</v>
      </c>
    </row>
    <row r="10511">
      <c r="A10511" s="6">
        <v>10509.0</v>
      </c>
      <c r="B10511" s="17">
        <f t="array" ref="B10511">SUM(1-'Sparkling Model'!D$2:D$38^A10511)</f>
        <v>36.98091357</v>
      </c>
      <c r="C10511" s="8">
        <f t="array" ref="C10511">PRODUCT(1-'Sparkling Model'!D$2:D$38^A10511)</f>
        <v>0.9810422718</v>
      </c>
    </row>
    <row r="10512">
      <c r="A10512" s="6">
        <v>10510.0</v>
      </c>
      <c r="B10512" s="17">
        <f t="array" ref="B10512">SUM(1-'Sparkling Model'!D$2:D$38^A10512)</f>
        <v>36.98092311</v>
      </c>
      <c r="C10512" s="8">
        <f t="array" ref="C10512">PRODUCT(1-'Sparkling Model'!D$2:D$38^A10512)</f>
        <v>0.9810516888</v>
      </c>
    </row>
    <row r="10513">
      <c r="A10513" s="6">
        <v>10511.0</v>
      </c>
      <c r="B10513" s="17">
        <f t="array" ref="B10513">SUM(1-'Sparkling Model'!D$2:D$38^A10513)</f>
        <v>36.98093266</v>
      </c>
      <c r="C10513" s="8">
        <f t="array" ref="C10513">PRODUCT(1-'Sparkling Model'!D$2:D$38^A10513)</f>
        <v>0.981061101</v>
      </c>
    </row>
    <row r="10514">
      <c r="A10514" s="6">
        <v>10512.0</v>
      </c>
      <c r="B10514" s="17">
        <f t="array" ref="B10514">SUM(1-'Sparkling Model'!D$2:D$38^A10514)</f>
        <v>36.98094219</v>
      </c>
      <c r="C10514" s="8">
        <f t="array" ref="C10514">PRODUCT(1-'Sparkling Model'!D$2:D$38^A10514)</f>
        <v>0.9810705086</v>
      </c>
    </row>
    <row r="10515">
      <c r="A10515" s="6">
        <v>10513.0</v>
      </c>
      <c r="B10515" s="17">
        <f t="array" ref="B10515">SUM(1-'Sparkling Model'!D$2:D$38^A10515)</f>
        <v>36.98095172</v>
      </c>
      <c r="C10515" s="8">
        <f t="array" ref="C10515">PRODUCT(1-'Sparkling Model'!D$2:D$38^A10515)</f>
        <v>0.9810799115</v>
      </c>
    </row>
    <row r="10516">
      <c r="A10516" s="6">
        <v>10514.0</v>
      </c>
      <c r="B10516" s="17">
        <f t="array" ref="B10516">SUM(1-'Sparkling Model'!D$2:D$38^A10516)</f>
        <v>36.98096125</v>
      </c>
      <c r="C10516" s="8">
        <f t="array" ref="C10516">PRODUCT(1-'Sparkling Model'!D$2:D$38^A10516)</f>
        <v>0.9810893097</v>
      </c>
    </row>
    <row r="10517">
      <c r="A10517" s="6">
        <v>10515.0</v>
      </c>
      <c r="B10517" s="17">
        <f t="array" ref="B10517">SUM(1-'Sparkling Model'!D$2:D$38^A10517)</f>
        <v>36.98097077</v>
      </c>
      <c r="C10517" s="8">
        <f t="array" ref="C10517">PRODUCT(1-'Sparkling Model'!D$2:D$38^A10517)</f>
        <v>0.9810987032</v>
      </c>
    </row>
    <row r="10518">
      <c r="A10518" s="6">
        <v>10516.0</v>
      </c>
      <c r="B10518" s="17">
        <f t="array" ref="B10518">SUM(1-'Sparkling Model'!D$2:D$38^A10518)</f>
        <v>36.98098029</v>
      </c>
      <c r="C10518" s="8">
        <f t="array" ref="C10518">PRODUCT(1-'Sparkling Model'!D$2:D$38^A10518)</f>
        <v>0.9811080921</v>
      </c>
    </row>
    <row r="10519">
      <c r="A10519" s="6">
        <v>10517.0</v>
      </c>
      <c r="B10519" s="17">
        <f t="array" ref="B10519">SUM(1-'Sparkling Model'!D$2:D$38^A10519)</f>
        <v>36.9809898</v>
      </c>
      <c r="C10519" s="8">
        <f t="array" ref="C10519">PRODUCT(1-'Sparkling Model'!D$2:D$38^A10519)</f>
        <v>0.9811174762</v>
      </c>
    </row>
    <row r="10520">
      <c r="A10520" s="6">
        <v>10518.0</v>
      </c>
      <c r="B10520" s="17">
        <f t="array" ref="B10520">SUM(1-'Sparkling Model'!D$2:D$38^A10520)</f>
        <v>36.98099931</v>
      </c>
      <c r="C10520" s="8">
        <f t="array" ref="C10520">PRODUCT(1-'Sparkling Model'!D$2:D$38^A10520)</f>
        <v>0.9811268557</v>
      </c>
    </row>
    <row r="10521">
      <c r="A10521" s="6">
        <v>10519.0</v>
      </c>
      <c r="B10521" s="17">
        <f t="array" ref="B10521">SUM(1-'Sparkling Model'!D$2:D$38^A10521)</f>
        <v>36.98100882</v>
      </c>
      <c r="C10521" s="8">
        <f t="array" ref="C10521">PRODUCT(1-'Sparkling Model'!D$2:D$38^A10521)</f>
        <v>0.9811362306</v>
      </c>
    </row>
    <row r="10522">
      <c r="A10522" s="6">
        <v>10520.0</v>
      </c>
      <c r="B10522" s="17">
        <f t="array" ref="B10522">SUM(1-'Sparkling Model'!D$2:D$38^A10522)</f>
        <v>36.98101831</v>
      </c>
      <c r="C10522" s="8">
        <f t="array" ref="C10522">PRODUCT(1-'Sparkling Model'!D$2:D$38^A10522)</f>
        <v>0.9811456007</v>
      </c>
    </row>
    <row r="10523">
      <c r="A10523" s="6">
        <v>10521.0</v>
      </c>
      <c r="B10523" s="17">
        <f t="array" ref="B10523">SUM(1-'Sparkling Model'!D$2:D$38^A10523)</f>
        <v>36.98102781</v>
      </c>
      <c r="C10523" s="8">
        <f t="array" ref="C10523">PRODUCT(1-'Sparkling Model'!D$2:D$38^A10523)</f>
        <v>0.9811549662</v>
      </c>
    </row>
    <row r="10524">
      <c r="A10524" s="6">
        <v>10522.0</v>
      </c>
      <c r="B10524" s="17">
        <f t="array" ref="B10524">SUM(1-'Sparkling Model'!D$2:D$38^A10524)</f>
        <v>36.9810373</v>
      </c>
      <c r="C10524" s="8">
        <f t="array" ref="C10524">PRODUCT(1-'Sparkling Model'!D$2:D$38^A10524)</f>
        <v>0.9811643271</v>
      </c>
    </row>
    <row r="10525">
      <c r="A10525" s="6">
        <v>10523.0</v>
      </c>
      <c r="B10525" s="17">
        <f t="array" ref="B10525">SUM(1-'Sparkling Model'!D$2:D$38^A10525)</f>
        <v>36.98104678</v>
      </c>
      <c r="C10525" s="8">
        <f t="array" ref="C10525">PRODUCT(1-'Sparkling Model'!D$2:D$38^A10525)</f>
        <v>0.9811736832</v>
      </c>
    </row>
    <row r="10526">
      <c r="A10526" s="6">
        <v>10524.0</v>
      </c>
      <c r="B10526" s="17">
        <f t="array" ref="B10526">SUM(1-'Sparkling Model'!D$2:D$38^A10526)</f>
        <v>36.98105626</v>
      </c>
      <c r="C10526" s="8">
        <f t="array" ref="C10526">PRODUCT(1-'Sparkling Model'!D$2:D$38^A10526)</f>
        <v>0.9811830348</v>
      </c>
    </row>
    <row r="10527">
      <c r="A10527" s="6">
        <v>10525.0</v>
      </c>
      <c r="B10527" s="17">
        <f t="array" ref="B10527">SUM(1-'Sparkling Model'!D$2:D$38^A10527)</f>
        <v>36.98106573</v>
      </c>
      <c r="C10527" s="8">
        <f t="array" ref="C10527">PRODUCT(1-'Sparkling Model'!D$2:D$38^A10527)</f>
        <v>0.9811923816</v>
      </c>
    </row>
    <row r="10528">
      <c r="A10528" s="6">
        <v>10526.0</v>
      </c>
      <c r="B10528" s="17">
        <f t="array" ref="B10528">SUM(1-'Sparkling Model'!D$2:D$38^A10528)</f>
        <v>36.9810752</v>
      </c>
      <c r="C10528" s="8">
        <f t="array" ref="C10528">PRODUCT(1-'Sparkling Model'!D$2:D$38^A10528)</f>
        <v>0.9812017238</v>
      </c>
    </row>
    <row r="10529">
      <c r="A10529" s="6">
        <v>10527.0</v>
      </c>
      <c r="B10529" s="17">
        <f t="array" ref="B10529">SUM(1-'Sparkling Model'!D$2:D$38^A10529)</f>
        <v>36.98108467</v>
      </c>
      <c r="C10529" s="8">
        <f t="array" ref="C10529">PRODUCT(1-'Sparkling Model'!D$2:D$38^A10529)</f>
        <v>0.9812110614</v>
      </c>
    </row>
    <row r="10530">
      <c r="A10530" s="6">
        <v>10528.0</v>
      </c>
      <c r="B10530" s="17">
        <f t="array" ref="B10530">SUM(1-'Sparkling Model'!D$2:D$38^A10530)</f>
        <v>36.98109413</v>
      </c>
      <c r="C10530" s="8">
        <f t="array" ref="C10530">PRODUCT(1-'Sparkling Model'!D$2:D$38^A10530)</f>
        <v>0.9812203943</v>
      </c>
    </row>
    <row r="10531">
      <c r="A10531" s="6">
        <v>10529.0</v>
      </c>
      <c r="B10531" s="17">
        <f t="array" ref="B10531">SUM(1-'Sparkling Model'!D$2:D$38^A10531)</f>
        <v>36.98110358</v>
      </c>
      <c r="C10531" s="8">
        <f t="array" ref="C10531">PRODUCT(1-'Sparkling Model'!D$2:D$38^A10531)</f>
        <v>0.9812297225</v>
      </c>
    </row>
    <row r="10532">
      <c r="A10532" s="6">
        <v>10530.0</v>
      </c>
      <c r="B10532" s="17">
        <f t="array" ref="B10532">SUM(1-'Sparkling Model'!D$2:D$38^A10532)</f>
        <v>36.98111304</v>
      </c>
      <c r="C10532" s="8">
        <f t="array" ref="C10532">PRODUCT(1-'Sparkling Model'!D$2:D$38^A10532)</f>
        <v>0.9812390461</v>
      </c>
    </row>
    <row r="10533">
      <c r="A10533" s="6">
        <v>10531.0</v>
      </c>
      <c r="B10533" s="17">
        <f t="array" ref="B10533">SUM(1-'Sparkling Model'!D$2:D$38^A10533)</f>
        <v>36.98112248</v>
      </c>
      <c r="C10533" s="8">
        <f t="array" ref="C10533">PRODUCT(1-'Sparkling Model'!D$2:D$38^A10533)</f>
        <v>0.9812483651</v>
      </c>
    </row>
    <row r="10534">
      <c r="A10534" s="6">
        <v>10532.0</v>
      </c>
      <c r="B10534" s="17">
        <f t="array" ref="B10534">SUM(1-'Sparkling Model'!D$2:D$38^A10534)</f>
        <v>36.98113192</v>
      </c>
      <c r="C10534" s="8">
        <f t="array" ref="C10534">PRODUCT(1-'Sparkling Model'!D$2:D$38^A10534)</f>
        <v>0.9812576794</v>
      </c>
    </row>
    <row r="10535">
      <c r="A10535" s="6">
        <v>10533.0</v>
      </c>
      <c r="B10535" s="17">
        <f t="array" ref="B10535">SUM(1-'Sparkling Model'!D$2:D$38^A10535)</f>
        <v>36.98114136</v>
      </c>
      <c r="C10535" s="8">
        <f t="array" ref="C10535">PRODUCT(1-'Sparkling Model'!D$2:D$38^A10535)</f>
        <v>0.9812669891</v>
      </c>
    </row>
    <row r="10536">
      <c r="A10536" s="6">
        <v>10534.0</v>
      </c>
      <c r="B10536" s="17">
        <f t="array" ref="B10536">SUM(1-'Sparkling Model'!D$2:D$38^A10536)</f>
        <v>36.98115079</v>
      </c>
      <c r="C10536" s="8">
        <f t="array" ref="C10536">PRODUCT(1-'Sparkling Model'!D$2:D$38^A10536)</f>
        <v>0.9812762941</v>
      </c>
    </row>
    <row r="10537">
      <c r="A10537" s="6">
        <v>10535.0</v>
      </c>
      <c r="B10537" s="17">
        <f t="array" ref="B10537">SUM(1-'Sparkling Model'!D$2:D$38^A10537)</f>
        <v>36.98116022</v>
      </c>
      <c r="C10537" s="8">
        <f t="array" ref="C10537">PRODUCT(1-'Sparkling Model'!D$2:D$38^A10537)</f>
        <v>0.9812855946</v>
      </c>
    </row>
    <row r="10538">
      <c r="A10538" s="6">
        <v>10536.0</v>
      </c>
      <c r="B10538" s="17">
        <f t="array" ref="B10538">SUM(1-'Sparkling Model'!D$2:D$38^A10538)</f>
        <v>36.98116964</v>
      </c>
      <c r="C10538" s="8">
        <f t="array" ref="C10538">PRODUCT(1-'Sparkling Model'!D$2:D$38^A10538)</f>
        <v>0.9812948904</v>
      </c>
    </row>
    <row r="10539">
      <c r="A10539" s="6">
        <v>10537.0</v>
      </c>
      <c r="B10539" s="17">
        <f t="array" ref="B10539">SUM(1-'Sparkling Model'!D$2:D$38^A10539)</f>
        <v>36.98117906</v>
      </c>
      <c r="C10539" s="8">
        <f t="array" ref="C10539">PRODUCT(1-'Sparkling Model'!D$2:D$38^A10539)</f>
        <v>0.9813041815</v>
      </c>
    </row>
    <row r="10540">
      <c r="A10540" s="6">
        <v>10538.0</v>
      </c>
      <c r="B10540" s="17">
        <f t="array" ref="B10540">SUM(1-'Sparkling Model'!D$2:D$38^A10540)</f>
        <v>36.98118847</v>
      </c>
      <c r="C10540" s="8">
        <f t="array" ref="C10540">PRODUCT(1-'Sparkling Model'!D$2:D$38^A10540)</f>
        <v>0.981313468</v>
      </c>
    </row>
    <row r="10541">
      <c r="A10541" s="6">
        <v>10539.0</v>
      </c>
      <c r="B10541" s="17">
        <f t="array" ref="B10541">SUM(1-'Sparkling Model'!D$2:D$38^A10541)</f>
        <v>36.98119788</v>
      </c>
      <c r="C10541" s="8">
        <f t="array" ref="C10541">PRODUCT(1-'Sparkling Model'!D$2:D$38^A10541)</f>
        <v>0.98132275</v>
      </c>
    </row>
    <row r="10542">
      <c r="A10542" s="6">
        <v>10540.0</v>
      </c>
      <c r="B10542" s="17">
        <f t="array" ref="B10542">SUM(1-'Sparkling Model'!D$2:D$38^A10542)</f>
        <v>36.98120728</v>
      </c>
      <c r="C10542" s="8">
        <f t="array" ref="C10542">PRODUCT(1-'Sparkling Model'!D$2:D$38^A10542)</f>
        <v>0.9813320272</v>
      </c>
    </row>
    <row r="10543">
      <c r="A10543" s="6">
        <v>10541.0</v>
      </c>
      <c r="B10543" s="17">
        <f t="array" ref="B10543">SUM(1-'Sparkling Model'!D$2:D$38^A10543)</f>
        <v>36.98121668</v>
      </c>
      <c r="C10543" s="8">
        <f t="array" ref="C10543">PRODUCT(1-'Sparkling Model'!D$2:D$38^A10543)</f>
        <v>0.9813412999</v>
      </c>
    </row>
    <row r="10544">
      <c r="A10544" s="6">
        <v>10542.0</v>
      </c>
      <c r="B10544" s="17">
        <f t="array" ref="B10544">SUM(1-'Sparkling Model'!D$2:D$38^A10544)</f>
        <v>36.98122607</v>
      </c>
      <c r="C10544" s="8">
        <f t="array" ref="C10544">PRODUCT(1-'Sparkling Model'!D$2:D$38^A10544)</f>
        <v>0.981350568</v>
      </c>
    </row>
    <row r="10545">
      <c r="A10545" s="6">
        <v>10543.0</v>
      </c>
      <c r="B10545" s="17">
        <f t="array" ref="B10545">SUM(1-'Sparkling Model'!D$2:D$38^A10545)</f>
        <v>36.98123546</v>
      </c>
      <c r="C10545" s="8">
        <f t="array" ref="C10545">PRODUCT(1-'Sparkling Model'!D$2:D$38^A10545)</f>
        <v>0.9813598314</v>
      </c>
    </row>
    <row r="10546">
      <c r="A10546" s="6">
        <v>10544.0</v>
      </c>
      <c r="B10546" s="17">
        <f t="array" ref="B10546">SUM(1-'Sparkling Model'!D$2:D$38^A10546)</f>
        <v>36.98124484</v>
      </c>
      <c r="C10546" s="8">
        <f t="array" ref="C10546">PRODUCT(1-'Sparkling Model'!D$2:D$38^A10546)</f>
        <v>0.9813690902</v>
      </c>
    </row>
    <row r="10547">
      <c r="A10547" s="6">
        <v>10545.0</v>
      </c>
      <c r="B10547" s="17">
        <f t="array" ref="B10547">SUM(1-'Sparkling Model'!D$2:D$38^A10547)</f>
        <v>36.98125422</v>
      </c>
      <c r="C10547" s="8">
        <f t="array" ref="C10547">PRODUCT(1-'Sparkling Model'!D$2:D$38^A10547)</f>
        <v>0.9813783444</v>
      </c>
    </row>
    <row r="10548">
      <c r="A10548" s="6">
        <v>10546.0</v>
      </c>
      <c r="B10548" s="17">
        <f t="array" ref="B10548">SUM(1-'Sparkling Model'!D$2:D$38^A10548)</f>
        <v>36.9812636</v>
      </c>
      <c r="C10548" s="8">
        <f t="array" ref="C10548">PRODUCT(1-'Sparkling Model'!D$2:D$38^A10548)</f>
        <v>0.981387594</v>
      </c>
    </row>
    <row r="10549">
      <c r="A10549" s="6">
        <v>10547.0</v>
      </c>
      <c r="B10549" s="17">
        <f t="array" ref="B10549">SUM(1-'Sparkling Model'!D$2:D$38^A10549)</f>
        <v>36.98127297</v>
      </c>
      <c r="C10549" s="8">
        <f t="array" ref="C10549">PRODUCT(1-'Sparkling Model'!D$2:D$38^A10549)</f>
        <v>0.981396839</v>
      </c>
    </row>
    <row r="10550">
      <c r="A10550" s="6">
        <v>10548.0</v>
      </c>
      <c r="B10550" s="17">
        <f t="array" ref="B10550">SUM(1-'Sparkling Model'!D$2:D$38^A10550)</f>
        <v>36.98128233</v>
      </c>
      <c r="C10550" s="8">
        <f t="array" ref="C10550">PRODUCT(1-'Sparkling Model'!D$2:D$38^A10550)</f>
        <v>0.9814060794</v>
      </c>
    </row>
    <row r="10551">
      <c r="A10551" s="6">
        <v>10549.0</v>
      </c>
      <c r="B10551" s="17">
        <f t="array" ref="B10551">SUM(1-'Sparkling Model'!D$2:D$38^A10551)</f>
        <v>36.98129169</v>
      </c>
      <c r="C10551" s="8">
        <f t="array" ref="C10551">PRODUCT(1-'Sparkling Model'!D$2:D$38^A10551)</f>
        <v>0.9814153152</v>
      </c>
    </row>
    <row r="10552">
      <c r="A10552" s="6">
        <v>10550.0</v>
      </c>
      <c r="B10552" s="17">
        <f t="array" ref="B10552">SUM(1-'Sparkling Model'!D$2:D$38^A10552)</f>
        <v>36.98130105</v>
      </c>
      <c r="C10552" s="8">
        <f t="array" ref="C10552">PRODUCT(1-'Sparkling Model'!D$2:D$38^A10552)</f>
        <v>0.9814245464</v>
      </c>
    </row>
    <row r="10553">
      <c r="A10553" s="6">
        <v>10551.0</v>
      </c>
      <c r="B10553" s="17">
        <f t="array" ref="B10553">SUM(1-'Sparkling Model'!D$2:D$38^A10553)</f>
        <v>36.9813104</v>
      </c>
      <c r="C10553" s="8">
        <f t="array" ref="C10553">PRODUCT(1-'Sparkling Model'!D$2:D$38^A10553)</f>
        <v>0.981433773</v>
      </c>
    </row>
    <row r="10554">
      <c r="A10554" s="6">
        <v>10552.0</v>
      </c>
      <c r="B10554" s="17">
        <f t="array" ref="B10554">SUM(1-'Sparkling Model'!D$2:D$38^A10554)</f>
        <v>36.98131974</v>
      </c>
      <c r="C10554" s="8">
        <f t="array" ref="C10554">PRODUCT(1-'Sparkling Model'!D$2:D$38^A10554)</f>
        <v>0.981442995</v>
      </c>
    </row>
    <row r="10555">
      <c r="A10555" s="6">
        <v>10553.0</v>
      </c>
      <c r="B10555" s="17">
        <f t="array" ref="B10555">SUM(1-'Sparkling Model'!D$2:D$38^A10555)</f>
        <v>36.98132909</v>
      </c>
      <c r="C10555" s="8">
        <f t="array" ref="C10555">PRODUCT(1-'Sparkling Model'!D$2:D$38^A10555)</f>
        <v>0.9814522124</v>
      </c>
    </row>
    <row r="10556">
      <c r="A10556" s="6">
        <v>10554.0</v>
      </c>
      <c r="B10556" s="17">
        <f t="array" ref="B10556">SUM(1-'Sparkling Model'!D$2:D$38^A10556)</f>
        <v>36.98133842</v>
      </c>
      <c r="C10556" s="8">
        <f t="array" ref="C10556">PRODUCT(1-'Sparkling Model'!D$2:D$38^A10556)</f>
        <v>0.9814614252</v>
      </c>
    </row>
    <row r="10557">
      <c r="A10557" s="6">
        <v>10555.0</v>
      </c>
      <c r="B10557" s="17">
        <f t="array" ref="B10557">SUM(1-'Sparkling Model'!D$2:D$38^A10557)</f>
        <v>36.98134775</v>
      </c>
      <c r="C10557" s="8">
        <f t="array" ref="C10557">PRODUCT(1-'Sparkling Model'!D$2:D$38^A10557)</f>
        <v>0.9814706335</v>
      </c>
    </row>
    <row r="10558">
      <c r="A10558" s="6">
        <v>10556.0</v>
      </c>
      <c r="B10558" s="17">
        <f t="array" ref="B10558">SUM(1-'Sparkling Model'!D$2:D$38^A10558)</f>
        <v>36.98135708</v>
      </c>
      <c r="C10558" s="8">
        <f t="array" ref="C10558">PRODUCT(1-'Sparkling Model'!D$2:D$38^A10558)</f>
        <v>0.9814798371</v>
      </c>
    </row>
    <row r="10559">
      <c r="A10559" s="6">
        <v>10557.0</v>
      </c>
      <c r="B10559" s="17">
        <f t="array" ref="B10559">SUM(1-'Sparkling Model'!D$2:D$38^A10559)</f>
        <v>36.9813664</v>
      </c>
      <c r="C10559" s="8">
        <f t="array" ref="C10559">PRODUCT(1-'Sparkling Model'!D$2:D$38^A10559)</f>
        <v>0.9814890362</v>
      </c>
    </row>
    <row r="10560">
      <c r="A10560" s="6">
        <v>10558.0</v>
      </c>
      <c r="B10560" s="17">
        <f t="array" ref="B10560">SUM(1-'Sparkling Model'!D$2:D$38^A10560)</f>
        <v>36.98137572</v>
      </c>
      <c r="C10560" s="8">
        <f t="array" ref="C10560">PRODUCT(1-'Sparkling Model'!D$2:D$38^A10560)</f>
        <v>0.9814982307</v>
      </c>
    </row>
    <row r="10561">
      <c r="A10561" s="6">
        <v>10559.0</v>
      </c>
      <c r="B10561" s="17">
        <f t="array" ref="B10561">SUM(1-'Sparkling Model'!D$2:D$38^A10561)</f>
        <v>36.98138504</v>
      </c>
      <c r="C10561" s="8">
        <f t="array" ref="C10561">PRODUCT(1-'Sparkling Model'!D$2:D$38^A10561)</f>
        <v>0.9815074206</v>
      </c>
    </row>
    <row r="10562">
      <c r="A10562" s="6">
        <v>10560.0</v>
      </c>
      <c r="B10562" s="17">
        <f t="array" ref="B10562">SUM(1-'Sparkling Model'!D$2:D$38^A10562)</f>
        <v>36.98139434</v>
      </c>
      <c r="C10562" s="8">
        <f t="array" ref="C10562">PRODUCT(1-'Sparkling Model'!D$2:D$38^A10562)</f>
        <v>0.9815166059</v>
      </c>
    </row>
    <row r="10563">
      <c r="A10563" s="6">
        <v>10561.0</v>
      </c>
      <c r="B10563" s="17">
        <f t="array" ref="B10563">SUM(1-'Sparkling Model'!D$2:D$38^A10563)</f>
        <v>36.98140365</v>
      </c>
      <c r="C10563" s="8">
        <f t="array" ref="C10563">PRODUCT(1-'Sparkling Model'!D$2:D$38^A10563)</f>
        <v>0.9815257867</v>
      </c>
    </row>
    <row r="10564">
      <c r="A10564" s="6">
        <v>10562.0</v>
      </c>
      <c r="B10564" s="17">
        <f t="array" ref="B10564">SUM(1-'Sparkling Model'!D$2:D$38^A10564)</f>
        <v>36.98141295</v>
      </c>
      <c r="C10564" s="8">
        <f t="array" ref="C10564">PRODUCT(1-'Sparkling Model'!D$2:D$38^A10564)</f>
        <v>0.9815349628</v>
      </c>
    </row>
    <row r="10565">
      <c r="A10565" s="6">
        <v>10563.0</v>
      </c>
      <c r="B10565" s="17">
        <f t="array" ref="B10565">SUM(1-'Sparkling Model'!D$2:D$38^A10565)</f>
        <v>36.98142224</v>
      </c>
      <c r="C10565" s="8">
        <f t="array" ref="C10565">PRODUCT(1-'Sparkling Model'!D$2:D$38^A10565)</f>
        <v>0.9815441345</v>
      </c>
    </row>
    <row r="10566">
      <c r="A10566" s="6">
        <v>10564.0</v>
      </c>
      <c r="B10566" s="17">
        <f t="array" ref="B10566">SUM(1-'Sparkling Model'!D$2:D$38^A10566)</f>
        <v>36.98143153</v>
      </c>
      <c r="C10566" s="8">
        <f t="array" ref="C10566">PRODUCT(1-'Sparkling Model'!D$2:D$38^A10566)</f>
        <v>0.9815533015</v>
      </c>
    </row>
    <row r="10567">
      <c r="A10567" s="6">
        <v>10565.0</v>
      </c>
      <c r="B10567" s="17">
        <f t="array" ref="B10567">SUM(1-'Sparkling Model'!D$2:D$38^A10567)</f>
        <v>36.98144082</v>
      </c>
      <c r="C10567" s="8">
        <f t="array" ref="C10567">PRODUCT(1-'Sparkling Model'!D$2:D$38^A10567)</f>
        <v>0.981562464</v>
      </c>
    </row>
    <row r="10568">
      <c r="A10568" s="6">
        <v>10566.0</v>
      </c>
      <c r="B10568" s="17">
        <f t="array" ref="B10568">SUM(1-'Sparkling Model'!D$2:D$38^A10568)</f>
        <v>36.9814501</v>
      </c>
      <c r="C10568" s="8">
        <f t="array" ref="C10568">PRODUCT(1-'Sparkling Model'!D$2:D$38^A10568)</f>
        <v>0.9815716219</v>
      </c>
    </row>
    <row r="10569">
      <c r="A10569" s="6">
        <v>10567.0</v>
      </c>
      <c r="B10569" s="17">
        <f t="array" ref="B10569">SUM(1-'Sparkling Model'!D$2:D$38^A10569)</f>
        <v>36.98145937</v>
      </c>
      <c r="C10569" s="8">
        <f t="array" ref="C10569">PRODUCT(1-'Sparkling Model'!D$2:D$38^A10569)</f>
        <v>0.9815807753</v>
      </c>
    </row>
    <row r="10570">
      <c r="A10570" s="6">
        <v>10568.0</v>
      </c>
      <c r="B10570" s="17">
        <f t="array" ref="B10570">SUM(1-'Sparkling Model'!D$2:D$38^A10570)</f>
        <v>36.98146864</v>
      </c>
      <c r="C10570" s="8">
        <f t="array" ref="C10570">PRODUCT(1-'Sparkling Model'!D$2:D$38^A10570)</f>
        <v>0.9815899241</v>
      </c>
    </row>
    <row r="10571">
      <c r="A10571" s="6">
        <v>10569.0</v>
      </c>
      <c r="B10571" s="17">
        <f t="array" ref="B10571">SUM(1-'Sparkling Model'!D$2:D$38^A10571)</f>
        <v>36.98147791</v>
      </c>
      <c r="C10571" s="8">
        <f t="array" ref="C10571">PRODUCT(1-'Sparkling Model'!D$2:D$38^A10571)</f>
        <v>0.9815990683</v>
      </c>
    </row>
    <row r="10572">
      <c r="A10572" s="6">
        <v>10570.0</v>
      </c>
      <c r="B10572" s="17">
        <f t="array" ref="B10572">SUM(1-'Sparkling Model'!D$2:D$38^A10572)</f>
        <v>36.98148717</v>
      </c>
      <c r="C10572" s="8">
        <f t="array" ref="C10572">PRODUCT(1-'Sparkling Model'!D$2:D$38^A10572)</f>
        <v>0.981608208</v>
      </c>
    </row>
    <row r="10573">
      <c r="A10573" s="6">
        <v>10571.0</v>
      </c>
      <c r="B10573" s="17">
        <f t="array" ref="B10573">SUM(1-'Sparkling Model'!D$2:D$38^A10573)</f>
        <v>36.98149643</v>
      </c>
      <c r="C10573" s="8">
        <f t="array" ref="C10573">PRODUCT(1-'Sparkling Model'!D$2:D$38^A10573)</f>
        <v>0.9816173432</v>
      </c>
    </row>
    <row r="10574">
      <c r="A10574" s="6">
        <v>10572.0</v>
      </c>
      <c r="B10574" s="17">
        <f t="array" ref="B10574">SUM(1-'Sparkling Model'!D$2:D$38^A10574)</f>
        <v>36.98150568</v>
      </c>
      <c r="C10574" s="8">
        <f t="array" ref="C10574">PRODUCT(1-'Sparkling Model'!D$2:D$38^A10574)</f>
        <v>0.9816264738</v>
      </c>
    </row>
    <row r="10575">
      <c r="A10575" s="6">
        <v>10573.0</v>
      </c>
      <c r="B10575" s="17">
        <f t="array" ref="B10575">SUM(1-'Sparkling Model'!D$2:D$38^A10575)</f>
        <v>36.98151493</v>
      </c>
      <c r="C10575" s="8">
        <f t="array" ref="C10575">PRODUCT(1-'Sparkling Model'!D$2:D$38^A10575)</f>
        <v>0.9816355998</v>
      </c>
    </row>
    <row r="10576">
      <c r="A10576" s="6">
        <v>10574.0</v>
      </c>
      <c r="B10576" s="17">
        <f t="array" ref="B10576">SUM(1-'Sparkling Model'!D$2:D$38^A10576)</f>
        <v>36.98152417</v>
      </c>
      <c r="C10576" s="8">
        <f t="array" ref="C10576">PRODUCT(1-'Sparkling Model'!D$2:D$38^A10576)</f>
        <v>0.9816447213</v>
      </c>
    </row>
    <row r="10577">
      <c r="A10577" s="6">
        <v>10575.0</v>
      </c>
      <c r="B10577" s="17">
        <f t="array" ref="B10577">SUM(1-'Sparkling Model'!D$2:D$38^A10577)</f>
        <v>36.98153341</v>
      </c>
      <c r="C10577" s="8">
        <f t="array" ref="C10577">PRODUCT(1-'Sparkling Model'!D$2:D$38^A10577)</f>
        <v>0.9816538383</v>
      </c>
    </row>
    <row r="10578">
      <c r="A10578" s="6">
        <v>10576.0</v>
      </c>
      <c r="B10578" s="17">
        <f t="array" ref="B10578">SUM(1-'Sparkling Model'!D$2:D$38^A10578)</f>
        <v>36.98154264</v>
      </c>
      <c r="C10578" s="8">
        <f t="array" ref="C10578">PRODUCT(1-'Sparkling Model'!D$2:D$38^A10578)</f>
        <v>0.9816629507</v>
      </c>
    </row>
    <row r="10579">
      <c r="A10579" s="6">
        <v>10577.0</v>
      </c>
      <c r="B10579" s="17">
        <f t="array" ref="B10579">SUM(1-'Sparkling Model'!D$2:D$38^A10579)</f>
        <v>36.98155187</v>
      </c>
      <c r="C10579" s="8">
        <f t="array" ref="C10579">PRODUCT(1-'Sparkling Model'!D$2:D$38^A10579)</f>
        <v>0.9816720586</v>
      </c>
    </row>
    <row r="10580">
      <c r="A10580" s="6">
        <v>10578.0</v>
      </c>
      <c r="B10580" s="17">
        <f t="array" ref="B10580">SUM(1-'Sparkling Model'!D$2:D$38^A10580)</f>
        <v>36.9815611</v>
      </c>
      <c r="C10580" s="8">
        <f t="array" ref="C10580">PRODUCT(1-'Sparkling Model'!D$2:D$38^A10580)</f>
        <v>0.981681162</v>
      </c>
    </row>
    <row r="10581">
      <c r="A10581" s="6">
        <v>10579.0</v>
      </c>
      <c r="B10581" s="17">
        <f t="array" ref="B10581">SUM(1-'Sparkling Model'!D$2:D$38^A10581)</f>
        <v>36.98157032</v>
      </c>
      <c r="C10581" s="8">
        <f t="array" ref="C10581">PRODUCT(1-'Sparkling Model'!D$2:D$38^A10581)</f>
        <v>0.9816902608</v>
      </c>
    </row>
    <row r="10582">
      <c r="A10582" s="6">
        <v>10580.0</v>
      </c>
      <c r="B10582" s="17">
        <f t="array" ref="B10582">SUM(1-'Sparkling Model'!D$2:D$38^A10582)</f>
        <v>36.98157953</v>
      </c>
      <c r="C10582" s="8">
        <f t="array" ref="C10582">PRODUCT(1-'Sparkling Model'!D$2:D$38^A10582)</f>
        <v>0.9816993551</v>
      </c>
    </row>
    <row r="10583">
      <c r="A10583" s="6">
        <v>10581.0</v>
      </c>
      <c r="B10583" s="17">
        <f t="array" ref="B10583">SUM(1-'Sparkling Model'!D$2:D$38^A10583)</f>
        <v>36.98158874</v>
      </c>
      <c r="C10583" s="8">
        <f t="array" ref="C10583">PRODUCT(1-'Sparkling Model'!D$2:D$38^A10583)</f>
        <v>0.9817084448</v>
      </c>
    </row>
    <row r="10584">
      <c r="A10584" s="6">
        <v>10582.0</v>
      </c>
      <c r="B10584" s="17">
        <f t="array" ref="B10584">SUM(1-'Sparkling Model'!D$2:D$38^A10584)</f>
        <v>36.98159795</v>
      </c>
      <c r="C10584" s="8">
        <f t="array" ref="C10584">PRODUCT(1-'Sparkling Model'!D$2:D$38^A10584)</f>
        <v>0.9817175301</v>
      </c>
    </row>
    <row r="10585">
      <c r="A10585" s="6">
        <v>10583.0</v>
      </c>
      <c r="B10585" s="17">
        <f t="array" ref="B10585">SUM(1-'Sparkling Model'!D$2:D$38^A10585)</f>
        <v>36.98160715</v>
      </c>
      <c r="C10585" s="8">
        <f t="array" ref="C10585">PRODUCT(1-'Sparkling Model'!D$2:D$38^A10585)</f>
        <v>0.9817266108</v>
      </c>
    </row>
    <row r="10586">
      <c r="A10586" s="6">
        <v>10584.0</v>
      </c>
      <c r="B10586" s="17">
        <f t="array" ref="B10586">SUM(1-'Sparkling Model'!D$2:D$38^A10586)</f>
        <v>36.98161634</v>
      </c>
      <c r="C10586" s="8">
        <f t="array" ref="C10586">PRODUCT(1-'Sparkling Model'!D$2:D$38^A10586)</f>
        <v>0.981735687</v>
      </c>
    </row>
    <row r="10587">
      <c r="A10587" s="6">
        <v>10585.0</v>
      </c>
      <c r="B10587" s="17">
        <f t="array" ref="B10587">SUM(1-'Sparkling Model'!D$2:D$38^A10587)</f>
        <v>36.98162554</v>
      </c>
      <c r="C10587" s="8">
        <f t="array" ref="C10587">PRODUCT(1-'Sparkling Model'!D$2:D$38^A10587)</f>
        <v>0.9817447586</v>
      </c>
    </row>
    <row r="10588">
      <c r="A10588" s="6">
        <v>10586.0</v>
      </c>
      <c r="B10588" s="17">
        <f t="array" ref="B10588">SUM(1-'Sparkling Model'!D$2:D$38^A10588)</f>
        <v>36.98163472</v>
      </c>
      <c r="C10588" s="8">
        <f t="array" ref="C10588">PRODUCT(1-'Sparkling Model'!D$2:D$38^A10588)</f>
        <v>0.9817538258</v>
      </c>
    </row>
    <row r="10589">
      <c r="A10589" s="6">
        <v>10587.0</v>
      </c>
      <c r="B10589" s="17">
        <f t="array" ref="B10589">SUM(1-'Sparkling Model'!D$2:D$38^A10589)</f>
        <v>36.98164391</v>
      </c>
      <c r="C10589" s="8">
        <f t="array" ref="C10589">PRODUCT(1-'Sparkling Model'!D$2:D$38^A10589)</f>
        <v>0.9817628884</v>
      </c>
    </row>
    <row r="10590">
      <c r="A10590" s="6">
        <v>10588.0</v>
      </c>
      <c r="B10590" s="17">
        <f t="array" ref="B10590">SUM(1-'Sparkling Model'!D$2:D$38^A10590)</f>
        <v>36.98165308</v>
      </c>
      <c r="C10590" s="8">
        <f t="array" ref="C10590">PRODUCT(1-'Sparkling Model'!D$2:D$38^A10590)</f>
        <v>0.9817719466</v>
      </c>
    </row>
    <row r="10591">
      <c r="A10591" s="6">
        <v>10589.0</v>
      </c>
      <c r="B10591" s="17">
        <f t="array" ref="B10591">SUM(1-'Sparkling Model'!D$2:D$38^A10591)</f>
        <v>36.98166226</v>
      </c>
      <c r="C10591" s="8">
        <f t="array" ref="C10591">PRODUCT(1-'Sparkling Model'!D$2:D$38^A10591)</f>
        <v>0.9817810002</v>
      </c>
    </row>
    <row r="10592">
      <c r="A10592" s="6">
        <v>10590.0</v>
      </c>
      <c r="B10592" s="17">
        <f t="array" ref="B10592">SUM(1-'Sparkling Model'!D$2:D$38^A10592)</f>
        <v>36.98167142</v>
      </c>
      <c r="C10592" s="8">
        <f t="array" ref="C10592">PRODUCT(1-'Sparkling Model'!D$2:D$38^A10592)</f>
        <v>0.9817900493</v>
      </c>
    </row>
    <row r="10593">
      <c r="A10593" s="6">
        <v>10591.0</v>
      </c>
      <c r="B10593" s="17">
        <f t="array" ref="B10593">SUM(1-'Sparkling Model'!D$2:D$38^A10593)</f>
        <v>36.98168059</v>
      </c>
      <c r="C10593" s="8">
        <f t="array" ref="C10593">PRODUCT(1-'Sparkling Model'!D$2:D$38^A10593)</f>
        <v>0.9817990939</v>
      </c>
    </row>
    <row r="10594">
      <c r="A10594" s="6">
        <v>10592.0</v>
      </c>
      <c r="B10594" s="17">
        <f t="array" ref="B10594">SUM(1-'Sparkling Model'!D$2:D$38^A10594)</f>
        <v>36.98168975</v>
      </c>
      <c r="C10594" s="8">
        <f t="array" ref="C10594">PRODUCT(1-'Sparkling Model'!D$2:D$38^A10594)</f>
        <v>0.981808134</v>
      </c>
    </row>
    <row r="10595">
      <c r="A10595" s="6">
        <v>10593.0</v>
      </c>
      <c r="B10595" s="17">
        <f t="array" ref="B10595">SUM(1-'Sparkling Model'!D$2:D$38^A10595)</f>
        <v>36.9816989</v>
      </c>
      <c r="C10595" s="8">
        <f t="array" ref="C10595">PRODUCT(1-'Sparkling Model'!D$2:D$38^A10595)</f>
        <v>0.9818171696</v>
      </c>
    </row>
    <row r="10596">
      <c r="A10596" s="6">
        <v>10594.0</v>
      </c>
      <c r="B10596" s="17">
        <f t="array" ref="B10596">SUM(1-'Sparkling Model'!D$2:D$38^A10596)</f>
        <v>36.98170805</v>
      </c>
      <c r="C10596" s="8">
        <f t="array" ref="C10596">PRODUCT(1-'Sparkling Model'!D$2:D$38^A10596)</f>
        <v>0.9818262007</v>
      </c>
    </row>
    <row r="10597">
      <c r="A10597" s="6">
        <v>10595.0</v>
      </c>
      <c r="B10597" s="17">
        <f t="array" ref="B10597">SUM(1-'Sparkling Model'!D$2:D$38^A10597)</f>
        <v>36.9817172</v>
      </c>
      <c r="C10597" s="8">
        <f t="array" ref="C10597">PRODUCT(1-'Sparkling Model'!D$2:D$38^A10597)</f>
        <v>0.9818352273</v>
      </c>
    </row>
    <row r="10598">
      <c r="A10598" s="6">
        <v>10596.0</v>
      </c>
      <c r="B10598" s="17">
        <f t="array" ref="B10598">SUM(1-'Sparkling Model'!D$2:D$38^A10598)</f>
        <v>36.98172634</v>
      </c>
      <c r="C10598" s="8">
        <f t="array" ref="C10598">PRODUCT(1-'Sparkling Model'!D$2:D$38^A10598)</f>
        <v>0.9818442494</v>
      </c>
    </row>
    <row r="10599">
      <c r="A10599" s="6">
        <v>10597.0</v>
      </c>
      <c r="B10599" s="17">
        <f t="array" ref="B10599">SUM(1-'Sparkling Model'!D$2:D$38^A10599)</f>
        <v>36.98173548</v>
      </c>
      <c r="C10599" s="8">
        <f t="array" ref="C10599">PRODUCT(1-'Sparkling Model'!D$2:D$38^A10599)</f>
        <v>0.981853267</v>
      </c>
    </row>
    <row r="10600">
      <c r="A10600" s="6">
        <v>10598.0</v>
      </c>
      <c r="B10600" s="17">
        <f t="array" ref="B10600">SUM(1-'Sparkling Model'!D$2:D$38^A10600)</f>
        <v>36.98174461</v>
      </c>
      <c r="C10600" s="8">
        <f t="array" ref="C10600">PRODUCT(1-'Sparkling Model'!D$2:D$38^A10600)</f>
        <v>0.9818622801</v>
      </c>
    </row>
    <row r="10601">
      <c r="A10601" s="6">
        <v>10599.0</v>
      </c>
      <c r="B10601" s="17">
        <f t="array" ref="B10601">SUM(1-'Sparkling Model'!D$2:D$38^A10601)</f>
        <v>36.98175373</v>
      </c>
      <c r="C10601" s="8">
        <f t="array" ref="C10601">PRODUCT(1-'Sparkling Model'!D$2:D$38^A10601)</f>
        <v>0.9818712888</v>
      </c>
    </row>
    <row r="10602">
      <c r="A10602" s="6">
        <v>10600.0</v>
      </c>
      <c r="B10602" s="17">
        <f t="array" ref="B10602">SUM(1-'Sparkling Model'!D$2:D$38^A10602)</f>
        <v>36.98176286</v>
      </c>
      <c r="C10602" s="8">
        <f t="array" ref="C10602">PRODUCT(1-'Sparkling Model'!D$2:D$38^A10602)</f>
        <v>0.9818802929</v>
      </c>
    </row>
    <row r="10603">
      <c r="A10603" s="6">
        <v>10601.0</v>
      </c>
      <c r="B10603" s="17">
        <f t="array" ref="B10603">SUM(1-'Sparkling Model'!D$2:D$38^A10603)</f>
        <v>36.98177197</v>
      </c>
      <c r="C10603" s="8">
        <f t="array" ref="C10603">PRODUCT(1-'Sparkling Model'!D$2:D$38^A10603)</f>
        <v>0.9818892926</v>
      </c>
    </row>
    <row r="10604">
      <c r="A10604" s="6">
        <v>10602.0</v>
      </c>
      <c r="B10604" s="17">
        <f t="array" ref="B10604">SUM(1-'Sparkling Model'!D$2:D$38^A10604)</f>
        <v>36.98178109</v>
      </c>
      <c r="C10604" s="8">
        <f t="array" ref="C10604">PRODUCT(1-'Sparkling Model'!D$2:D$38^A10604)</f>
        <v>0.9818982878</v>
      </c>
    </row>
    <row r="10605">
      <c r="A10605" s="6">
        <v>10603.0</v>
      </c>
      <c r="B10605" s="17">
        <f t="array" ref="B10605">SUM(1-'Sparkling Model'!D$2:D$38^A10605)</f>
        <v>36.9817902</v>
      </c>
      <c r="C10605" s="8">
        <f t="array" ref="C10605">PRODUCT(1-'Sparkling Model'!D$2:D$38^A10605)</f>
        <v>0.9819072785</v>
      </c>
    </row>
    <row r="10606">
      <c r="A10606" s="6">
        <v>10604.0</v>
      </c>
      <c r="B10606" s="17">
        <f t="array" ref="B10606">SUM(1-'Sparkling Model'!D$2:D$38^A10606)</f>
        <v>36.9817993</v>
      </c>
      <c r="C10606" s="8">
        <f t="array" ref="C10606">PRODUCT(1-'Sparkling Model'!D$2:D$38^A10606)</f>
        <v>0.9819162647</v>
      </c>
    </row>
    <row r="10607">
      <c r="A10607" s="6">
        <v>10605.0</v>
      </c>
      <c r="B10607" s="17">
        <f t="array" ref="B10607">SUM(1-'Sparkling Model'!D$2:D$38^A10607)</f>
        <v>36.9818084</v>
      </c>
      <c r="C10607" s="8">
        <f t="array" ref="C10607">PRODUCT(1-'Sparkling Model'!D$2:D$38^A10607)</f>
        <v>0.9819252465</v>
      </c>
    </row>
    <row r="10608">
      <c r="A10608" s="6">
        <v>10606.0</v>
      </c>
      <c r="B10608" s="17">
        <f t="array" ref="B10608">SUM(1-'Sparkling Model'!D$2:D$38^A10608)</f>
        <v>36.98181749</v>
      </c>
      <c r="C10608" s="8">
        <f t="array" ref="C10608">PRODUCT(1-'Sparkling Model'!D$2:D$38^A10608)</f>
        <v>0.9819342237</v>
      </c>
    </row>
    <row r="10609">
      <c r="A10609" s="6">
        <v>10607.0</v>
      </c>
      <c r="B10609" s="17">
        <f t="array" ref="B10609">SUM(1-'Sparkling Model'!D$2:D$38^A10609)</f>
        <v>36.98182658</v>
      </c>
      <c r="C10609" s="8">
        <f t="array" ref="C10609">PRODUCT(1-'Sparkling Model'!D$2:D$38^A10609)</f>
        <v>0.9819431965</v>
      </c>
    </row>
    <row r="10610">
      <c r="A10610" s="6">
        <v>10608.0</v>
      </c>
      <c r="B10610" s="17">
        <f t="array" ref="B10610">SUM(1-'Sparkling Model'!D$2:D$38^A10610)</f>
        <v>36.98183567</v>
      </c>
      <c r="C10610" s="8">
        <f t="array" ref="C10610">PRODUCT(1-'Sparkling Model'!D$2:D$38^A10610)</f>
        <v>0.9819521649</v>
      </c>
    </row>
    <row r="10611">
      <c r="A10611" s="6">
        <v>10609.0</v>
      </c>
      <c r="B10611" s="17">
        <f t="array" ref="B10611">SUM(1-'Sparkling Model'!D$2:D$38^A10611)</f>
        <v>36.98184475</v>
      </c>
      <c r="C10611" s="8">
        <f t="array" ref="C10611">PRODUCT(1-'Sparkling Model'!D$2:D$38^A10611)</f>
        <v>0.9819611288</v>
      </c>
    </row>
    <row r="10612">
      <c r="A10612" s="6">
        <v>10610.0</v>
      </c>
      <c r="B10612" s="17">
        <f t="array" ref="B10612">SUM(1-'Sparkling Model'!D$2:D$38^A10612)</f>
        <v>36.98185383</v>
      </c>
      <c r="C10612" s="8">
        <f t="array" ref="C10612">PRODUCT(1-'Sparkling Model'!D$2:D$38^A10612)</f>
        <v>0.9819700882</v>
      </c>
    </row>
    <row r="10613">
      <c r="A10613" s="6">
        <v>10611.0</v>
      </c>
      <c r="B10613" s="17">
        <f t="array" ref="B10613">SUM(1-'Sparkling Model'!D$2:D$38^A10613)</f>
        <v>36.9818629</v>
      </c>
      <c r="C10613" s="8">
        <f t="array" ref="C10613">PRODUCT(1-'Sparkling Model'!D$2:D$38^A10613)</f>
        <v>0.9819790431</v>
      </c>
    </row>
    <row r="10614">
      <c r="A10614" s="6">
        <v>10612.0</v>
      </c>
      <c r="B10614" s="17">
        <f t="array" ref="B10614">SUM(1-'Sparkling Model'!D$2:D$38^A10614)</f>
        <v>36.98187197</v>
      </c>
      <c r="C10614" s="8">
        <f t="array" ref="C10614">PRODUCT(1-'Sparkling Model'!D$2:D$38^A10614)</f>
        <v>0.9819879936</v>
      </c>
    </row>
    <row r="10615">
      <c r="A10615" s="6">
        <v>10613.0</v>
      </c>
      <c r="B10615" s="17">
        <f t="array" ref="B10615">SUM(1-'Sparkling Model'!D$2:D$38^A10615)</f>
        <v>36.98188103</v>
      </c>
      <c r="C10615" s="8">
        <f t="array" ref="C10615">PRODUCT(1-'Sparkling Model'!D$2:D$38^A10615)</f>
        <v>0.9819969397</v>
      </c>
    </row>
    <row r="10616">
      <c r="A10616" s="6">
        <v>10614.0</v>
      </c>
      <c r="B10616" s="17">
        <f t="array" ref="B10616">SUM(1-'Sparkling Model'!D$2:D$38^A10616)</f>
        <v>36.98189009</v>
      </c>
      <c r="C10616" s="8">
        <f t="array" ref="C10616">PRODUCT(1-'Sparkling Model'!D$2:D$38^A10616)</f>
        <v>0.9820058813</v>
      </c>
    </row>
    <row r="10617">
      <c r="A10617" s="6">
        <v>10615.0</v>
      </c>
      <c r="B10617" s="17">
        <f t="array" ref="B10617">SUM(1-'Sparkling Model'!D$2:D$38^A10617)</f>
        <v>36.98189914</v>
      </c>
      <c r="C10617" s="8">
        <f t="array" ref="C10617">PRODUCT(1-'Sparkling Model'!D$2:D$38^A10617)</f>
        <v>0.9820148184</v>
      </c>
    </row>
    <row r="10618">
      <c r="A10618" s="6">
        <v>10616.0</v>
      </c>
      <c r="B10618" s="17">
        <f t="array" ref="B10618">SUM(1-'Sparkling Model'!D$2:D$38^A10618)</f>
        <v>36.98190819</v>
      </c>
      <c r="C10618" s="8">
        <f t="array" ref="C10618">PRODUCT(1-'Sparkling Model'!D$2:D$38^A10618)</f>
        <v>0.9820237511</v>
      </c>
    </row>
    <row r="10619">
      <c r="A10619" s="6">
        <v>10617.0</v>
      </c>
      <c r="B10619" s="17">
        <f t="array" ref="B10619">SUM(1-'Sparkling Model'!D$2:D$38^A10619)</f>
        <v>36.98191724</v>
      </c>
      <c r="C10619" s="8">
        <f t="array" ref="C10619">PRODUCT(1-'Sparkling Model'!D$2:D$38^A10619)</f>
        <v>0.9820326793</v>
      </c>
    </row>
    <row r="10620">
      <c r="A10620" s="6">
        <v>10618.0</v>
      </c>
      <c r="B10620" s="17">
        <f t="array" ref="B10620">SUM(1-'Sparkling Model'!D$2:D$38^A10620)</f>
        <v>36.98192628</v>
      </c>
      <c r="C10620" s="8">
        <f t="array" ref="C10620">PRODUCT(1-'Sparkling Model'!D$2:D$38^A10620)</f>
        <v>0.9820416031</v>
      </c>
    </row>
    <row r="10621">
      <c r="A10621" s="6">
        <v>10619.0</v>
      </c>
      <c r="B10621" s="17">
        <f t="array" ref="B10621">SUM(1-'Sparkling Model'!D$2:D$38^A10621)</f>
        <v>36.98193531</v>
      </c>
      <c r="C10621" s="8">
        <f t="array" ref="C10621">PRODUCT(1-'Sparkling Model'!D$2:D$38^A10621)</f>
        <v>0.9820505225</v>
      </c>
    </row>
    <row r="10622">
      <c r="A10622" s="6">
        <v>10620.0</v>
      </c>
      <c r="B10622" s="17">
        <f t="array" ref="B10622">SUM(1-'Sparkling Model'!D$2:D$38^A10622)</f>
        <v>36.98194434</v>
      </c>
      <c r="C10622" s="8">
        <f t="array" ref="C10622">PRODUCT(1-'Sparkling Model'!D$2:D$38^A10622)</f>
        <v>0.9820594374</v>
      </c>
    </row>
    <row r="10623">
      <c r="A10623" s="6">
        <v>10621.0</v>
      </c>
      <c r="B10623" s="17">
        <f t="array" ref="B10623">SUM(1-'Sparkling Model'!D$2:D$38^A10623)</f>
        <v>36.98195337</v>
      </c>
      <c r="C10623" s="8">
        <f t="array" ref="C10623">PRODUCT(1-'Sparkling Model'!D$2:D$38^A10623)</f>
        <v>0.9820683478</v>
      </c>
    </row>
    <row r="10624">
      <c r="A10624" s="6">
        <v>10622.0</v>
      </c>
      <c r="B10624" s="17">
        <f t="array" ref="B10624">SUM(1-'Sparkling Model'!D$2:D$38^A10624)</f>
        <v>36.98196239</v>
      </c>
      <c r="C10624" s="8">
        <f t="array" ref="C10624">PRODUCT(1-'Sparkling Model'!D$2:D$38^A10624)</f>
        <v>0.9820772539</v>
      </c>
    </row>
    <row r="10625">
      <c r="A10625" s="6">
        <v>10623.0</v>
      </c>
      <c r="B10625" s="17">
        <f t="array" ref="B10625">SUM(1-'Sparkling Model'!D$2:D$38^A10625)</f>
        <v>36.98197141</v>
      </c>
      <c r="C10625" s="8">
        <f t="array" ref="C10625">PRODUCT(1-'Sparkling Model'!D$2:D$38^A10625)</f>
        <v>0.9820861555</v>
      </c>
    </row>
    <row r="10626">
      <c r="A10626" s="6">
        <v>10624.0</v>
      </c>
      <c r="B10626" s="17">
        <f t="array" ref="B10626">SUM(1-'Sparkling Model'!D$2:D$38^A10626)</f>
        <v>36.98198042</v>
      </c>
      <c r="C10626" s="8">
        <f t="array" ref="C10626">PRODUCT(1-'Sparkling Model'!D$2:D$38^A10626)</f>
        <v>0.9820950526</v>
      </c>
    </row>
    <row r="10627">
      <c r="A10627" s="6">
        <v>10625.0</v>
      </c>
      <c r="B10627" s="17">
        <f t="array" ref="B10627">SUM(1-'Sparkling Model'!D$2:D$38^A10627)</f>
        <v>36.98198943</v>
      </c>
      <c r="C10627" s="8">
        <f t="array" ref="C10627">PRODUCT(1-'Sparkling Model'!D$2:D$38^A10627)</f>
        <v>0.9821039453</v>
      </c>
    </row>
    <row r="10628">
      <c r="A10628" s="6">
        <v>10626.0</v>
      </c>
      <c r="B10628" s="17">
        <f t="array" ref="B10628">SUM(1-'Sparkling Model'!D$2:D$38^A10628)</f>
        <v>36.98199843</v>
      </c>
      <c r="C10628" s="8">
        <f t="array" ref="C10628">PRODUCT(1-'Sparkling Model'!D$2:D$38^A10628)</f>
        <v>0.9821128337</v>
      </c>
    </row>
    <row r="10629">
      <c r="A10629" s="6">
        <v>10627.0</v>
      </c>
      <c r="B10629" s="17">
        <f t="array" ref="B10629">SUM(1-'Sparkling Model'!D$2:D$38^A10629)</f>
        <v>36.98200743</v>
      </c>
      <c r="C10629" s="8">
        <f t="array" ref="C10629">PRODUCT(1-'Sparkling Model'!D$2:D$38^A10629)</f>
        <v>0.9821217175</v>
      </c>
    </row>
    <row r="10630">
      <c r="A10630" s="6">
        <v>10628.0</v>
      </c>
      <c r="B10630" s="17">
        <f t="array" ref="B10630">SUM(1-'Sparkling Model'!D$2:D$38^A10630)</f>
        <v>36.98201642</v>
      </c>
      <c r="C10630" s="8">
        <f t="array" ref="C10630">PRODUCT(1-'Sparkling Model'!D$2:D$38^A10630)</f>
        <v>0.982130597</v>
      </c>
    </row>
    <row r="10631">
      <c r="A10631" s="6">
        <v>10629.0</v>
      </c>
      <c r="B10631" s="17">
        <f t="array" ref="B10631">SUM(1-'Sparkling Model'!D$2:D$38^A10631)</f>
        <v>36.98202541</v>
      </c>
      <c r="C10631" s="8">
        <f t="array" ref="C10631">PRODUCT(1-'Sparkling Model'!D$2:D$38^A10631)</f>
        <v>0.982139472</v>
      </c>
    </row>
    <row r="10632">
      <c r="A10632" s="6">
        <v>10630.0</v>
      </c>
      <c r="B10632" s="17">
        <f t="array" ref="B10632">SUM(1-'Sparkling Model'!D$2:D$38^A10632)</f>
        <v>36.9820344</v>
      </c>
      <c r="C10632" s="8">
        <f t="array" ref="C10632">PRODUCT(1-'Sparkling Model'!D$2:D$38^A10632)</f>
        <v>0.9821483426</v>
      </c>
    </row>
    <row r="10633">
      <c r="A10633" s="6">
        <v>10631.0</v>
      </c>
      <c r="B10633" s="17">
        <f t="array" ref="B10633">SUM(1-'Sparkling Model'!D$2:D$38^A10633)</f>
        <v>36.98204338</v>
      </c>
      <c r="C10633" s="8">
        <f t="array" ref="C10633">PRODUCT(1-'Sparkling Model'!D$2:D$38^A10633)</f>
        <v>0.9821572088</v>
      </c>
    </row>
    <row r="10634">
      <c r="A10634" s="6">
        <v>10632.0</v>
      </c>
      <c r="B10634" s="17">
        <f t="array" ref="B10634">SUM(1-'Sparkling Model'!D$2:D$38^A10634)</f>
        <v>36.98205236</v>
      </c>
      <c r="C10634" s="8">
        <f t="array" ref="C10634">PRODUCT(1-'Sparkling Model'!D$2:D$38^A10634)</f>
        <v>0.9821660706</v>
      </c>
    </row>
    <row r="10635">
      <c r="A10635" s="6">
        <v>10633.0</v>
      </c>
      <c r="B10635" s="17">
        <f t="array" ref="B10635">SUM(1-'Sparkling Model'!D$2:D$38^A10635)</f>
        <v>36.98206133</v>
      </c>
      <c r="C10635" s="8">
        <f t="array" ref="C10635">PRODUCT(1-'Sparkling Model'!D$2:D$38^A10635)</f>
        <v>0.982174928</v>
      </c>
    </row>
    <row r="10636">
      <c r="A10636" s="6">
        <v>10634.0</v>
      </c>
      <c r="B10636" s="17">
        <f t="array" ref="B10636">SUM(1-'Sparkling Model'!D$2:D$38^A10636)</f>
        <v>36.9820703</v>
      </c>
      <c r="C10636" s="8">
        <f t="array" ref="C10636">PRODUCT(1-'Sparkling Model'!D$2:D$38^A10636)</f>
        <v>0.982183781</v>
      </c>
    </row>
    <row r="10637">
      <c r="A10637" s="6">
        <v>10635.0</v>
      </c>
      <c r="B10637" s="17">
        <f t="array" ref="B10637">SUM(1-'Sparkling Model'!D$2:D$38^A10637)</f>
        <v>36.98207926</v>
      </c>
      <c r="C10637" s="8">
        <f t="array" ref="C10637">PRODUCT(1-'Sparkling Model'!D$2:D$38^A10637)</f>
        <v>0.9821926295</v>
      </c>
    </row>
    <row r="10638">
      <c r="A10638" s="6">
        <v>10636.0</v>
      </c>
      <c r="B10638" s="17">
        <f t="array" ref="B10638">SUM(1-'Sparkling Model'!D$2:D$38^A10638)</f>
        <v>36.98208822</v>
      </c>
      <c r="C10638" s="8">
        <f t="array" ref="C10638">PRODUCT(1-'Sparkling Model'!D$2:D$38^A10638)</f>
        <v>0.9822014737</v>
      </c>
    </row>
    <row r="10639">
      <c r="A10639" s="6">
        <v>10637.0</v>
      </c>
      <c r="B10639" s="17">
        <f t="array" ref="B10639">SUM(1-'Sparkling Model'!D$2:D$38^A10639)</f>
        <v>36.98209717</v>
      </c>
      <c r="C10639" s="8">
        <f t="array" ref="C10639">PRODUCT(1-'Sparkling Model'!D$2:D$38^A10639)</f>
        <v>0.9822103134</v>
      </c>
    </row>
    <row r="10640">
      <c r="A10640" s="6">
        <v>10638.0</v>
      </c>
      <c r="B10640" s="17">
        <f t="array" ref="B10640">SUM(1-'Sparkling Model'!D$2:D$38^A10640)</f>
        <v>36.98210612</v>
      </c>
      <c r="C10640" s="8">
        <f t="array" ref="C10640">PRODUCT(1-'Sparkling Model'!D$2:D$38^A10640)</f>
        <v>0.9822191487</v>
      </c>
    </row>
    <row r="10641">
      <c r="A10641" s="6">
        <v>10639.0</v>
      </c>
      <c r="B10641" s="17">
        <f t="array" ref="B10641">SUM(1-'Sparkling Model'!D$2:D$38^A10641)</f>
        <v>36.98211506</v>
      </c>
      <c r="C10641" s="8">
        <f t="array" ref="C10641">PRODUCT(1-'Sparkling Model'!D$2:D$38^A10641)</f>
        <v>0.9822279797</v>
      </c>
    </row>
    <row r="10642">
      <c r="A10642" s="6">
        <v>10640.0</v>
      </c>
      <c r="B10642" s="17">
        <f t="array" ref="B10642">SUM(1-'Sparkling Model'!D$2:D$38^A10642)</f>
        <v>36.982124</v>
      </c>
      <c r="C10642" s="8">
        <f t="array" ref="C10642">PRODUCT(1-'Sparkling Model'!D$2:D$38^A10642)</f>
        <v>0.9822368062</v>
      </c>
    </row>
    <row r="10643">
      <c r="A10643" s="6">
        <v>10641.0</v>
      </c>
      <c r="B10643" s="17">
        <f t="array" ref="B10643">SUM(1-'Sparkling Model'!D$2:D$38^A10643)</f>
        <v>36.98213294</v>
      </c>
      <c r="C10643" s="8">
        <f t="array" ref="C10643">PRODUCT(1-'Sparkling Model'!D$2:D$38^A10643)</f>
        <v>0.9822456284</v>
      </c>
    </row>
    <row r="10644">
      <c r="A10644" s="6">
        <v>10642.0</v>
      </c>
      <c r="B10644" s="17">
        <f t="array" ref="B10644">SUM(1-'Sparkling Model'!D$2:D$38^A10644)</f>
        <v>36.98214187</v>
      </c>
      <c r="C10644" s="8">
        <f t="array" ref="C10644">PRODUCT(1-'Sparkling Model'!D$2:D$38^A10644)</f>
        <v>0.9822544461</v>
      </c>
    </row>
    <row r="10645">
      <c r="A10645" s="6">
        <v>10643.0</v>
      </c>
      <c r="B10645" s="17">
        <f t="array" ref="B10645">SUM(1-'Sparkling Model'!D$2:D$38^A10645)</f>
        <v>36.9821508</v>
      </c>
      <c r="C10645" s="8">
        <f t="array" ref="C10645">PRODUCT(1-'Sparkling Model'!D$2:D$38^A10645)</f>
        <v>0.9822632595</v>
      </c>
    </row>
    <row r="10646">
      <c r="A10646" s="6">
        <v>10644.0</v>
      </c>
      <c r="B10646" s="17">
        <f t="array" ref="B10646">SUM(1-'Sparkling Model'!D$2:D$38^A10646)</f>
        <v>36.98215972</v>
      </c>
      <c r="C10646" s="8">
        <f t="array" ref="C10646">PRODUCT(1-'Sparkling Model'!D$2:D$38^A10646)</f>
        <v>0.9822720685</v>
      </c>
    </row>
    <row r="10647">
      <c r="A10647" s="6">
        <v>10645.0</v>
      </c>
      <c r="B10647" s="17">
        <f t="array" ref="B10647">SUM(1-'Sparkling Model'!D$2:D$38^A10647)</f>
        <v>36.98216864</v>
      </c>
      <c r="C10647" s="8">
        <f t="array" ref="C10647">PRODUCT(1-'Sparkling Model'!D$2:D$38^A10647)</f>
        <v>0.9822808731</v>
      </c>
    </row>
    <row r="10648">
      <c r="A10648" s="6">
        <v>10646.0</v>
      </c>
      <c r="B10648" s="17">
        <f t="array" ref="B10648">SUM(1-'Sparkling Model'!D$2:D$38^A10648)</f>
        <v>36.98217755</v>
      </c>
      <c r="C10648" s="8">
        <f t="array" ref="C10648">PRODUCT(1-'Sparkling Model'!D$2:D$38^A10648)</f>
        <v>0.9822896733</v>
      </c>
    </row>
    <row r="10649">
      <c r="A10649" s="6">
        <v>10647.0</v>
      </c>
      <c r="B10649" s="17">
        <f t="array" ref="B10649">SUM(1-'Sparkling Model'!D$2:D$38^A10649)</f>
        <v>36.98218646</v>
      </c>
      <c r="C10649" s="8">
        <f t="array" ref="C10649">PRODUCT(1-'Sparkling Model'!D$2:D$38^A10649)</f>
        <v>0.9822984691</v>
      </c>
    </row>
    <row r="10650">
      <c r="A10650" s="6">
        <v>10648.0</v>
      </c>
      <c r="B10650" s="17">
        <f t="array" ref="B10650">SUM(1-'Sparkling Model'!D$2:D$38^A10650)</f>
        <v>36.98219536</v>
      </c>
      <c r="C10650" s="8">
        <f t="array" ref="C10650">PRODUCT(1-'Sparkling Model'!D$2:D$38^A10650)</f>
        <v>0.9823072606</v>
      </c>
    </row>
    <row r="10651">
      <c r="A10651" s="6">
        <v>10649.0</v>
      </c>
      <c r="B10651" s="17">
        <f t="array" ref="B10651">SUM(1-'Sparkling Model'!D$2:D$38^A10651)</f>
        <v>36.98220426</v>
      </c>
      <c r="C10651" s="8">
        <f t="array" ref="C10651">PRODUCT(1-'Sparkling Model'!D$2:D$38^A10651)</f>
        <v>0.9823160476</v>
      </c>
    </row>
    <row r="10652">
      <c r="A10652" s="6">
        <v>10650.0</v>
      </c>
      <c r="B10652" s="17">
        <f t="array" ref="B10652">SUM(1-'Sparkling Model'!D$2:D$38^A10652)</f>
        <v>36.98221316</v>
      </c>
      <c r="C10652" s="8">
        <f t="array" ref="C10652">PRODUCT(1-'Sparkling Model'!D$2:D$38^A10652)</f>
        <v>0.9823248303</v>
      </c>
    </row>
    <row r="10653">
      <c r="A10653" s="6">
        <v>10651.0</v>
      </c>
      <c r="B10653" s="17">
        <f t="array" ref="B10653">SUM(1-'Sparkling Model'!D$2:D$38^A10653)</f>
        <v>36.98222205</v>
      </c>
      <c r="C10653" s="8">
        <f t="array" ref="C10653">PRODUCT(1-'Sparkling Model'!D$2:D$38^A10653)</f>
        <v>0.9823336087</v>
      </c>
    </row>
    <row r="10654">
      <c r="A10654" s="6">
        <v>10652.0</v>
      </c>
      <c r="B10654" s="17">
        <f t="array" ref="B10654">SUM(1-'Sparkling Model'!D$2:D$38^A10654)</f>
        <v>36.98223093</v>
      </c>
      <c r="C10654" s="8">
        <f t="array" ref="C10654">PRODUCT(1-'Sparkling Model'!D$2:D$38^A10654)</f>
        <v>0.9823423826</v>
      </c>
    </row>
    <row r="10655">
      <c r="A10655" s="6">
        <v>10653.0</v>
      </c>
      <c r="B10655" s="17">
        <f t="array" ref="B10655">SUM(1-'Sparkling Model'!D$2:D$38^A10655)</f>
        <v>36.98223982</v>
      </c>
      <c r="C10655" s="8">
        <f t="array" ref="C10655">PRODUCT(1-'Sparkling Model'!D$2:D$38^A10655)</f>
        <v>0.9823511522</v>
      </c>
    </row>
    <row r="10656">
      <c r="A10656" s="6">
        <v>10654.0</v>
      </c>
      <c r="B10656" s="17">
        <f t="array" ref="B10656">SUM(1-'Sparkling Model'!D$2:D$38^A10656)</f>
        <v>36.98224869</v>
      </c>
      <c r="C10656" s="8">
        <f t="array" ref="C10656">PRODUCT(1-'Sparkling Model'!D$2:D$38^A10656)</f>
        <v>0.9823599174</v>
      </c>
    </row>
    <row r="10657">
      <c r="A10657" s="6">
        <v>10655.0</v>
      </c>
      <c r="B10657" s="17">
        <f t="array" ref="B10657">SUM(1-'Sparkling Model'!D$2:D$38^A10657)</f>
        <v>36.98225757</v>
      </c>
      <c r="C10657" s="8">
        <f t="array" ref="C10657">PRODUCT(1-'Sparkling Model'!D$2:D$38^A10657)</f>
        <v>0.9823686783</v>
      </c>
    </row>
    <row r="10658">
      <c r="A10658" s="6">
        <v>10656.0</v>
      </c>
      <c r="B10658" s="17">
        <f t="array" ref="B10658">SUM(1-'Sparkling Model'!D$2:D$38^A10658)</f>
        <v>36.98226643</v>
      </c>
      <c r="C10658" s="8">
        <f t="array" ref="C10658">PRODUCT(1-'Sparkling Model'!D$2:D$38^A10658)</f>
        <v>0.9823774348</v>
      </c>
    </row>
    <row r="10659">
      <c r="A10659" s="6">
        <v>10657.0</v>
      </c>
      <c r="B10659" s="17">
        <f t="array" ref="B10659">SUM(1-'Sparkling Model'!D$2:D$38^A10659)</f>
        <v>36.9822753</v>
      </c>
      <c r="C10659" s="8">
        <f t="array" ref="C10659">PRODUCT(1-'Sparkling Model'!D$2:D$38^A10659)</f>
        <v>0.9823861869</v>
      </c>
    </row>
    <row r="10660">
      <c r="A10660" s="6">
        <v>10658.0</v>
      </c>
      <c r="B10660" s="17">
        <f t="array" ref="B10660">SUM(1-'Sparkling Model'!D$2:D$38^A10660)</f>
        <v>36.98228416</v>
      </c>
      <c r="C10660" s="8">
        <f t="array" ref="C10660">PRODUCT(1-'Sparkling Model'!D$2:D$38^A10660)</f>
        <v>0.9823949347</v>
      </c>
    </row>
    <row r="10661">
      <c r="A10661" s="6">
        <v>10659.0</v>
      </c>
      <c r="B10661" s="17">
        <f t="array" ref="B10661">SUM(1-'Sparkling Model'!D$2:D$38^A10661)</f>
        <v>36.98229301</v>
      </c>
      <c r="C10661" s="8">
        <f t="array" ref="C10661">PRODUCT(1-'Sparkling Model'!D$2:D$38^A10661)</f>
        <v>0.9824036781</v>
      </c>
    </row>
    <row r="10662">
      <c r="A10662" s="6">
        <v>10660.0</v>
      </c>
      <c r="B10662" s="17">
        <f t="array" ref="B10662">SUM(1-'Sparkling Model'!D$2:D$38^A10662)</f>
        <v>36.98230186</v>
      </c>
      <c r="C10662" s="8">
        <f t="array" ref="C10662">PRODUCT(1-'Sparkling Model'!D$2:D$38^A10662)</f>
        <v>0.9824124171</v>
      </c>
    </row>
    <row r="10663">
      <c r="A10663" s="6">
        <v>10661.0</v>
      </c>
      <c r="B10663" s="17">
        <f t="array" ref="B10663">SUM(1-'Sparkling Model'!D$2:D$38^A10663)</f>
        <v>36.98231071</v>
      </c>
      <c r="C10663" s="8">
        <f t="array" ref="C10663">PRODUCT(1-'Sparkling Model'!D$2:D$38^A10663)</f>
        <v>0.9824211519</v>
      </c>
    </row>
    <row r="10664">
      <c r="A10664" s="6">
        <v>10662.0</v>
      </c>
      <c r="B10664" s="17">
        <f t="array" ref="B10664">SUM(1-'Sparkling Model'!D$2:D$38^A10664)</f>
        <v>36.98231955</v>
      </c>
      <c r="C10664" s="8">
        <f t="array" ref="C10664">PRODUCT(1-'Sparkling Model'!D$2:D$38^A10664)</f>
        <v>0.9824298822</v>
      </c>
    </row>
    <row r="10665">
      <c r="A10665" s="6">
        <v>10663.0</v>
      </c>
      <c r="B10665" s="17">
        <f t="array" ref="B10665">SUM(1-'Sparkling Model'!D$2:D$38^A10665)</f>
        <v>36.98232839</v>
      </c>
      <c r="C10665" s="8">
        <f t="array" ref="C10665">PRODUCT(1-'Sparkling Model'!D$2:D$38^A10665)</f>
        <v>0.9824386082</v>
      </c>
    </row>
    <row r="10666">
      <c r="A10666" s="6">
        <v>10664.0</v>
      </c>
      <c r="B10666" s="17">
        <f t="array" ref="B10666">SUM(1-'Sparkling Model'!D$2:D$38^A10666)</f>
        <v>36.98233722</v>
      </c>
      <c r="C10666" s="8">
        <f t="array" ref="C10666">PRODUCT(1-'Sparkling Model'!D$2:D$38^A10666)</f>
        <v>0.9824473299</v>
      </c>
    </row>
    <row r="10667">
      <c r="A10667" s="6">
        <v>10665.0</v>
      </c>
      <c r="B10667" s="17">
        <f t="array" ref="B10667">SUM(1-'Sparkling Model'!D$2:D$38^A10667)</f>
        <v>36.98234605</v>
      </c>
      <c r="C10667" s="8">
        <f t="array" ref="C10667">PRODUCT(1-'Sparkling Model'!D$2:D$38^A10667)</f>
        <v>0.9824560472</v>
      </c>
    </row>
    <row r="10668">
      <c r="A10668" s="6">
        <v>10666.0</v>
      </c>
      <c r="B10668" s="17">
        <f t="array" ref="B10668">SUM(1-'Sparkling Model'!D$2:D$38^A10668)</f>
        <v>36.98235487</v>
      </c>
      <c r="C10668" s="8">
        <f t="array" ref="C10668">PRODUCT(1-'Sparkling Model'!D$2:D$38^A10668)</f>
        <v>0.9824647602</v>
      </c>
    </row>
    <row r="10669">
      <c r="A10669" s="6">
        <v>10667.0</v>
      </c>
      <c r="B10669" s="17">
        <f t="array" ref="B10669">SUM(1-'Sparkling Model'!D$2:D$38^A10669)</f>
        <v>36.98236369</v>
      </c>
      <c r="C10669" s="8">
        <f t="array" ref="C10669">PRODUCT(1-'Sparkling Model'!D$2:D$38^A10669)</f>
        <v>0.9824734689</v>
      </c>
    </row>
    <row r="10670">
      <c r="A10670" s="6">
        <v>10668.0</v>
      </c>
      <c r="B10670" s="17">
        <f t="array" ref="B10670">SUM(1-'Sparkling Model'!D$2:D$38^A10670)</f>
        <v>36.9823725</v>
      </c>
      <c r="C10670" s="8">
        <f t="array" ref="C10670">PRODUCT(1-'Sparkling Model'!D$2:D$38^A10670)</f>
        <v>0.9824821732</v>
      </c>
    </row>
    <row r="10671">
      <c r="A10671" s="6">
        <v>10669.0</v>
      </c>
      <c r="B10671" s="17">
        <f t="array" ref="B10671">SUM(1-'Sparkling Model'!D$2:D$38^A10671)</f>
        <v>36.98238132</v>
      </c>
      <c r="C10671" s="8">
        <f t="array" ref="C10671">PRODUCT(1-'Sparkling Model'!D$2:D$38^A10671)</f>
        <v>0.9824908732</v>
      </c>
    </row>
    <row r="10672">
      <c r="A10672" s="6">
        <v>10670.0</v>
      </c>
      <c r="B10672" s="17">
        <f t="array" ref="B10672">SUM(1-'Sparkling Model'!D$2:D$38^A10672)</f>
        <v>36.98239012</v>
      </c>
      <c r="C10672" s="8">
        <f t="array" ref="C10672">PRODUCT(1-'Sparkling Model'!D$2:D$38^A10672)</f>
        <v>0.9824995688</v>
      </c>
    </row>
    <row r="10673">
      <c r="A10673" s="6">
        <v>10671.0</v>
      </c>
      <c r="B10673" s="17">
        <f t="array" ref="B10673">SUM(1-'Sparkling Model'!D$2:D$38^A10673)</f>
        <v>36.98239892</v>
      </c>
      <c r="C10673" s="8">
        <f t="array" ref="C10673">PRODUCT(1-'Sparkling Model'!D$2:D$38^A10673)</f>
        <v>0.9825082601</v>
      </c>
    </row>
    <row r="10674">
      <c r="A10674" s="6">
        <v>10672.0</v>
      </c>
      <c r="B10674" s="17">
        <f t="array" ref="B10674">SUM(1-'Sparkling Model'!D$2:D$38^A10674)</f>
        <v>36.98240772</v>
      </c>
      <c r="C10674" s="8">
        <f t="array" ref="C10674">PRODUCT(1-'Sparkling Model'!D$2:D$38^A10674)</f>
        <v>0.9825169471</v>
      </c>
    </row>
    <row r="10675">
      <c r="A10675" s="6">
        <v>10673.0</v>
      </c>
      <c r="B10675" s="17">
        <f t="array" ref="B10675">SUM(1-'Sparkling Model'!D$2:D$38^A10675)</f>
        <v>36.98241651</v>
      </c>
      <c r="C10675" s="8">
        <f t="array" ref="C10675">PRODUCT(1-'Sparkling Model'!D$2:D$38^A10675)</f>
        <v>0.9825256298</v>
      </c>
    </row>
    <row r="10676">
      <c r="A10676" s="6">
        <v>10674.0</v>
      </c>
      <c r="B10676" s="17">
        <f t="array" ref="B10676">SUM(1-'Sparkling Model'!D$2:D$38^A10676)</f>
        <v>36.9824253</v>
      </c>
      <c r="C10676" s="8">
        <f t="array" ref="C10676">PRODUCT(1-'Sparkling Model'!D$2:D$38^A10676)</f>
        <v>0.9825343081</v>
      </c>
    </row>
    <row r="10677">
      <c r="A10677" s="6">
        <v>10675.0</v>
      </c>
      <c r="B10677" s="17">
        <f t="array" ref="B10677">SUM(1-'Sparkling Model'!D$2:D$38^A10677)</f>
        <v>36.98243408</v>
      </c>
      <c r="C10677" s="8">
        <f t="array" ref="C10677">PRODUCT(1-'Sparkling Model'!D$2:D$38^A10677)</f>
        <v>0.9825429822</v>
      </c>
    </row>
    <row r="10678">
      <c r="A10678" s="6">
        <v>10676.0</v>
      </c>
      <c r="B10678" s="17">
        <f t="array" ref="B10678">SUM(1-'Sparkling Model'!D$2:D$38^A10678)</f>
        <v>36.98244286</v>
      </c>
      <c r="C10678" s="8">
        <f t="array" ref="C10678">PRODUCT(1-'Sparkling Model'!D$2:D$38^A10678)</f>
        <v>0.9825516519</v>
      </c>
    </row>
    <row r="10679">
      <c r="A10679" s="6">
        <v>10677.0</v>
      </c>
      <c r="B10679" s="17">
        <f t="array" ref="B10679">SUM(1-'Sparkling Model'!D$2:D$38^A10679)</f>
        <v>36.98245164</v>
      </c>
      <c r="C10679" s="8">
        <f t="array" ref="C10679">PRODUCT(1-'Sparkling Model'!D$2:D$38^A10679)</f>
        <v>0.9825603173</v>
      </c>
    </row>
    <row r="10680">
      <c r="A10680" s="6">
        <v>10678.0</v>
      </c>
      <c r="B10680" s="17">
        <f t="array" ref="B10680">SUM(1-'Sparkling Model'!D$2:D$38^A10680)</f>
        <v>36.98246041</v>
      </c>
      <c r="C10680" s="8">
        <f t="array" ref="C10680">PRODUCT(1-'Sparkling Model'!D$2:D$38^A10680)</f>
        <v>0.9825689783</v>
      </c>
    </row>
    <row r="10681">
      <c r="A10681" s="6">
        <v>10679.0</v>
      </c>
      <c r="B10681" s="17">
        <f t="array" ref="B10681">SUM(1-'Sparkling Model'!D$2:D$38^A10681)</f>
        <v>36.98246917</v>
      </c>
      <c r="C10681" s="8">
        <f t="array" ref="C10681">PRODUCT(1-'Sparkling Model'!D$2:D$38^A10681)</f>
        <v>0.9825776351</v>
      </c>
    </row>
    <row r="10682">
      <c r="A10682" s="6">
        <v>10680.0</v>
      </c>
      <c r="B10682" s="17">
        <f t="array" ref="B10682">SUM(1-'Sparkling Model'!D$2:D$38^A10682)</f>
        <v>36.98247794</v>
      </c>
      <c r="C10682" s="8">
        <f t="array" ref="C10682">PRODUCT(1-'Sparkling Model'!D$2:D$38^A10682)</f>
        <v>0.9825862875</v>
      </c>
    </row>
    <row r="10683">
      <c r="A10683" s="6">
        <v>10681.0</v>
      </c>
      <c r="B10683" s="17">
        <f t="array" ref="B10683">SUM(1-'Sparkling Model'!D$2:D$38^A10683)</f>
        <v>36.98248669</v>
      </c>
      <c r="C10683" s="8">
        <f t="array" ref="C10683">PRODUCT(1-'Sparkling Model'!D$2:D$38^A10683)</f>
        <v>0.9825949357</v>
      </c>
    </row>
    <row r="10684">
      <c r="A10684" s="6">
        <v>10682.0</v>
      </c>
      <c r="B10684" s="17">
        <f t="array" ref="B10684">SUM(1-'Sparkling Model'!D$2:D$38^A10684)</f>
        <v>36.98249545</v>
      </c>
      <c r="C10684" s="8">
        <f t="array" ref="C10684">PRODUCT(1-'Sparkling Model'!D$2:D$38^A10684)</f>
        <v>0.9826035795</v>
      </c>
    </row>
    <row r="10685">
      <c r="A10685" s="6">
        <v>10683.0</v>
      </c>
      <c r="B10685" s="17">
        <f t="array" ref="B10685">SUM(1-'Sparkling Model'!D$2:D$38^A10685)</f>
        <v>36.98250419</v>
      </c>
      <c r="C10685" s="8">
        <f t="array" ref="C10685">PRODUCT(1-'Sparkling Model'!D$2:D$38^A10685)</f>
        <v>0.982612219</v>
      </c>
    </row>
    <row r="10686">
      <c r="A10686" s="6">
        <v>10684.0</v>
      </c>
      <c r="B10686" s="17">
        <f t="array" ref="B10686">SUM(1-'Sparkling Model'!D$2:D$38^A10686)</f>
        <v>36.98251294</v>
      </c>
      <c r="C10686" s="8">
        <f t="array" ref="C10686">PRODUCT(1-'Sparkling Model'!D$2:D$38^A10686)</f>
        <v>0.9826208543</v>
      </c>
    </row>
    <row r="10687">
      <c r="A10687" s="6">
        <v>10685.0</v>
      </c>
      <c r="B10687" s="17">
        <f t="array" ref="B10687">SUM(1-'Sparkling Model'!D$2:D$38^A10687)</f>
        <v>36.98252168</v>
      </c>
      <c r="C10687" s="8">
        <f t="array" ref="C10687">PRODUCT(1-'Sparkling Model'!D$2:D$38^A10687)</f>
        <v>0.9826294852</v>
      </c>
    </row>
    <row r="10688">
      <c r="A10688" s="6">
        <v>10686.0</v>
      </c>
      <c r="B10688" s="17">
        <f t="array" ref="B10688">SUM(1-'Sparkling Model'!D$2:D$38^A10688)</f>
        <v>36.98253041</v>
      </c>
      <c r="C10688" s="8">
        <f t="array" ref="C10688">PRODUCT(1-'Sparkling Model'!D$2:D$38^A10688)</f>
        <v>0.9826381118</v>
      </c>
    </row>
    <row r="10689">
      <c r="A10689" s="6">
        <v>10687.0</v>
      </c>
      <c r="B10689" s="17">
        <f t="array" ref="B10689">SUM(1-'Sparkling Model'!D$2:D$38^A10689)</f>
        <v>36.98253914</v>
      </c>
      <c r="C10689" s="8">
        <f t="array" ref="C10689">PRODUCT(1-'Sparkling Model'!D$2:D$38^A10689)</f>
        <v>0.9826467342</v>
      </c>
    </row>
    <row r="10690">
      <c r="A10690" s="6">
        <v>10688.0</v>
      </c>
      <c r="B10690" s="17">
        <f t="array" ref="B10690">SUM(1-'Sparkling Model'!D$2:D$38^A10690)</f>
        <v>36.98254787</v>
      </c>
      <c r="C10690" s="8">
        <f t="array" ref="C10690">PRODUCT(1-'Sparkling Model'!D$2:D$38^A10690)</f>
        <v>0.9826553522</v>
      </c>
    </row>
    <row r="10691">
      <c r="A10691" s="6">
        <v>10689.0</v>
      </c>
      <c r="B10691" s="17">
        <f t="array" ref="B10691">SUM(1-'Sparkling Model'!D$2:D$38^A10691)</f>
        <v>36.98255659</v>
      </c>
      <c r="C10691" s="8">
        <f t="array" ref="C10691">PRODUCT(1-'Sparkling Model'!D$2:D$38^A10691)</f>
        <v>0.982663966</v>
      </c>
    </row>
    <row r="10692">
      <c r="A10692" s="6">
        <v>10690.0</v>
      </c>
      <c r="B10692" s="17">
        <f t="array" ref="B10692">SUM(1-'Sparkling Model'!D$2:D$38^A10692)</f>
        <v>36.98256531</v>
      </c>
      <c r="C10692" s="8">
        <f t="array" ref="C10692">PRODUCT(1-'Sparkling Model'!D$2:D$38^A10692)</f>
        <v>0.9826725754</v>
      </c>
    </row>
    <row r="10693">
      <c r="A10693" s="6">
        <v>10691.0</v>
      </c>
      <c r="B10693" s="17">
        <f t="array" ref="B10693">SUM(1-'Sparkling Model'!D$2:D$38^A10693)</f>
        <v>36.98257402</v>
      </c>
      <c r="C10693" s="8">
        <f t="array" ref="C10693">PRODUCT(1-'Sparkling Model'!D$2:D$38^A10693)</f>
        <v>0.9826811806</v>
      </c>
    </row>
    <row r="10694">
      <c r="A10694" s="6">
        <v>10692.0</v>
      </c>
      <c r="B10694" s="17">
        <f t="array" ref="B10694">SUM(1-'Sparkling Model'!D$2:D$38^A10694)</f>
        <v>36.98258273</v>
      </c>
      <c r="C10694" s="8">
        <f t="array" ref="C10694">PRODUCT(1-'Sparkling Model'!D$2:D$38^A10694)</f>
        <v>0.9826897815</v>
      </c>
    </row>
    <row r="10695">
      <c r="A10695" s="6">
        <v>10693.0</v>
      </c>
      <c r="B10695" s="17">
        <f t="array" ref="B10695">SUM(1-'Sparkling Model'!D$2:D$38^A10695)</f>
        <v>36.98259143</v>
      </c>
      <c r="C10695" s="8">
        <f t="array" ref="C10695">PRODUCT(1-'Sparkling Model'!D$2:D$38^A10695)</f>
        <v>0.9826983781</v>
      </c>
    </row>
    <row r="10696">
      <c r="A10696" s="6">
        <v>10694.0</v>
      </c>
      <c r="B10696" s="17">
        <f t="array" ref="B10696">SUM(1-'Sparkling Model'!D$2:D$38^A10696)</f>
        <v>36.98260013</v>
      </c>
      <c r="C10696" s="8">
        <f t="array" ref="C10696">PRODUCT(1-'Sparkling Model'!D$2:D$38^A10696)</f>
        <v>0.9827069705</v>
      </c>
    </row>
    <row r="10697">
      <c r="A10697" s="6">
        <v>10695.0</v>
      </c>
      <c r="B10697" s="17">
        <f t="array" ref="B10697">SUM(1-'Sparkling Model'!D$2:D$38^A10697)</f>
        <v>36.98260883</v>
      </c>
      <c r="C10697" s="8">
        <f t="array" ref="C10697">PRODUCT(1-'Sparkling Model'!D$2:D$38^A10697)</f>
        <v>0.9827155585</v>
      </c>
    </row>
    <row r="10698">
      <c r="A10698" s="6">
        <v>10696.0</v>
      </c>
      <c r="B10698" s="17">
        <f t="array" ref="B10698">SUM(1-'Sparkling Model'!D$2:D$38^A10698)</f>
        <v>36.98261752</v>
      </c>
      <c r="C10698" s="8">
        <f t="array" ref="C10698">PRODUCT(1-'Sparkling Model'!D$2:D$38^A10698)</f>
        <v>0.9827241423</v>
      </c>
    </row>
    <row r="10699">
      <c r="A10699" s="6">
        <v>10697.0</v>
      </c>
      <c r="B10699" s="17">
        <f t="array" ref="B10699">SUM(1-'Sparkling Model'!D$2:D$38^A10699)</f>
        <v>36.98262621</v>
      </c>
      <c r="C10699" s="8">
        <f t="array" ref="C10699">PRODUCT(1-'Sparkling Model'!D$2:D$38^A10699)</f>
        <v>0.9827327218</v>
      </c>
    </row>
    <row r="10700">
      <c r="A10700" s="6">
        <v>10698.0</v>
      </c>
      <c r="B10700" s="17">
        <f t="array" ref="B10700">SUM(1-'Sparkling Model'!D$2:D$38^A10700)</f>
        <v>36.98263489</v>
      </c>
      <c r="C10700" s="8">
        <f t="array" ref="C10700">PRODUCT(1-'Sparkling Model'!D$2:D$38^A10700)</f>
        <v>0.982741297</v>
      </c>
    </row>
    <row r="10701">
      <c r="A10701" s="6">
        <v>10699.0</v>
      </c>
      <c r="B10701" s="17">
        <f t="array" ref="B10701">SUM(1-'Sparkling Model'!D$2:D$38^A10701)</f>
        <v>36.98264357</v>
      </c>
      <c r="C10701" s="8">
        <f t="array" ref="C10701">PRODUCT(1-'Sparkling Model'!D$2:D$38^A10701)</f>
        <v>0.982749868</v>
      </c>
    </row>
    <row r="10702">
      <c r="A10702" s="6">
        <v>10700.0</v>
      </c>
      <c r="B10702" s="17">
        <f t="array" ref="B10702">SUM(1-'Sparkling Model'!D$2:D$38^A10702)</f>
        <v>36.98265224</v>
      </c>
      <c r="C10702" s="8">
        <f t="array" ref="C10702">PRODUCT(1-'Sparkling Model'!D$2:D$38^A10702)</f>
        <v>0.9827584347</v>
      </c>
    </row>
    <row r="10703">
      <c r="A10703" s="6">
        <v>10701.0</v>
      </c>
      <c r="B10703" s="17">
        <f t="array" ref="B10703">SUM(1-'Sparkling Model'!D$2:D$38^A10703)</f>
        <v>36.98266091</v>
      </c>
      <c r="C10703" s="8">
        <f t="array" ref="C10703">PRODUCT(1-'Sparkling Model'!D$2:D$38^A10703)</f>
        <v>0.9827669971</v>
      </c>
    </row>
    <row r="10704">
      <c r="A10704" s="6">
        <v>10702.0</v>
      </c>
      <c r="B10704" s="17">
        <f t="array" ref="B10704">SUM(1-'Sparkling Model'!D$2:D$38^A10704)</f>
        <v>36.98266958</v>
      </c>
      <c r="C10704" s="8">
        <f t="array" ref="C10704">PRODUCT(1-'Sparkling Model'!D$2:D$38^A10704)</f>
        <v>0.9827755553</v>
      </c>
    </row>
    <row r="10705">
      <c r="A10705" s="6">
        <v>10703.0</v>
      </c>
      <c r="B10705" s="17">
        <f t="array" ref="B10705">SUM(1-'Sparkling Model'!D$2:D$38^A10705)</f>
        <v>36.98267824</v>
      </c>
      <c r="C10705" s="8">
        <f t="array" ref="C10705">PRODUCT(1-'Sparkling Model'!D$2:D$38^A10705)</f>
        <v>0.9827841092</v>
      </c>
    </row>
    <row r="10706">
      <c r="A10706" s="6">
        <v>10704.0</v>
      </c>
      <c r="B10706" s="17">
        <f t="array" ref="B10706">SUM(1-'Sparkling Model'!D$2:D$38^A10706)</f>
        <v>36.98268689</v>
      </c>
      <c r="C10706" s="8">
        <f t="array" ref="C10706">PRODUCT(1-'Sparkling Model'!D$2:D$38^A10706)</f>
        <v>0.9827926588</v>
      </c>
    </row>
    <row r="10707">
      <c r="A10707" s="6">
        <v>10705.0</v>
      </c>
      <c r="B10707" s="17">
        <f t="array" ref="B10707">SUM(1-'Sparkling Model'!D$2:D$38^A10707)</f>
        <v>36.98269554</v>
      </c>
      <c r="C10707" s="8">
        <f t="array" ref="C10707">PRODUCT(1-'Sparkling Model'!D$2:D$38^A10707)</f>
        <v>0.9828012042</v>
      </c>
    </row>
    <row r="10708">
      <c r="A10708" s="6">
        <v>10706.0</v>
      </c>
      <c r="B10708" s="17">
        <f t="array" ref="B10708">SUM(1-'Sparkling Model'!D$2:D$38^A10708)</f>
        <v>36.98270419</v>
      </c>
      <c r="C10708" s="8">
        <f t="array" ref="C10708">PRODUCT(1-'Sparkling Model'!D$2:D$38^A10708)</f>
        <v>0.9828097453</v>
      </c>
    </row>
    <row r="10709">
      <c r="A10709" s="6">
        <v>10707.0</v>
      </c>
      <c r="B10709" s="17">
        <f t="array" ref="B10709">SUM(1-'Sparkling Model'!D$2:D$38^A10709)</f>
        <v>36.98271283</v>
      </c>
      <c r="C10709" s="8">
        <f t="array" ref="C10709">PRODUCT(1-'Sparkling Model'!D$2:D$38^A10709)</f>
        <v>0.9828182822</v>
      </c>
    </row>
    <row r="10710">
      <c r="A10710" s="6">
        <v>10708.0</v>
      </c>
      <c r="B10710" s="17">
        <f t="array" ref="B10710">SUM(1-'Sparkling Model'!D$2:D$38^A10710)</f>
        <v>36.98272147</v>
      </c>
      <c r="C10710" s="8">
        <f t="array" ref="C10710">PRODUCT(1-'Sparkling Model'!D$2:D$38^A10710)</f>
        <v>0.9828268149</v>
      </c>
    </row>
    <row r="10711">
      <c r="A10711" s="6">
        <v>10709.0</v>
      </c>
      <c r="B10711" s="17">
        <f t="array" ref="B10711">SUM(1-'Sparkling Model'!D$2:D$38^A10711)</f>
        <v>36.98273011</v>
      </c>
      <c r="C10711" s="8">
        <f t="array" ref="C10711">PRODUCT(1-'Sparkling Model'!D$2:D$38^A10711)</f>
        <v>0.9828353432</v>
      </c>
    </row>
    <row r="10712">
      <c r="A10712" s="6">
        <v>10710.0</v>
      </c>
      <c r="B10712" s="17">
        <f t="array" ref="B10712">SUM(1-'Sparkling Model'!D$2:D$38^A10712)</f>
        <v>36.98273874</v>
      </c>
      <c r="C10712" s="8">
        <f t="array" ref="C10712">PRODUCT(1-'Sparkling Model'!D$2:D$38^A10712)</f>
        <v>0.9828438674</v>
      </c>
    </row>
    <row r="10713">
      <c r="A10713" s="6">
        <v>10711.0</v>
      </c>
      <c r="B10713" s="17">
        <f t="array" ref="B10713">SUM(1-'Sparkling Model'!D$2:D$38^A10713)</f>
        <v>36.98274736</v>
      </c>
      <c r="C10713" s="8">
        <f t="array" ref="C10713">PRODUCT(1-'Sparkling Model'!D$2:D$38^A10713)</f>
        <v>0.9828523873</v>
      </c>
    </row>
    <row r="10714">
      <c r="A10714" s="6">
        <v>10712.0</v>
      </c>
      <c r="B10714" s="17">
        <f t="array" ref="B10714">SUM(1-'Sparkling Model'!D$2:D$38^A10714)</f>
        <v>36.98275598</v>
      </c>
      <c r="C10714" s="8">
        <f t="array" ref="C10714">PRODUCT(1-'Sparkling Model'!D$2:D$38^A10714)</f>
        <v>0.9828609029</v>
      </c>
    </row>
    <row r="10715">
      <c r="A10715" s="6">
        <v>10713.0</v>
      </c>
      <c r="B10715" s="17">
        <f t="array" ref="B10715">SUM(1-'Sparkling Model'!D$2:D$38^A10715)</f>
        <v>36.9827646</v>
      </c>
      <c r="C10715" s="8">
        <f t="array" ref="C10715">PRODUCT(1-'Sparkling Model'!D$2:D$38^A10715)</f>
        <v>0.9828694143</v>
      </c>
    </row>
    <row r="10716">
      <c r="A10716" s="6">
        <v>10714.0</v>
      </c>
      <c r="B10716" s="17">
        <f t="array" ref="B10716">SUM(1-'Sparkling Model'!D$2:D$38^A10716)</f>
        <v>36.98277321</v>
      </c>
      <c r="C10716" s="8">
        <f t="array" ref="C10716">PRODUCT(1-'Sparkling Model'!D$2:D$38^A10716)</f>
        <v>0.9828779215</v>
      </c>
    </row>
    <row r="10717">
      <c r="A10717" s="6">
        <v>10715.0</v>
      </c>
      <c r="B10717" s="17">
        <f t="array" ref="B10717">SUM(1-'Sparkling Model'!D$2:D$38^A10717)</f>
        <v>36.98278182</v>
      </c>
      <c r="C10717" s="8">
        <f t="array" ref="C10717">PRODUCT(1-'Sparkling Model'!D$2:D$38^A10717)</f>
        <v>0.9828864244</v>
      </c>
    </row>
    <row r="10718">
      <c r="A10718" s="6">
        <v>10716.0</v>
      </c>
      <c r="B10718" s="17">
        <f t="array" ref="B10718">SUM(1-'Sparkling Model'!D$2:D$38^A10718)</f>
        <v>36.98279043</v>
      </c>
      <c r="C10718" s="8">
        <f t="array" ref="C10718">PRODUCT(1-'Sparkling Model'!D$2:D$38^A10718)</f>
        <v>0.9828949231</v>
      </c>
    </row>
    <row r="10719">
      <c r="A10719" s="6">
        <v>10717.0</v>
      </c>
      <c r="B10719" s="17">
        <f t="array" ref="B10719">SUM(1-'Sparkling Model'!D$2:D$38^A10719)</f>
        <v>36.98279902</v>
      </c>
      <c r="C10719" s="8">
        <f t="array" ref="C10719">PRODUCT(1-'Sparkling Model'!D$2:D$38^A10719)</f>
        <v>0.9829034176</v>
      </c>
    </row>
    <row r="10720">
      <c r="A10720" s="6">
        <v>10718.0</v>
      </c>
      <c r="B10720" s="17">
        <f t="array" ref="B10720">SUM(1-'Sparkling Model'!D$2:D$38^A10720)</f>
        <v>36.98280762</v>
      </c>
      <c r="C10720" s="8">
        <f t="array" ref="C10720">PRODUCT(1-'Sparkling Model'!D$2:D$38^A10720)</f>
        <v>0.9829119079</v>
      </c>
    </row>
    <row r="10721">
      <c r="A10721" s="6">
        <v>10719.0</v>
      </c>
      <c r="B10721" s="17">
        <f t="array" ref="B10721">SUM(1-'Sparkling Model'!D$2:D$38^A10721)</f>
        <v>36.98281621</v>
      </c>
      <c r="C10721" s="8">
        <f t="array" ref="C10721">PRODUCT(1-'Sparkling Model'!D$2:D$38^A10721)</f>
        <v>0.9829203939</v>
      </c>
    </row>
    <row r="10722">
      <c r="A10722" s="6">
        <v>10720.0</v>
      </c>
      <c r="B10722" s="17">
        <f t="array" ref="B10722">SUM(1-'Sparkling Model'!D$2:D$38^A10722)</f>
        <v>36.9828248</v>
      </c>
      <c r="C10722" s="8">
        <f t="array" ref="C10722">PRODUCT(1-'Sparkling Model'!D$2:D$38^A10722)</f>
        <v>0.9829288757</v>
      </c>
    </row>
    <row r="10723">
      <c r="A10723" s="6">
        <v>10721.0</v>
      </c>
      <c r="B10723" s="17">
        <f t="array" ref="B10723">SUM(1-'Sparkling Model'!D$2:D$38^A10723)</f>
        <v>36.98283338</v>
      </c>
      <c r="C10723" s="8">
        <f t="array" ref="C10723">PRODUCT(1-'Sparkling Model'!D$2:D$38^A10723)</f>
        <v>0.9829373532</v>
      </c>
    </row>
    <row r="10724">
      <c r="A10724" s="6">
        <v>10722.0</v>
      </c>
      <c r="B10724" s="17">
        <f t="array" ref="B10724">SUM(1-'Sparkling Model'!D$2:D$38^A10724)</f>
        <v>36.98284196</v>
      </c>
      <c r="C10724" s="8">
        <f t="array" ref="C10724">PRODUCT(1-'Sparkling Model'!D$2:D$38^A10724)</f>
        <v>0.9829458266</v>
      </c>
    </row>
    <row r="10725">
      <c r="A10725" s="6">
        <v>10723.0</v>
      </c>
      <c r="B10725" s="17">
        <f t="array" ref="B10725">SUM(1-'Sparkling Model'!D$2:D$38^A10725)</f>
        <v>36.98285053</v>
      </c>
      <c r="C10725" s="8">
        <f t="array" ref="C10725">PRODUCT(1-'Sparkling Model'!D$2:D$38^A10725)</f>
        <v>0.9829542957</v>
      </c>
    </row>
    <row r="10726">
      <c r="A10726" s="6">
        <v>10724.0</v>
      </c>
      <c r="B10726" s="17">
        <f t="array" ref="B10726">SUM(1-'Sparkling Model'!D$2:D$38^A10726)</f>
        <v>36.9828591</v>
      </c>
      <c r="C10726" s="8">
        <f t="array" ref="C10726">PRODUCT(1-'Sparkling Model'!D$2:D$38^A10726)</f>
        <v>0.9829627606</v>
      </c>
    </row>
    <row r="10727">
      <c r="A10727" s="6">
        <v>10725.0</v>
      </c>
      <c r="B10727" s="17">
        <f t="array" ref="B10727">SUM(1-'Sparkling Model'!D$2:D$38^A10727)</f>
        <v>36.98286767</v>
      </c>
      <c r="C10727" s="8">
        <f t="array" ref="C10727">PRODUCT(1-'Sparkling Model'!D$2:D$38^A10727)</f>
        <v>0.9829712213</v>
      </c>
    </row>
    <row r="10728">
      <c r="A10728" s="6">
        <v>10726.0</v>
      </c>
      <c r="B10728" s="17">
        <f t="array" ref="B10728">SUM(1-'Sparkling Model'!D$2:D$38^A10728)</f>
        <v>36.98287623</v>
      </c>
      <c r="C10728" s="8">
        <f t="array" ref="C10728">PRODUCT(1-'Sparkling Model'!D$2:D$38^A10728)</f>
        <v>0.9829796778</v>
      </c>
    </row>
    <row r="10729">
      <c r="A10729" s="6">
        <v>10727.0</v>
      </c>
      <c r="B10729" s="17">
        <f t="array" ref="B10729">SUM(1-'Sparkling Model'!D$2:D$38^A10729)</f>
        <v>36.98288478</v>
      </c>
      <c r="C10729" s="8">
        <f t="array" ref="C10729">PRODUCT(1-'Sparkling Model'!D$2:D$38^A10729)</f>
        <v>0.9829881301</v>
      </c>
    </row>
    <row r="10730">
      <c r="A10730" s="6">
        <v>10728.0</v>
      </c>
      <c r="B10730" s="17">
        <f t="array" ref="B10730">SUM(1-'Sparkling Model'!D$2:D$38^A10730)</f>
        <v>36.98289333</v>
      </c>
      <c r="C10730" s="8">
        <f t="array" ref="C10730">PRODUCT(1-'Sparkling Model'!D$2:D$38^A10730)</f>
        <v>0.9829965781</v>
      </c>
    </row>
    <row r="10731">
      <c r="A10731" s="6">
        <v>10729.0</v>
      </c>
      <c r="B10731" s="17">
        <f t="array" ref="B10731">SUM(1-'Sparkling Model'!D$2:D$38^A10731)</f>
        <v>36.98290188</v>
      </c>
      <c r="C10731" s="8">
        <f t="array" ref="C10731">PRODUCT(1-'Sparkling Model'!D$2:D$38^A10731)</f>
        <v>0.983005022</v>
      </c>
    </row>
    <row r="10732">
      <c r="A10732" s="6">
        <v>10730.0</v>
      </c>
      <c r="B10732" s="17">
        <f t="array" ref="B10732">SUM(1-'Sparkling Model'!D$2:D$38^A10732)</f>
        <v>36.98291042</v>
      </c>
      <c r="C10732" s="8">
        <f t="array" ref="C10732">PRODUCT(1-'Sparkling Model'!D$2:D$38^A10732)</f>
        <v>0.9830134617</v>
      </c>
    </row>
    <row r="10733">
      <c r="A10733" s="6">
        <v>10731.0</v>
      </c>
      <c r="B10733" s="17">
        <f t="array" ref="B10733">SUM(1-'Sparkling Model'!D$2:D$38^A10733)</f>
        <v>36.98291896</v>
      </c>
      <c r="C10733" s="8">
        <f t="array" ref="C10733">PRODUCT(1-'Sparkling Model'!D$2:D$38^A10733)</f>
        <v>0.9830218971</v>
      </c>
    </row>
    <row r="10734">
      <c r="A10734" s="6">
        <v>10732.0</v>
      </c>
      <c r="B10734" s="17">
        <f t="array" ref="B10734">SUM(1-'Sparkling Model'!D$2:D$38^A10734)</f>
        <v>36.9829275</v>
      </c>
      <c r="C10734" s="8">
        <f t="array" ref="C10734">PRODUCT(1-'Sparkling Model'!D$2:D$38^A10734)</f>
        <v>0.9830303284</v>
      </c>
    </row>
    <row r="10735">
      <c r="A10735" s="6">
        <v>10733.0</v>
      </c>
      <c r="B10735" s="17">
        <f t="array" ref="B10735">SUM(1-'Sparkling Model'!D$2:D$38^A10735)</f>
        <v>36.98293603</v>
      </c>
      <c r="C10735" s="8">
        <f t="array" ref="C10735">PRODUCT(1-'Sparkling Model'!D$2:D$38^A10735)</f>
        <v>0.9830387554</v>
      </c>
    </row>
    <row r="10736">
      <c r="A10736" s="6">
        <v>10734.0</v>
      </c>
      <c r="B10736" s="17">
        <f t="array" ref="B10736">SUM(1-'Sparkling Model'!D$2:D$38^A10736)</f>
        <v>36.98294456</v>
      </c>
      <c r="C10736" s="8">
        <f t="array" ref="C10736">PRODUCT(1-'Sparkling Model'!D$2:D$38^A10736)</f>
        <v>0.9830471783</v>
      </c>
    </row>
    <row r="10737">
      <c r="A10737" s="6">
        <v>10735.0</v>
      </c>
      <c r="B10737" s="17">
        <f t="array" ref="B10737">SUM(1-'Sparkling Model'!D$2:D$38^A10737)</f>
        <v>36.98295308</v>
      </c>
      <c r="C10737" s="8">
        <f t="array" ref="C10737">PRODUCT(1-'Sparkling Model'!D$2:D$38^A10737)</f>
        <v>0.9830555969</v>
      </c>
    </row>
    <row r="10738">
      <c r="A10738" s="6">
        <v>10736.0</v>
      </c>
      <c r="B10738" s="17">
        <f t="array" ref="B10738">SUM(1-'Sparkling Model'!D$2:D$38^A10738)</f>
        <v>36.98296159</v>
      </c>
      <c r="C10738" s="8">
        <f t="array" ref="C10738">PRODUCT(1-'Sparkling Model'!D$2:D$38^A10738)</f>
        <v>0.9830640114</v>
      </c>
    </row>
    <row r="10739">
      <c r="A10739" s="6">
        <v>10737.0</v>
      </c>
      <c r="B10739" s="17">
        <f t="array" ref="B10739">SUM(1-'Sparkling Model'!D$2:D$38^A10739)</f>
        <v>36.98297011</v>
      </c>
      <c r="C10739" s="8">
        <f t="array" ref="C10739">PRODUCT(1-'Sparkling Model'!D$2:D$38^A10739)</f>
        <v>0.9830724217</v>
      </c>
    </row>
    <row r="10740">
      <c r="A10740" s="6">
        <v>10738.0</v>
      </c>
      <c r="B10740" s="17">
        <f t="array" ref="B10740">SUM(1-'Sparkling Model'!D$2:D$38^A10740)</f>
        <v>36.98297862</v>
      </c>
      <c r="C10740" s="8">
        <f t="array" ref="C10740">PRODUCT(1-'Sparkling Model'!D$2:D$38^A10740)</f>
        <v>0.9830808278</v>
      </c>
    </row>
    <row r="10741">
      <c r="A10741" s="6">
        <v>10739.0</v>
      </c>
      <c r="B10741" s="17">
        <f t="array" ref="B10741">SUM(1-'Sparkling Model'!D$2:D$38^A10741)</f>
        <v>36.98298712</v>
      </c>
      <c r="C10741" s="8">
        <f t="array" ref="C10741">PRODUCT(1-'Sparkling Model'!D$2:D$38^A10741)</f>
        <v>0.9830892297</v>
      </c>
    </row>
    <row r="10742">
      <c r="A10742" s="6">
        <v>10740.0</v>
      </c>
      <c r="B10742" s="17">
        <f t="array" ref="B10742">SUM(1-'Sparkling Model'!D$2:D$38^A10742)</f>
        <v>36.98299562</v>
      </c>
      <c r="C10742" s="8">
        <f t="array" ref="C10742">PRODUCT(1-'Sparkling Model'!D$2:D$38^A10742)</f>
        <v>0.9830976274</v>
      </c>
    </row>
    <row r="10743">
      <c r="A10743" s="6">
        <v>10741.0</v>
      </c>
      <c r="B10743" s="17">
        <f t="array" ref="B10743">SUM(1-'Sparkling Model'!D$2:D$38^A10743)</f>
        <v>36.98300412</v>
      </c>
      <c r="C10743" s="8">
        <f t="array" ref="C10743">PRODUCT(1-'Sparkling Model'!D$2:D$38^A10743)</f>
        <v>0.983106021</v>
      </c>
    </row>
    <row r="10744">
      <c r="A10744" s="6">
        <v>10742.0</v>
      </c>
      <c r="B10744" s="17">
        <f t="array" ref="B10744">SUM(1-'Sparkling Model'!D$2:D$38^A10744)</f>
        <v>36.98301261</v>
      </c>
      <c r="C10744" s="8">
        <f t="array" ref="C10744">PRODUCT(1-'Sparkling Model'!D$2:D$38^A10744)</f>
        <v>0.9831144104</v>
      </c>
    </row>
    <row r="10745">
      <c r="A10745" s="6">
        <v>10743.0</v>
      </c>
      <c r="B10745" s="17">
        <f t="array" ref="B10745">SUM(1-'Sparkling Model'!D$2:D$38^A10745)</f>
        <v>36.9830211</v>
      </c>
      <c r="C10745" s="8">
        <f t="array" ref="C10745">PRODUCT(1-'Sparkling Model'!D$2:D$38^A10745)</f>
        <v>0.9831227955</v>
      </c>
    </row>
    <row r="10746">
      <c r="A10746" s="6">
        <v>10744.0</v>
      </c>
      <c r="B10746" s="17">
        <f t="array" ref="B10746">SUM(1-'Sparkling Model'!D$2:D$38^A10746)</f>
        <v>36.98302958</v>
      </c>
      <c r="C10746" s="8">
        <f t="array" ref="C10746">PRODUCT(1-'Sparkling Model'!D$2:D$38^A10746)</f>
        <v>0.9831311766</v>
      </c>
    </row>
    <row r="10747">
      <c r="A10747" s="6">
        <v>10745.0</v>
      </c>
      <c r="B10747" s="17">
        <f t="array" ref="B10747">SUM(1-'Sparkling Model'!D$2:D$38^A10747)</f>
        <v>36.98303806</v>
      </c>
      <c r="C10747" s="8">
        <f t="array" ref="C10747">PRODUCT(1-'Sparkling Model'!D$2:D$38^A10747)</f>
        <v>0.9831395534</v>
      </c>
    </row>
    <row r="10748">
      <c r="A10748" s="6">
        <v>10746.0</v>
      </c>
      <c r="B10748" s="17">
        <f t="array" ref="B10748">SUM(1-'Sparkling Model'!D$2:D$38^A10748)</f>
        <v>36.98304653</v>
      </c>
      <c r="C10748" s="8">
        <f t="array" ref="C10748">PRODUCT(1-'Sparkling Model'!D$2:D$38^A10748)</f>
        <v>0.9831479261</v>
      </c>
    </row>
    <row r="10749">
      <c r="A10749" s="6">
        <v>10747.0</v>
      </c>
      <c r="B10749" s="17">
        <f t="array" ref="B10749">SUM(1-'Sparkling Model'!D$2:D$38^A10749)</f>
        <v>36.983055</v>
      </c>
      <c r="C10749" s="8">
        <f t="array" ref="C10749">PRODUCT(1-'Sparkling Model'!D$2:D$38^A10749)</f>
        <v>0.9831562946</v>
      </c>
    </row>
    <row r="10750">
      <c r="A10750" s="6">
        <v>10748.0</v>
      </c>
      <c r="B10750" s="17">
        <f t="array" ref="B10750">SUM(1-'Sparkling Model'!D$2:D$38^A10750)</f>
        <v>36.98306347</v>
      </c>
      <c r="C10750" s="8">
        <f t="array" ref="C10750">PRODUCT(1-'Sparkling Model'!D$2:D$38^A10750)</f>
        <v>0.9831646589</v>
      </c>
    </row>
    <row r="10751">
      <c r="A10751" s="6">
        <v>10749.0</v>
      </c>
      <c r="B10751" s="17">
        <f t="array" ref="B10751">SUM(1-'Sparkling Model'!D$2:D$38^A10751)</f>
        <v>36.98307193</v>
      </c>
      <c r="C10751" s="8">
        <f t="array" ref="C10751">PRODUCT(1-'Sparkling Model'!D$2:D$38^A10751)</f>
        <v>0.9831730191</v>
      </c>
    </row>
    <row r="10752">
      <c r="A10752" s="6">
        <v>10750.0</v>
      </c>
      <c r="B10752" s="17">
        <f t="array" ref="B10752">SUM(1-'Sparkling Model'!D$2:D$38^A10752)</f>
        <v>36.98308039</v>
      </c>
      <c r="C10752" s="8">
        <f t="array" ref="C10752">PRODUCT(1-'Sparkling Model'!D$2:D$38^A10752)</f>
        <v>0.9831813751</v>
      </c>
    </row>
    <row r="10753">
      <c r="A10753" s="6">
        <v>10751.0</v>
      </c>
      <c r="B10753" s="17">
        <f t="array" ref="B10753">SUM(1-'Sparkling Model'!D$2:D$38^A10753)</f>
        <v>36.98308884</v>
      </c>
      <c r="C10753" s="8">
        <f t="array" ref="C10753">PRODUCT(1-'Sparkling Model'!D$2:D$38^A10753)</f>
        <v>0.983189727</v>
      </c>
    </row>
    <row r="10754">
      <c r="A10754" s="6">
        <v>10752.0</v>
      </c>
      <c r="B10754" s="17">
        <f t="array" ref="B10754">SUM(1-'Sparkling Model'!D$2:D$38^A10754)</f>
        <v>36.98309729</v>
      </c>
      <c r="C10754" s="8">
        <f t="array" ref="C10754">PRODUCT(1-'Sparkling Model'!D$2:D$38^A10754)</f>
        <v>0.9831980747</v>
      </c>
    </row>
    <row r="10755">
      <c r="A10755" s="6">
        <v>10753.0</v>
      </c>
      <c r="B10755" s="17">
        <f t="array" ref="B10755">SUM(1-'Sparkling Model'!D$2:D$38^A10755)</f>
        <v>36.98310574</v>
      </c>
      <c r="C10755" s="8">
        <f t="array" ref="C10755">PRODUCT(1-'Sparkling Model'!D$2:D$38^A10755)</f>
        <v>0.9832064182</v>
      </c>
    </row>
    <row r="10756">
      <c r="A10756" s="6">
        <v>10754.0</v>
      </c>
      <c r="B10756" s="17">
        <f t="array" ref="B10756">SUM(1-'Sparkling Model'!D$2:D$38^A10756)</f>
        <v>36.98311418</v>
      </c>
      <c r="C10756" s="8">
        <f t="array" ref="C10756">PRODUCT(1-'Sparkling Model'!D$2:D$38^A10756)</f>
        <v>0.9832147576</v>
      </c>
    </row>
    <row r="10757">
      <c r="A10757" s="6">
        <v>10755.0</v>
      </c>
      <c r="B10757" s="17">
        <f t="array" ref="B10757">SUM(1-'Sparkling Model'!D$2:D$38^A10757)</f>
        <v>36.98312261</v>
      </c>
      <c r="C10757" s="8">
        <f t="array" ref="C10757">PRODUCT(1-'Sparkling Model'!D$2:D$38^A10757)</f>
        <v>0.9832230928</v>
      </c>
    </row>
    <row r="10758">
      <c r="A10758" s="6">
        <v>10756.0</v>
      </c>
      <c r="B10758" s="17">
        <f t="array" ref="B10758">SUM(1-'Sparkling Model'!D$2:D$38^A10758)</f>
        <v>36.98313105</v>
      </c>
      <c r="C10758" s="8">
        <f t="array" ref="C10758">PRODUCT(1-'Sparkling Model'!D$2:D$38^A10758)</f>
        <v>0.9832314239</v>
      </c>
    </row>
    <row r="10759">
      <c r="A10759" s="6">
        <v>10757.0</v>
      </c>
      <c r="B10759" s="17">
        <f t="array" ref="B10759">SUM(1-'Sparkling Model'!D$2:D$38^A10759)</f>
        <v>36.98313947</v>
      </c>
      <c r="C10759" s="8">
        <f t="array" ref="C10759">PRODUCT(1-'Sparkling Model'!D$2:D$38^A10759)</f>
        <v>0.9832397508</v>
      </c>
    </row>
    <row r="10760">
      <c r="A10760" s="6">
        <v>10758.0</v>
      </c>
      <c r="B10760" s="17">
        <f t="array" ref="B10760">SUM(1-'Sparkling Model'!D$2:D$38^A10760)</f>
        <v>36.9831479</v>
      </c>
      <c r="C10760" s="8">
        <f t="array" ref="C10760">PRODUCT(1-'Sparkling Model'!D$2:D$38^A10760)</f>
        <v>0.9832480736</v>
      </c>
    </row>
    <row r="10761">
      <c r="A10761" s="6">
        <v>10759.0</v>
      </c>
      <c r="B10761" s="17">
        <f t="array" ref="B10761">SUM(1-'Sparkling Model'!D$2:D$38^A10761)</f>
        <v>36.98315632</v>
      </c>
      <c r="C10761" s="8">
        <f t="array" ref="C10761">PRODUCT(1-'Sparkling Model'!D$2:D$38^A10761)</f>
        <v>0.9832563922</v>
      </c>
    </row>
    <row r="10762">
      <c r="A10762" s="6">
        <v>10760.0</v>
      </c>
      <c r="B10762" s="17">
        <f t="array" ref="B10762">SUM(1-'Sparkling Model'!D$2:D$38^A10762)</f>
        <v>36.98316473</v>
      </c>
      <c r="C10762" s="8">
        <f t="array" ref="C10762">PRODUCT(1-'Sparkling Model'!D$2:D$38^A10762)</f>
        <v>0.9832647067</v>
      </c>
    </row>
    <row r="10763">
      <c r="A10763" s="6">
        <v>10761.0</v>
      </c>
      <c r="B10763" s="17">
        <f t="array" ref="B10763">SUM(1-'Sparkling Model'!D$2:D$38^A10763)</f>
        <v>36.98317314</v>
      </c>
      <c r="C10763" s="8">
        <f t="array" ref="C10763">PRODUCT(1-'Sparkling Model'!D$2:D$38^A10763)</f>
        <v>0.9832730171</v>
      </c>
    </row>
    <row r="10764">
      <c r="A10764" s="6">
        <v>10762.0</v>
      </c>
      <c r="B10764" s="17">
        <f t="array" ref="B10764">SUM(1-'Sparkling Model'!D$2:D$38^A10764)</f>
        <v>36.98318155</v>
      </c>
      <c r="C10764" s="8">
        <f t="array" ref="C10764">PRODUCT(1-'Sparkling Model'!D$2:D$38^A10764)</f>
        <v>0.9832813233</v>
      </c>
    </row>
    <row r="10765">
      <c r="A10765" s="6">
        <v>10763.0</v>
      </c>
      <c r="B10765" s="17">
        <f t="array" ref="B10765">SUM(1-'Sparkling Model'!D$2:D$38^A10765)</f>
        <v>36.98318995</v>
      </c>
      <c r="C10765" s="8">
        <f t="array" ref="C10765">PRODUCT(1-'Sparkling Model'!D$2:D$38^A10765)</f>
        <v>0.9832896254</v>
      </c>
    </row>
    <row r="10766">
      <c r="A10766" s="6">
        <v>10764.0</v>
      </c>
      <c r="B10766" s="17">
        <f t="array" ref="B10766">SUM(1-'Sparkling Model'!D$2:D$38^A10766)</f>
        <v>36.98319835</v>
      </c>
      <c r="C10766" s="8">
        <f t="array" ref="C10766">PRODUCT(1-'Sparkling Model'!D$2:D$38^A10766)</f>
        <v>0.9832979234</v>
      </c>
    </row>
    <row r="10767">
      <c r="A10767" s="6">
        <v>10765.0</v>
      </c>
      <c r="B10767" s="17">
        <f t="array" ref="B10767">SUM(1-'Sparkling Model'!D$2:D$38^A10767)</f>
        <v>36.98320674</v>
      </c>
      <c r="C10767" s="8">
        <f t="array" ref="C10767">PRODUCT(1-'Sparkling Model'!D$2:D$38^A10767)</f>
        <v>0.9833062172</v>
      </c>
    </row>
    <row r="10768">
      <c r="A10768" s="6">
        <v>10766.0</v>
      </c>
      <c r="B10768" s="17">
        <f t="array" ref="B10768">SUM(1-'Sparkling Model'!D$2:D$38^A10768)</f>
        <v>36.98321513</v>
      </c>
      <c r="C10768" s="8">
        <f t="array" ref="C10768">PRODUCT(1-'Sparkling Model'!D$2:D$38^A10768)</f>
        <v>0.9833145069</v>
      </c>
    </row>
    <row r="10769">
      <c r="A10769" s="6">
        <v>10767.0</v>
      </c>
      <c r="B10769" s="17">
        <f t="array" ref="B10769">SUM(1-'Sparkling Model'!D$2:D$38^A10769)</f>
        <v>36.98322352</v>
      </c>
      <c r="C10769" s="8">
        <f t="array" ref="C10769">PRODUCT(1-'Sparkling Model'!D$2:D$38^A10769)</f>
        <v>0.9833227925</v>
      </c>
    </row>
    <row r="10770">
      <c r="A10770" s="6">
        <v>10768.0</v>
      </c>
      <c r="B10770" s="17">
        <f t="array" ref="B10770">SUM(1-'Sparkling Model'!D$2:D$38^A10770)</f>
        <v>36.9832319</v>
      </c>
      <c r="C10770" s="8">
        <f t="array" ref="C10770">PRODUCT(1-'Sparkling Model'!D$2:D$38^A10770)</f>
        <v>0.9833310739</v>
      </c>
    </row>
    <row r="10771">
      <c r="A10771" s="6">
        <v>10769.0</v>
      </c>
      <c r="B10771" s="17">
        <f t="array" ref="B10771">SUM(1-'Sparkling Model'!D$2:D$38^A10771)</f>
        <v>36.98324028</v>
      </c>
      <c r="C10771" s="8">
        <f t="array" ref="C10771">PRODUCT(1-'Sparkling Model'!D$2:D$38^A10771)</f>
        <v>0.9833393512</v>
      </c>
    </row>
    <row r="10772">
      <c r="A10772" s="6">
        <v>10770.0</v>
      </c>
      <c r="B10772" s="17">
        <f t="array" ref="B10772">SUM(1-'Sparkling Model'!D$2:D$38^A10772)</f>
        <v>36.98324865</v>
      </c>
      <c r="C10772" s="8">
        <f t="array" ref="C10772">PRODUCT(1-'Sparkling Model'!D$2:D$38^A10772)</f>
        <v>0.9833476244</v>
      </c>
    </row>
    <row r="10773">
      <c r="A10773" s="6">
        <v>10771.0</v>
      </c>
      <c r="B10773" s="17">
        <f t="array" ref="B10773">SUM(1-'Sparkling Model'!D$2:D$38^A10773)</f>
        <v>36.98325702</v>
      </c>
      <c r="C10773" s="8">
        <f t="array" ref="C10773">PRODUCT(1-'Sparkling Model'!D$2:D$38^A10773)</f>
        <v>0.9833558935</v>
      </c>
    </row>
    <row r="10774">
      <c r="A10774" s="6">
        <v>10772.0</v>
      </c>
      <c r="B10774" s="17">
        <f t="array" ref="B10774">SUM(1-'Sparkling Model'!D$2:D$38^A10774)</f>
        <v>36.98326538</v>
      </c>
      <c r="C10774" s="8">
        <f t="array" ref="C10774">PRODUCT(1-'Sparkling Model'!D$2:D$38^A10774)</f>
        <v>0.9833641585</v>
      </c>
    </row>
    <row r="10775">
      <c r="A10775" s="6">
        <v>10773.0</v>
      </c>
      <c r="B10775" s="17">
        <f t="array" ref="B10775">SUM(1-'Sparkling Model'!D$2:D$38^A10775)</f>
        <v>36.98327374</v>
      </c>
      <c r="C10775" s="8">
        <f t="array" ref="C10775">PRODUCT(1-'Sparkling Model'!D$2:D$38^A10775)</f>
        <v>0.9833724193</v>
      </c>
    </row>
    <row r="10776">
      <c r="A10776" s="6">
        <v>10774.0</v>
      </c>
      <c r="B10776" s="17">
        <f t="array" ref="B10776">SUM(1-'Sparkling Model'!D$2:D$38^A10776)</f>
        <v>36.9832821</v>
      </c>
      <c r="C10776" s="8">
        <f t="array" ref="C10776">PRODUCT(1-'Sparkling Model'!D$2:D$38^A10776)</f>
        <v>0.983380676</v>
      </c>
    </row>
    <row r="10777">
      <c r="A10777" s="6">
        <v>10775.0</v>
      </c>
      <c r="B10777" s="17">
        <f t="array" ref="B10777">SUM(1-'Sparkling Model'!D$2:D$38^A10777)</f>
        <v>36.98329045</v>
      </c>
      <c r="C10777" s="8">
        <f t="array" ref="C10777">PRODUCT(1-'Sparkling Model'!D$2:D$38^A10777)</f>
        <v>0.9833889287</v>
      </c>
    </row>
    <row r="10778">
      <c r="A10778" s="6">
        <v>10776.0</v>
      </c>
      <c r="B10778" s="17">
        <f t="array" ref="B10778">SUM(1-'Sparkling Model'!D$2:D$38^A10778)</f>
        <v>36.9832988</v>
      </c>
      <c r="C10778" s="8">
        <f t="array" ref="C10778">PRODUCT(1-'Sparkling Model'!D$2:D$38^A10778)</f>
        <v>0.9833971772</v>
      </c>
    </row>
    <row r="10779">
      <c r="A10779" s="6">
        <v>10777.0</v>
      </c>
      <c r="B10779" s="17">
        <f t="array" ref="B10779">SUM(1-'Sparkling Model'!D$2:D$38^A10779)</f>
        <v>36.98330714</v>
      </c>
      <c r="C10779" s="8">
        <f t="array" ref="C10779">PRODUCT(1-'Sparkling Model'!D$2:D$38^A10779)</f>
        <v>0.9834054216</v>
      </c>
    </row>
    <row r="10780">
      <c r="A10780" s="6">
        <v>10778.0</v>
      </c>
      <c r="B10780" s="17">
        <f t="array" ref="B10780">SUM(1-'Sparkling Model'!D$2:D$38^A10780)</f>
        <v>36.98331548</v>
      </c>
      <c r="C10780" s="8">
        <f t="array" ref="C10780">PRODUCT(1-'Sparkling Model'!D$2:D$38^A10780)</f>
        <v>0.9834136619</v>
      </c>
    </row>
    <row r="10781">
      <c r="A10781" s="6">
        <v>10779.0</v>
      </c>
      <c r="B10781" s="17">
        <f t="array" ref="B10781">SUM(1-'Sparkling Model'!D$2:D$38^A10781)</f>
        <v>36.98332382</v>
      </c>
      <c r="C10781" s="8">
        <f t="array" ref="C10781">PRODUCT(1-'Sparkling Model'!D$2:D$38^A10781)</f>
        <v>0.9834218981</v>
      </c>
    </row>
    <row r="10782">
      <c r="A10782" s="6">
        <v>10780.0</v>
      </c>
      <c r="B10782" s="17">
        <f t="array" ref="B10782">SUM(1-'Sparkling Model'!D$2:D$38^A10782)</f>
        <v>36.98333215</v>
      </c>
      <c r="C10782" s="8">
        <f t="array" ref="C10782">PRODUCT(1-'Sparkling Model'!D$2:D$38^A10782)</f>
        <v>0.9834301302</v>
      </c>
    </row>
    <row r="10783">
      <c r="A10783" s="6">
        <v>10781.0</v>
      </c>
      <c r="B10783" s="17">
        <f t="array" ref="B10783">SUM(1-'Sparkling Model'!D$2:D$38^A10783)</f>
        <v>36.98334047</v>
      </c>
      <c r="C10783" s="8">
        <f t="array" ref="C10783">PRODUCT(1-'Sparkling Model'!D$2:D$38^A10783)</f>
        <v>0.9834383582</v>
      </c>
    </row>
    <row r="10784">
      <c r="A10784" s="6">
        <v>10782.0</v>
      </c>
      <c r="B10784" s="17">
        <f t="array" ref="B10784">SUM(1-'Sparkling Model'!D$2:D$38^A10784)</f>
        <v>36.9833488</v>
      </c>
      <c r="C10784" s="8">
        <f t="array" ref="C10784">PRODUCT(1-'Sparkling Model'!D$2:D$38^A10784)</f>
        <v>0.9834465821</v>
      </c>
    </row>
    <row r="10785">
      <c r="A10785" s="6">
        <v>10783.0</v>
      </c>
      <c r="B10785" s="17">
        <f t="array" ref="B10785">SUM(1-'Sparkling Model'!D$2:D$38^A10785)</f>
        <v>36.98335711</v>
      </c>
      <c r="C10785" s="8">
        <f t="array" ref="C10785">PRODUCT(1-'Sparkling Model'!D$2:D$38^A10785)</f>
        <v>0.9834548019</v>
      </c>
    </row>
    <row r="10786">
      <c r="A10786" s="6">
        <v>10784.0</v>
      </c>
      <c r="B10786" s="17">
        <f t="array" ref="B10786">SUM(1-'Sparkling Model'!D$2:D$38^A10786)</f>
        <v>36.98336543</v>
      </c>
      <c r="C10786" s="8">
        <f t="array" ref="C10786">PRODUCT(1-'Sparkling Model'!D$2:D$38^A10786)</f>
        <v>0.9834630176</v>
      </c>
    </row>
    <row r="10787">
      <c r="A10787" s="6">
        <v>10785.0</v>
      </c>
      <c r="B10787" s="17">
        <f t="array" ref="B10787">SUM(1-'Sparkling Model'!D$2:D$38^A10787)</f>
        <v>36.98337374</v>
      </c>
      <c r="C10787" s="8">
        <f t="array" ref="C10787">PRODUCT(1-'Sparkling Model'!D$2:D$38^A10787)</f>
        <v>0.9834712293</v>
      </c>
    </row>
    <row r="10788">
      <c r="A10788" s="6">
        <v>10786.0</v>
      </c>
      <c r="B10788" s="17">
        <f t="array" ref="B10788">SUM(1-'Sparkling Model'!D$2:D$38^A10788)</f>
        <v>36.98338204</v>
      </c>
      <c r="C10788" s="8">
        <f t="array" ref="C10788">PRODUCT(1-'Sparkling Model'!D$2:D$38^A10788)</f>
        <v>0.9834794368</v>
      </c>
    </row>
    <row r="10789">
      <c r="A10789" s="6">
        <v>10787.0</v>
      </c>
      <c r="B10789" s="17">
        <f t="array" ref="B10789">SUM(1-'Sparkling Model'!D$2:D$38^A10789)</f>
        <v>36.98339034</v>
      </c>
      <c r="C10789" s="8">
        <f t="array" ref="C10789">PRODUCT(1-'Sparkling Model'!D$2:D$38^A10789)</f>
        <v>0.9834876403</v>
      </c>
    </row>
    <row r="10790">
      <c r="A10790" s="6">
        <v>10788.0</v>
      </c>
      <c r="B10790" s="17">
        <f t="array" ref="B10790">SUM(1-'Sparkling Model'!D$2:D$38^A10790)</f>
        <v>36.98339864</v>
      </c>
      <c r="C10790" s="8">
        <f t="array" ref="C10790">PRODUCT(1-'Sparkling Model'!D$2:D$38^A10790)</f>
        <v>0.9834958396</v>
      </c>
    </row>
    <row r="10791">
      <c r="A10791" s="6">
        <v>10789.0</v>
      </c>
      <c r="B10791" s="17">
        <f t="array" ref="B10791">SUM(1-'Sparkling Model'!D$2:D$38^A10791)</f>
        <v>36.98340693</v>
      </c>
      <c r="C10791" s="8">
        <f t="array" ref="C10791">PRODUCT(1-'Sparkling Model'!D$2:D$38^A10791)</f>
        <v>0.9835040349</v>
      </c>
    </row>
    <row r="10792">
      <c r="A10792" s="6">
        <v>10790.0</v>
      </c>
      <c r="B10792" s="17">
        <f t="array" ref="B10792">SUM(1-'Sparkling Model'!D$2:D$38^A10792)</f>
        <v>36.98341522</v>
      </c>
      <c r="C10792" s="8">
        <f t="array" ref="C10792">PRODUCT(1-'Sparkling Model'!D$2:D$38^A10792)</f>
        <v>0.9835122261</v>
      </c>
    </row>
    <row r="10793">
      <c r="A10793" s="6">
        <v>10791.0</v>
      </c>
      <c r="B10793" s="17">
        <f t="array" ref="B10793">SUM(1-'Sparkling Model'!D$2:D$38^A10793)</f>
        <v>36.98342351</v>
      </c>
      <c r="C10793" s="8">
        <f t="array" ref="C10793">PRODUCT(1-'Sparkling Model'!D$2:D$38^A10793)</f>
        <v>0.9835204132</v>
      </c>
    </row>
    <row r="10794">
      <c r="A10794" s="6">
        <v>10792.0</v>
      </c>
      <c r="B10794" s="17">
        <f t="array" ref="B10794">SUM(1-'Sparkling Model'!D$2:D$38^A10794)</f>
        <v>36.98343179</v>
      </c>
      <c r="C10794" s="8">
        <f t="array" ref="C10794">PRODUCT(1-'Sparkling Model'!D$2:D$38^A10794)</f>
        <v>0.9835285963</v>
      </c>
    </row>
    <row r="10795">
      <c r="A10795" s="6">
        <v>10793.0</v>
      </c>
      <c r="B10795" s="17">
        <f t="array" ref="B10795">SUM(1-'Sparkling Model'!D$2:D$38^A10795)</f>
        <v>36.98344006</v>
      </c>
      <c r="C10795" s="8">
        <f t="array" ref="C10795">PRODUCT(1-'Sparkling Model'!D$2:D$38^A10795)</f>
        <v>0.9835367753</v>
      </c>
    </row>
    <row r="10796">
      <c r="A10796" s="6">
        <v>10794.0</v>
      </c>
      <c r="B10796" s="17">
        <f t="array" ref="B10796">SUM(1-'Sparkling Model'!D$2:D$38^A10796)</f>
        <v>36.98344834</v>
      </c>
      <c r="C10796" s="8">
        <f t="array" ref="C10796">PRODUCT(1-'Sparkling Model'!D$2:D$38^A10796)</f>
        <v>0.9835449502</v>
      </c>
    </row>
    <row r="10797">
      <c r="A10797" s="6">
        <v>10795.0</v>
      </c>
      <c r="B10797" s="17">
        <f t="array" ref="B10797">SUM(1-'Sparkling Model'!D$2:D$38^A10797)</f>
        <v>36.9834566</v>
      </c>
      <c r="C10797" s="8">
        <f t="array" ref="C10797">PRODUCT(1-'Sparkling Model'!D$2:D$38^A10797)</f>
        <v>0.983553121</v>
      </c>
    </row>
    <row r="10798">
      <c r="A10798" s="6">
        <v>10796.0</v>
      </c>
      <c r="B10798" s="17">
        <f t="array" ref="B10798">SUM(1-'Sparkling Model'!D$2:D$38^A10798)</f>
        <v>36.98346487</v>
      </c>
      <c r="C10798" s="8">
        <f t="array" ref="C10798">PRODUCT(1-'Sparkling Model'!D$2:D$38^A10798)</f>
        <v>0.9835612878</v>
      </c>
    </row>
    <row r="10799">
      <c r="A10799" s="6">
        <v>10797.0</v>
      </c>
      <c r="B10799" s="17">
        <f t="array" ref="B10799">SUM(1-'Sparkling Model'!D$2:D$38^A10799)</f>
        <v>36.98347313</v>
      </c>
      <c r="C10799" s="8">
        <f t="array" ref="C10799">PRODUCT(1-'Sparkling Model'!D$2:D$38^A10799)</f>
        <v>0.9835694505</v>
      </c>
    </row>
    <row r="10800">
      <c r="A10800" s="6">
        <v>10798.0</v>
      </c>
      <c r="B10800" s="17">
        <f t="array" ref="B10800">SUM(1-'Sparkling Model'!D$2:D$38^A10800)</f>
        <v>36.98348138</v>
      </c>
      <c r="C10800" s="8">
        <f t="array" ref="C10800">PRODUCT(1-'Sparkling Model'!D$2:D$38^A10800)</f>
        <v>0.9835776091</v>
      </c>
    </row>
    <row r="10801">
      <c r="A10801" s="6">
        <v>10799.0</v>
      </c>
      <c r="B10801" s="17">
        <f t="array" ref="B10801">SUM(1-'Sparkling Model'!D$2:D$38^A10801)</f>
        <v>36.98348964</v>
      </c>
      <c r="C10801" s="8">
        <f t="array" ref="C10801">PRODUCT(1-'Sparkling Model'!D$2:D$38^A10801)</f>
        <v>0.9835857637</v>
      </c>
    </row>
    <row r="10802">
      <c r="A10802" s="6">
        <v>10800.0</v>
      </c>
      <c r="B10802" s="17">
        <f t="array" ref="B10802">SUM(1-'Sparkling Model'!D$2:D$38^A10802)</f>
        <v>36.98349788</v>
      </c>
      <c r="C10802" s="8">
        <f t="array" ref="C10802">PRODUCT(1-'Sparkling Model'!D$2:D$38^A10802)</f>
        <v>0.9835939142</v>
      </c>
    </row>
    <row r="10803">
      <c r="A10803" s="6">
        <v>10801.0</v>
      </c>
      <c r="B10803" s="17">
        <f t="array" ref="B10803">SUM(1-'Sparkling Model'!D$2:D$38^A10803)</f>
        <v>36.98350613</v>
      </c>
      <c r="C10803" s="8">
        <f t="array" ref="C10803">PRODUCT(1-'Sparkling Model'!D$2:D$38^A10803)</f>
        <v>0.9836020607</v>
      </c>
    </row>
    <row r="10804">
      <c r="A10804" s="6">
        <v>10802.0</v>
      </c>
      <c r="B10804" s="17">
        <f t="array" ref="B10804">SUM(1-'Sparkling Model'!D$2:D$38^A10804)</f>
        <v>36.98351436</v>
      </c>
      <c r="C10804" s="8">
        <f t="array" ref="C10804">PRODUCT(1-'Sparkling Model'!D$2:D$38^A10804)</f>
        <v>0.9836102031</v>
      </c>
    </row>
    <row r="10805">
      <c r="A10805" s="6">
        <v>10803.0</v>
      </c>
      <c r="B10805" s="17">
        <f t="array" ref="B10805">SUM(1-'Sparkling Model'!D$2:D$38^A10805)</f>
        <v>36.9835226</v>
      </c>
      <c r="C10805" s="8">
        <f t="array" ref="C10805">PRODUCT(1-'Sparkling Model'!D$2:D$38^A10805)</f>
        <v>0.9836183414</v>
      </c>
    </row>
    <row r="10806">
      <c r="A10806" s="6">
        <v>10804.0</v>
      </c>
      <c r="B10806" s="17">
        <f t="array" ref="B10806">SUM(1-'Sparkling Model'!D$2:D$38^A10806)</f>
        <v>36.98353083</v>
      </c>
      <c r="C10806" s="8">
        <f t="array" ref="C10806">PRODUCT(1-'Sparkling Model'!D$2:D$38^A10806)</f>
        <v>0.9836264757</v>
      </c>
    </row>
    <row r="10807">
      <c r="A10807" s="6">
        <v>10805.0</v>
      </c>
      <c r="B10807" s="17">
        <f t="array" ref="B10807">SUM(1-'Sparkling Model'!D$2:D$38^A10807)</f>
        <v>36.98353906</v>
      </c>
      <c r="C10807" s="8">
        <f t="array" ref="C10807">PRODUCT(1-'Sparkling Model'!D$2:D$38^A10807)</f>
        <v>0.983634606</v>
      </c>
    </row>
    <row r="10808">
      <c r="A10808" s="6">
        <v>10806.0</v>
      </c>
      <c r="B10808" s="17">
        <f t="array" ref="B10808">SUM(1-'Sparkling Model'!D$2:D$38^A10808)</f>
        <v>36.98354728</v>
      </c>
      <c r="C10808" s="8">
        <f t="array" ref="C10808">PRODUCT(1-'Sparkling Model'!D$2:D$38^A10808)</f>
        <v>0.9836427322</v>
      </c>
    </row>
    <row r="10809">
      <c r="A10809" s="6">
        <v>10807.0</v>
      </c>
      <c r="B10809" s="17">
        <f t="array" ref="B10809">SUM(1-'Sparkling Model'!D$2:D$38^A10809)</f>
        <v>36.9835555</v>
      </c>
      <c r="C10809" s="8">
        <f t="array" ref="C10809">PRODUCT(1-'Sparkling Model'!D$2:D$38^A10809)</f>
        <v>0.9836508543</v>
      </c>
    </row>
    <row r="10810">
      <c r="A10810" s="6">
        <v>10808.0</v>
      </c>
      <c r="B10810" s="17">
        <f t="array" ref="B10810">SUM(1-'Sparkling Model'!D$2:D$38^A10810)</f>
        <v>36.98356371</v>
      </c>
      <c r="C10810" s="8">
        <f t="array" ref="C10810">PRODUCT(1-'Sparkling Model'!D$2:D$38^A10810)</f>
        <v>0.9836589724</v>
      </c>
    </row>
    <row r="10811">
      <c r="A10811" s="6">
        <v>10809.0</v>
      </c>
      <c r="B10811" s="17">
        <f t="array" ref="B10811">SUM(1-'Sparkling Model'!D$2:D$38^A10811)</f>
        <v>36.98357192</v>
      </c>
      <c r="C10811" s="8">
        <f t="array" ref="C10811">PRODUCT(1-'Sparkling Model'!D$2:D$38^A10811)</f>
        <v>0.9836670865</v>
      </c>
    </row>
    <row r="10812">
      <c r="A10812" s="6">
        <v>10810.0</v>
      </c>
      <c r="B10812" s="17">
        <f t="array" ref="B10812">SUM(1-'Sparkling Model'!D$2:D$38^A10812)</f>
        <v>36.98358013</v>
      </c>
      <c r="C10812" s="8">
        <f t="array" ref="C10812">PRODUCT(1-'Sparkling Model'!D$2:D$38^A10812)</f>
        <v>0.9836751965</v>
      </c>
    </row>
    <row r="10813">
      <c r="A10813" s="6">
        <v>10811.0</v>
      </c>
      <c r="B10813" s="17">
        <f t="array" ref="B10813">SUM(1-'Sparkling Model'!D$2:D$38^A10813)</f>
        <v>36.98358833</v>
      </c>
      <c r="C10813" s="8">
        <f t="array" ref="C10813">PRODUCT(1-'Sparkling Model'!D$2:D$38^A10813)</f>
        <v>0.9836833025</v>
      </c>
    </row>
    <row r="10814">
      <c r="A10814" s="6">
        <v>10812.0</v>
      </c>
      <c r="B10814" s="17">
        <f t="array" ref="B10814">SUM(1-'Sparkling Model'!D$2:D$38^A10814)</f>
        <v>36.98359652</v>
      </c>
      <c r="C10814" s="8">
        <f t="array" ref="C10814">PRODUCT(1-'Sparkling Model'!D$2:D$38^A10814)</f>
        <v>0.9836914045</v>
      </c>
    </row>
    <row r="10815">
      <c r="A10815" s="6">
        <v>10813.0</v>
      </c>
      <c r="B10815" s="17">
        <f t="array" ref="B10815">SUM(1-'Sparkling Model'!D$2:D$38^A10815)</f>
        <v>36.98360472</v>
      </c>
      <c r="C10815" s="8">
        <f t="array" ref="C10815">PRODUCT(1-'Sparkling Model'!D$2:D$38^A10815)</f>
        <v>0.9836995024</v>
      </c>
    </row>
    <row r="10816">
      <c r="A10816" s="6">
        <v>10814.0</v>
      </c>
      <c r="B10816" s="17">
        <f t="array" ref="B10816">SUM(1-'Sparkling Model'!D$2:D$38^A10816)</f>
        <v>36.98361291</v>
      </c>
      <c r="C10816" s="8">
        <f t="array" ref="C10816">PRODUCT(1-'Sparkling Model'!D$2:D$38^A10816)</f>
        <v>0.9837075963</v>
      </c>
    </row>
    <row r="10817">
      <c r="A10817" s="6">
        <v>10815.0</v>
      </c>
      <c r="B10817" s="17">
        <f t="array" ref="B10817">SUM(1-'Sparkling Model'!D$2:D$38^A10817)</f>
        <v>36.98362109</v>
      </c>
      <c r="C10817" s="8">
        <f t="array" ref="C10817">PRODUCT(1-'Sparkling Model'!D$2:D$38^A10817)</f>
        <v>0.9837156861</v>
      </c>
    </row>
    <row r="10818">
      <c r="A10818" s="6">
        <v>10816.0</v>
      </c>
      <c r="B10818" s="17">
        <f t="array" ref="B10818">SUM(1-'Sparkling Model'!D$2:D$38^A10818)</f>
        <v>36.98362927</v>
      </c>
      <c r="C10818" s="8">
        <f t="array" ref="C10818">PRODUCT(1-'Sparkling Model'!D$2:D$38^A10818)</f>
        <v>0.983723772</v>
      </c>
    </row>
    <row r="10819">
      <c r="A10819" s="6">
        <v>10817.0</v>
      </c>
      <c r="B10819" s="17">
        <f t="array" ref="B10819">SUM(1-'Sparkling Model'!D$2:D$38^A10819)</f>
        <v>36.98363745</v>
      </c>
      <c r="C10819" s="8">
        <f t="array" ref="C10819">PRODUCT(1-'Sparkling Model'!D$2:D$38^A10819)</f>
        <v>0.9837318538</v>
      </c>
    </row>
    <row r="10820">
      <c r="A10820" s="6">
        <v>10818.0</v>
      </c>
      <c r="B10820" s="17">
        <f t="array" ref="B10820">SUM(1-'Sparkling Model'!D$2:D$38^A10820)</f>
        <v>36.98364562</v>
      </c>
      <c r="C10820" s="8">
        <f t="array" ref="C10820">PRODUCT(1-'Sparkling Model'!D$2:D$38^A10820)</f>
        <v>0.9837399316</v>
      </c>
    </row>
    <row r="10821">
      <c r="A10821" s="6">
        <v>10819.0</v>
      </c>
      <c r="B10821" s="17">
        <f t="array" ref="B10821">SUM(1-'Sparkling Model'!D$2:D$38^A10821)</f>
        <v>36.98365379</v>
      </c>
      <c r="C10821" s="8">
        <f t="array" ref="C10821">PRODUCT(1-'Sparkling Model'!D$2:D$38^A10821)</f>
        <v>0.9837480053</v>
      </c>
    </row>
    <row r="10822">
      <c r="A10822" s="6">
        <v>10820.0</v>
      </c>
      <c r="B10822" s="17">
        <f t="array" ref="B10822">SUM(1-'Sparkling Model'!D$2:D$38^A10822)</f>
        <v>36.98366196</v>
      </c>
      <c r="C10822" s="8">
        <f t="array" ref="C10822">PRODUCT(1-'Sparkling Model'!D$2:D$38^A10822)</f>
        <v>0.9837560751</v>
      </c>
    </row>
    <row r="10823">
      <c r="A10823" s="6">
        <v>10821.0</v>
      </c>
      <c r="B10823" s="17">
        <f t="array" ref="B10823">SUM(1-'Sparkling Model'!D$2:D$38^A10823)</f>
        <v>36.98367012</v>
      </c>
      <c r="C10823" s="8">
        <f t="array" ref="C10823">PRODUCT(1-'Sparkling Model'!D$2:D$38^A10823)</f>
        <v>0.9837641408</v>
      </c>
    </row>
    <row r="10824">
      <c r="A10824" s="6">
        <v>10822.0</v>
      </c>
      <c r="B10824" s="17">
        <f t="array" ref="B10824">SUM(1-'Sparkling Model'!D$2:D$38^A10824)</f>
        <v>36.98367827</v>
      </c>
      <c r="C10824" s="8">
        <f t="array" ref="C10824">PRODUCT(1-'Sparkling Model'!D$2:D$38^A10824)</f>
        <v>0.9837722025</v>
      </c>
    </row>
    <row r="10825">
      <c r="A10825" s="6">
        <v>10823.0</v>
      </c>
      <c r="B10825" s="17">
        <f t="array" ref="B10825">SUM(1-'Sparkling Model'!D$2:D$38^A10825)</f>
        <v>36.98368642</v>
      </c>
      <c r="C10825" s="8">
        <f t="array" ref="C10825">PRODUCT(1-'Sparkling Model'!D$2:D$38^A10825)</f>
        <v>0.9837802602</v>
      </c>
    </row>
    <row r="10826">
      <c r="A10826" s="6">
        <v>10824.0</v>
      </c>
      <c r="B10826" s="17">
        <f t="array" ref="B10826">SUM(1-'Sparkling Model'!D$2:D$38^A10826)</f>
        <v>36.98369457</v>
      </c>
      <c r="C10826" s="8">
        <f t="array" ref="C10826">PRODUCT(1-'Sparkling Model'!D$2:D$38^A10826)</f>
        <v>0.9837883139</v>
      </c>
    </row>
    <row r="10827">
      <c r="A10827" s="6">
        <v>10825.0</v>
      </c>
      <c r="B10827" s="17">
        <f t="array" ref="B10827">SUM(1-'Sparkling Model'!D$2:D$38^A10827)</f>
        <v>36.98370272</v>
      </c>
      <c r="C10827" s="8">
        <f t="array" ref="C10827">PRODUCT(1-'Sparkling Model'!D$2:D$38^A10827)</f>
        <v>0.9837963636</v>
      </c>
    </row>
    <row r="10828">
      <c r="A10828" s="6">
        <v>10826.0</v>
      </c>
      <c r="B10828" s="17">
        <f t="array" ref="B10828">SUM(1-'Sparkling Model'!D$2:D$38^A10828)</f>
        <v>36.98371086</v>
      </c>
      <c r="C10828" s="8">
        <f t="array" ref="C10828">PRODUCT(1-'Sparkling Model'!D$2:D$38^A10828)</f>
        <v>0.9838044092</v>
      </c>
    </row>
    <row r="10829">
      <c r="A10829" s="6">
        <v>10827.0</v>
      </c>
      <c r="B10829" s="17">
        <f t="array" ref="B10829">SUM(1-'Sparkling Model'!D$2:D$38^A10829)</f>
        <v>36.98371899</v>
      </c>
      <c r="C10829" s="8">
        <f t="array" ref="C10829">PRODUCT(1-'Sparkling Model'!D$2:D$38^A10829)</f>
        <v>0.9838124509</v>
      </c>
    </row>
    <row r="10830">
      <c r="A10830" s="6">
        <v>10828.0</v>
      </c>
      <c r="B10830" s="17">
        <f t="array" ref="B10830">SUM(1-'Sparkling Model'!D$2:D$38^A10830)</f>
        <v>36.98372712</v>
      </c>
      <c r="C10830" s="8">
        <f t="array" ref="C10830">PRODUCT(1-'Sparkling Model'!D$2:D$38^A10830)</f>
        <v>0.9838204885</v>
      </c>
    </row>
    <row r="10831">
      <c r="A10831" s="6">
        <v>10829.0</v>
      </c>
      <c r="B10831" s="17">
        <f t="array" ref="B10831">SUM(1-'Sparkling Model'!D$2:D$38^A10831)</f>
        <v>36.98373525</v>
      </c>
      <c r="C10831" s="8">
        <f t="array" ref="C10831">PRODUCT(1-'Sparkling Model'!D$2:D$38^A10831)</f>
        <v>0.9838285222</v>
      </c>
    </row>
    <row r="10832">
      <c r="A10832" s="6">
        <v>10830.0</v>
      </c>
      <c r="B10832" s="17">
        <f t="array" ref="B10832">SUM(1-'Sparkling Model'!D$2:D$38^A10832)</f>
        <v>36.98374337</v>
      </c>
      <c r="C10832" s="8">
        <f t="array" ref="C10832">PRODUCT(1-'Sparkling Model'!D$2:D$38^A10832)</f>
        <v>0.9838365519</v>
      </c>
    </row>
    <row r="10833">
      <c r="A10833" s="6">
        <v>10831.0</v>
      </c>
      <c r="B10833" s="17">
        <f t="array" ref="B10833">SUM(1-'Sparkling Model'!D$2:D$38^A10833)</f>
        <v>36.98375149</v>
      </c>
      <c r="C10833" s="8">
        <f t="array" ref="C10833">PRODUCT(1-'Sparkling Model'!D$2:D$38^A10833)</f>
        <v>0.9838445775</v>
      </c>
    </row>
    <row r="10834">
      <c r="A10834" s="6">
        <v>10832.0</v>
      </c>
      <c r="B10834" s="17">
        <f t="array" ref="B10834">SUM(1-'Sparkling Model'!D$2:D$38^A10834)</f>
        <v>36.98375961</v>
      </c>
      <c r="C10834" s="8">
        <f t="array" ref="C10834">PRODUCT(1-'Sparkling Model'!D$2:D$38^A10834)</f>
        <v>0.9838525992</v>
      </c>
    </row>
    <row r="10835">
      <c r="A10835" s="6">
        <v>10833.0</v>
      </c>
      <c r="B10835" s="17">
        <f t="array" ref="B10835">SUM(1-'Sparkling Model'!D$2:D$38^A10835)</f>
        <v>36.98376772</v>
      </c>
      <c r="C10835" s="8">
        <f t="array" ref="C10835">PRODUCT(1-'Sparkling Model'!D$2:D$38^A10835)</f>
        <v>0.9838606168</v>
      </c>
    </row>
    <row r="10836">
      <c r="A10836" s="6">
        <v>10834.0</v>
      </c>
      <c r="B10836" s="17">
        <f t="array" ref="B10836">SUM(1-'Sparkling Model'!D$2:D$38^A10836)</f>
        <v>36.98377583</v>
      </c>
      <c r="C10836" s="8">
        <f t="array" ref="C10836">PRODUCT(1-'Sparkling Model'!D$2:D$38^A10836)</f>
        <v>0.9838686305</v>
      </c>
    </row>
    <row r="10837">
      <c r="A10837" s="6">
        <v>10835.0</v>
      </c>
      <c r="B10837" s="17">
        <f t="array" ref="B10837">SUM(1-'Sparkling Model'!D$2:D$38^A10837)</f>
        <v>36.98378393</v>
      </c>
      <c r="C10837" s="8">
        <f t="array" ref="C10837">PRODUCT(1-'Sparkling Model'!D$2:D$38^A10837)</f>
        <v>0.9838766402</v>
      </c>
    </row>
    <row r="10838">
      <c r="A10838" s="6">
        <v>10836.0</v>
      </c>
      <c r="B10838" s="17">
        <f t="array" ref="B10838">SUM(1-'Sparkling Model'!D$2:D$38^A10838)</f>
        <v>36.98379203</v>
      </c>
      <c r="C10838" s="8">
        <f t="array" ref="C10838">PRODUCT(1-'Sparkling Model'!D$2:D$38^A10838)</f>
        <v>0.9838846459</v>
      </c>
    </row>
    <row r="10839">
      <c r="A10839" s="6">
        <v>10837.0</v>
      </c>
      <c r="B10839" s="17">
        <f t="array" ref="B10839">SUM(1-'Sparkling Model'!D$2:D$38^A10839)</f>
        <v>36.98380012</v>
      </c>
      <c r="C10839" s="8">
        <f t="array" ref="C10839">PRODUCT(1-'Sparkling Model'!D$2:D$38^A10839)</f>
        <v>0.9838926476</v>
      </c>
    </row>
    <row r="10840">
      <c r="A10840" s="6">
        <v>10838.0</v>
      </c>
      <c r="B10840" s="17">
        <f t="array" ref="B10840">SUM(1-'Sparkling Model'!D$2:D$38^A10840)</f>
        <v>36.98380821</v>
      </c>
      <c r="C10840" s="8">
        <f t="array" ref="C10840">PRODUCT(1-'Sparkling Model'!D$2:D$38^A10840)</f>
        <v>0.9839006454</v>
      </c>
    </row>
    <row r="10841">
      <c r="A10841" s="6">
        <v>10839.0</v>
      </c>
      <c r="B10841" s="17">
        <f t="array" ref="B10841">SUM(1-'Sparkling Model'!D$2:D$38^A10841)</f>
        <v>36.9838163</v>
      </c>
      <c r="C10841" s="8">
        <f t="array" ref="C10841">PRODUCT(1-'Sparkling Model'!D$2:D$38^A10841)</f>
        <v>0.9839086391</v>
      </c>
    </row>
    <row r="10842">
      <c r="A10842" s="6">
        <v>10840.0</v>
      </c>
      <c r="B10842" s="17">
        <f t="array" ref="B10842">SUM(1-'Sparkling Model'!D$2:D$38^A10842)</f>
        <v>36.98382438</v>
      </c>
      <c r="C10842" s="8">
        <f t="array" ref="C10842">PRODUCT(1-'Sparkling Model'!D$2:D$38^A10842)</f>
        <v>0.9839166289</v>
      </c>
    </row>
    <row r="10843">
      <c r="A10843" s="6">
        <v>10841.0</v>
      </c>
      <c r="B10843" s="17">
        <f t="array" ref="B10843">SUM(1-'Sparkling Model'!D$2:D$38^A10843)</f>
        <v>36.98383246</v>
      </c>
      <c r="C10843" s="8">
        <f t="array" ref="C10843">PRODUCT(1-'Sparkling Model'!D$2:D$38^A10843)</f>
        <v>0.9839246147</v>
      </c>
    </row>
    <row r="10844">
      <c r="A10844" s="6">
        <v>10842.0</v>
      </c>
      <c r="B10844" s="17">
        <f t="array" ref="B10844">SUM(1-'Sparkling Model'!D$2:D$38^A10844)</f>
        <v>36.98384054</v>
      </c>
      <c r="C10844" s="8">
        <f t="array" ref="C10844">PRODUCT(1-'Sparkling Model'!D$2:D$38^A10844)</f>
        <v>0.9839325965</v>
      </c>
    </row>
    <row r="10845">
      <c r="A10845" s="6">
        <v>10843.0</v>
      </c>
      <c r="B10845" s="17">
        <f t="array" ref="B10845">SUM(1-'Sparkling Model'!D$2:D$38^A10845)</f>
        <v>36.98384861</v>
      </c>
      <c r="C10845" s="8">
        <f t="array" ref="C10845">PRODUCT(1-'Sparkling Model'!D$2:D$38^A10845)</f>
        <v>0.9839405743</v>
      </c>
    </row>
    <row r="10846">
      <c r="A10846" s="6">
        <v>10844.0</v>
      </c>
      <c r="B10846" s="17">
        <f t="array" ref="B10846">SUM(1-'Sparkling Model'!D$2:D$38^A10846)</f>
        <v>36.98385667</v>
      </c>
      <c r="C10846" s="8">
        <f t="array" ref="C10846">PRODUCT(1-'Sparkling Model'!D$2:D$38^A10846)</f>
        <v>0.9839485482</v>
      </c>
    </row>
    <row r="10847">
      <c r="A10847" s="6">
        <v>10845.0</v>
      </c>
      <c r="B10847" s="17">
        <f t="array" ref="B10847">SUM(1-'Sparkling Model'!D$2:D$38^A10847)</f>
        <v>36.98386473</v>
      </c>
      <c r="C10847" s="8">
        <f t="array" ref="C10847">PRODUCT(1-'Sparkling Model'!D$2:D$38^A10847)</f>
        <v>0.9839565181</v>
      </c>
    </row>
    <row r="10848">
      <c r="A10848" s="6">
        <v>10846.0</v>
      </c>
      <c r="B10848" s="17">
        <f t="array" ref="B10848">SUM(1-'Sparkling Model'!D$2:D$38^A10848)</f>
        <v>36.98387279</v>
      </c>
      <c r="C10848" s="8">
        <f t="array" ref="C10848">PRODUCT(1-'Sparkling Model'!D$2:D$38^A10848)</f>
        <v>0.983964484</v>
      </c>
    </row>
    <row r="10849">
      <c r="A10849" s="6">
        <v>10847.0</v>
      </c>
      <c r="B10849" s="17">
        <f t="array" ref="B10849">SUM(1-'Sparkling Model'!D$2:D$38^A10849)</f>
        <v>36.98388085</v>
      </c>
      <c r="C10849" s="8">
        <f t="array" ref="C10849">PRODUCT(1-'Sparkling Model'!D$2:D$38^A10849)</f>
        <v>0.983972446</v>
      </c>
    </row>
    <row r="10850">
      <c r="A10850" s="6">
        <v>10848.0</v>
      </c>
      <c r="B10850" s="17">
        <f t="array" ref="B10850">SUM(1-'Sparkling Model'!D$2:D$38^A10850)</f>
        <v>36.9838889</v>
      </c>
      <c r="C10850" s="8">
        <f t="array" ref="C10850">PRODUCT(1-'Sparkling Model'!D$2:D$38^A10850)</f>
        <v>0.983980404</v>
      </c>
    </row>
    <row r="10851">
      <c r="A10851" s="6">
        <v>10849.0</v>
      </c>
      <c r="B10851" s="17">
        <f t="array" ref="B10851">SUM(1-'Sparkling Model'!D$2:D$38^A10851)</f>
        <v>36.98389694</v>
      </c>
      <c r="C10851" s="8">
        <f t="array" ref="C10851">PRODUCT(1-'Sparkling Model'!D$2:D$38^A10851)</f>
        <v>0.983988358</v>
      </c>
    </row>
    <row r="10852">
      <c r="A10852" s="6">
        <v>10850.0</v>
      </c>
      <c r="B10852" s="17">
        <f t="array" ref="B10852">SUM(1-'Sparkling Model'!D$2:D$38^A10852)</f>
        <v>36.98390498</v>
      </c>
      <c r="C10852" s="8">
        <f t="array" ref="C10852">PRODUCT(1-'Sparkling Model'!D$2:D$38^A10852)</f>
        <v>0.9839963081</v>
      </c>
    </row>
    <row r="10853">
      <c r="A10853" s="6">
        <v>10851.0</v>
      </c>
      <c r="B10853" s="17">
        <f t="array" ref="B10853">SUM(1-'Sparkling Model'!D$2:D$38^A10853)</f>
        <v>36.98391302</v>
      </c>
      <c r="C10853" s="8">
        <f t="array" ref="C10853">PRODUCT(1-'Sparkling Model'!D$2:D$38^A10853)</f>
        <v>0.9840042543</v>
      </c>
    </row>
    <row r="10854">
      <c r="A10854" s="6">
        <v>10852.0</v>
      </c>
      <c r="B10854" s="17">
        <f t="array" ref="B10854">SUM(1-'Sparkling Model'!D$2:D$38^A10854)</f>
        <v>36.98392106</v>
      </c>
      <c r="C10854" s="8">
        <f t="array" ref="C10854">PRODUCT(1-'Sparkling Model'!D$2:D$38^A10854)</f>
        <v>0.9840121964</v>
      </c>
    </row>
    <row r="10855">
      <c r="A10855" s="6">
        <v>10853.0</v>
      </c>
      <c r="B10855" s="17">
        <f t="array" ref="B10855">SUM(1-'Sparkling Model'!D$2:D$38^A10855)</f>
        <v>36.98392909</v>
      </c>
      <c r="C10855" s="8">
        <f t="array" ref="C10855">PRODUCT(1-'Sparkling Model'!D$2:D$38^A10855)</f>
        <v>0.9840201346</v>
      </c>
    </row>
    <row r="10856">
      <c r="A10856" s="6">
        <v>10854.0</v>
      </c>
      <c r="B10856" s="17">
        <f t="array" ref="B10856">SUM(1-'Sparkling Model'!D$2:D$38^A10856)</f>
        <v>36.98393711</v>
      </c>
      <c r="C10856" s="8">
        <f t="array" ref="C10856">PRODUCT(1-'Sparkling Model'!D$2:D$38^A10856)</f>
        <v>0.9840280689</v>
      </c>
    </row>
    <row r="10857">
      <c r="A10857" s="6">
        <v>10855.0</v>
      </c>
      <c r="B10857" s="17">
        <f t="array" ref="B10857">SUM(1-'Sparkling Model'!D$2:D$38^A10857)</f>
        <v>36.98394513</v>
      </c>
      <c r="C10857" s="8">
        <f t="array" ref="C10857">PRODUCT(1-'Sparkling Model'!D$2:D$38^A10857)</f>
        <v>0.9840359992</v>
      </c>
    </row>
    <row r="10858">
      <c r="A10858" s="6">
        <v>10856.0</v>
      </c>
      <c r="B10858" s="17">
        <f t="array" ref="B10858">SUM(1-'Sparkling Model'!D$2:D$38^A10858)</f>
        <v>36.98395315</v>
      </c>
      <c r="C10858" s="8">
        <f t="array" ref="C10858">PRODUCT(1-'Sparkling Model'!D$2:D$38^A10858)</f>
        <v>0.9840439256</v>
      </c>
    </row>
    <row r="10859">
      <c r="A10859" s="6">
        <v>10857.0</v>
      </c>
      <c r="B10859" s="17">
        <f t="array" ref="B10859">SUM(1-'Sparkling Model'!D$2:D$38^A10859)</f>
        <v>36.98396116</v>
      </c>
      <c r="C10859" s="8">
        <f t="array" ref="C10859">PRODUCT(1-'Sparkling Model'!D$2:D$38^A10859)</f>
        <v>0.984051848</v>
      </c>
    </row>
    <row r="10860">
      <c r="A10860" s="6">
        <v>10858.0</v>
      </c>
      <c r="B10860" s="17">
        <f t="array" ref="B10860">SUM(1-'Sparkling Model'!D$2:D$38^A10860)</f>
        <v>36.98396917</v>
      </c>
      <c r="C10860" s="8">
        <f t="array" ref="C10860">PRODUCT(1-'Sparkling Model'!D$2:D$38^A10860)</f>
        <v>0.9840597665</v>
      </c>
    </row>
    <row r="10861">
      <c r="A10861" s="6">
        <v>10859.0</v>
      </c>
      <c r="B10861" s="17">
        <f t="array" ref="B10861">SUM(1-'Sparkling Model'!D$2:D$38^A10861)</f>
        <v>36.98397718</v>
      </c>
      <c r="C10861" s="8">
        <f t="array" ref="C10861">PRODUCT(1-'Sparkling Model'!D$2:D$38^A10861)</f>
        <v>0.984067681</v>
      </c>
    </row>
    <row r="10862">
      <c r="A10862" s="6">
        <v>10860.0</v>
      </c>
      <c r="B10862" s="17">
        <f t="array" ref="B10862">SUM(1-'Sparkling Model'!D$2:D$38^A10862)</f>
        <v>36.98398518</v>
      </c>
      <c r="C10862" s="8">
        <f t="array" ref="C10862">PRODUCT(1-'Sparkling Model'!D$2:D$38^A10862)</f>
        <v>0.9840755916</v>
      </c>
    </row>
    <row r="10863">
      <c r="A10863" s="6">
        <v>10861.0</v>
      </c>
      <c r="B10863" s="17">
        <f t="array" ref="B10863">SUM(1-'Sparkling Model'!D$2:D$38^A10863)</f>
        <v>36.98399318</v>
      </c>
      <c r="C10863" s="8">
        <f t="array" ref="C10863">PRODUCT(1-'Sparkling Model'!D$2:D$38^A10863)</f>
        <v>0.9840834982</v>
      </c>
    </row>
    <row r="10864">
      <c r="A10864" s="6">
        <v>10862.0</v>
      </c>
      <c r="B10864" s="17">
        <f t="array" ref="B10864">SUM(1-'Sparkling Model'!D$2:D$38^A10864)</f>
        <v>36.98400117</v>
      </c>
      <c r="C10864" s="8">
        <f t="array" ref="C10864">PRODUCT(1-'Sparkling Model'!D$2:D$38^A10864)</f>
        <v>0.984091401</v>
      </c>
    </row>
    <row r="10865">
      <c r="A10865" s="6">
        <v>10863.0</v>
      </c>
      <c r="B10865" s="17">
        <f t="array" ref="B10865">SUM(1-'Sparkling Model'!D$2:D$38^A10865)</f>
        <v>36.98400916</v>
      </c>
      <c r="C10865" s="8">
        <f t="array" ref="C10865">PRODUCT(1-'Sparkling Model'!D$2:D$38^A10865)</f>
        <v>0.9840992997</v>
      </c>
    </row>
    <row r="10866">
      <c r="A10866" s="6">
        <v>10864.0</v>
      </c>
      <c r="B10866" s="17">
        <f t="array" ref="B10866">SUM(1-'Sparkling Model'!D$2:D$38^A10866)</f>
        <v>36.98401715</v>
      </c>
      <c r="C10866" s="8">
        <f t="array" ref="C10866">PRODUCT(1-'Sparkling Model'!D$2:D$38^A10866)</f>
        <v>0.9841071946</v>
      </c>
    </row>
    <row r="10867">
      <c r="A10867" s="6">
        <v>10865.0</v>
      </c>
      <c r="B10867" s="17">
        <f t="array" ref="B10867">SUM(1-'Sparkling Model'!D$2:D$38^A10867)</f>
        <v>36.98402513</v>
      </c>
      <c r="C10867" s="8">
        <f t="array" ref="C10867">PRODUCT(1-'Sparkling Model'!D$2:D$38^A10867)</f>
        <v>0.9841150855</v>
      </c>
    </row>
    <row r="10868">
      <c r="A10868" s="6">
        <v>10866.0</v>
      </c>
      <c r="B10868" s="17">
        <f t="array" ref="B10868">SUM(1-'Sparkling Model'!D$2:D$38^A10868)</f>
        <v>36.98403311</v>
      </c>
      <c r="C10868" s="8">
        <f t="array" ref="C10868">PRODUCT(1-'Sparkling Model'!D$2:D$38^A10868)</f>
        <v>0.9841229725</v>
      </c>
    </row>
    <row r="10869">
      <c r="A10869" s="6">
        <v>10867.0</v>
      </c>
      <c r="B10869" s="17">
        <f t="array" ref="B10869">SUM(1-'Sparkling Model'!D$2:D$38^A10869)</f>
        <v>36.98404108</v>
      </c>
      <c r="C10869" s="8">
        <f t="array" ref="C10869">PRODUCT(1-'Sparkling Model'!D$2:D$38^A10869)</f>
        <v>0.9841308556</v>
      </c>
    </row>
    <row r="10870">
      <c r="A10870" s="6">
        <v>10868.0</v>
      </c>
      <c r="B10870" s="17">
        <f t="array" ref="B10870">SUM(1-'Sparkling Model'!D$2:D$38^A10870)</f>
        <v>36.98404905</v>
      </c>
      <c r="C10870" s="8">
        <f t="array" ref="C10870">PRODUCT(1-'Sparkling Model'!D$2:D$38^A10870)</f>
        <v>0.9841387347</v>
      </c>
    </row>
    <row r="10871">
      <c r="A10871" s="6">
        <v>10869.0</v>
      </c>
      <c r="B10871" s="17">
        <f t="array" ref="B10871">SUM(1-'Sparkling Model'!D$2:D$38^A10871)</f>
        <v>36.98405701</v>
      </c>
      <c r="C10871" s="8">
        <f t="array" ref="C10871">PRODUCT(1-'Sparkling Model'!D$2:D$38^A10871)</f>
        <v>0.9841466099</v>
      </c>
    </row>
    <row r="10872">
      <c r="A10872" s="6">
        <v>10870.0</v>
      </c>
      <c r="B10872" s="17">
        <f t="array" ref="B10872">SUM(1-'Sparkling Model'!D$2:D$38^A10872)</f>
        <v>36.98406498</v>
      </c>
      <c r="C10872" s="8">
        <f t="array" ref="C10872">PRODUCT(1-'Sparkling Model'!D$2:D$38^A10872)</f>
        <v>0.9841544812</v>
      </c>
    </row>
    <row r="10873">
      <c r="A10873" s="6">
        <v>10871.0</v>
      </c>
      <c r="B10873" s="17">
        <f t="array" ref="B10873">SUM(1-'Sparkling Model'!D$2:D$38^A10873)</f>
        <v>36.98407293</v>
      </c>
      <c r="C10873" s="8">
        <f t="array" ref="C10873">PRODUCT(1-'Sparkling Model'!D$2:D$38^A10873)</f>
        <v>0.9841623486</v>
      </c>
    </row>
    <row r="10874">
      <c r="A10874" s="6">
        <v>10872.0</v>
      </c>
      <c r="B10874" s="17">
        <f t="array" ref="B10874">SUM(1-'Sparkling Model'!D$2:D$38^A10874)</f>
        <v>36.98408089</v>
      </c>
      <c r="C10874" s="8">
        <f t="array" ref="C10874">PRODUCT(1-'Sparkling Model'!D$2:D$38^A10874)</f>
        <v>0.9841702121</v>
      </c>
    </row>
    <row r="10875">
      <c r="A10875" s="6">
        <v>10873.0</v>
      </c>
      <c r="B10875" s="17">
        <f t="array" ref="B10875">SUM(1-'Sparkling Model'!D$2:D$38^A10875)</f>
        <v>36.98408884</v>
      </c>
      <c r="C10875" s="8">
        <f t="array" ref="C10875">PRODUCT(1-'Sparkling Model'!D$2:D$38^A10875)</f>
        <v>0.9841780716</v>
      </c>
    </row>
    <row r="10876">
      <c r="A10876" s="6">
        <v>10874.0</v>
      </c>
      <c r="B10876" s="17">
        <f t="array" ref="B10876">SUM(1-'Sparkling Model'!D$2:D$38^A10876)</f>
        <v>36.98409678</v>
      </c>
      <c r="C10876" s="8">
        <f t="array" ref="C10876">PRODUCT(1-'Sparkling Model'!D$2:D$38^A10876)</f>
        <v>0.9841859272</v>
      </c>
    </row>
    <row r="10877">
      <c r="A10877" s="6">
        <v>10875.0</v>
      </c>
      <c r="B10877" s="17">
        <f t="array" ref="B10877">SUM(1-'Sparkling Model'!D$2:D$38^A10877)</f>
        <v>36.98410472</v>
      </c>
      <c r="C10877" s="8">
        <f t="array" ref="C10877">PRODUCT(1-'Sparkling Model'!D$2:D$38^A10877)</f>
        <v>0.984193779</v>
      </c>
    </row>
    <row r="10878">
      <c r="A10878" s="6">
        <v>10876.0</v>
      </c>
      <c r="B10878" s="17">
        <f t="array" ref="B10878">SUM(1-'Sparkling Model'!D$2:D$38^A10878)</f>
        <v>36.98411266</v>
      </c>
      <c r="C10878" s="8">
        <f t="array" ref="C10878">PRODUCT(1-'Sparkling Model'!D$2:D$38^A10878)</f>
        <v>0.9842016268</v>
      </c>
    </row>
    <row r="10879">
      <c r="A10879" s="6">
        <v>10877.0</v>
      </c>
      <c r="B10879" s="17">
        <f t="array" ref="B10879">SUM(1-'Sparkling Model'!D$2:D$38^A10879)</f>
        <v>36.98412059</v>
      </c>
      <c r="C10879" s="8">
        <f t="array" ref="C10879">PRODUCT(1-'Sparkling Model'!D$2:D$38^A10879)</f>
        <v>0.9842094707</v>
      </c>
    </row>
    <row r="10880">
      <c r="A10880" s="6">
        <v>10878.0</v>
      </c>
      <c r="B10880" s="17">
        <f t="array" ref="B10880">SUM(1-'Sparkling Model'!D$2:D$38^A10880)</f>
        <v>36.98412852</v>
      </c>
      <c r="C10880" s="8">
        <f t="array" ref="C10880">PRODUCT(1-'Sparkling Model'!D$2:D$38^A10880)</f>
        <v>0.9842173107</v>
      </c>
    </row>
    <row r="10881">
      <c r="A10881" s="6">
        <v>10879.0</v>
      </c>
      <c r="B10881" s="17">
        <f t="array" ref="B10881">SUM(1-'Sparkling Model'!D$2:D$38^A10881)</f>
        <v>36.98413645</v>
      </c>
      <c r="C10881" s="8">
        <f t="array" ref="C10881">PRODUCT(1-'Sparkling Model'!D$2:D$38^A10881)</f>
        <v>0.9842251468</v>
      </c>
    </row>
    <row r="10882">
      <c r="A10882" s="6">
        <v>10880.0</v>
      </c>
      <c r="B10882" s="17">
        <f t="array" ref="B10882">SUM(1-'Sparkling Model'!D$2:D$38^A10882)</f>
        <v>36.98414437</v>
      </c>
      <c r="C10882" s="8">
        <f t="array" ref="C10882">PRODUCT(1-'Sparkling Model'!D$2:D$38^A10882)</f>
        <v>0.984232979</v>
      </c>
    </row>
    <row r="10883">
      <c r="A10883" s="6">
        <v>10881.0</v>
      </c>
      <c r="B10883" s="17">
        <f t="array" ref="B10883">SUM(1-'Sparkling Model'!D$2:D$38^A10883)</f>
        <v>36.98415229</v>
      </c>
      <c r="C10883" s="8">
        <f t="array" ref="C10883">PRODUCT(1-'Sparkling Model'!D$2:D$38^A10883)</f>
        <v>0.9842408073</v>
      </c>
    </row>
    <row r="10884">
      <c r="A10884" s="6">
        <v>10882.0</v>
      </c>
      <c r="B10884" s="17">
        <f t="array" ref="B10884">SUM(1-'Sparkling Model'!D$2:D$38^A10884)</f>
        <v>36.9841602</v>
      </c>
      <c r="C10884" s="8">
        <f t="array" ref="C10884">PRODUCT(1-'Sparkling Model'!D$2:D$38^A10884)</f>
        <v>0.9842486317</v>
      </c>
    </row>
    <row r="10885">
      <c r="A10885" s="6">
        <v>10883.0</v>
      </c>
      <c r="B10885" s="17">
        <f t="array" ref="B10885">SUM(1-'Sparkling Model'!D$2:D$38^A10885)</f>
        <v>36.98416811</v>
      </c>
      <c r="C10885" s="8">
        <f t="array" ref="C10885">PRODUCT(1-'Sparkling Model'!D$2:D$38^A10885)</f>
        <v>0.9842564522</v>
      </c>
    </row>
    <row r="10886">
      <c r="A10886" s="6">
        <v>10884.0</v>
      </c>
      <c r="B10886" s="17">
        <f t="array" ref="B10886">SUM(1-'Sparkling Model'!D$2:D$38^A10886)</f>
        <v>36.98417601</v>
      </c>
      <c r="C10886" s="8">
        <f t="array" ref="C10886">PRODUCT(1-'Sparkling Model'!D$2:D$38^A10886)</f>
        <v>0.9842642688</v>
      </c>
    </row>
    <row r="10887">
      <c r="A10887" s="6">
        <v>10885.0</v>
      </c>
      <c r="B10887" s="17">
        <f t="array" ref="B10887">SUM(1-'Sparkling Model'!D$2:D$38^A10887)</f>
        <v>36.98418392</v>
      </c>
      <c r="C10887" s="8">
        <f t="array" ref="C10887">PRODUCT(1-'Sparkling Model'!D$2:D$38^A10887)</f>
        <v>0.9842720815</v>
      </c>
    </row>
    <row r="10888">
      <c r="A10888" s="6">
        <v>10886.0</v>
      </c>
      <c r="B10888" s="17">
        <f t="array" ref="B10888">SUM(1-'Sparkling Model'!D$2:D$38^A10888)</f>
        <v>36.98419181</v>
      </c>
      <c r="C10888" s="8">
        <f t="array" ref="C10888">PRODUCT(1-'Sparkling Model'!D$2:D$38^A10888)</f>
        <v>0.9842798903</v>
      </c>
    </row>
    <row r="10889">
      <c r="A10889" s="6">
        <v>10887.0</v>
      </c>
      <c r="B10889" s="17">
        <f t="array" ref="B10889">SUM(1-'Sparkling Model'!D$2:D$38^A10889)</f>
        <v>36.98419971</v>
      </c>
      <c r="C10889" s="8">
        <f t="array" ref="C10889">PRODUCT(1-'Sparkling Model'!D$2:D$38^A10889)</f>
        <v>0.9842876953</v>
      </c>
    </row>
    <row r="10890">
      <c r="A10890" s="6">
        <v>10888.0</v>
      </c>
      <c r="B10890" s="17">
        <f t="array" ref="B10890">SUM(1-'Sparkling Model'!D$2:D$38^A10890)</f>
        <v>36.9842076</v>
      </c>
      <c r="C10890" s="8">
        <f t="array" ref="C10890">PRODUCT(1-'Sparkling Model'!D$2:D$38^A10890)</f>
        <v>0.9842954964</v>
      </c>
    </row>
    <row r="10891">
      <c r="A10891" s="6">
        <v>10889.0</v>
      </c>
      <c r="B10891" s="17">
        <f t="array" ref="B10891">SUM(1-'Sparkling Model'!D$2:D$38^A10891)</f>
        <v>36.98421548</v>
      </c>
      <c r="C10891" s="8">
        <f t="array" ref="C10891">PRODUCT(1-'Sparkling Model'!D$2:D$38^A10891)</f>
        <v>0.9843032935</v>
      </c>
    </row>
    <row r="10892">
      <c r="A10892" s="6">
        <v>10890.0</v>
      </c>
      <c r="B10892" s="17">
        <f t="array" ref="B10892">SUM(1-'Sparkling Model'!D$2:D$38^A10892)</f>
        <v>36.98422336</v>
      </c>
      <c r="C10892" s="8">
        <f t="array" ref="C10892">PRODUCT(1-'Sparkling Model'!D$2:D$38^A10892)</f>
        <v>0.9843110868</v>
      </c>
    </row>
    <row r="10893">
      <c r="A10893" s="6">
        <v>10891.0</v>
      </c>
      <c r="B10893" s="17">
        <f t="array" ref="B10893">SUM(1-'Sparkling Model'!D$2:D$38^A10893)</f>
        <v>36.98423124</v>
      </c>
      <c r="C10893" s="8">
        <f t="array" ref="C10893">PRODUCT(1-'Sparkling Model'!D$2:D$38^A10893)</f>
        <v>0.9843188762</v>
      </c>
    </row>
    <row r="10894">
      <c r="A10894" s="6">
        <v>10892.0</v>
      </c>
      <c r="B10894" s="17">
        <f t="array" ref="B10894">SUM(1-'Sparkling Model'!D$2:D$38^A10894)</f>
        <v>36.98423911</v>
      </c>
      <c r="C10894" s="8">
        <f t="array" ref="C10894">PRODUCT(1-'Sparkling Model'!D$2:D$38^A10894)</f>
        <v>0.9843266618</v>
      </c>
    </row>
    <row r="10895">
      <c r="A10895" s="6">
        <v>10893.0</v>
      </c>
      <c r="B10895" s="17">
        <f t="array" ref="B10895">SUM(1-'Sparkling Model'!D$2:D$38^A10895)</f>
        <v>36.98424698</v>
      </c>
      <c r="C10895" s="8">
        <f t="array" ref="C10895">PRODUCT(1-'Sparkling Model'!D$2:D$38^A10895)</f>
        <v>0.9843344434</v>
      </c>
    </row>
    <row r="10896">
      <c r="A10896" s="6">
        <v>10894.0</v>
      </c>
      <c r="B10896" s="17">
        <f t="array" ref="B10896">SUM(1-'Sparkling Model'!D$2:D$38^A10896)</f>
        <v>36.98425485</v>
      </c>
      <c r="C10896" s="8">
        <f t="array" ref="C10896">PRODUCT(1-'Sparkling Model'!D$2:D$38^A10896)</f>
        <v>0.9843422212</v>
      </c>
    </row>
    <row r="10897">
      <c r="A10897" s="6">
        <v>10895.0</v>
      </c>
      <c r="B10897" s="17">
        <f t="array" ref="B10897">SUM(1-'Sparkling Model'!D$2:D$38^A10897)</f>
        <v>36.98426271</v>
      </c>
      <c r="C10897" s="8">
        <f t="array" ref="C10897">PRODUCT(1-'Sparkling Model'!D$2:D$38^A10897)</f>
        <v>0.9843499951</v>
      </c>
    </row>
    <row r="10898">
      <c r="A10898" s="6">
        <v>10896.0</v>
      </c>
      <c r="B10898" s="17">
        <f t="array" ref="B10898">SUM(1-'Sparkling Model'!D$2:D$38^A10898)</f>
        <v>36.98427057</v>
      </c>
      <c r="C10898" s="8">
        <f t="array" ref="C10898">PRODUCT(1-'Sparkling Model'!D$2:D$38^A10898)</f>
        <v>0.9843577652</v>
      </c>
    </row>
    <row r="10899">
      <c r="A10899" s="6">
        <v>10897.0</v>
      </c>
      <c r="B10899" s="17">
        <f t="array" ref="B10899">SUM(1-'Sparkling Model'!D$2:D$38^A10899)</f>
        <v>36.98427842</v>
      </c>
      <c r="C10899" s="8">
        <f t="array" ref="C10899">PRODUCT(1-'Sparkling Model'!D$2:D$38^A10899)</f>
        <v>0.9843655314</v>
      </c>
    </row>
    <row r="10900">
      <c r="A10900" s="6">
        <v>10898.0</v>
      </c>
      <c r="B10900" s="17">
        <f t="array" ref="B10900">SUM(1-'Sparkling Model'!D$2:D$38^A10900)</f>
        <v>36.98428627</v>
      </c>
      <c r="C10900" s="8">
        <f t="array" ref="C10900">PRODUCT(1-'Sparkling Model'!D$2:D$38^A10900)</f>
        <v>0.9843732937</v>
      </c>
    </row>
    <row r="10901">
      <c r="A10901" s="6">
        <v>10899.0</v>
      </c>
      <c r="B10901" s="17">
        <f t="array" ref="B10901">SUM(1-'Sparkling Model'!D$2:D$38^A10901)</f>
        <v>36.98429412</v>
      </c>
      <c r="C10901" s="8">
        <f t="array" ref="C10901">PRODUCT(1-'Sparkling Model'!D$2:D$38^A10901)</f>
        <v>0.9843810521</v>
      </c>
    </row>
    <row r="10902">
      <c r="A10902" s="6">
        <v>10900.0</v>
      </c>
      <c r="B10902" s="17">
        <f t="array" ref="B10902">SUM(1-'Sparkling Model'!D$2:D$38^A10902)</f>
        <v>36.98430196</v>
      </c>
      <c r="C10902" s="8">
        <f t="array" ref="C10902">PRODUCT(1-'Sparkling Model'!D$2:D$38^A10902)</f>
        <v>0.9843888067</v>
      </c>
    </row>
    <row r="10903">
      <c r="A10903" s="6">
        <v>10901.0</v>
      </c>
      <c r="B10903" s="17">
        <f t="array" ref="B10903">SUM(1-'Sparkling Model'!D$2:D$38^A10903)</f>
        <v>36.9843098</v>
      </c>
      <c r="C10903" s="8">
        <f t="array" ref="C10903">PRODUCT(1-'Sparkling Model'!D$2:D$38^A10903)</f>
        <v>0.9843965574</v>
      </c>
    </row>
    <row r="10904">
      <c r="A10904" s="6">
        <v>10902.0</v>
      </c>
      <c r="B10904" s="17">
        <f t="array" ref="B10904">SUM(1-'Sparkling Model'!D$2:D$38^A10904)</f>
        <v>36.98431763</v>
      </c>
      <c r="C10904" s="8">
        <f t="array" ref="C10904">PRODUCT(1-'Sparkling Model'!D$2:D$38^A10904)</f>
        <v>0.9844043043</v>
      </c>
    </row>
    <row r="10905">
      <c r="A10905" s="6">
        <v>10903.0</v>
      </c>
      <c r="B10905" s="17">
        <f t="array" ref="B10905">SUM(1-'Sparkling Model'!D$2:D$38^A10905)</f>
        <v>36.98432546</v>
      </c>
      <c r="C10905" s="8">
        <f t="array" ref="C10905">PRODUCT(1-'Sparkling Model'!D$2:D$38^A10905)</f>
        <v>0.9844120473</v>
      </c>
    </row>
    <row r="10906">
      <c r="A10906" s="6">
        <v>10904.0</v>
      </c>
      <c r="B10906" s="17">
        <f t="array" ref="B10906">SUM(1-'Sparkling Model'!D$2:D$38^A10906)</f>
        <v>36.98433329</v>
      </c>
      <c r="C10906" s="8">
        <f t="array" ref="C10906">PRODUCT(1-'Sparkling Model'!D$2:D$38^A10906)</f>
        <v>0.9844197864</v>
      </c>
    </row>
    <row r="10907">
      <c r="A10907" s="6">
        <v>10905.0</v>
      </c>
      <c r="B10907" s="17">
        <f t="array" ref="B10907">SUM(1-'Sparkling Model'!D$2:D$38^A10907)</f>
        <v>36.98434111</v>
      </c>
      <c r="C10907" s="8">
        <f t="array" ref="C10907">PRODUCT(1-'Sparkling Model'!D$2:D$38^A10907)</f>
        <v>0.9844275217</v>
      </c>
    </row>
    <row r="10908">
      <c r="A10908" s="6">
        <v>10906.0</v>
      </c>
      <c r="B10908" s="17">
        <f t="array" ref="B10908">SUM(1-'Sparkling Model'!D$2:D$38^A10908)</f>
        <v>36.98434893</v>
      </c>
      <c r="C10908" s="8">
        <f t="array" ref="C10908">PRODUCT(1-'Sparkling Model'!D$2:D$38^A10908)</f>
        <v>0.9844352532</v>
      </c>
    </row>
    <row r="10909">
      <c r="A10909" s="6">
        <v>10907.0</v>
      </c>
      <c r="B10909" s="17">
        <f t="array" ref="B10909">SUM(1-'Sparkling Model'!D$2:D$38^A10909)</f>
        <v>36.98435674</v>
      </c>
      <c r="C10909" s="8">
        <f t="array" ref="C10909">PRODUCT(1-'Sparkling Model'!D$2:D$38^A10909)</f>
        <v>0.9844429808</v>
      </c>
    </row>
    <row r="10910">
      <c r="A10910" s="6">
        <v>10908.0</v>
      </c>
      <c r="B10910" s="17">
        <f t="array" ref="B10910">SUM(1-'Sparkling Model'!D$2:D$38^A10910)</f>
        <v>36.98436455</v>
      </c>
      <c r="C10910" s="8">
        <f t="array" ref="C10910">PRODUCT(1-'Sparkling Model'!D$2:D$38^A10910)</f>
        <v>0.9844507045</v>
      </c>
    </row>
    <row r="10911">
      <c r="A10911" s="6">
        <v>10909.0</v>
      </c>
      <c r="B10911" s="17">
        <f t="array" ref="B10911">SUM(1-'Sparkling Model'!D$2:D$38^A10911)</f>
        <v>36.98437236</v>
      </c>
      <c r="C10911" s="8">
        <f t="array" ref="C10911">PRODUCT(1-'Sparkling Model'!D$2:D$38^A10911)</f>
        <v>0.9844584244</v>
      </c>
    </row>
    <row r="10912">
      <c r="A10912" s="6">
        <v>10910.0</v>
      </c>
      <c r="B10912" s="17">
        <f t="array" ref="B10912">SUM(1-'Sparkling Model'!D$2:D$38^A10912)</f>
        <v>36.98438016</v>
      </c>
      <c r="C10912" s="8">
        <f t="array" ref="C10912">PRODUCT(1-'Sparkling Model'!D$2:D$38^A10912)</f>
        <v>0.9844661405</v>
      </c>
    </row>
    <row r="10913">
      <c r="A10913" s="6">
        <v>10911.0</v>
      </c>
      <c r="B10913" s="17">
        <f t="array" ref="B10913">SUM(1-'Sparkling Model'!D$2:D$38^A10913)</f>
        <v>36.98438796</v>
      </c>
      <c r="C10913" s="8">
        <f t="array" ref="C10913">PRODUCT(1-'Sparkling Model'!D$2:D$38^A10913)</f>
        <v>0.9844738527</v>
      </c>
    </row>
    <row r="10914">
      <c r="A10914" s="6">
        <v>10912.0</v>
      </c>
      <c r="B10914" s="17">
        <f t="array" ref="B10914">SUM(1-'Sparkling Model'!D$2:D$38^A10914)</f>
        <v>36.98439576</v>
      </c>
      <c r="C10914" s="8">
        <f t="array" ref="C10914">PRODUCT(1-'Sparkling Model'!D$2:D$38^A10914)</f>
        <v>0.9844815611</v>
      </c>
    </row>
    <row r="10915">
      <c r="A10915" s="6">
        <v>10913.0</v>
      </c>
      <c r="B10915" s="17">
        <f t="array" ref="B10915">SUM(1-'Sparkling Model'!D$2:D$38^A10915)</f>
        <v>36.98440355</v>
      </c>
      <c r="C10915" s="8">
        <f t="array" ref="C10915">PRODUCT(1-'Sparkling Model'!D$2:D$38^A10915)</f>
        <v>0.9844892657</v>
      </c>
    </row>
    <row r="10916">
      <c r="A10916" s="6">
        <v>10914.0</v>
      </c>
      <c r="B10916" s="17">
        <f t="array" ref="B10916">SUM(1-'Sparkling Model'!D$2:D$38^A10916)</f>
        <v>36.98441133</v>
      </c>
      <c r="C10916" s="8">
        <f t="array" ref="C10916">PRODUCT(1-'Sparkling Model'!D$2:D$38^A10916)</f>
        <v>0.9844969664</v>
      </c>
    </row>
    <row r="10917">
      <c r="A10917" s="6">
        <v>10915.0</v>
      </c>
      <c r="B10917" s="17">
        <f t="array" ref="B10917">SUM(1-'Sparkling Model'!D$2:D$38^A10917)</f>
        <v>36.98441912</v>
      </c>
      <c r="C10917" s="8">
        <f t="array" ref="C10917">PRODUCT(1-'Sparkling Model'!D$2:D$38^A10917)</f>
        <v>0.9845046633</v>
      </c>
    </row>
    <row r="10918">
      <c r="A10918" s="6">
        <v>10916.0</v>
      </c>
      <c r="B10918" s="17">
        <f t="array" ref="B10918">SUM(1-'Sparkling Model'!D$2:D$38^A10918)</f>
        <v>36.98442689</v>
      </c>
      <c r="C10918" s="8">
        <f t="array" ref="C10918">PRODUCT(1-'Sparkling Model'!D$2:D$38^A10918)</f>
        <v>0.9845123563</v>
      </c>
    </row>
    <row r="10919">
      <c r="A10919" s="6">
        <v>10917.0</v>
      </c>
      <c r="B10919" s="17">
        <f t="array" ref="B10919">SUM(1-'Sparkling Model'!D$2:D$38^A10919)</f>
        <v>36.98443467</v>
      </c>
      <c r="C10919" s="8">
        <f t="array" ref="C10919">PRODUCT(1-'Sparkling Model'!D$2:D$38^A10919)</f>
        <v>0.9845200455</v>
      </c>
    </row>
    <row r="10920">
      <c r="A10920" s="6">
        <v>10918.0</v>
      </c>
      <c r="B10920" s="17">
        <f t="array" ref="B10920">SUM(1-'Sparkling Model'!D$2:D$38^A10920)</f>
        <v>36.98444244</v>
      </c>
      <c r="C10920" s="8">
        <f t="array" ref="C10920">PRODUCT(1-'Sparkling Model'!D$2:D$38^A10920)</f>
        <v>0.9845277309</v>
      </c>
    </row>
    <row r="10921">
      <c r="A10921" s="6">
        <v>10919.0</v>
      </c>
      <c r="B10921" s="17">
        <f t="array" ref="B10921">SUM(1-'Sparkling Model'!D$2:D$38^A10921)</f>
        <v>36.98445021</v>
      </c>
      <c r="C10921" s="8">
        <f t="array" ref="C10921">PRODUCT(1-'Sparkling Model'!D$2:D$38^A10921)</f>
        <v>0.9845354125</v>
      </c>
    </row>
    <row r="10922">
      <c r="A10922" s="6">
        <v>10920.0</v>
      </c>
      <c r="B10922" s="17">
        <f t="array" ref="B10922">SUM(1-'Sparkling Model'!D$2:D$38^A10922)</f>
        <v>36.98445797</v>
      </c>
      <c r="C10922" s="8">
        <f t="array" ref="C10922">PRODUCT(1-'Sparkling Model'!D$2:D$38^A10922)</f>
        <v>0.9845430902</v>
      </c>
    </row>
    <row r="10923">
      <c r="A10923" s="6">
        <v>10921.0</v>
      </c>
      <c r="B10923" s="17">
        <f t="array" ref="B10923">SUM(1-'Sparkling Model'!D$2:D$38^A10923)</f>
        <v>36.98446573</v>
      </c>
      <c r="C10923" s="8">
        <f t="array" ref="C10923">PRODUCT(1-'Sparkling Model'!D$2:D$38^A10923)</f>
        <v>0.9845507641</v>
      </c>
    </row>
    <row r="10924">
      <c r="A10924" s="6">
        <v>10922.0</v>
      </c>
      <c r="B10924" s="17">
        <f t="array" ref="B10924">SUM(1-'Sparkling Model'!D$2:D$38^A10924)</f>
        <v>36.98447349</v>
      </c>
      <c r="C10924" s="8">
        <f t="array" ref="C10924">PRODUCT(1-'Sparkling Model'!D$2:D$38^A10924)</f>
        <v>0.9845584342</v>
      </c>
    </row>
    <row r="10925">
      <c r="A10925" s="6">
        <v>10923.0</v>
      </c>
      <c r="B10925" s="17">
        <f t="array" ref="B10925">SUM(1-'Sparkling Model'!D$2:D$38^A10925)</f>
        <v>36.98448124</v>
      </c>
      <c r="C10925" s="8">
        <f t="array" ref="C10925">PRODUCT(1-'Sparkling Model'!D$2:D$38^A10925)</f>
        <v>0.9845661005</v>
      </c>
    </row>
    <row r="10926">
      <c r="A10926" s="6">
        <v>10924.0</v>
      </c>
      <c r="B10926" s="17">
        <f t="array" ref="B10926">SUM(1-'Sparkling Model'!D$2:D$38^A10926)</f>
        <v>36.98448899</v>
      </c>
      <c r="C10926" s="8">
        <f t="array" ref="C10926">PRODUCT(1-'Sparkling Model'!D$2:D$38^A10926)</f>
        <v>0.984573763</v>
      </c>
    </row>
    <row r="10927">
      <c r="A10927" s="6">
        <v>10925.0</v>
      </c>
      <c r="B10927" s="17">
        <f t="array" ref="B10927">SUM(1-'Sparkling Model'!D$2:D$38^A10927)</f>
        <v>36.98449673</v>
      </c>
      <c r="C10927" s="8">
        <f t="array" ref="C10927">PRODUCT(1-'Sparkling Model'!D$2:D$38^A10927)</f>
        <v>0.9845814216</v>
      </c>
    </row>
    <row r="10928">
      <c r="A10928" s="6">
        <v>10926.0</v>
      </c>
      <c r="B10928" s="17">
        <f t="array" ref="B10928">SUM(1-'Sparkling Model'!D$2:D$38^A10928)</f>
        <v>36.98450447</v>
      </c>
      <c r="C10928" s="8">
        <f t="array" ref="C10928">PRODUCT(1-'Sparkling Model'!D$2:D$38^A10928)</f>
        <v>0.9845890764</v>
      </c>
    </row>
    <row r="10929">
      <c r="A10929" s="6">
        <v>10927.0</v>
      </c>
      <c r="B10929" s="17">
        <f t="array" ref="B10929">SUM(1-'Sparkling Model'!D$2:D$38^A10929)</f>
        <v>36.98451221</v>
      </c>
      <c r="C10929" s="8">
        <f t="array" ref="C10929">PRODUCT(1-'Sparkling Model'!D$2:D$38^A10929)</f>
        <v>0.9845967275</v>
      </c>
    </row>
    <row r="10930">
      <c r="A10930" s="6">
        <v>10928.0</v>
      </c>
      <c r="B10930" s="17">
        <f t="array" ref="B10930">SUM(1-'Sparkling Model'!D$2:D$38^A10930)</f>
        <v>36.98451994</v>
      </c>
      <c r="C10930" s="8">
        <f t="array" ref="C10930">PRODUCT(1-'Sparkling Model'!D$2:D$38^A10930)</f>
        <v>0.9846043747</v>
      </c>
    </row>
    <row r="10931">
      <c r="A10931" s="6">
        <v>10929.0</v>
      </c>
      <c r="B10931" s="17">
        <f t="array" ref="B10931">SUM(1-'Sparkling Model'!D$2:D$38^A10931)</f>
        <v>36.98452767</v>
      </c>
      <c r="C10931" s="8">
        <f t="array" ref="C10931">PRODUCT(1-'Sparkling Model'!D$2:D$38^A10931)</f>
        <v>0.9846120181</v>
      </c>
    </row>
    <row r="10932">
      <c r="A10932" s="6">
        <v>10930.0</v>
      </c>
      <c r="B10932" s="17">
        <f t="array" ref="B10932">SUM(1-'Sparkling Model'!D$2:D$38^A10932)</f>
        <v>36.98453539</v>
      </c>
      <c r="C10932" s="8">
        <f t="array" ref="C10932">PRODUCT(1-'Sparkling Model'!D$2:D$38^A10932)</f>
        <v>0.9846196577</v>
      </c>
    </row>
    <row r="10933">
      <c r="A10933" s="6">
        <v>10931.0</v>
      </c>
      <c r="B10933" s="17">
        <f t="array" ref="B10933">SUM(1-'Sparkling Model'!D$2:D$38^A10933)</f>
        <v>36.98454311</v>
      </c>
      <c r="C10933" s="8">
        <f t="array" ref="C10933">PRODUCT(1-'Sparkling Model'!D$2:D$38^A10933)</f>
        <v>0.9846272935</v>
      </c>
    </row>
    <row r="10934">
      <c r="A10934" s="6">
        <v>10932.0</v>
      </c>
      <c r="B10934" s="17">
        <f t="array" ref="B10934">SUM(1-'Sparkling Model'!D$2:D$38^A10934)</f>
        <v>36.98455083</v>
      </c>
      <c r="C10934" s="8">
        <f t="array" ref="C10934">PRODUCT(1-'Sparkling Model'!D$2:D$38^A10934)</f>
        <v>0.9846349255</v>
      </c>
    </row>
    <row r="10935">
      <c r="A10935" s="6">
        <v>10933.0</v>
      </c>
      <c r="B10935" s="17">
        <f t="array" ref="B10935">SUM(1-'Sparkling Model'!D$2:D$38^A10935)</f>
        <v>36.98455854</v>
      </c>
      <c r="C10935" s="8">
        <f t="array" ref="C10935">PRODUCT(1-'Sparkling Model'!D$2:D$38^A10935)</f>
        <v>0.9846425537</v>
      </c>
    </row>
    <row r="10936">
      <c r="A10936" s="6">
        <v>10934.0</v>
      </c>
      <c r="B10936" s="17">
        <f t="array" ref="B10936">SUM(1-'Sparkling Model'!D$2:D$38^A10936)</f>
        <v>36.98456625</v>
      </c>
      <c r="C10936" s="8">
        <f t="array" ref="C10936">PRODUCT(1-'Sparkling Model'!D$2:D$38^A10936)</f>
        <v>0.9846501781</v>
      </c>
    </row>
    <row r="10937">
      <c r="A10937" s="6">
        <v>10935.0</v>
      </c>
      <c r="B10937" s="17">
        <f t="array" ref="B10937">SUM(1-'Sparkling Model'!D$2:D$38^A10937)</f>
        <v>36.98457395</v>
      </c>
      <c r="C10937" s="8">
        <f t="array" ref="C10937">PRODUCT(1-'Sparkling Model'!D$2:D$38^A10937)</f>
        <v>0.9846577987</v>
      </c>
    </row>
    <row r="10938">
      <c r="A10938" s="6">
        <v>10936.0</v>
      </c>
      <c r="B10938" s="17">
        <f t="array" ref="B10938">SUM(1-'Sparkling Model'!D$2:D$38^A10938)</f>
        <v>36.98458165</v>
      </c>
      <c r="C10938" s="8">
        <f t="array" ref="C10938">PRODUCT(1-'Sparkling Model'!D$2:D$38^A10938)</f>
        <v>0.9846654155</v>
      </c>
    </row>
    <row r="10939">
      <c r="A10939" s="6">
        <v>10937.0</v>
      </c>
      <c r="B10939" s="17">
        <f t="array" ref="B10939">SUM(1-'Sparkling Model'!D$2:D$38^A10939)</f>
        <v>36.98458935</v>
      </c>
      <c r="C10939" s="8">
        <f t="array" ref="C10939">PRODUCT(1-'Sparkling Model'!D$2:D$38^A10939)</f>
        <v>0.9846730285</v>
      </c>
    </row>
    <row r="10940">
      <c r="A10940" s="6">
        <v>10938.0</v>
      </c>
      <c r="B10940" s="17">
        <f t="array" ref="B10940">SUM(1-'Sparkling Model'!D$2:D$38^A10940)</f>
        <v>36.98459705</v>
      </c>
      <c r="C10940" s="8">
        <f t="array" ref="C10940">PRODUCT(1-'Sparkling Model'!D$2:D$38^A10940)</f>
        <v>0.9846806378</v>
      </c>
    </row>
    <row r="10941">
      <c r="A10941" s="6">
        <v>10939.0</v>
      </c>
      <c r="B10941" s="17">
        <f t="array" ref="B10941">SUM(1-'Sparkling Model'!D$2:D$38^A10941)</f>
        <v>36.98460473</v>
      </c>
      <c r="C10941" s="8">
        <f t="array" ref="C10941">PRODUCT(1-'Sparkling Model'!D$2:D$38^A10941)</f>
        <v>0.9846882432</v>
      </c>
    </row>
    <row r="10942">
      <c r="A10942" s="6">
        <v>10940.0</v>
      </c>
      <c r="B10942" s="17">
        <f t="array" ref="B10942">SUM(1-'Sparkling Model'!D$2:D$38^A10942)</f>
        <v>36.98461242</v>
      </c>
      <c r="C10942" s="8">
        <f t="array" ref="C10942">PRODUCT(1-'Sparkling Model'!D$2:D$38^A10942)</f>
        <v>0.9846958448</v>
      </c>
    </row>
    <row r="10943">
      <c r="A10943" s="6">
        <v>10941.0</v>
      </c>
      <c r="B10943" s="17">
        <f t="array" ref="B10943">SUM(1-'Sparkling Model'!D$2:D$38^A10943)</f>
        <v>36.9846201</v>
      </c>
      <c r="C10943" s="8">
        <f t="array" ref="C10943">PRODUCT(1-'Sparkling Model'!D$2:D$38^A10943)</f>
        <v>0.9847034427</v>
      </c>
    </row>
    <row r="10944">
      <c r="A10944" s="6">
        <v>10942.0</v>
      </c>
      <c r="B10944" s="17">
        <f t="array" ref="B10944">SUM(1-'Sparkling Model'!D$2:D$38^A10944)</f>
        <v>36.98462778</v>
      </c>
      <c r="C10944" s="8">
        <f t="array" ref="C10944">PRODUCT(1-'Sparkling Model'!D$2:D$38^A10944)</f>
        <v>0.9847110368</v>
      </c>
    </row>
    <row r="10945">
      <c r="A10945" s="6">
        <v>10943.0</v>
      </c>
      <c r="B10945" s="17">
        <f t="array" ref="B10945">SUM(1-'Sparkling Model'!D$2:D$38^A10945)</f>
        <v>36.98463545</v>
      </c>
      <c r="C10945" s="8">
        <f t="array" ref="C10945">PRODUCT(1-'Sparkling Model'!D$2:D$38^A10945)</f>
        <v>0.9847186271</v>
      </c>
    </row>
    <row r="10946">
      <c r="A10946" s="6">
        <v>10944.0</v>
      </c>
      <c r="B10946" s="17">
        <f t="array" ref="B10946">SUM(1-'Sparkling Model'!D$2:D$38^A10946)</f>
        <v>36.98464312</v>
      </c>
      <c r="C10946" s="8">
        <f t="array" ref="C10946">PRODUCT(1-'Sparkling Model'!D$2:D$38^A10946)</f>
        <v>0.9847262137</v>
      </c>
    </row>
    <row r="10947">
      <c r="A10947" s="6">
        <v>10945.0</v>
      </c>
      <c r="B10947" s="17">
        <f t="array" ref="B10947">SUM(1-'Sparkling Model'!D$2:D$38^A10947)</f>
        <v>36.98465079</v>
      </c>
      <c r="C10947" s="8">
        <f t="array" ref="C10947">PRODUCT(1-'Sparkling Model'!D$2:D$38^A10947)</f>
        <v>0.9847337964</v>
      </c>
    </row>
    <row r="10948">
      <c r="A10948" s="6">
        <v>10946.0</v>
      </c>
      <c r="B10948" s="17">
        <f t="array" ref="B10948">SUM(1-'Sparkling Model'!D$2:D$38^A10948)</f>
        <v>36.98465845</v>
      </c>
      <c r="C10948" s="8">
        <f t="array" ref="C10948">PRODUCT(1-'Sparkling Model'!D$2:D$38^A10948)</f>
        <v>0.9847413754</v>
      </c>
    </row>
    <row r="10949">
      <c r="A10949" s="6">
        <v>10947.0</v>
      </c>
      <c r="B10949" s="17">
        <f t="array" ref="B10949">SUM(1-'Sparkling Model'!D$2:D$38^A10949)</f>
        <v>36.98466611</v>
      </c>
      <c r="C10949" s="8">
        <f t="array" ref="C10949">PRODUCT(1-'Sparkling Model'!D$2:D$38^A10949)</f>
        <v>0.9847489506</v>
      </c>
    </row>
    <row r="10950">
      <c r="A10950" s="6">
        <v>10948.0</v>
      </c>
      <c r="B10950" s="17">
        <f t="array" ref="B10950">SUM(1-'Sparkling Model'!D$2:D$38^A10950)</f>
        <v>36.98467377</v>
      </c>
      <c r="C10950" s="8">
        <f t="array" ref="C10950">PRODUCT(1-'Sparkling Model'!D$2:D$38^A10950)</f>
        <v>0.984756522</v>
      </c>
    </row>
    <row r="10951">
      <c r="A10951" s="6">
        <v>10949.0</v>
      </c>
      <c r="B10951" s="17">
        <f t="array" ref="B10951">SUM(1-'Sparkling Model'!D$2:D$38^A10951)</f>
        <v>36.98468142</v>
      </c>
      <c r="C10951" s="8">
        <f t="array" ref="C10951">PRODUCT(1-'Sparkling Model'!D$2:D$38^A10951)</f>
        <v>0.9847640897</v>
      </c>
    </row>
    <row r="10952">
      <c r="A10952" s="6">
        <v>10950.0</v>
      </c>
      <c r="B10952" s="17">
        <f t="array" ref="B10952">SUM(1-'Sparkling Model'!D$2:D$38^A10952)</f>
        <v>36.98468906</v>
      </c>
      <c r="C10952" s="8">
        <f t="array" ref="C10952">PRODUCT(1-'Sparkling Model'!D$2:D$38^A10952)</f>
        <v>0.9847716536</v>
      </c>
    </row>
    <row r="10953">
      <c r="A10953" s="6">
        <v>10951.0</v>
      </c>
      <c r="B10953" s="17">
        <f t="array" ref="B10953">SUM(1-'Sparkling Model'!D$2:D$38^A10953)</f>
        <v>36.98469671</v>
      </c>
      <c r="C10953" s="8">
        <f t="array" ref="C10953">PRODUCT(1-'Sparkling Model'!D$2:D$38^A10953)</f>
        <v>0.9847792137</v>
      </c>
    </row>
    <row r="10954">
      <c r="A10954" s="6">
        <v>10952.0</v>
      </c>
      <c r="B10954" s="17">
        <f t="array" ref="B10954">SUM(1-'Sparkling Model'!D$2:D$38^A10954)</f>
        <v>36.98470435</v>
      </c>
      <c r="C10954" s="8">
        <f t="array" ref="C10954">PRODUCT(1-'Sparkling Model'!D$2:D$38^A10954)</f>
        <v>0.9847867701</v>
      </c>
    </row>
    <row r="10955">
      <c r="A10955" s="6">
        <v>10953.0</v>
      </c>
      <c r="B10955" s="17">
        <f t="array" ref="B10955">SUM(1-'Sparkling Model'!D$2:D$38^A10955)</f>
        <v>36.98471198</v>
      </c>
      <c r="C10955" s="8">
        <f t="array" ref="C10955">PRODUCT(1-'Sparkling Model'!D$2:D$38^A10955)</f>
        <v>0.9847943227</v>
      </c>
    </row>
    <row r="10956">
      <c r="A10956" s="6">
        <v>10954.0</v>
      </c>
      <c r="B10956" s="17">
        <f t="array" ref="B10956">SUM(1-'Sparkling Model'!D$2:D$38^A10956)</f>
        <v>36.98471961</v>
      </c>
      <c r="C10956" s="8">
        <f t="array" ref="C10956">PRODUCT(1-'Sparkling Model'!D$2:D$38^A10956)</f>
        <v>0.9848018716</v>
      </c>
    </row>
    <row r="10957">
      <c r="A10957" s="6">
        <v>10955.0</v>
      </c>
      <c r="B10957" s="17">
        <f t="array" ref="B10957">SUM(1-'Sparkling Model'!D$2:D$38^A10957)</f>
        <v>36.98472724</v>
      </c>
      <c r="C10957" s="8">
        <f t="array" ref="C10957">PRODUCT(1-'Sparkling Model'!D$2:D$38^A10957)</f>
        <v>0.9848094166</v>
      </c>
    </row>
    <row r="10958">
      <c r="A10958" s="6">
        <v>10956.0</v>
      </c>
      <c r="B10958" s="17">
        <f t="array" ref="B10958">SUM(1-'Sparkling Model'!D$2:D$38^A10958)</f>
        <v>36.98473486</v>
      </c>
      <c r="C10958" s="8">
        <f t="array" ref="C10958">PRODUCT(1-'Sparkling Model'!D$2:D$38^A10958)</f>
        <v>0.984816958</v>
      </c>
    </row>
    <row r="10959">
      <c r="A10959" s="6">
        <v>10957.0</v>
      </c>
      <c r="B10959" s="17">
        <f t="array" ref="B10959">SUM(1-'Sparkling Model'!D$2:D$38^A10959)</f>
        <v>36.98474248</v>
      </c>
      <c r="C10959" s="8">
        <f t="array" ref="C10959">PRODUCT(1-'Sparkling Model'!D$2:D$38^A10959)</f>
        <v>0.9848244956</v>
      </c>
    </row>
    <row r="10960">
      <c r="A10960" s="6">
        <v>10958.0</v>
      </c>
      <c r="B10960" s="17">
        <f t="array" ref="B10960">SUM(1-'Sparkling Model'!D$2:D$38^A10960)</f>
        <v>36.9847501</v>
      </c>
      <c r="C10960" s="8">
        <f t="array" ref="C10960">PRODUCT(1-'Sparkling Model'!D$2:D$38^A10960)</f>
        <v>0.9848320294</v>
      </c>
    </row>
    <row r="10961">
      <c r="A10961" s="6">
        <v>10959.0</v>
      </c>
      <c r="B10961" s="17">
        <f t="array" ref="B10961">SUM(1-'Sparkling Model'!D$2:D$38^A10961)</f>
        <v>36.98475771</v>
      </c>
      <c r="C10961" s="8">
        <f t="array" ref="C10961">PRODUCT(1-'Sparkling Model'!D$2:D$38^A10961)</f>
        <v>0.9848395595</v>
      </c>
    </row>
    <row r="10962">
      <c r="A10962" s="6">
        <v>10960.0</v>
      </c>
      <c r="B10962" s="17">
        <f t="array" ref="B10962">SUM(1-'Sparkling Model'!D$2:D$38^A10962)</f>
        <v>36.98476532</v>
      </c>
      <c r="C10962" s="8">
        <f t="array" ref="C10962">PRODUCT(1-'Sparkling Model'!D$2:D$38^A10962)</f>
        <v>0.9848470858</v>
      </c>
    </row>
    <row r="10963">
      <c r="A10963" s="6">
        <v>10961.0</v>
      </c>
      <c r="B10963" s="17">
        <f t="array" ref="B10963">SUM(1-'Sparkling Model'!D$2:D$38^A10963)</f>
        <v>36.98477293</v>
      </c>
      <c r="C10963" s="8">
        <f t="array" ref="C10963">PRODUCT(1-'Sparkling Model'!D$2:D$38^A10963)</f>
        <v>0.9848546084</v>
      </c>
    </row>
    <row r="10964">
      <c r="A10964" s="6">
        <v>10962.0</v>
      </c>
      <c r="B10964" s="17">
        <f t="array" ref="B10964">SUM(1-'Sparkling Model'!D$2:D$38^A10964)</f>
        <v>36.98478053</v>
      </c>
      <c r="C10964" s="8">
        <f t="array" ref="C10964">PRODUCT(1-'Sparkling Model'!D$2:D$38^A10964)</f>
        <v>0.9848621272</v>
      </c>
    </row>
    <row r="10965">
      <c r="A10965" s="6">
        <v>10963.0</v>
      </c>
      <c r="B10965" s="17">
        <f t="array" ref="B10965">SUM(1-'Sparkling Model'!D$2:D$38^A10965)</f>
        <v>36.98478812</v>
      </c>
      <c r="C10965" s="8">
        <f t="array" ref="C10965">PRODUCT(1-'Sparkling Model'!D$2:D$38^A10965)</f>
        <v>0.9848696423</v>
      </c>
    </row>
    <row r="10966">
      <c r="A10966" s="6">
        <v>10964.0</v>
      </c>
      <c r="B10966" s="17">
        <f t="array" ref="B10966">SUM(1-'Sparkling Model'!D$2:D$38^A10966)</f>
        <v>36.98479572</v>
      </c>
      <c r="C10966" s="8">
        <f t="array" ref="C10966">PRODUCT(1-'Sparkling Model'!D$2:D$38^A10966)</f>
        <v>0.9848771537</v>
      </c>
    </row>
    <row r="10967">
      <c r="A10967" s="6">
        <v>10965.0</v>
      </c>
      <c r="B10967" s="17">
        <f t="array" ref="B10967">SUM(1-'Sparkling Model'!D$2:D$38^A10967)</f>
        <v>36.98480331</v>
      </c>
      <c r="C10967" s="8">
        <f t="array" ref="C10967">PRODUCT(1-'Sparkling Model'!D$2:D$38^A10967)</f>
        <v>0.9848846613</v>
      </c>
    </row>
    <row r="10968">
      <c r="A10968" s="6">
        <v>10966.0</v>
      </c>
      <c r="B10968" s="17">
        <f t="array" ref="B10968">SUM(1-'Sparkling Model'!D$2:D$38^A10968)</f>
        <v>36.98481089</v>
      </c>
      <c r="C10968" s="8">
        <f t="array" ref="C10968">PRODUCT(1-'Sparkling Model'!D$2:D$38^A10968)</f>
        <v>0.9848921652</v>
      </c>
    </row>
    <row r="10969">
      <c r="A10969" s="6">
        <v>10967.0</v>
      </c>
      <c r="B10969" s="17">
        <f t="array" ref="B10969">SUM(1-'Sparkling Model'!D$2:D$38^A10969)</f>
        <v>36.98481847</v>
      </c>
      <c r="C10969" s="8">
        <f t="array" ref="C10969">PRODUCT(1-'Sparkling Model'!D$2:D$38^A10969)</f>
        <v>0.9848996653</v>
      </c>
    </row>
    <row r="10970">
      <c r="A10970" s="6">
        <v>10968.0</v>
      </c>
      <c r="B10970" s="17">
        <f t="array" ref="B10970">SUM(1-'Sparkling Model'!D$2:D$38^A10970)</f>
        <v>36.98482605</v>
      </c>
      <c r="C10970" s="8">
        <f t="array" ref="C10970">PRODUCT(1-'Sparkling Model'!D$2:D$38^A10970)</f>
        <v>0.9849071617</v>
      </c>
    </row>
    <row r="10971">
      <c r="A10971" s="6">
        <v>10969.0</v>
      </c>
      <c r="B10971" s="17">
        <f t="array" ref="B10971">SUM(1-'Sparkling Model'!D$2:D$38^A10971)</f>
        <v>36.98483363</v>
      </c>
      <c r="C10971" s="8">
        <f t="array" ref="C10971">PRODUCT(1-'Sparkling Model'!D$2:D$38^A10971)</f>
        <v>0.9849146544</v>
      </c>
    </row>
    <row r="10972">
      <c r="A10972" s="6">
        <v>10970.0</v>
      </c>
      <c r="B10972" s="17">
        <f t="array" ref="B10972">SUM(1-'Sparkling Model'!D$2:D$38^A10972)</f>
        <v>36.9848412</v>
      </c>
      <c r="C10972" s="8">
        <f t="array" ref="C10972">PRODUCT(1-'Sparkling Model'!D$2:D$38^A10972)</f>
        <v>0.9849221433</v>
      </c>
    </row>
    <row r="10973">
      <c r="A10973" s="6">
        <v>10971.0</v>
      </c>
      <c r="B10973" s="17">
        <f t="array" ref="B10973">SUM(1-'Sparkling Model'!D$2:D$38^A10973)</f>
        <v>36.98484876</v>
      </c>
      <c r="C10973" s="8">
        <f t="array" ref="C10973">PRODUCT(1-'Sparkling Model'!D$2:D$38^A10973)</f>
        <v>0.9849296286</v>
      </c>
    </row>
    <row r="10974">
      <c r="A10974" s="6">
        <v>10972.0</v>
      </c>
      <c r="B10974" s="17">
        <f t="array" ref="B10974">SUM(1-'Sparkling Model'!D$2:D$38^A10974)</f>
        <v>36.98485633</v>
      </c>
      <c r="C10974" s="8">
        <f t="array" ref="C10974">PRODUCT(1-'Sparkling Model'!D$2:D$38^A10974)</f>
        <v>0.98493711</v>
      </c>
    </row>
    <row r="10975">
      <c r="A10975" s="6">
        <v>10973.0</v>
      </c>
      <c r="B10975" s="17">
        <f t="array" ref="B10975">SUM(1-'Sparkling Model'!D$2:D$38^A10975)</f>
        <v>36.98486388</v>
      </c>
      <c r="C10975" s="8">
        <f t="array" ref="C10975">PRODUCT(1-'Sparkling Model'!D$2:D$38^A10975)</f>
        <v>0.9849445878</v>
      </c>
    </row>
    <row r="10976">
      <c r="A10976" s="6">
        <v>10974.0</v>
      </c>
      <c r="B10976" s="17">
        <f t="array" ref="B10976">SUM(1-'Sparkling Model'!D$2:D$38^A10976)</f>
        <v>36.98487144</v>
      </c>
      <c r="C10976" s="8">
        <f t="array" ref="C10976">PRODUCT(1-'Sparkling Model'!D$2:D$38^A10976)</f>
        <v>0.9849520619</v>
      </c>
    </row>
    <row r="10977">
      <c r="A10977" s="6">
        <v>10975.0</v>
      </c>
      <c r="B10977" s="17">
        <f t="array" ref="B10977">SUM(1-'Sparkling Model'!D$2:D$38^A10977)</f>
        <v>36.98487899</v>
      </c>
      <c r="C10977" s="8">
        <f t="array" ref="C10977">PRODUCT(1-'Sparkling Model'!D$2:D$38^A10977)</f>
        <v>0.9849595322</v>
      </c>
    </row>
    <row r="10978">
      <c r="A10978" s="6">
        <v>10976.0</v>
      </c>
      <c r="B10978" s="17">
        <f t="array" ref="B10978">SUM(1-'Sparkling Model'!D$2:D$38^A10978)</f>
        <v>36.98488654</v>
      </c>
      <c r="C10978" s="8">
        <f t="array" ref="C10978">PRODUCT(1-'Sparkling Model'!D$2:D$38^A10978)</f>
        <v>0.9849669988</v>
      </c>
    </row>
    <row r="10979">
      <c r="A10979" s="6">
        <v>10977.0</v>
      </c>
      <c r="B10979" s="17">
        <f t="array" ref="B10979">SUM(1-'Sparkling Model'!D$2:D$38^A10979)</f>
        <v>36.98489408</v>
      </c>
      <c r="C10979" s="8">
        <f t="array" ref="C10979">PRODUCT(1-'Sparkling Model'!D$2:D$38^A10979)</f>
        <v>0.9849744617</v>
      </c>
    </row>
    <row r="10980">
      <c r="A10980" s="6">
        <v>10978.0</v>
      </c>
      <c r="B10980" s="17">
        <f t="array" ref="B10980">SUM(1-'Sparkling Model'!D$2:D$38^A10980)</f>
        <v>36.98490162</v>
      </c>
      <c r="C10980" s="8">
        <f t="array" ref="C10980">PRODUCT(1-'Sparkling Model'!D$2:D$38^A10980)</f>
        <v>0.9849819209</v>
      </c>
    </row>
    <row r="10981">
      <c r="A10981" s="6">
        <v>10979.0</v>
      </c>
      <c r="B10981" s="17">
        <f t="array" ref="B10981">SUM(1-'Sparkling Model'!D$2:D$38^A10981)</f>
        <v>36.98490916</v>
      </c>
      <c r="C10981" s="8">
        <f t="array" ref="C10981">PRODUCT(1-'Sparkling Model'!D$2:D$38^A10981)</f>
        <v>0.9849893763</v>
      </c>
    </row>
    <row r="10982">
      <c r="A10982" s="6">
        <v>10980.0</v>
      </c>
      <c r="B10982" s="17">
        <f t="array" ref="B10982">SUM(1-'Sparkling Model'!D$2:D$38^A10982)</f>
        <v>36.98491669</v>
      </c>
      <c r="C10982" s="8">
        <f t="array" ref="C10982">PRODUCT(1-'Sparkling Model'!D$2:D$38^A10982)</f>
        <v>0.9849968281</v>
      </c>
    </row>
    <row r="10983">
      <c r="A10983" s="6">
        <v>10981.0</v>
      </c>
      <c r="B10983" s="17">
        <f t="array" ref="B10983">SUM(1-'Sparkling Model'!D$2:D$38^A10983)</f>
        <v>36.98492422</v>
      </c>
      <c r="C10983" s="8">
        <f t="array" ref="C10983">PRODUCT(1-'Sparkling Model'!D$2:D$38^A10983)</f>
        <v>0.9850042761</v>
      </c>
    </row>
    <row r="10984">
      <c r="A10984" s="6">
        <v>10982.0</v>
      </c>
      <c r="B10984" s="17">
        <f t="array" ref="B10984">SUM(1-'Sparkling Model'!D$2:D$38^A10984)</f>
        <v>36.98493174</v>
      </c>
      <c r="C10984" s="8">
        <f t="array" ref="C10984">PRODUCT(1-'Sparkling Model'!D$2:D$38^A10984)</f>
        <v>0.9850117204</v>
      </c>
    </row>
    <row r="10985">
      <c r="A10985" s="6">
        <v>10983.0</v>
      </c>
      <c r="B10985" s="17">
        <f t="array" ref="B10985">SUM(1-'Sparkling Model'!D$2:D$38^A10985)</f>
        <v>36.98493926</v>
      </c>
      <c r="C10985" s="8">
        <f t="array" ref="C10985">PRODUCT(1-'Sparkling Model'!D$2:D$38^A10985)</f>
        <v>0.9850191611</v>
      </c>
    </row>
    <row r="10986">
      <c r="A10986" s="6">
        <v>10984.0</v>
      </c>
      <c r="B10986" s="17">
        <f t="array" ref="B10986">SUM(1-'Sparkling Model'!D$2:D$38^A10986)</f>
        <v>36.98494678</v>
      </c>
      <c r="C10986" s="8">
        <f t="array" ref="C10986">PRODUCT(1-'Sparkling Model'!D$2:D$38^A10986)</f>
        <v>0.985026598</v>
      </c>
    </row>
    <row r="10987">
      <c r="A10987" s="6">
        <v>10985.0</v>
      </c>
      <c r="B10987" s="17">
        <f t="array" ref="B10987">SUM(1-'Sparkling Model'!D$2:D$38^A10987)</f>
        <v>36.98495429</v>
      </c>
      <c r="C10987" s="8">
        <f t="array" ref="C10987">PRODUCT(1-'Sparkling Model'!D$2:D$38^A10987)</f>
        <v>0.9850340312</v>
      </c>
    </row>
    <row r="10988">
      <c r="A10988" s="6">
        <v>10986.0</v>
      </c>
      <c r="B10988" s="17">
        <f t="array" ref="B10988">SUM(1-'Sparkling Model'!D$2:D$38^A10988)</f>
        <v>36.9849618</v>
      </c>
      <c r="C10988" s="8">
        <f t="array" ref="C10988">PRODUCT(1-'Sparkling Model'!D$2:D$38^A10988)</f>
        <v>0.9850414607</v>
      </c>
    </row>
    <row r="10989">
      <c r="A10989" s="6">
        <v>10987.0</v>
      </c>
      <c r="B10989" s="17">
        <f t="array" ref="B10989">SUM(1-'Sparkling Model'!D$2:D$38^A10989)</f>
        <v>36.98496931</v>
      </c>
      <c r="C10989" s="8">
        <f t="array" ref="C10989">PRODUCT(1-'Sparkling Model'!D$2:D$38^A10989)</f>
        <v>0.9850488866</v>
      </c>
    </row>
    <row r="10990">
      <c r="A10990" s="6">
        <v>10988.0</v>
      </c>
      <c r="B10990" s="17">
        <f t="array" ref="B10990">SUM(1-'Sparkling Model'!D$2:D$38^A10990)</f>
        <v>36.98497681</v>
      </c>
      <c r="C10990" s="8">
        <f t="array" ref="C10990">PRODUCT(1-'Sparkling Model'!D$2:D$38^A10990)</f>
        <v>0.9850563087</v>
      </c>
    </row>
    <row r="10991">
      <c r="A10991" s="6">
        <v>10989.0</v>
      </c>
      <c r="B10991" s="17">
        <f t="array" ref="B10991">SUM(1-'Sparkling Model'!D$2:D$38^A10991)</f>
        <v>36.98498431</v>
      </c>
      <c r="C10991" s="8">
        <f t="array" ref="C10991">PRODUCT(1-'Sparkling Model'!D$2:D$38^A10991)</f>
        <v>0.9850637271</v>
      </c>
    </row>
    <row r="10992">
      <c r="A10992" s="6">
        <v>10990.0</v>
      </c>
      <c r="B10992" s="17">
        <f t="array" ref="B10992">SUM(1-'Sparkling Model'!D$2:D$38^A10992)</f>
        <v>36.9849918</v>
      </c>
      <c r="C10992" s="8">
        <f t="array" ref="C10992">PRODUCT(1-'Sparkling Model'!D$2:D$38^A10992)</f>
        <v>0.9850711419</v>
      </c>
    </row>
    <row r="10993">
      <c r="A10993" s="6">
        <v>10991.0</v>
      </c>
      <c r="B10993" s="17">
        <f t="array" ref="B10993">SUM(1-'Sparkling Model'!D$2:D$38^A10993)</f>
        <v>36.9849993</v>
      </c>
      <c r="C10993" s="8">
        <f t="array" ref="C10993">PRODUCT(1-'Sparkling Model'!D$2:D$38^A10993)</f>
        <v>0.9850785529</v>
      </c>
    </row>
    <row r="10994">
      <c r="A10994" s="6">
        <v>10992.0</v>
      </c>
      <c r="B10994" s="17">
        <f t="array" ref="B10994">SUM(1-'Sparkling Model'!D$2:D$38^A10994)</f>
        <v>36.98500678</v>
      </c>
      <c r="C10994" s="8">
        <f t="array" ref="C10994">PRODUCT(1-'Sparkling Model'!D$2:D$38^A10994)</f>
        <v>0.9850859603</v>
      </c>
    </row>
    <row r="10995">
      <c r="A10995" s="6">
        <v>10993.0</v>
      </c>
      <c r="B10995" s="17">
        <f t="array" ref="B10995">SUM(1-'Sparkling Model'!D$2:D$38^A10995)</f>
        <v>36.98501427</v>
      </c>
      <c r="C10995" s="8">
        <f t="array" ref="C10995">PRODUCT(1-'Sparkling Model'!D$2:D$38^A10995)</f>
        <v>0.9850933639</v>
      </c>
    </row>
    <row r="10996">
      <c r="A10996" s="6">
        <v>10994.0</v>
      </c>
      <c r="B10996" s="17">
        <f t="array" ref="B10996">SUM(1-'Sparkling Model'!D$2:D$38^A10996)</f>
        <v>36.98502175</v>
      </c>
      <c r="C10996" s="8">
        <f t="array" ref="C10996">PRODUCT(1-'Sparkling Model'!D$2:D$38^A10996)</f>
        <v>0.9851007639</v>
      </c>
    </row>
    <row r="10997">
      <c r="A10997" s="6">
        <v>10995.0</v>
      </c>
      <c r="B10997" s="17">
        <f t="array" ref="B10997">SUM(1-'Sparkling Model'!D$2:D$38^A10997)</f>
        <v>36.98502922</v>
      </c>
      <c r="C10997" s="8">
        <f t="array" ref="C10997">PRODUCT(1-'Sparkling Model'!D$2:D$38^A10997)</f>
        <v>0.9851081602</v>
      </c>
    </row>
    <row r="10998">
      <c r="A10998" s="6">
        <v>10996.0</v>
      </c>
      <c r="B10998" s="17">
        <f t="array" ref="B10998">SUM(1-'Sparkling Model'!D$2:D$38^A10998)</f>
        <v>36.98503669</v>
      </c>
      <c r="C10998" s="8">
        <f t="array" ref="C10998">PRODUCT(1-'Sparkling Model'!D$2:D$38^A10998)</f>
        <v>0.9851155528</v>
      </c>
    </row>
    <row r="10999">
      <c r="A10999" s="6">
        <v>10997.0</v>
      </c>
      <c r="B10999" s="17">
        <f t="array" ref="B10999">SUM(1-'Sparkling Model'!D$2:D$38^A10999)</f>
        <v>36.98504416</v>
      </c>
      <c r="C10999" s="8">
        <f t="array" ref="C10999">PRODUCT(1-'Sparkling Model'!D$2:D$38^A10999)</f>
        <v>0.9851229418</v>
      </c>
    </row>
    <row r="11000">
      <c r="A11000" s="6">
        <v>10998.0</v>
      </c>
      <c r="B11000" s="17">
        <f t="array" ref="B11000">SUM(1-'Sparkling Model'!D$2:D$38^A11000)</f>
        <v>36.98505163</v>
      </c>
      <c r="C11000" s="8">
        <f t="array" ref="C11000">PRODUCT(1-'Sparkling Model'!D$2:D$38^A11000)</f>
        <v>0.985130327</v>
      </c>
    </row>
    <row r="11001">
      <c r="A11001" s="6">
        <v>10999.0</v>
      </c>
      <c r="B11001" s="17">
        <f t="array" ref="B11001">SUM(1-'Sparkling Model'!D$2:D$38^A11001)</f>
        <v>36.98505909</v>
      </c>
      <c r="C11001" s="8">
        <f t="array" ref="C11001">PRODUCT(1-'Sparkling Model'!D$2:D$38^A11001)</f>
        <v>0.9851377086</v>
      </c>
    </row>
    <row r="11002">
      <c r="A11002" s="6">
        <v>11000.0</v>
      </c>
      <c r="B11002" s="17">
        <f t="array" ref="B11002">SUM(1-'Sparkling Model'!D$2:D$38^A11002)</f>
        <v>36.98506654</v>
      </c>
      <c r="C11002" s="8">
        <f t="array" ref="C11002">PRODUCT(1-'Sparkling Model'!D$2:D$38^A11002)</f>
        <v>0.9851450865</v>
      </c>
    </row>
    <row r="11003">
      <c r="A11003" s="6">
        <v>11001.0</v>
      </c>
      <c r="B11003" s="17">
        <f t="array" ref="B11003">SUM(1-'Sparkling Model'!D$2:D$38^A11003)</f>
        <v>36.985074</v>
      </c>
      <c r="C11003" s="8">
        <f t="array" ref="C11003">PRODUCT(1-'Sparkling Model'!D$2:D$38^A11003)</f>
        <v>0.9851524608</v>
      </c>
    </row>
    <row r="11004">
      <c r="A11004" s="6">
        <v>11002.0</v>
      </c>
      <c r="B11004" s="17">
        <f t="array" ref="B11004">SUM(1-'Sparkling Model'!D$2:D$38^A11004)</f>
        <v>36.98508145</v>
      </c>
      <c r="C11004" s="8">
        <f t="array" ref="C11004">PRODUCT(1-'Sparkling Model'!D$2:D$38^A11004)</f>
        <v>0.9851598313</v>
      </c>
    </row>
    <row r="11005">
      <c r="A11005" s="6">
        <v>11003.0</v>
      </c>
      <c r="B11005" s="17">
        <f t="array" ref="B11005">SUM(1-'Sparkling Model'!D$2:D$38^A11005)</f>
        <v>36.98508889</v>
      </c>
      <c r="C11005" s="8">
        <f t="array" ref="C11005">PRODUCT(1-'Sparkling Model'!D$2:D$38^A11005)</f>
        <v>0.9851671982</v>
      </c>
    </row>
    <row r="11006">
      <c r="A11006" s="6">
        <v>11004.0</v>
      </c>
      <c r="B11006" s="17">
        <f t="array" ref="B11006">SUM(1-'Sparkling Model'!D$2:D$38^A11006)</f>
        <v>36.98509633</v>
      </c>
      <c r="C11006" s="8">
        <f t="array" ref="C11006">PRODUCT(1-'Sparkling Model'!D$2:D$38^A11006)</f>
        <v>0.9851745615</v>
      </c>
    </row>
    <row r="11007">
      <c r="A11007" s="6">
        <v>11005.0</v>
      </c>
      <c r="B11007" s="17">
        <f t="array" ref="B11007">SUM(1-'Sparkling Model'!D$2:D$38^A11007)</f>
        <v>36.98510377</v>
      </c>
      <c r="C11007" s="8">
        <f t="array" ref="C11007">PRODUCT(1-'Sparkling Model'!D$2:D$38^A11007)</f>
        <v>0.985181921</v>
      </c>
    </row>
    <row r="11008">
      <c r="A11008" s="6">
        <v>11006.0</v>
      </c>
      <c r="B11008" s="17">
        <f t="array" ref="B11008">SUM(1-'Sparkling Model'!D$2:D$38^A11008)</f>
        <v>36.98511121</v>
      </c>
      <c r="C11008" s="8">
        <f t="array" ref="C11008">PRODUCT(1-'Sparkling Model'!D$2:D$38^A11008)</f>
        <v>0.9851892769</v>
      </c>
    </row>
    <row r="11009">
      <c r="A11009" s="6">
        <v>11007.0</v>
      </c>
      <c r="B11009" s="17">
        <f t="array" ref="B11009">SUM(1-'Sparkling Model'!D$2:D$38^A11009)</f>
        <v>36.98511864</v>
      </c>
      <c r="C11009" s="8">
        <f t="array" ref="C11009">PRODUCT(1-'Sparkling Model'!D$2:D$38^A11009)</f>
        <v>0.9851966292</v>
      </c>
    </row>
    <row r="11010">
      <c r="A11010" s="6">
        <v>11008.0</v>
      </c>
      <c r="B11010" s="17">
        <f t="array" ref="B11010">SUM(1-'Sparkling Model'!D$2:D$38^A11010)</f>
        <v>36.98512606</v>
      </c>
      <c r="C11010" s="8">
        <f t="array" ref="C11010">PRODUCT(1-'Sparkling Model'!D$2:D$38^A11010)</f>
        <v>0.9852039778</v>
      </c>
    </row>
    <row r="11011">
      <c r="A11011" s="6">
        <v>11009.0</v>
      </c>
      <c r="B11011" s="17">
        <f t="array" ref="B11011">SUM(1-'Sparkling Model'!D$2:D$38^A11011)</f>
        <v>36.98513349</v>
      </c>
      <c r="C11011" s="8">
        <f t="array" ref="C11011">PRODUCT(1-'Sparkling Model'!D$2:D$38^A11011)</f>
        <v>0.9852113227</v>
      </c>
    </row>
    <row r="11012">
      <c r="A11012" s="6">
        <v>11010.0</v>
      </c>
      <c r="B11012" s="17">
        <f t="array" ref="B11012">SUM(1-'Sparkling Model'!D$2:D$38^A11012)</f>
        <v>36.98514091</v>
      </c>
      <c r="C11012" s="8">
        <f t="array" ref="C11012">PRODUCT(1-'Sparkling Model'!D$2:D$38^A11012)</f>
        <v>0.985218664</v>
      </c>
    </row>
    <row r="11013">
      <c r="A11013" s="6">
        <v>11011.0</v>
      </c>
      <c r="B11013" s="17">
        <f t="array" ref="B11013">SUM(1-'Sparkling Model'!D$2:D$38^A11013)</f>
        <v>36.98514832</v>
      </c>
      <c r="C11013" s="8">
        <f t="array" ref="C11013">PRODUCT(1-'Sparkling Model'!D$2:D$38^A11013)</f>
        <v>0.9852260016</v>
      </c>
    </row>
    <row r="11014">
      <c r="A11014" s="6">
        <v>11012.0</v>
      </c>
      <c r="B11014" s="17">
        <f t="array" ref="B11014">SUM(1-'Sparkling Model'!D$2:D$38^A11014)</f>
        <v>36.98515573</v>
      </c>
      <c r="C11014" s="8">
        <f t="array" ref="C11014">PRODUCT(1-'Sparkling Model'!D$2:D$38^A11014)</f>
        <v>0.9852333355</v>
      </c>
    </row>
    <row r="11015">
      <c r="A11015" s="6">
        <v>11013.0</v>
      </c>
      <c r="B11015" s="17">
        <f t="array" ref="B11015">SUM(1-'Sparkling Model'!D$2:D$38^A11015)</f>
        <v>36.98516314</v>
      </c>
      <c r="C11015" s="8">
        <f t="array" ref="C11015">PRODUCT(1-'Sparkling Model'!D$2:D$38^A11015)</f>
        <v>0.9852406658</v>
      </c>
    </row>
    <row r="11016">
      <c r="A11016" s="6">
        <v>11014.0</v>
      </c>
      <c r="B11016" s="17">
        <f t="array" ref="B11016">SUM(1-'Sparkling Model'!D$2:D$38^A11016)</f>
        <v>36.98517055</v>
      </c>
      <c r="C11016" s="8">
        <f t="array" ref="C11016">PRODUCT(1-'Sparkling Model'!D$2:D$38^A11016)</f>
        <v>0.9852479925</v>
      </c>
    </row>
    <row r="11017">
      <c r="A11017" s="6">
        <v>11015.0</v>
      </c>
      <c r="B11017" s="17">
        <f t="array" ref="B11017">SUM(1-'Sparkling Model'!D$2:D$38^A11017)</f>
        <v>36.98517795</v>
      </c>
      <c r="C11017" s="8">
        <f t="array" ref="C11017">PRODUCT(1-'Sparkling Model'!D$2:D$38^A11017)</f>
        <v>0.9852553155</v>
      </c>
    </row>
    <row r="11018">
      <c r="A11018" s="6">
        <v>11016.0</v>
      </c>
      <c r="B11018" s="17">
        <f t="array" ref="B11018">SUM(1-'Sparkling Model'!D$2:D$38^A11018)</f>
        <v>36.98518534</v>
      </c>
      <c r="C11018" s="8">
        <f t="array" ref="C11018">PRODUCT(1-'Sparkling Model'!D$2:D$38^A11018)</f>
        <v>0.9852626349</v>
      </c>
    </row>
    <row r="11019">
      <c r="A11019" s="6">
        <v>11017.0</v>
      </c>
      <c r="B11019" s="17">
        <f t="array" ref="B11019">SUM(1-'Sparkling Model'!D$2:D$38^A11019)</f>
        <v>36.98519274</v>
      </c>
      <c r="C11019" s="8">
        <f t="array" ref="C11019">PRODUCT(1-'Sparkling Model'!D$2:D$38^A11019)</f>
        <v>0.9852699506</v>
      </c>
    </row>
    <row r="11020">
      <c r="A11020" s="6">
        <v>11018.0</v>
      </c>
      <c r="B11020" s="17">
        <f t="array" ref="B11020">SUM(1-'Sparkling Model'!D$2:D$38^A11020)</f>
        <v>36.98520013</v>
      </c>
      <c r="C11020" s="8">
        <f t="array" ref="C11020">PRODUCT(1-'Sparkling Model'!D$2:D$38^A11020)</f>
        <v>0.9852772627</v>
      </c>
    </row>
    <row r="11021">
      <c r="A11021" s="6">
        <v>11019.0</v>
      </c>
      <c r="B11021" s="17">
        <f t="array" ref="B11021">SUM(1-'Sparkling Model'!D$2:D$38^A11021)</f>
        <v>36.98520751</v>
      </c>
      <c r="C11021" s="8">
        <f t="array" ref="C11021">PRODUCT(1-'Sparkling Model'!D$2:D$38^A11021)</f>
        <v>0.9852845711</v>
      </c>
    </row>
    <row r="11022">
      <c r="A11022" s="6">
        <v>11020.0</v>
      </c>
      <c r="B11022" s="17">
        <f t="array" ref="B11022">SUM(1-'Sparkling Model'!D$2:D$38^A11022)</f>
        <v>36.98521489</v>
      </c>
      <c r="C11022" s="8">
        <f t="array" ref="C11022">PRODUCT(1-'Sparkling Model'!D$2:D$38^A11022)</f>
        <v>0.9852918759</v>
      </c>
    </row>
    <row r="11023">
      <c r="A11023" s="6">
        <v>11021.0</v>
      </c>
      <c r="B11023" s="17">
        <f t="array" ref="B11023">SUM(1-'Sparkling Model'!D$2:D$38^A11023)</f>
        <v>36.98522227</v>
      </c>
      <c r="C11023" s="8">
        <f t="array" ref="C11023">PRODUCT(1-'Sparkling Model'!D$2:D$38^A11023)</f>
        <v>0.9852991771</v>
      </c>
    </row>
    <row r="11024">
      <c r="A11024" s="6">
        <v>11022.0</v>
      </c>
      <c r="B11024" s="17">
        <f t="array" ref="B11024">SUM(1-'Sparkling Model'!D$2:D$38^A11024)</f>
        <v>36.98522965</v>
      </c>
      <c r="C11024" s="8">
        <f t="array" ref="C11024">PRODUCT(1-'Sparkling Model'!D$2:D$38^A11024)</f>
        <v>0.9853064746</v>
      </c>
    </row>
    <row r="11025">
      <c r="A11025" s="6">
        <v>11023.0</v>
      </c>
      <c r="B11025" s="17">
        <f t="array" ref="B11025">SUM(1-'Sparkling Model'!D$2:D$38^A11025)</f>
        <v>36.98523702</v>
      </c>
      <c r="C11025" s="8">
        <f t="array" ref="C11025">PRODUCT(1-'Sparkling Model'!D$2:D$38^A11025)</f>
        <v>0.9853137685</v>
      </c>
    </row>
    <row r="11026">
      <c r="A11026" s="6">
        <v>11024.0</v>
      </c>
      <c r="B11026" s="17">
        <f t="array" ref="B11026">SUM(1-'Sparkling Model'!D$2:D$38^A11026)</f>
        <v>36.98524439</v>
      </c>
      <c r="C11026" s="8">
        <f t="array" ref="C11026">PRODUCT(1-'Sparkling Model'!D$2:D$38^A11026)</f>
        <v>0.9853210588</v>
      </c>
    </row>
    <row r="11027">
      <c r="A11027" s="6">
        <v>11025.0</v>
      </c>
      <c r="B11027" s="17">
        <f t="array" ref="B11027">SUM(1-'Sparkling Model'!D$2:D$38^A11027)</f>
        <v>36.98525175</v>
      </c>
      <c r="C11027" s="8">
        <f t="array" ref="C11027">PRODUCT(1-'Sparkling Model'!D$2:D$38^A11027)</f>
        <v>0.9853283455</v>
      </c>
    </row>
    <row r="11028">
      <c r="A11028" s="6">
        <v>11026.0</v>
      </c>
      <c r="B11028" s="17">
        <f t="array" ref="B11028">SUM(1-'Sparkling Model'!D$2:D$38^A11028)</f>
        <v>36.98525911</v>
      </c>
      <c r="C11028" s="8">
        <f t="array" ref="C11028">PRODUCT(1-'Sparkling Model'!D$2:D$38^A11028)</f>
        <v>0.9853356285</v>
      </c>
    </row>
    <row r="11029">
      <c r="A11029" s="6">
        <v>11027.0</v>
      </c>
      <c r="B11029" s="17">
        <f t="array" ref="B11029">SUM(1-'Sparkling Model'!D$2:D$38^A11029)</f>
        <v>36.98526647</v>
      </c>
      <c r="C11029" s="8">
        <f t="array" ref="C11029">PRODUCT(1-'Sparkling Model'!D$2:D$38^A11029)</f>
        <v>0.9853429079</v>
      </c>
    </row>
    <row r="11030">
      <c r="A11030" s="6">
        <v>11028.0</v>
      </c>
      <c r="B11030" s="17">
        <f t="array" ref="B11030">SUM(1-'Sparkling Model'!D$2:D$38^A11030)</f>
        <v>36.98527382</v>
      </c>
      <c r="C11030" s="8">
        <f t="array" ref="C11030">PRODUCT(1-'Sparkling Model'!D$2:D$38^A11030)</f>
        <v>0.9853501836</v>
      </c>
    </row>
    <row r="11031">
      <c r="A11031" s="6">
        <v>11029.0</v>
      </c>
      <c r="B11031" s="17">
        <f t="array" ref="B11031">SUM(1-'Sparkling Model'!D$2:D$38^A11031)</f>
        <v>36.98528117</v>
      </c>
      <c r="C11031" s="8">
        <f t="array" ref="C11031">PRODUCT(1-'Sparkling Model'!D$2:D$38^A11031)</f>
        <v>0.9853574558</v>
      </c>
    </row>
    <row r="11032">
      <c r="A11032" s="6">
        <v>11030.0</v>
      </c>
      <c r="B11032" s="17">
        <f t="array" ref="B11032">SUM(1-'Sparkling Model'!D$2:D$38^A11032)</f>
        <v>36.98528851</v>
      </c>
      <c r="C11032" s="8">
        <f t="array" ref="C11032">PRODUCT(1-'Sparkling Model'!D$2:D$38^A11032)</f>
        <v>0.9853647243</v>
      </c>
    </row>
    <row r="11033">
      <c r="A11033" s="6">
        <v>11031.0</v>
      </c>
      <c r="B11033" s="17">
        <f t="array" ref="B11033">SUM(1-'Sparkling Model'!D$2:D$38^A11033)</f>
        <v>36.98529585</v>
      </c>
      <c r="C11033" s="8">
        <f t="array" ref="C11033">PRODUCT(1-'Sparkling Model'!D$2:D$38^A11033)</f>
        <v>0.9853719892</v>
      </c>
    </row>
    <row r="11034">
      <c r="A11034" s="6">
        <v>11032.0</v>
      </c>
      <c r="B11034" s="17">
        <f t="array" ref="B11034">SUM(1-'Sparkling Model'!D$2:D$38^A11034)</f>
        <v>36.98530319</v>
      </c>
      <c r="C11034" s="8">
        <f t="array" ref="C11034">PRODUCT(1-'Sparkling Model'!D$2:D$38^A11034)</f>
        <v>0.9853792505</v>
      </c>
    </row>
    <row r="11035">
      <c r="A11035" s="6">
        <v>11033.0</v>
      </c>
      <c r="B11035" s="17">
        <f t="array" ref="B11035">SUM(1-'Sparkling Model'!D$2:D$38^A11035)</f>
        <v>36.98531053</v>
      </c>
      <c r="C11035" s="8">
        <f t="array" ref="C11035">PRODUCT(1-'Sparkling Model'!D$2:D$38^A11035)</f>
        <v>0.9853865082</v>
      </c>
    </row>
    <row r="11036">
      <c r="A11036" s="6">
        <v>11034.0</v>
      </c>
      <c r="B11036" s="17">
        <f t="array" ref="B11036">SUM(1-'Sparkling Model'!D$2:D$38^A11036)</f>
        <v>36.98531786</v>
      </c>
      <c r="C11036" s="8">
        <f t="array" ref="C11036">PRODUCT(1-'Sparkling Model'!D$2:D$38^A11036)</f>
        <v>0.9853937622</v>
      </c>
    </row>
    <row r="11037">
      <c r="A11037" s="6">
        <v>11035.0</v>
      </c>
      <c r="B11037" s="17">
        <f t="array" ref="B11037">SUM(1-'Sparkling Model'!D$2:D$38^A11037)</f>
        <v>36.98532518</v>
      </c>
      <c r="C11037" s="8">
        <f t="array" ref="C11037">PRODUCT(1-'Sparkling Model'!D$2:D$38^A11037)</f>
        <v>0.9854010127</v>
      </c>
    </row>
    <row r="11038">
      <c r="A11038" s="6">
        <v>11036.0</v>
      </c>
      <c r="B11038" s="17">
        <f t="array" ref="B11038">SUM(1-'Sparkling Model'!D$2:D$38^A11038)</f>
        <v>36.98533251</v>
      </c>
      <c r="C11038" s="8">
        <f t="array" ref="C11038">PRODUCT(1-'Sparkling Model'!D$2:D$38^A11038)</f>
        <v>0.9854082595</v>
      </c>
    </row>
    <row r="11039">
      <c r="A11039" s="6">
        <v>11037.0</v>
      </c>
      <c r="B11039" s="17">
        <f t="array" ref="B11039">SUM(1-'Sparkling Model'!D$2:D$38^A11039)</f>
        <v>36.98533982</v>
      </c>
      <c r="C11039" s="8">
        <f t="array" ref="C11039">PRODUCT(1-'Sparkling Model'!D$2:D$38^A11039)</f>
        <v>0.9854155028</v>
      </c>
    </row>
    <row r="11040">
      <c r="A11040" s="6">
        <v>11038.0</v>
      </c>
      <c r="B11040" s="17">
        <f t="array" ref="B11040">SUM(1-'Sparkling Model'!D$2:D$38^A11040)</f>
        <v>36.98534714</v>
      </c>
      <c r="C11040" s="8">
        <f t="array" ref="C11040">PRODUCT(1-'Sparkling Model'!D$2:D$38^A11040)</f>
        <v>0.9854227424</v>
      </c>
    </row>
    <row r="11041">
      <c r="A11041" s="6">
        <v>11039.0</v>
      </c>
      <c r="B11041" s="17">
        <f t="array" ref="B11041">SUM(1-'Sparkling Model'!D$2:D$38^A11041)</f>
        <v>36.98535445</v>
      </c>
      <c r="C11041" s="8">
        <f t="array" ref="C11041">PRODUCT(1-'Sparkling Model'!D$2:D$38^A11041)</f>
        <v>0.9854299784</v>
      </c>
    </row>
    <row r="11042">
      <c r="A11042" s="6">
        <v>11040.0</v>
      </c>
      <c r="B11042" s="17">
        <f t="array" ref="B11042">SUM(1-'Sparkling Model'!D$2:D$38^A11042)</f>
        <v>36.98536176</v>
      </c>
      <c r="C11042" s="8">
        <f t="array" ref="C11042">PRODUCT(1-'Sparkling Model'!D$2:D$38^A11042)</f>
        <v>0.9854372109</v>
      </c>
    </row>
    <row r="11043">
      <c r="A11043" s="6">
        <v>11041.0</v>
      </c>
      <c r="B11043" s="17">
        <f t="array" ref="B11043">SUM(1-'Sparkling Model'!D$2:D$38^A11043)</f>
        <v>36.98536907</v>
      </c>
      <c r="C11043" s="8">
        <f t="array" ref="C11043">PRODUCT(1-'Sparkling Model'!D$2:D$38^A11043)</f>
        <v>0.9854444397</v>
      </c>
    </row>
    <row r="11044">
      <c r="A11044" s="6">
        <v>11042.0</v>
      </c>
      <c r="B11044" s="17">
        <f t="array" ref="B11044">SUM(1-'Sparkling Model'!D$2:D$38^A11044)</f>
        <v>36.98537637</v>
      </c>
      <c r="C11044" s="8">
        <f t="array" ref="C11044">PRODUCT(1-'Sparkling Model'!D$2:D$38^A11044)</f>
        <v>0.9854516649</v>
      </c>
    </row>
    <row r="11045">
      <c r="A11045" s="6">
        <v>11043.0</v>
      </c>
      <c r="B11045" s="17">
        <f t="array" ref="B11045">SUM(1-'Sparkling Model'!D$2:D$38^A11045)</f>
        <v>36.98538366</v>
      </c>
      <c r="C11045" s="8">
        <f t="array" ref="C11045">PRODUCT(1-'Sparkling Model'!D$2:D$38^A11045)</f>
        <v>0.9854588865</v>
      </c>
    </row>
    <row r="11046">
      <c r="A11046" s="6">
        <v>11044.0</v>
      </c>
      <c r="B11046" s="17">
        <f t="array" ref="B11046">SUM(1-'Sparkling Model'!D$2:D$38^A11046)</f>
        <v>36.98539096</v>
      </c>
      <c r="C11046" s="8">
        <f t="array" ref="C11046">PRODUCT(1-'Sparkling Model'!D$2:D$38^A11046)</f>
        <v>0.9854661046</v>
      </c>
    </row>
    <row r="11047">
      <c r="A11047" s="6">
        <v>11045.0</v>
      </c>
      <c r="B11047" s="17">
        <f t="array" ref="B11047">SUM(1-'Sparkling Model'!D$2:D$38^A11047)</f>
        <v>36.98539825</v>
      </c>
      <c r="C11047" s="8">
        <f t="array" ref="C11047">PRODUCT(1-'Sparkling Model'!D$2:D$38^A11047)</f>
        <v>0.985473319</v>
      </c>
    </row>
    <row r="11048">
      <c r="A11048" s="6">
        <v>11046.0</v>
      </c>
      <c r="B11048" s="17">
        <f t="array" ref="B11048">SUM(1-'Sparkling Model'!D$2:D$38^A11048)</f>
        <v>36.98540553</v>
      </c>
      <c r="C11048" s="8">
        <f t="array" ref="C11048">PRODUCT(1-'Sparkling Model'!D$2:D$38^A11048)</f>
        <v>0.9854805299</v>
      </c>
    </row>
    <row r="11049">
      <c r="A11049" s="6">
        <v>11047.0</v>
      </c>
      <c r="B11049" s="17">
        <f t="array" ref="B11049">SUM(1-'Sparkling Model'!D$2:D$38^A11049)</f>
        <v>36.98541282</v>
      </c>
      <c r="C11049" s="8">
        <f t="array" ref="C11049">PRODUCT(1-'Sparkling Model'!D$2:D$38^A11049)</f>
        <v>0.9854877371</v>
      </c>
    </row>
    <row r="11050">
      <c r="A11050" s="6">
        <v>11048.0</v>
      </c>
      <c r="B11050" s="17">
        <f t="array" ref="B11050">SUM(1-'Sparkling Model'!D$2:D$38^A11050)</f>
        <v>36.98542009</v>
      </c>
      <c r="C11050" s="8">
        <f t="array" ref="C11050">PRODUCT(1-'Sparkling Model'!D$2:D$38^A11050)</f>
        <v>0.9854949408</v>
      </c>
    </row>
    <row r="11051">
      <c r="A11051" s="6">
        <v>11049.0</v>
      </c>
      <c r="B11051" s="17">
        <f t="array" ref="B11051">SUM(1-'Sparkling Model'!D$2:D$38^A11051)</f>
        <v>36.98542737</v>
      </c>
      <c r="C11051" s="8">
        <f t="array" ref="C11051">PRODUCT(1-'Sparkling Model'!D$2:D$38^A11051)</f>
        <v>0.9855021409</v>
      </c>
    </row>
    <row r="11052">
      <c r="A11052" s="6">
        <v>11050.0</v>
      </c>
      <c r="B11052" s="17">
        <f t="array" ref="B11052">SUM(1-'Sparkling Model'!D$2:D$38^A11052)</f>
        <v>36.98543464</v>
      </c>
      <c r="C11052" s="8">
        <f t="array" ref="C11052">PRODUCT(1-'Sparkling Model'!D$2:D$38^A11052)</f>
        <v>0.9855093374</v>
      </c>
    </row>
    <row r="11053">
      <c r="A11053" s="6">
        <v>11051.0</v>
      </c>
      <c r="B11053" s="17">
        <f t="array" ref="B11053">SUM(1-'Sparkling Model'!D$2:D$38^A11053)</f>
        <v>36.98544191</v>
      </c>
      <c r="C11053" s="8">
        <f t="array" ref="C11053">PRODUCT(1-'Sparkling Model'!D$2:D$38^A11053)</f>
        <v>0.9855165303</v>
      </c>
    </row>
    <row r="11054">
      <c r="A11054" s="6">
        <v>11052.0</v>
      </c>
      <c r="B11054" s="17">
        <f t="array" ref="B11054">SUM(1-'Sparkling Model'!D$2:D$38^A11054)</f>
        <v>36.98544917</v>
      </c>
      <c r="C11054" s="8">
        <f t="array" ref="C11054">PRODUCT(1-'Sparkling Model'!D$2:D$38^A11054)</f>
        <v>0.9855237197</v>
      </c>
    </row>
    <row r="11055">
      <c r="A11055" s="6">
        <v>11053.0</v>
      </c>
      <c r="B11055" s="17">
        <f t="array" ref="B11055">SUM(1-'Sparkling Model'!D$2:D$38^A11055)</f>
        <v>36.98545643</v>
      </c>
      <c r="C11055" s="8">
        <f t="array" ref="C11055">PRODUCT(1-'Sparkling Model'!D$2:D$38^A11055)</f>
        <v>0.9855309054</v>
      </c>
    </row>
    <row r="11056">
      <c r="A11056" s="6">
        <v>11054.0</v>
      </c>
      <c r="B11056" s="17">
        <f t="array" ref="B11056">SUM(1-'Sparkling Model'!D$2:D$38^A11056)</f>
        <v>36.98546369</v>
      </c>
      <c r="C11056" s="8">
        <f t="array" ref="C11056">PRODUCT(1-'Sparkling Model'!D$2:D$38^A11056)</f>
        <v>0.9855380876</v>
      </c>
    </row>
    <row r="11057">
      <c r="A11057" s="6">
        <v>11055.0</v>
      </c>
      <c r="B11057" s="17">
        <f t="array" ref="B11057">SUM(1-'Sparkling Model'!D$2:D$38^A11057)</f>
        <v>36.98547094</v>
      </c>
      <c r="C11057" s="8">
        <f t="array" ref="C11057">PRODUCT(1-'Sparkling Model'!D$2:D$38^A11057)</f>
        <v>0.9855452662</v>
      </c>
    </row>
    <row r="11058">
      <c r="A11058" s="6">
        <v>11056.0</v>
      </c>
      <c r="B11058" s="17">
        <f t="array" ref="B11058">SUM(1-'Sparkling Model'!D$2:D$38^A11058)</f>
        <v>36.98547819</v>
      </c>
      <c r="C11058" s="8">
        <f t="array" ref="C11058">PRODUCT(1-'Sparkling Model'!D$2:D$38^A11058)</f>
        <v>0.9855524413</v>
      </c>
    </row>
    <row r="11059">
      <c r="A11059" s="6">
        <v>11057.0</v>
      </c>
      <c r="B11059" s="17">
        <f t="array" ref="B11059">SUM(1-'Sparkling Model'!D$2:D$38^A11059)</f>
        <v>36.98548544</v>
      </c>
      <c r="C11059" s="8">
        <f t="array" ref="C11059">PRODUCT(1-'Sparkling Model'!D$2:D$38^A11059)</f>
        <v>0.9855596127</v>
      </c>
    </row>
    <row r="11060">
      <c r="A11060" s="6">
        <v>11058.0</v>
      </c>
      <c r="B11060" s="17">
        <f t="array" ref="B11060">SUM(1-'Sparkling Model'!D$2:D$38^A11060)</f>
        <v>36.98549268</v>
      </c>
      <c r="C11060" s="8">
        <f t="array" ref="C11060">PRODUCT(1-'Sparkling Model'!D$2:D$38^A11060)</f>
        <v>0.9855667806</v>
      </c>
    </row>
    <row r="11061">
      <c r="A11061" s="6">
        <v>11059.0</v>
      </c>
      <c r="B11061" s="17">
        <f t="array" ref="B11061">SUM(1-'Sparkling Model'!D$2:D$38^A11061)</f>
        <v>36.98549992</v>
      </c>
      <c r="C11061" s="8">
        <f t="array" ref="C11061">PRODUCT(1-'Sparkling Model'!D$2:D$38^A11061)</f>
        <v>0.985573945</v>
      </c>
    </row>
    <row r="11062">
      <c r="A11062" s="6">
        <v>11060.0</v>
      </c>
      <c r="B11062" s="17">
        <f t="array" ref="B11062">SUM(1-'Sparkling Model'!D$2:D$38^A11062)</f>
        <v>36.98550716</v>
      </c>
      <c r="C11062" s="8">
        <f t="array" ref="C11062">PRODUCT(1-'Sparkling Model'!D$2:D$38^A11062)</f>
        <v>0.9855811057</v>
      </c>
    </row>
    <row r="11063">
      <c r="A11063" s="6">
        <v>11061.0</v>
      </c>
      <c r="B11063" s="17">
        <f t="array" ref="B11063">SUM(1-'Sparkling Model'!D$2:D$38^A11063)</f>
        <v>36.98551439</v>
      </c>
      <c r="C11063" s="8">
        <f t="array" ref="C11063">PRODUCT(1-'Sparkling Model'!D$2:D$38^A11063)</f>
        <v>0.9855882629</v>
      </c>
    </row>
    <row r="11064">
      <c r="A11064" s="6">
        <v>11062.0</v>
      </c>
      <c r="B11064" s="17">
        <f t="array" ref="B11064">SUM(1-'Sparkling Model'!D$2:D$38^A11064)</f>
        <v>36.98552162</v>
      </c>
      <c r="C11064" s="8">
        <f t="array" ref="C11064">PRODUCT(1-'Sparkling Model'!D$2:D$38^A11064)</f>
        <v>0.9855954166</v>
      </c>
    </row>
    <row r="11065">
      <c r="A11065" s="6">
        <v>11063.0</v>
      </c>
      <c r="B11065" s="17">
        <f t="array" ref="B11065">SUM(1-'Sparkling Model'!D$2:D$38^A11065)</f>
        <v>36.98552884</v>
      </c>
      <c r="C11065" s="8">
        <f t="array" ref="C11065">PRODUCT(1-'Sparkling Model'!D$2:D$38^A11065)</f>
        <v>0.9856025666</v>
      </c>
    </row>
    <row r="11066">
      <c r="A11066" s="6">
        <v>11064.0</v>
      </c>
      <c r="B11066" s="17">
        <f t="array" ref="B11066">SUM(1-'Sparkling Model'!D$2:D$38^A11066)</f>
        <v>36.98553606</v>
      </c>
      <c r="C11066" s="8">
        <f t="array" ref="C11066">PRODUCT(1-'Sparkling Model'!D$2:D$38^A11066)</f>
        <v>0.9856097131</v>
      </c>
    </row>
    <row r="11067">
      <c r="A11067" s="6">
        <v>11065.0</v>
      </c>
      <c r="B11067" s="17">
        <f t="array" ref="B11067">SUM(1-'Sparkling Model'!D$2:D$38^A11067)</f>
        <v>36.98554328</v>
      </c>
      <c r="C11067" s="8">
        <f t="array" ref="C11067">PRODUCT(1-'Sparkling Model'!D$2:D$38^A11067)</f>
        <v>0.9856168561</v>
      </c>
    </row>
    <row r="11068">
      <c r="A11068" s="6">
        <v>11066.0</v>
      </c>
      <c r="B11068" s="17">
        <f t="array" ref="B11068">SUM(1-'Sparkling Model'!D$2:D$38^A11068)</f>
        <v>36.98555049</v>
      </c>
      <c r="C11068" s="8">
        <f t="array" ref="C11068">PRODUCT(1-'Sparkling Model'!D$2:D$38^A11068)</f>
        <v>0.9856239955</v>
      </c>
    </row>
    <row r="11069">
      <c r="A11069" s="6">
        <v>11067.0</v>
      </c>
      <c r="B11069" s="17">
        <f t="array" ref="B11069">SUM(1-'Sparkling Model'!D$2:D$38^A11069)</f>
        <v>36.9855577</v>
      </c>
      <c r="C11069" s="8">
        <f t="array" ref="C11069">PRODUCT(1-'Sparkling Model'!D$2:D$38^A11069)</f>
        <v>0.9856311314</v>
      </c>
    </row>
    <row r="11070">
      <c r="A11070" s="6">
        <v>11068.0</v>
      </c>
      <c r="B11070" s="17">
        <f t="array" ref="B11070">SUM(1-'Sparkling Model'!D$2:D$38^A11070)</f>
        <v>36.98556491</v>
      </c>
      <c r="C11070" s="8">
        <f t="array" ref="C11070">PRODUCT(1-'Sparkling Model'!D$2:D$38^A11070)</f>
        <v>0.9856382637</v>
      </c>
    </row>
    <row r="11071">
      <c r="A11071" s="6">
        <v>11069.0</v>
      </c>
      <c r="B11071" s="17">
        <f t="array" ref="B11071">SUM(1-'Sparkling Model'!D$2:D$38^A11071)</f>
        <v>36.98557211</v>
      </c>
      <c r="C11071" s="8">
        <f t="array" ref="C11071">PRODUCT(1-'Sparkling Model'!D$2:D$38^A11071)</f>
        <v>0.9856453924</v>
      </c>
    </row>
    <row r="11072">
      <c r="A11072" s="6">
        <v>11070.0</v>
      </c>
      <c r="B11072" s="17">
        <f t="array" ref="B11072">SUM(1-'Sparkling Model'!D$2:D$38^A11072)</f>
        <v>36.98557931</v>
      </c>
      <c r="C11072" s="8">
        <f t="array" ref="C11072">PRODUCT(1-'Sparkling Model'!D$2:D$38^A11072)</f>
        <v>0.9856525176</v>
      </c>
    </row>
    <row r="11073">
      <c r="A11073" s="6">
        <v>11071.0</v>
      </c>
      <c r="B11073" s="17">
        <f t="array" ref="B11073">SUM(1-'Sparkling Model'!D$2:D$38^A11073)</f>
        <v>36.9855865</v>
      </c>
      <c r="C11073" s="8">
        <f t="array" ref="C11073">PRODUCT(1-'Sparkling Model'!D$2:D$38^A11073)</f>
        <v>0.9856596393</v>
      </c>
    </row>
    <row r="11074">
      <c r="A11074" s="6">
        <v>11072.0</v>
      </c>
      <c r="B11074" s="17">
        <f t="array" ref="B11074">SUM(1-'Sparkling Model'!D$2:D$38^A11074)</f>
        <v>36.98559369</v>
      </c>
      <c r="C11074" s="8">
        <f t="array" ref="C11074">PRODUCT(1-'Sparkling Model'!D$2:D$38^A11074)</f>
        <v>0.9856667574</v>
      </c>
    </row>
    <row r="11075">
      <c r="A11075" s="6">
        <v>11073.0</v>
      </c>
      <c r="B11075" s="17">
        <f t="array" ref="B11075">SUM(1-'Sparkling Model'!D$2:D$38^A11075)</f>
        <v>36.98560088</v>
      </c>
      <c r="C11075" s="8">
        <f t="array" ref="C11075">PRODUCT(1-'Sparkling Model'!D$2:D$38^A11075)</f>
        <v>0.9856738719</v>
      </c>
    </row>
    <row r="11076">
      <c r="A11076" s="6">
        <v>11074.0</v>
      </c>
      <c r="B11076" s="17">
        <f t="array" ref="B11076">SUM(1-'Sparkling Model'!D$2:D$38^A11076)</f>
        <v>36.98560807</v>
      </c>
      <c r="C11076" s="8">
        <f t="array" ref="C11076">PRODUCT(1-'Sparkling Model'!D$2:D$38^A11076)</f>
        <v>0.9856809829</v>
      </c>
    </row>
    <row r="11077">
      <c r="A11077" s="6">
        <v>11075.0</v>
      </c>
      <c r="B11077" s="17">
        <f t="array" ref="B11077">SUM(1-'Sparkling Model'!D$2:D$38^A11077)</f>
        <v>36.98561525</v>
      </c>
      <c r="C11077" s="8">
        <f t="array" ref="C11077">PRODUCT(1-'Sparkling Model'!D$2:D$38^A11077)</f>
        <v>0.9856880904</v>
      </c>
    </row>
    <row r="11078">
      <c r="A11078" s="6">
        <v>11076.0</v>
      </c>
      <c r="B11078" s="17">
        <f t="array" ref="B11078">SUM(1-'Sparkling Model'!D$2:D$38^A11078)</f>
        <v>36.98562242</v>
      </c>
      <c r="C11078" s="8">
        <f t="array" ref="C11078">PRODUCT(1-'Sparkling Model'!D$2:D$38^A11078)</f>
        <v>0.9856951944</v>
      </c>
    </row>
    <row r="11079">
      <c r="A11079" s="6">
        <v>11077.0</v>
      </c>
      <c r="B11079" s="17">
        <f t="array" ref="B11079">SUM(1-'Sparkling Model'!D$2:D$38^A11079)</f>
        <v>36.9856296</v>
      </c>
      <c r="C11079" s="8">
        <f t="array" ref="C11079">PRODUCT(1-'Sparkling Model'!D$2:D$38^A11079)</f>
        <v>0.9857022948</v>
      </c>
    </row>
    <row r="11080">
      <c r="A11080" s="6">
        <v>11078.0</v>
      </c>
      <c r="B11080" s="17">
        <f t="array" ref="B11080">SUM(1-'Sparkling Model'!D$2:D$38^A11080)</f>
        <v>36.98563677</v>
      </c>
      <c r="C11080" s="8">
        <f t="array" ref="C11080">PRODUCT(1-'Sparkling Model'!D$2:D$38^A11080)</f>
        <v>0.9857093917</v>
      </c>
    </row>
    <row r="11081">
      <c r="A11081" s="6">
        <v>11079.0</v>
      </c>
      <c r="B11081" s="17">
        <f t="array" ref="B11081">SUM(1-'Sparkling Model'!D$2:D$38^A11081)</f>
        <v>36.98564393</v>
      </c>
      <c r="C11081" s="8">
        <f t="array" ref="C11081">PRODUCT(1-'Sparkling Model'!D$2:D$38^A11081)</f>
        <v>0.985716485</v>
      </c>
    </row>
    <row r="11082">
      <c r="A11082" s="6">
        <v>11080.0</v>
      </c>
      <c r="B11082" s="17">
        <f t="array" ref="B11082">SUM(1-'Sparkling Model'!D$2:D$38^A11082)</f>
        <v>36.9856511</v>
      </c>
      <c r="C11082" s="8">
        <f t="array" ref="C11082">PRODUCT(1-'Sparkling Model'!D$2:D$38^A11082)</f>
        <v>0.9857235748</v>
      </c>
    </row>
    <row r="11083">
      <c r="A11083" s="6">
        <v>11081.0</v>
      </c>
      <c r="B11083" s="17">
        <f t="array" ref="B11083">SUM(1-'Sparkling Model'!D$2:D$38^A11083)</f>
        <v>36.98565825</v>
      </c>
      <c r="C11083" s="8">
        <f t="array" ref="C11083">PRODUCT(1-'Sparkling Model'!D$2:D$38^A11083)</f>
        <v>0.9857306611</v>
      </c>
    </row>
    <row r="11084">
      <c r="A11084" s="6">
        <v>11082.0</v>
      </c>
      <c r="B11084" s="17">
        <f t="array" ref="B11084">SUM(1-'Sparkling Model'!D$2:D$38^A11084)</f>
        <v>36.98566541</v>
      </c>
      <c r="C11084" s="8">
        <f t="array" ref="C11084">PRODUCT(1-'Sparkling Model'!D$2:D$38^A11084)</f>
        <v>0.9857377439</v>
      </c>
    </row>
    <row r="11085">
      <c r="A11085" s="6">
        <v>11083.0</v>
      </c>
      <c r="B11085" s="17">
        <f t="array" ref="B11085">SUM(1-'Sparkling Model'!D$2:D$38^A11085)</f>
        <v>36.98567256</v>
      </c>
      <c r="C11085" s="8">
        <f t="array" ref="C11085">PRODUCT(1-'Sparkling Model'!D$2:D$38^A11085)</f>
        <v>0.9857448231</v>
      </c>
    </row>
    <row r="11086">
      <c r="A11086" s="6">
        <v>11084.0</v>
      </c>
      <c r="B11086" s="17">
        <f t="array" ref="B11086">SUM(1-'Sparkling Model'!D$2:D$38^A11086)</f>
        <v>36.98567971</v>
      </c>
      <c r="C11086" s="8">
        <f t="array" ref="C11086">PRODUCT(1-'Sparkling Model'!D$2:D$38^A11086)</f>
        <v>0.9857518988</v>
      </c>
    </row>
    <row r="11087">
      <c r="A11087" s="6">
        <v>11085.0</v>
      </c>
      <c r="B11087" s="17">
        <f t="array" ref="B11087">SUM(1-'Sparkling Model'!D$2:D$38^A11087)</f>
        <v>36.98568685</v>
      </c>
      <c r="C11087" s="8">
        <f t="array" ref="C11087">PRODUCT(1-'Sparkling Model'!D$2:D$38^A11087)</f>
        <v>0.985758971</v>
      </c>
    </row>
    <row r="11088">
      <c r="A11088" s="6">
        <v>11086.0</v>
      </c>
      <c r="B11088" s="17">
        <f t="array" ref="B11088">SUM(1-'Sparkling Model'!D$2:D$38^A11088)</f>
        <v>36.985694</v>
      </c>
      <c r="C11088" s="8">
        <f t="array" ref="C11088">PRODUCT(1-'Sparkling Model'!D$2:D$38^A11088)</f>
        <v>0.9857660396</v>
      </c>
    </row>
    <row r="11089">
      <c r="A11089" s="6">
        <v>11087.0</v>
      </c>
      <c r="B11089" s="17">
        <f t="array" ref="B11089">SUM(1-'Sparkling Model'!D$2:D$38^A11089)</f>
        <v>36.98570113</v>
      </c>
      <c r="C11089" s="8">
        <f t="array" ref="C11089">PRODUCT(1-'Sparkling Model'!D$2:D$38^A11089)</f>
        <v>0.9857731048</v>
      </c>
    </row>
    <row r="11090">
      <c r="A11090" s="6">
        <v>11088.0</v>
      </c>
      <c r="B11090" s="17">
        <f t="array" ref="B11090">SUM(1-'Sparkling Model'!D$2:D$38^A11090)</f>
        <v>36.98570827</v>
      </c>
      <c r="C11090" s="8">
        <f t="array" ref="C11090">PRODUCT(1-'Sparkling Model'!D$2:D$38^A11090)</f>
        <v>0.9857801664</v>
      </c>
    </row>
    <row r="11091">
      <c r="A11091" s="6">
        <v>11089.0</v>
      </c>
      <c r="B11091" s="17">
        <f t="array" ref="B11091">SUM(1-'Sparkling Model'!D$2:D$38^A11091)</f>
        <v>36.9857154</v>
      </c>
      <c r="C11091" s="8">
        <f t="array" ref="C11091">PRODUCT(1-'Sparkling Model'!D$2:D$38^A11091)</f>
        <v>0.9857872245</v>
      </c>
    </row>
    <row r="11092">
      <c r="A11092" s="6">
        <v>11090.0</v>
      </c>
      <c r="B11092" s="17">
        <f t="array" ref="B11092">SUM(1-'Sparkling Model'!D$2:D$38^A11092)</f>
        <v>36.98572252</v>
      </c>
      <c r="C11092" s="8">
        <f t="array" ref="C11092">PRODUCT(1-'Sparkling Model'!D$2:D$38^A11092)</f>
        <v>0.9857942791</v>
      </c>
    </row>
    <row r="11093">
      <c r="A11093" s="6">
        <v>11091.0</v>
      </c>
      <c r="B11093" s="17">
        <f t="array" ref="B11093">SUM(1-'Sparkling Model'!D$2:D$38^A11093)</f>
        <v>36.98572965</v>
      </c>
      <c r="C11093" s="8">
        <f t="array" ref="C11093">PRODUCT(1-'Sparkling Model'!D$2:D$38^A11093)</f>
        <v>0.9858013302</v>
      </c>
    </row>
    <row r="11094">
      <c r="A11094" s="6">
        <v>11092.0</v>
      </c>
      <c r="B11094" s="17">
        <f t="array" ref="B11094">SUM(1-'Sparkling Model'!D$2:D$38^A11094)</f>
        <v>36.98573677</v>
      </c>
      <c r="C11094" s="8">
        <f t="array" ref="C11094">PRODUCT(1-'Sparkling Model'!D$2:D$38^A11094)</f>
        <v>0.9858083778</v>
      </c>
    </row>
    <row r="11095">
      <c r="A11095" s="6">
        <v>11093.0</v>
      </c>
      <c r="B11095" s="17">
        <f t="array" ref="B11095">SUM(1-'Sparkling Model'!D$2:D$38^A11095)</f>
        <v>36.98574388</v>
      </c>
      <c r="C11095" s="8">
        <f t="array" ref="C11095">PRODUCT(1-'Sparkling Model'!D$2:D$38^A11095)</f>
        <v>0.9858154219</v>
      </c>
    </row>
    <row r="11096">
      <c r="A11096" s="6">
        <v>11094.0</v>
      </c>
      <c r="B11096" s="17">
        <f t="array" ref="B11096">SUM(1-'Sparkling Model'!D$2:D$38^A11096)</f>
        <v>36.985751</v>
      </c>
      <c r="C11096" s="8">
        <f t="array" ref="C11096">PRODUCT(1-'Sparkling Model'!D$2:D$38^A11096)</f>
        <v>0.9858224624</v>
      </c>
    </row>
    <row r="11097">
      <c r="A11097" s="6">
        <v>11095.0</v>
      </c>
      <c r="B11097" s="17">
        <f t="array" ref="B11097">SUM(1-'Sparkling Model'!D$2:D$38^A11097)</f>
        <v>36.9857581</v>
      </c>
      <c r="C11097" s="8">
        <f t="array" ref="C11097">PRODUCT(1-'Sparkling Model'!D$2:D$38^A11097)</f>
        <v>0.9858294995</v>
      </c>
    </row>
    <row r="11098">
      <c r="A11098" s="6">
        <v>11096.0</v>
      </c>
      <c r="B11098" s="17">
        <f t="array" ref="B11098">SUM(1-'Sparkling Model'!D$2:D$38^A11098)</f>
        <v>36.98576521</v>
      </c>
      <c r="C11098" s="8">
        <f t="array" ref="C11098">PRODUCT(1-'Sparkling Model'!D$2:D$38^A11098)</f>
        <v>0.9858365331</v>
      </c>
    </row>
    <row r="11099">
      <c r="A11099" s="6">
        <v>11097.0</v>
      </c>
      <c r="B11099" s="17">
        <f t="array" ref="B11099">SUM(1-'Sparkling Model'!D$2:D$38^A11099)</f>
        <v>36.98577231</v>
      </c>
      <c r="C11099" s="8">
        <f t="array" ref="C11099">PRODUCT(1-'Sparkling Model'!D$2:D$38^A11099)</f>
        <v>0.9858435631</v>
      </c>
    </row>
    <row r="11100">
      <c r="A11100" s="6">
        <v>11098.0</v>
      </c>
      <c r="B11100" s="17">
        <f t="array" ref="B11100">SUM(1-'Sparkling Model'!D$2:D$38^A11100)</f>
        <v>36.98577941</v>
      </c>
      <c r="C11100" s="8">
        <f t="array" ref="C11100">PRODUCT(1-'Sparkling Model'!D$2:D$38^A11100)</f>
        <v>0.9858505897</v>
      </c>
    </row>
    <row r="11101">
      <c r="A11101" s="6">
        <v>11099.0</v>
      </c>
      <c r="B11101" s="17">
        <f t="array" ref="B11101">SUM(1-'Sparkling Model'!D$2:D$38^A11101)</f>
        <v>36.9857865</v>
      </c>
      <c r="C11101" s="8">
        <f t="array" ref="C11101">PRODUCT(1-'Sparkling Model'!D$2:D$38^A11101)</f>
        <v>0.9858576127</v>
      </c>
    </row>
    <row r="11102">
      <c r="A11102" s="6">
        <v>11100.0</v>
      </c>
      <c r="B11102" s="17">
        <f t="array" ref="B11102">SUM(1-'Sparkling Model'!D$2:D$38^A11102)</f>
        <v>36.98579359</v>
      </c>
      <c r="C11102" s="8">
        <f t="array" ref="C11102">PRODUCT(1-'Sparkling Model'!D$2:D$38^A11102)</f>
        <v>0.9858646323</v>
      </c>
    </row>
    <row r="11103">
      <c r="A11103" s="6">
        <v>11101.0</v>
      </c>
      <c r="B11103" s="17">
        <f t="array" ref="B11103">SUM(1-'Sparkling Model'!D$2:D$38^A11103)</f>
        <v>36.98580068</v>
      </c>
      <c r="C11103" s="8">
        <f t="array" ref="C11103">PRODUCT(1-'Sparkling Model'!D$2:D$38^A11103)</f>
        <v>0.9858716484</v>
      </c>
    </row>
    <row r="11104">
      <c r="A11104" s="6">
        <v>11102.0</v>
      </c>
      <c r="B11104" s="17">
        <f t="array" ref="B11104">SUM(1-'Sparkling Model'!D$2:D$38^A11104)</f>
        <v>36.98580777</v>
      </c>
      <c r="C11104" s="8">
        <f t="array" ref="C11104">PRODUCT(1-'Sparkling Model'!D$2:D$38^A11104)</f>
        <v>0.985878661</v>
      </c>
    </row>
    <row r="11105">
      <c r="A11105" s="6">
        <v>11103.0</v>
      </c>
      <c r="B11105" s="17">
        <f t="array" ref="B11105">SUM(1-'Sparkling Model'!D$2:D$38^A11105)</f>
        <v>36.98581485</v>
      </c>
      <c r="C11105" s="8">
        <f t="array" ref="C11105">PRODUCT(1-'Sparkling Model'!D$2:D$38^A11105)</f>
        <v>0.9858856701</v>
      </c>
    </row>
    <row r="11106">
      <c r="A11106" s="6">
        <v>11104.0</v>
      </c>
      <c r="B11106" s="17">
        <f t="array" ref="B11106">SUM(1-'Sparkling Model'!D$2:D$38^A11106)</f>
        <v>36.98582192</v>
      </c>
      <c r="C11106" s="8">
        <f t="array" ref="C11106">PRODUCT(1-'Sparkling Model'!D$2:D$38^A11106)</f>
        <v>0.9858926757</v>
      </c>
    </row>
    <row r="11107">
      <c r="A11107" s="6">
        <v>11105.0</v>
      </c>
      <c r="B11107" s="17">
        <f t="array" ref="B11107">SUM(1-'Sparkling Model'!D$2:D$38^A11107)</f>
        <v>36.985829</v>
      </c>
      <c r="C11107" s="8">
        <f t="array" ref="C11107">PRODUCT(1-'Sparkling Model'!D$2:D$38^A11107)</f>
        <v>0.9858996778</v>
      </c>
    </row>
    <row r="11108">
      <c r="A11108" s="6">
        <v>11106.0</v>
      </c>
      <c r="B11108" s="17">
        <f t="array" ref="B11108">SUM(1-'Sparkling Model'!D$2:D$38^A11108)</f>
        <v>36.98583607</v>
      </c>
      <c r="C11108" s="8">
        <f t="array" ref="C11108">PRODUCT(1-'Sparkling Model'!D$2:D$38^A11108)</f>
        <v>0.9859066764</v>
      </c>
    </row>
    <row r="11109">
      <c r="A11109" s="6">
        <v>11107.0</v>
      </c>
      <c r="B11109" s="17">
        <f t="array" ref="B11109">SUM(1-'Sparkling Model'!D$2:D$38^A11109)</f>
        <v>36.98584313</v>
      </c>
      <c r="C11109" s="8">
        <f t="array" ref="C11109">PRODUCT(1-'Sparkling Model'!D$2:D$38^A11109)</f>
        <v>0.9859136715</v>
      </c>
    </row>
    <row r="11110">
      <c r="A11110" s="6">
        <v>11108.0</v>
      </c>
      <c r="B11110" s="17">
        <f t="array" ref="B11110">SUM(1-'Sparkling Model'!D$2:D$38^A11110)</f>
        <v>36.98585019</v>
      </c>
      <c r="C11110" s="8">
        <f t="array" ref="C11110">PRODUCT(1-'Sparkling Model'!D$2:D$38^A11110)</f>
        <v>0.9859206632</v>
      </c>
    </row>
    <row r="11111">
      <c r="A11111" s="6">
        <v>11109.0</v>
      </c>
      <c r="B11111" s="17">
        <f t="array" ref="B11111">SUM(1-'Sparkling Model'!D$2:D$38^A11111)</f>
        <v>36.98585725</v>
      </c>
      <c r="C11111" s="8">
        <f t="array" ref="C11111">PRODUCT(1-'Sparkling Model'!D$2:D$38^A11111)</f>
        <v>0.9859276514</v>
      </c>
    </row>
    <row r="11112">
      <c r="A11112" s="6">
        <v>11110.0</v>
      </c>
      <c r="B11112" s="17">
        <f t="array" ref="B11112">SUM(1-'Sparkling Model'!D$2:D$38^A11112)</f>
        <v>36.98586431</v>
      </c>
      <c r="C11112" s="8">
        <f t="array" ref="C11112">PRODUCT(1-'Sparkling Model'!D$2:D$38^A11112)</f>
        <v>0.9859346361</v>
      </c>
    </row>
    <row r="11113">
      <c r="A11113" s="6">
        <v>11111.0</v>
      </c>
      <c r="B11113" s="17">
        <f t="array" ref="B11113">SUM(1-'Sparkling Model'!D$2:D$38^A11113)</f>
        <v>36.98587136</v>
      </c>
      <c r="C11113" s="8">
        <f t="array" ref="C11113">PRODUCT(1-'Sparkling Model'!D$2:D$38^A11113)</f>
        <v>0.9859416173</v>
      </c>
    </row>
    <row r="11114">
      <c r="A11114" s="6">
        <v>11112.0</v>
      </c>
      <c r="B11114" s="17">
        <f t="array" ref="B11114">SUM(1-'Sparkling Model'!D$2:D$38^A11114)</f>
        <v>36.98587841</v>
      </c>
      <c r="C11114" s="8">
        <f t="array" ref="C11114">PRODUCT(1-'Sparkling Model'!D$2:D$38^A11114)</f>
        <v>0.9859485951</v>
      </c>
    </row>
    <row r="11115">
      <c r="A11115" s="6">
        <v>11113.0</v>
      </c>
      <c r="B11115" s="17">
        <f t="array" ref="B11115">SUM(1-'Sparkling Model'!D$2:D$38^A11115)</f>
        <v>36.98588545</v>
      </c>
      <c r="C11115" s="8">
        <f t="array" ref="C11115">PRODUCT(1-'Sparkling Model'!D$2:D$38^A11115)</f>
        <v>0.9859555694</v>
      </c>
    </row>
    <row r="11116">
      <c r="A11116" s="6">
        <v>11114.0</v>
      </c>
      <c r="B11116" s="17">
        <f t="array" ref="B11116">SUM(1-'Sparkling Model'!D$2:D$38^A11116)</f>
        <v>36.98589249</v>
      </c>
      <c r="C11116" s="8">
        <f t="array" ref="C11116">PRODUCT(1-'Sparkling Model'!D$2:D$38^A11116)</f>
        <v>0.9859625402</v>
      </c>
    </row>
    <row r="11117">
      <c r="A11117" s="6">
        <v>11115.0</v>
      </c>
      <c r="B11117" s="17">
        <f t="array" ref="B11117">SUM(1-'Sparkling Model'!D$2:D$38^A11117)</f>
        <v>36.98589953</v>
      </c>
      <c r="C11117" s="8">
        <f t="array" ref="C11117">PRODUCT(1-'Sparkling Model'!D$2:D$38^A11117)</f>
        <v>0.9859695075</v>
      </c>
    </row>
    <row r="11118">
      <c r="A11118" s="6">
        <v>11116.0</v>
      </c>
      <c r="B11118" s="17">
        <f t="array" ref="B11118">SUM(1-'Sparkling Model'!D$2:D$38^A11118)</f>
        <v>36.98590657</v>
      </c>
      <c r="C11118" s="8">
        <f t="array" ref="C11118">PRODUCT(1-'Sparkling Model'!D$2:D$38^A11118)</f>
        <v>0.9859764714</v>
      </c>
    </row>
    <row r="11119">
      <c r="A11119" s="6">
        <v>11117.0</v>
      </c>
      <c r="B11119" s="17">
        <f t="array" ref="B11119">SUM(1-'Sparkling Model'!D$2:D$38^A11119)</f>
        <v>36.9859136</v>
      </c>
      <c r="C11119" s="8">
        <f t="array" ref="C11119">PRODUCT(1-'Sparkling Model'!D$2:D$38^A11119)</f>
        <v>0.9859834318</v>
      </c>
    </row>
    <row r="11120">
      <c r="A11120" s="6">
        <v>11118.0</v>
      </c>
      <c r="B11120" s="17">
        <f t="array" ref="B11120">SUM(1-'Sparkling Model'!D$2:D$38^A11120)</f>
        <v>36.98592062</v>
      </c>
      <c r="C11120" s="8">
        <f t="array" ref="C11120">PRODUCT(1-'Sparkling Model'!D$2:D$38^A11120)</f>
        <v>0.9859903887</v>
      </c>
    </row>
    <row r="11121">
      <c r="A11121" s="6">
        <v>11119.0</v>
      </c>
      <c r="B11121" s="17">
        <f t="array" ref="B11121">SUM(1-'Sparkling Model'!D$2:D$38^A11121)</f>
        <v>36.98592765</v>
      </c>
      <c r="C11121" s="8">
        <f t="array" ref="C11121">PRODUCT(1-'Sparkling Model'!D$2:D$38^A11121)</f>
        <v>0.9859973422</v>
      </c>
    </row>
    <row r="11122">
      <c r="A11122" s="6">
        <v>11120.0</v>
      </c>
      <c r="B11122" s="17">
        <f t="array" ref="B11122">SUM(1-'Sparkling Model'!D$2:D$38^A11122)</f>
        <v>36.98593467</v>
      </c>
      <c r="C11122" s="8">
        <f t="array" ref="C11122">PRODUCT(1-'Sparkling Model'!D$2:D$38^A11122)</f>
        <v>0.9860042922</v>
      </c>
    </row>
    <row r="11123">
      <c r="A11123" s="6">
        <v>11121.0</v>
      </c>
      <c r="B11123" s="17">
        <f t="array" ref="B11123">SUM(1-'Sparkling Model'!D$2:D$38^A11123)</f>
        <v>36.98594168</v>
      </c>
      <c r="C11123" s="8">
        <f t="array" ref="C11123">PRODUCT(1-'Sparkling Model'!D$2:D$38^A11123)</f>
        <v>0.9860112388</v>
      </c>
    </row>
    <row r="11124">
      <c r="A11124" s="6">
        <v>11122.0</v>
      </c>
      <c r="B11124" s="17">
        <f t="array" ref="B11124">SUM(1-'Sparkling Model'!D$2:D$38^A11124)</f>
        <v>36.9859487</v>
      </c>
      <c r="C11124" s="8">
        <f t="array" ref="C11124">PRODUCT(1-'Sparkling Model'!D$2:D$38^A11124)</f>
        <v>0.9860181819</v>
      </c>
    </row>
    <row r="11125">
      <c r="A11125" s="6">
        <v>11123.0</v>
      </c>
      <c r="B11125" s="17">
        <f t="array" ref="B11125">SUM(1-'Sparkling Model'!D$2:D$38^A11125)</f>
        <v>36.98595571</v>
      </c>
      <c r="C11125" s="8">
        <f t="array" ref="C11125">PRODUCT(1-'Sparkling Model'!D$2:D$38^A11125)</f>
        <v>0.9860251215</v>
      </c>
    </row>
    <row r="11126">
      <c r="A11126" s="6">
        <v>11124.0</v>
      </c>
      <c r="B11126" s="17">
        <f t="array" ref="B11126">SUM(1-'Sparkling Model'!D$2:D$38^A11126)</f>
        <v>36.98596271</v>
      </c>
      <c r="C11126" s="8">
        <f t="array" ref="C11126">PRODUCT(1-'Sparkling Model'!D$2:D$38^A11126)</f>
        <v>0.9860320577</v>
      </c>
    </row>
    <row r="11127">
      <c r="A11127" s="6">
        <v>11125.0</v>
      </c>
      <c r="B11127" s="17">
        <f t="array" ref="B11127">SUM(1-'Sparkling Model'!D$2:D$38^A11127)</f>
        <v>36.98596971</v>
      </c>
      <c r="C11127" s="8">
        <f t="array" ref="C11127">PRODUCT(1-'Sparkling Model'!D$2:D$38^A11127)</f>
        <v>0.9860389904</v>
      </c>
    </row>
    <row r="11128">
      <c r="A11128" s="6">
        <v>11126.0</v>
      </c>
      <c r="B11128" s="17">
        <f t="array" ref="B11128">SUM(1-'Sparkling Model'!D$2:D$38^A11128)</f>
        <v>36.98597671</v>
      </c>
      <c r="C11128" s="8">
        <f t="array" ref="C11128">PRODUCT(1-'Sparkling Model'!D$2:D$38^A11128)</f>
        <v>0.9860459197</v>
      </c>
    </row>
    <row r="11129">
      <c r="A11129" s="6">
        <v>11127.0</v>
      </c>
      <c r="B11129" s="17">
        <f t="array" ref="B11129">SUM(1-'Sparkling Model'!D$2:D$38^A11129)</f>
        <v>36.98598371</v>
      </c>
      <c r="C11129" s="8">
        <f t="array" ref="C11129">PRODUCT(1-'Sparkling Model'!D$2:D$38^A11129)</f>
        <v>0.9860528456</v>
      </c>
    </row>
    <row r="11130">
      <c r="A11130" s="6">
        <v>11128.0</v>
      </c>
      <c r="B11130" s="17">
        <f t="array" ref="B11130">SUM(1-'Sparkling Model'!D$2:D$38^A11130)</f>
        <v>36.9859907</v>
      </c>
      <c r="C11130" s="8">
        <f t="array" ref="C11130">PRODUCT(1-'Sparkling Model'!D$2:D$38^A11130)</f>
        <v>0.986059768</v>
      </c>
    </row>
    <row r="11131">
      <c r="A11131" s="6">
        <v>11129.0</v>
      </c>
      <c r="B11131" s="17">
        <f t="array" ref="B11131">SUM(1-'Sparkling Model'!D$2:D$38^A11131)</f>
        <v>36.98599769</v>
      </c>
      <c r="C11131" s="8">
        <f t="array" ref="C11131">PRODUCT(1-'Sparkling Model'!D$2:D$38^A11131)</f>
        <v>0.9860666869</v>
      </c>
    </row>
    <row r="11132">
      <c r="A11132" s="6">
        <v>11130.0</v>
      </c>
      <c r="B11132" s="17">
        <f t="array" ref="B11132">SUM(1-'Sparkling Model'!D$2:D$38^A11132)</f>
        <v>36.98600467</v>
      </c>
      <c r="C11132" s="8">
        <f t="array" ref="C11132">PRODUCT(1-'Sparkling Model'!D$2:D$38^A11132)</f>
        <v>0.9860736024</v>
      </c>
    </row>
    <row r="11133">
      <c r="A11133" s="6">
        <v>11131.0</v>
      </c>
      <c r="B11133" s="17">
        <f t="array" ref="B11133">SUM(1-'Sparkling Model'!D$2:D$38^A11133)</f>
        <v>36.98601165</v>
      </c>
      <c r="C11133" s="8">
        <f t="array" ref="C11133">PRODUCT(1-'Sparkling Model'!D$2:D$38^A11133)</f>
        <v>0.9860805145</v>
      </c>
    </row>
    <row r="11134">
      <c r="A11134" s="6">
        <v>11132.0</v>
      </c>
      <c r="B11134" s="17">
        <f t="array" ref="B11134">SUM(1-'Sparkling Model'!D$2:D$38^A11134)</f>
        <v>36.98601863</v>
      </c>
      <c r="C11134" s="8">
        <f t="array" ref="C11134">PRODUCT(1-'Sparkling Model'!D$2:D$38^A11134)</f>
        <v>0.9860874231</v>
      </c>
    </row>
    <row r="11135">
      <c r="A11135" s="6">
        <v>11133.0</v>
      </c>
      <c r="B11135" s="17">
        <f t="array" ref="B11135">SUM(1-'Sparkling Model'!D$2:D$38^A11135)</f>
        <v>36.98602561</v>
      </c>
      <c r="C11135" s="8">
        <f t="array" ref="C11135">PRODUCT(1-'Sparkling Model'!D$2:D$38^A11135)</f>
        <v>0.9860943283</v>
      </c>
    </row>
    <row r="11136">
      <c r="A11136" s="6">
        <v>11134.0</v>
      </c>
      <c r="B11136" s="17">
        <f t="array" ref="B11136">SUM(1-'Sparkling Model'!D$2:D$38^A11136)</f>
        <v>36.98603258</v>
      </c>
      <c r="C11136" s="8">
        <f t="array" ref="C11136">PRODUCT(1-'Sparkling Model'!D$2:D$38^A11136)</f>
        <v>0.98610123</v>
      </c>
    </row>
    <row r="11137">
      <c r="A11137" s="6">
        <v>11135.0</v>
      </c>
      <c r="B11137" s="17">
        <f t="array" ref="B11137">SUM(1-'Sparkling Model'!D$2:D$38^A11137)</f>
        <v>36.98603954</v>
      </c>
      <c r="C11137" s="8">
        <f t="array" ref="C11137">PRODUCT(1-'Sparkling Model'!D$2:D$38^A11137)</f>
        <v>0.9861081283</v>
      </c>
    </row>
    <row r="11138">
      <c r="A11138" s="6">
        <v>11136.0</v>
      </c>
      <c r="B11138" s="17">
        <f t="array" ref="B11138">SUM(1-'Sparkling Model'!D$2:D$38^A11138)</f>
        <v>36.98604651</v>
      </c>
      <c r="C11138" s="8">
        <f t="array" ref="C11138">PRODUCT(1-'Sparkling Model'!D$2:D$38^A11138)</f>
        <v>0.9861150232</v>
      </c>
    </row>
    <row r="11139">
      <c r="A11139" s="6">
        <v>11137.0</v>
      </c>
      <c r="B11139" s="17">
        <f t="array" ref="B11139">SUM(1-'Sparkling Model'!D$2:D$38^A11139)</f>
        <v>36.98605347</v>
      </c>
      <c r="C11139" s="8">
        <f t="array" ref="C11139">PRODUCT(1-'Sparkling Model'!D$2:D$38^A11139)</f>
        <v>0.9861219146</v>
      </c>
    </row>
    <row r="11140">
      <c r="A11140" s="6">
        <v>11138.0</v>
      </c>
      <c r="B11140" s="17">
        <f t="array" ref="B11140">SUM(1-'Sparkling Model'!D$2:D$38^A11140)</f>
        <v>36.98606042</v>
      </c>
      <c r="C11140" s="8">
        <f t="array" ref="C11140">PRODUCT(1-'Sparkling Model'!D$2:D$38^A11140)</f>
        <v>0.9861288027</v>
      </c>
    </row>
    <row r="11141">
      <c r="A11141" s="6">
        <v>11139.0</v>
      </c>
      <c r="B11141" s="17">
        <f t="array" ref="B11141">SUM(1-'Sparkling Model'!D$2:D$38^A11141)</f>
        <v>36.98606738</v>
      </c>
      <c r="C11141" s="8">
        <f t="array" ref="C11141">PRODUCT(1-'Sparkling Model'!D$2:D$38^A11141)</f>
        <v>0.9861356872</v>
      </c>
    </row>
    <row r="11142">
      <c r="A11142" s="6">
        <v>11140.0</v>
      </c>
      <c r="B11142" s="17">
        <f t="array" ref="B11142">SUM(1-'Sparkling Model'!D$2:D$38^A11142)</f>
        <v>36.98607433</v>
      </c>
      <c r="C11142" s="8">
        <f t="array" ref="C11142">PRODUCT(1-'Sparkling Model'!D$2:D$38^A11142)</f>
        <v>0.9861425684</v>
      </c>
    </row>
    <row r="11143">
      <c r="A11143" s="6">
        <v>11141.0</v>
      </c>
      <c r="B11143" s="17">
        <f t="array" ref="B11143">SUM(1-'Sparkling Model'!D$2:D$38^A11143)</f>
        <v>36.98608127</v>
      </c>
      <c r="C11143" s="8">
        <f t="array" ref="C11143">PRODUCT(1-'Sparkling Model'!D$2:D$38^A11143)</f>
        <v>0.9861494461</v>
      </c>
    </row>
    <row r="11144">
      <c r="A11144" s="6">
        <v>11142.0</v>
      </c>
      <c r="B11144" s="17">
        <f t="array" ref="B11144">SUM(1-'Sparkling Model'!D$2:D$38^A11144)</f>
        <v>36.98608822</v>
      </c>
      <c r="C11144" s="8">
        <f t="array" ref="C11144">PRODUCT(1-'Sparkling Model'!D$2:D$38^A11144)</f>
        <v>0.9861563204</v>
      </c>
    </row>
    <row r="11145">
      <c r="A11145" s="6">
        <v>11143.0</v>
      </c>
      <c r="B11145" s="17">
        <f t="array" ref="B11145">SUM(1-'Sparkling Model'!D$2:D$38^A11145)</f>
        <v>36.98609516</v>
      </c>
      <c r="C11145" s="8">
        <f t="array" ref="C11145">PRODUCT(1-'Sparkling Model'!D$2:D$38^A11145)</f>
        <v>0.9861631913</v>
      </c>
    </row>
    <row r="11146">
      <c r="A11146" s="6">
        <v>11144.0</v>
      </c>
      <c r="B11146" s="17">
        <f t="array" ref="B11146">SUM(1-'Sparkling Model'!D$2:D$38^A11146)</f>
        <v>36.98610209</v>
      </c>
      <c r="C11146" s="8">
        <f t="array" ref="C11146">PRODUCT(1-'Sparkling Model'!D$2:D$38^A11146)</f>
        <v>0.9861700588</v>
      </c>
    </row>
    <row r="11147">
      <c r="A11147" s="6">
        <v>11145.0</v>
      </c>
      <c r="B11147" s="17">
        <f t="array" ref="B11147">SUM(1-'Sparkling Model'!D$2:D$38^A11147)</f>
        <v>36.98610902</v>
      </c>
      <c r="C11147" s="8">
        <f t="array" ref="C11147">PRODUCT(1-'Sparkling Model'!D$2:D$38^A11147)</f>
        <v>0.9861769228</v>
      </c>
    </row>
    <row r="11148">
      <c r="A11148" s="6">
        <v>11146.0</v>
      </c>
      <c r="B11148" s="17">
        <f t="array" ref="B11148">SUM(1-'Sparkling Model'!D$2:D$38^A11148)</f>
        <v>36.98611595</v>
      </c>
      <c r="C11148" s="8">
        <f t="array" ref="C11148">PRODUCT(1-'Sparkling Model'!D$2:D$38^A11148)</f>
        <v>0.9861837835</v>
      </c>
    </row>
    <row r="11149">
      <c r="A11149" s="6">
        <v>11147.0</v>
      </c>
      <c r="B11149" s="17">
        <f t="array" ref="B11149">SUM(1-'Sparkling Model'!D$2:D$38^A11149)</f>
        <v>36.98612288</v>
      </c>
      <c r="C11149" s="8">
        <f t="array" ref="C11149">PRODUCT(1-'Sparkling Model'!D$2:D$38^A11149)</f>
        <v>0.9861906407</v>
      </c>
    </row>
    <row r="11150">
      <c r="A11150" s="6">
        <v>11148.0</v>
      </c>
      <c r="B11150" s="17">
        <f t="array" ref="B11150">SUM(1-'Sparkling Model'!D$2:D$38^A11150)</f>
        <v>36.9861298</v>
      </c>
      <c r="C11150" s="8">
        <f t="array" ref="C11150">PRODUCT(1-'Sparkling Model'!D$2:D$38^A11150)</f>
        <v>0.9861974945</v>
      </c>
    </row>
    <row r="11151">
      <c r="A11151" s="6">
        <v>11149.0</v>
      </c>
      <c r="B11151" s="17">
        <f t="array" ref="B11151">SUM(1-'Sparkling Model'!D$2:D$38^A11151)</f>
        <v>36.98613672</v>
      </c>
      <c r="C11151" s="8">
        <f t="array" ref="C11151">PRODUCT(1-'Sparkling Model'!D$2:D$38^A11151)</f>
        <v>0.9862043449</v>
      </c>
    </row>
    <row r="11152">
      <c r="A11152" s="6">
        <v>11150.0</v>
      </c>
      <c r="B11152" s="17">
        <f t="array" ref="B11152">SUM(1-'Sparkling Model'!D$2:D$38^A11152)</f>
        <v>36.98614363</v>
      </c>
      <c r="C11152" s="8">
        <f t="array" ref="C11152">PRODUCT(1-'Sparkling Model'!D$2:D$38^A11152)</f>
        <v>0.9862111919</v>
      </c>
    </row>
    <row r="11153">
      <c r="A11153" s="6">
        <v>11151.0</v>
      </c>
      <c r="B11153" s="17">
        <f t="array" ref="B11153">SUM(1-'Sparkling Model'!D$2:D$38^A11153)</f>
        <v>36.98615054</v>
      </c>
      <c r="C11153" s="8">
        <f t="array" ref="C11153">PRODUCT(1-'Sparkling Model'!D$2:D$38^A11153)</f>
        <v>0.9862180355</v>
      </c>
    </row>
    <row r="11154">
      <c r="A11154" s="6">
        <v>11152.0</v>
      </c>
      <c r="B11154" s="17">
        <f t="array" ref="B11154">SUM(1-'Sparkling Model'!D$2:D$38^A11154)</f>
        <v>36.98615745</v>
      </c>
      <c r="C11154" s="8">
        <f t="array" ref="C11154">PRODUCT(1-'Sparkling Model'!D$2:D$38^A11154)</f>
        <v>0.9862248756</v>
      </c>
    </row>
    <row r="11155">
      <c r="A11155" s="6">
        <v>11153.0</v>
      </c>
      <c r="B11155" s="17">
        <f t="array" ref="B11155">SUM(1-'Sparkling Model'!D$2:D$38^A11155)</f>
        <v>36.98616436</v>
      </c>
      <c r="C11155" s="8">
        <f t="array" ref="C11155">PRODUCT(1-'Sparkling Model'!D$2:D$38^A11155)</f>
        <v>0.9862317124</v>
      </c>
    </row>
    <row r="11156">
      <c r="A11156" s="6">
        <v>11154.0</v>
      </c>
      <c r="B11156" s="17">
        <f t="array" ref="B11156">SUM(1-'Sparkling Model'!D$2:D$38^A11156)</f>
        <v>36.98617126</v>
      </c>
      <c r="C11156" s="8">
        <f t="array" ref="C11156">PRODUCT(1-'Sparkling Model'!D$2:D$38^A11156)</f>
        <v>0.9862385458</v>
      </c>
    </row>
    <row r="11157">
      <c r="A11157" s="6">
        <v>11155.0</v>
      </c>
      <c r="B11157" s="17">
        <f t="array" ref="B11157">SUM(1-'Sparkling Model'!D$2:D$38^A11157)</f>
        <v>36.98617815</v>
      </c>
      <c r="C11157" s="8">
        <f t="array" ref="C11157">PRODUCT(1-'Sparkling Model'!D$2:D$38^A11157)</f>
        <v>0.9862453757</v>
      </c>
    </row>
    <row r="11158">
      <c r="A11158" s="6">
        <v>11156.0</v>
      </c>
      <c r="B11158" s="17">
        <f t="array" ref="B11158">SUM(1-'Sparkling Model'!D$2:D$38^A11158)</f>
        <v>36.98618505</v>
      </c>
      <c r="C11158" s="8">
        <f t="array" ref="C11158">PRODUCT(1-'Sparkling Model'!D$2:D$38^A11158)</f>
        <v>0.9862522023</v>
      </c>
    </row>
    <row r="11159">
      <c r="A11159" s="6">
        <v>11157.0</v>
      </c>
      <c r="B11159" s="17">
        <f t="array" ref="B11159">SUM(1-'Sparkling Model'!D$2:D$38^A11159)</f>
        <v>36.98619194</v>
      </c>
      <c r="C11159" s="8">
        <f t="array" ref="C11159">PRODUCT(1-'Sparkling Model'!D$2:D$38^A11159)</f>
        <v>0.9862590255</v>
      </c>
    </row>
    <row r="11160">
      <c r="A11160" s="6">
        <v>11158.0</v>
      </c>
      <c r="B11160" s="17">
        <f t="array" ref="B11160">SUM(1-'Sparkling Model'!D$2:D$38^A11160)</f>
        <v>36.98619883</v>
      </c>
      <c r="C11160" s="8">
        <f t="array" ref="C11160">PRODUCT(1-'Sparkling Model'!D$2:D$38^A11160)</f>
        <v>0.9862658452</v>
      </c>
    </row>
    <row r="11161">
      <c r="A11161" s="6">
        <v>11159.0</v>
      </c>
      <c r="B11161" s="17">
        <f t="array" ref="B11161">SUM(1-'Sparkling Model'!D$2:D$38^A11161)</f>
        <v>36.98620571</v>
      </c>
      <c r="C11161" s="8">
        <f t="array" ref="C11161">PRODUCT(1-'Sparkling Model'!D$2:D$38^A11161)</f>
        <v>0.9862726616</v>
      </c>
    </row>
    <row r="11162">
      <c r="A11162" s="6">
        <v>11160.0</v>
      </c>
      <c r="B11162" s="17">
        <f t="array" ref="B11162">SUM(1-'Sparkling Model'!D$2:D$38^A11162)</f>
        <v>36.98621259</v>
      </c>
      <c r="C11162" s="8">
        <f t="array" ref="C11162">PRODUCT(1-'Sparkling Model'!D$2:D$38^A11162)</f>
        <v>0.9862794746</v>
      </c>
    </row>
    <row r="11163">
      <c r="A11163" s="6">
        <v>11161.0</v>
      </c>
      <c r="B11163" s="17">
        <f t="array" ref="B11163">SUM(1-'Sparkling Model'!D$2:D$38^A11163)</f>
        <v>36.98621947</v>
      </c>
      <c r="C11163" s="8">
        <f t="array" ref="C11163">PRODUCT(1-'Sparkling Model'!D$2:D$38^A11163)</f>
        <v>0.9862862842</v>
      </c>
    </row>
    <row r="11164">
      <c r="A11164" s="6">
        <v>11162.0</v>
      </c>
      <c r="B11164" s="17">
        <f t="array" ref="B11164">SUM(1-'Sparkling Model'!D$2:D$38^A11164)</f>
        <v>36.98622634</v>
      </c>
      <c r="C11164" s="8">
        <f t="array" ref="C11164">PRODUCT(1-'Sparkling Model'!D$2:D$38^A11164)</f>
        <v>0.9862930904</v>
      </c>
    </row>
    <row r="11165">
      <c r="A11165" s="6">
        <v>11163.0</v>
      </c>
      <c r="B11165" s="17">
        <f t="array" ref="B11165">SUM(1-'Sparkling Model'!D$2:D$38^A11165)</f>
        <v>36.98623321</v>
      </c>
      <c r="C11165" s="8">
        <f t="array" ref="C11165">PRODUCT(1-'Sparkling Model'!D$2:D$38^A11165)</f>
        <v>0.9862998932</v>
      </c>
    </row>
    <row r="11166">
      <c r="A11166" s="6">
        <v>11164.0</v>
      </c>
      <c r="B11166" s="17">
        <f t="array" ref="B11166">SUM(1-'Sparkling Model'!D$2:D$38^A11166)</f>
        <v>36.98624008</v>
      </c>
      <c r="C11166" s="8">
        <f t="array" ref="C11166">PRODUCT(1-'Sparkling Model'!D$2:D$38^A11166)</f>
        <v>0.9863066926</v>
      </c>
    </row>
    <row r="11167">
      <c r="A11167" s="6">
        <v>11165.0</v>
      </c>
      <c r="B11167" s="17">
        <f t="array" ref="B11167">SUM(1-'Sparkling Model'!D$2:D$38^A11167)</f>
        <v>36.98624694</v>
      </c>
      <c r="C11167" s="8">
        <f t="array" ref="C11167">PRODUCT(1-'Sparkling Model'!D$2:D$38^A11167)</f>
        <v>0.9863134887</v>
      </c>
    </row>
    <row r="11168">
      <c r="A11168" s="6">
        <v>11166.0</v>
      </c>
      <c r="B11168" s="17">
        <f t="array" ref="B11168">SUM(1-'Sparkling Model'!D$2:D$38^A11168)</f>
        <v>36.9862538</v>
      </c>
      <c r="C11168" s="8">
        <f t="array" ref="C11168">PRODUCT(1-'Sparkling Model'!D$2:D$38^A11168)</f>
        <v>0.9863202813</v>
      </c>
    </row>
    <row r="11169">
      <c r="A11169" s="6">
        <v>11167.0</v>
      </c>
      <c r="B11169" s="17">
        <f t="array" ref="B11169">SUM(1-'Sparkling Model'!D$2:D$38^A11169)</f>
        <v>36.98626065</v>
      </c>
      <c r="C11169" s="8">
        <f t="array" ref="C11169">PRODUCT(1-'Sparkling Model'!D$2:D$38^A11169)</f>
        <v>0.9863270706</v>
      </c>
    </row>
    <row r="11170">
      <c r="A11170" s="6">
        <v>11168.0</v>
      </c>
      <c r="B11170" s="17">
        <f t="array" ref="B11170">SUM(1-'Sparkling Model'!D$2:D$38^A11170)</f>
        <v>36.98626751</v>
      </c>
      <c r="C11170" s="8">
        <f t="array" ref="C11170">PRODUCT(1-'Sparkling Model'!D$2:D$38^A11170)</f>
        <v>0.9863338565</v>
      </c>
    </row>
    <row r="11171">
      <c r="A11171" s="6">
        <v>11169.0</v>
      </c>
      <c r="B11171" s="17">
        <f t="array" ref="B11171">SUM(1-'Sparkling Model'!D$2:D$38^A11171)</f>
        <v>36.98627436</v>
      </c>
      <c r="C11171" s="8">
        <f t="array" ref="C11171">PRODUCT(1-'Sparkling Model'!D$2:D$38^A11171)</f>
        <v>0.986340639</v>
      </c>
    </row>
    <row r="11172">
      <c r="A11172" s="6">
        <v>11170.0</v>
      </c>
      <c r="B11172" s="17">
        <f t="array" ref="B11172">SUM(1-'Sparkling Model'!D$2:D$38^A11172)</f>
        <v>36.9862812</v>
      </c>
      <c r="C11172" s="8">
        <f t="array" ref="C11172">PRODUCT(1-'Sparkling Model'!D$2:D$38^A11172)</f>
        <v>0.9863474182</v>
      </c>
    </row>
    <row r="11173">
      <c r="A11173" s="6">
        <v>11171.0</v>
      </c>
      <c r="B11173" s="17">
        <f t="array" ref="B11173">SUM(1-'Sparkling Model'!D$2:D$38^A11173)</f>
        <v>36.98628804</v>
      </c>
      <c r="C11173" s="8">
        <f t="array" ref="C11173">PRODUCT(1-'Sparkling Model'!D$2:D$38^A11173)</f>
        <v>0.986354194</v>
      </c>
    </row>
    <row r="11174">
      <c r="A11174" s="6">
        <v>11172.0</v>
      </c>
      <c r="B11174" s="17">
        <f t="array" ref="B11174">SUM(1-'Sparkling Model'!D$2:D$38^A11174)</f>
        <v>36.98629488</v>
      </c>
      <c r="C11174" s="8">
        <f t="array" ref="C11174">PRODUCT(1-'Sparkling Model'!D$2:D$38^A11174)</f>
        <v>0.9863609664</v>
      </c>
    </row>
    <row r="11175">
      <c r="A11175" s="6">
        <v>11173.0</v>
      </c>
      <c r="B11175" s="17">
        <f t="array" ref="B11175">SUM(1-'Sparkling Model'!D$2:D$38^A11175)</f>
        <v>36.98630172</v>
      </c>
      <c r="C11175" s="8">
        <f t="array" ref="C11175">PRODUCT(1-'Sparkling Model'!D$2:D$38^A11175)</f>
        <v>0.9863677354</v>
      </c>
    </row>
    <row r="11176">
      <c r="A11176" s="6">
        <v>11174.0</v>
      </c>
      <c r="B11176" s="17">
        <f t="array" ref="B11176">SUM(1-'Sparkling Model'!D$2:D$38^A11176)</f>
        <v>36.98630855</v>
      </c>
      <c r="C11176" s="8">
        <f t="array" ref="C11176">PRODUCT(1-'Sparkling Model'!D$2:D$38^A11176)</f>
        <v>0.9863745011</v>
      </c>
    </row>
    <row r="11177">
      <c r="A11177" s="6">
        <v>11175.0</v>
      </c>
      <c r="B11177" s="17">
        <f t="array" ref="B11177">SUM(1-'Sparkling Model'!D$2:D$38^A11177)</f>
        <v>36.98631538</v>
      </c>
      <c r="C11177" s="8">
        <f t="array" ref="C11177">PRODUCT(1-'Sparkling Model'!D$2:D$38^A11177)</f>
        <v>0.9863812634</v>
      </c>
    </row>
    <row r="11178">
      <c r="A11178" s="6">
        <v>11176.0</v>
      </c>
      <c r="B11178" s="17">
        <f t="array" ref="B11178">SUM(1-'Sparkling Model'!D$2:D$38^A11178)</f>
        <v>36.9863222</v>
      </c>
      <c r="C11178" s="8">
        <f t="array" ref="C11178">PRODUCT(1-'Sparkling Model'!D$2:D$38^A11178)</f>
        <v>0.9863880223</v>
      </c>
    </row>
    <row r="11179">
      <c r="A11179" s="6">
        <v>11177.0</v>
      </c>
      <c r="B11179" s="17">
        <f t="array" ref="B11179">SUM(1-'Sparkling Model'!D$2:D$38^A11179)</f>
        <v>36.98632902</v>
      </c>
      <c r="C11179" s="8">
        <f t="array" ref="C11179">PRODUCT(1-'Sparkling Model'!D$2:D$38^A11179)</f>
        <v>0.9863947779</v>
      </c>
    </row>
    <row r="11180">
      <c r="A11180" s="6">
        <v>11178.0</v>
      </c>
      <c r="B11180" s="17">
        <f t="array" ref="B11180">SUM(1-'Sparkling Model'!D$2:D$38^A11180)</f>
        <v>36.98633584</v>
      </c>
      <c r="C11180" s="8">
        <f t="array" ref="C11180">PRODUCT(1-'Sparkling Model'!D$2:D$38^A11180)</f>
        <v>0.9864015301</v>
      </c>
    </row>
    <row r="11181">
      <c r="A11181" s="6">
        <v>11179.0</v>
      </c>
      <c r="B11181" s="17">
        <f t="array" ref="B11181">SUM(1-'Sparkling Model'!D$2:D$38^A11181)</f>
        <v>36.98634266</v>
      </c>
      <c r="C11181" s="8">
        <f t="array" ref="C11181">PRODUCT(1-'Sparkling Model'!D$2:D$38^A11181)</f>
        <v>0.9864082789</v>
      </c>
    </row>
    <row r="11182">
      <c r="A11182" s="6">
        <v>11180.0</v>
      </c>
      <c r="B11182" s="17">
        <f t="array" ref="B11182">SUM(1-'Sparkling Model'!D$2:D$38^A11182)</f>
        <v>36.98634947</v>
      </c>
      <c r="C11182" s="8">
        <f t="array" ref="C11182">PRODUCT(1-'Sparkling Model'!D$2:D$38^A11182)</f>
        <v>0.9864150244</v>
      </c>
    </row>
    <row r="11183">
      <c r="A11183" s="6">
        <v>11181.0</v>
      </c>
      <c r="B11183" s="17">
        <f t="array" ref="B11183">SUM(1-'Sparkling Model'!D$2:D$38^A11183)</f>
        <v>36.98635628</v>
      </c>
      <c r="C11183" s="8">
        <f t="array" ref="C11183">PRODUCT(1-'Sparkling Model'!D$2:D$38^A11183)</f>
        <v>0.9864217665</v>
      </c>
    </row>
    <row r="11184">
      <c r="A11184" s="6">
        <v>11182.0</v>
      </c>
      <c r="B11184" s="17">
        <f t="array" ref="B11184">SUM(1-'Sparkling Model'!D$2:D$38^A11184)</f>
        <v>36.98636308</v>
      </c>
      <c r="C11184" s="8">
        <f t="array" ref="C11184">PRODUCT(1-'Sparkling Model'!D$2:D$38^A11184)</f>
        <v>0.9864285053</v>
      </c>
    </row>
    <row r="11185">
      <c r="A11185" s="6">
        <v>11183.0</v>
      </c>
      <c r="B11185" s="17">
        <f t="array" ref="B11185">SUM(1-'Sparkling Model'!D$2:D$38^A11185)</f>
        <v>36.98636988</v>
      </c>
      <c r="C11185" s="8">
        <f t="array" ref="C11185">PRODUCT(1-'Sparkling Model'!D$2:D$38^A11185)</f>
        <v>0.9864352407</v>
      </c>
    </row>
    <row r="11186">
      <c r="A11186" s="6">
        <v>11184.0</v>
      </c>
      <c r="B11186" s="17">
        <f t="array" ref="B11186">SUM(1-'Sparkling Model'!D$2:D$38^A11186)</f>
        <v>36.98637668</v>
      </c>
      <c r="C11186" s="8">
        <f t="array" ref="C11186">PRODUCT(1-'Sparkling Model'!D$2:D$38^A11186)</f>
        <v>0.9864419728</v>
      </c>
    </row>
    <row r="11187">
      <c r="A11187" s="6">
        <v>11185.0</v>
      </c>
      <c r="B11187" s="17">
        <f t="array" ref="B11187">SUM(1-'Sparkling Model'!D$2:D$38^A11187)</f>
        <v>36.98638347</v>
      </c>
      <c r="C11187" s="8">
        <f t="array" ref="C11187">PRODUCT(1-'Sparkling Model'!D$2:D$38^A11187)</f>
        <v>0.9864487015</v>
      </c>
    </row>
    <row r="11188">
      <c r="A11188" s="6">
        <v>11186.0</v>
      </c>
      <c r="B11188" s="17">
        <f t="array" ref="B11188">SUM(1-'Sparkling Model'!D$2:D$38^A11188)</f>
        <v>36.98639027</v>
      </c>
      <c r="C11188" s="8">
        <f t="array" ref="C11188">PRODUCT(1-'Sparkling Model'!D$2:D$38^A11188)</f>
        <v>0.9864554269</v>
      </c>
    </row>
    <row r="11189">
      <c r="A11189" s="6">
        <v>11187.0</v>
      </c>
      <c r="B11189" s="17">
        <f t="array" ref="B11189">SUM(1-'Sparkling Model'!D$2:D$38^A11189)</f>
        <v>36.98639705</v>
      </c>
      <c r="C11189" s="8">
        <f t="array" ref="C11189">PRODUCT(1-'Sparkling Model'!D$2:D$38^A11189)</f>
        <v>0.9864621489</v>
      </c>
    </row>
    <row r="11190">
      <c r="A11190" s="6">
        <v>11188.0</v>
      </c>
      <c r="B11190" s="17">
        <f t="array" ref="B11190">SUM(1-'Sparkling Model'!D$2:D$38^A11190)</f>
        <v>36.98640384</v>
      </c>
      <c r="C11190" s="8">
        <f t="array" ref="C11190">PRODUCT(1-'Sparkling Model'!D$2:D$38^A11190)</f>
        <v>0.9864688675</v>
      </c>
    </row>
    <row r="11191">
      <c r="A11191" s="6">
        <v>11189.0</v>
      </c>
      <c r="B11191" s="17">
        <f t="array" ref="B11191">SUM(1-'Sparkling Model'!D$2:D$38^A11191)</f>
        <v>36.98641062</v>
      </c>
      <c r="C11191" s="8">
        <f t="array" ref="C11191">PRODUCT(1-'Sparkling Model'!D$2:D$38^A11191)</f>
        <v>0.9864755829</v>
      </c>
    </row>
    <row r="11192">
      <c r="A11192" s="6">
        <v>11190.0</v>
      </c>
      <c r="B11192" s="17">
        <f t="array" ref="B11192">SUM(1-'Sparkling Model'!D$2:D$38^A11192)</f>
        <v>36.98641739</v>
      </c>
      <c r="C11192" s="8">
        <f t="array" ref="C11192">PRODUCT(1-'Sparkling Model'!D$2:D$38^A11192)</f>
        <v>0.9864822949</v>
      </c>
    </row>
    <row r="11193">
      <c r="A11193" s="6">
        <v>11191.0</v>
      </c>
      <c r="B11193" s="17">
        <f t="array" ref="B11193">SUM(1-'Sparkling Model'!D$2:D$38^A11193)</f>
        <v>36.98642417</v>
      </c>
      <c r="C11193" s="8">
        <f t="array" ref="C11193">PRODUCT(1-'Sparkling Model'!D$2:D$38^A11193)</f>
        <v>0.9864890035</v>
      </c>
    </row>
    <row r="11194">
      <c r="A11194" s="6">
        <v>11192.0</v>
      </c>
      <c r="B11194" s="17">
        <f t="array" ref="B11194">SUM(1-'Sparkling Model'!D$2:D$38^A11194)</f>
        <v>36.98643094</v>
      </c>
      <c r="C11194" s="8">
        <f t="array" ref="C11194">PRODUCT(1-'Sparkling Model'!D$2:D$38^A11194)</f>
        <v>0.9864957088</v>
      </c>
    </row>
    <row r="11195">
      <c r="A11195" s="6">
        <v>11193.0</v>
      </c>
      <c r="B11195" s="17">
        <f t="array" ref="B11195">SUM(1-'Sparkling Model'!D$2:D$38^A11195)</f>
        <v>36.98643771</v>
      </c>
      <c r="C11195" s="8">
        <f t="array" ref="C11195">PRODUCT(1-'Sparkling Model'!D$2:D$38^A11195)</f>
        <v>0.9865024108</v>
      </c>
    </row>
    <row r="11196">
      <c r="A11196" s="6">
        <v>11194.0</v>
      </c>
      <c r="B11196" s="17">
        <f t="array" ref="B11196">SUM(1-'Sparkling Model'!D$2:D$38^A11196)</f>
        <v>36.98644447</v>
      </c>
      <c r="C11196" s="8">
        <f t="array" ref="C11196">PRODUCT(1-'Sparkling Model'!D$2:D$38^A11196)</f>
        <v>0.9865091094</v>
      </c>
    </row>
    <row r="11197">
      <c r="A11197" s="6">
        <v>11195.0</v>
      </c>
      <c r="B11197" s="17">
        <f t="array" ref="B11197">SUM(1-'Sparkling Model'!D$2:D$38^A11197)</f>
        <v>36.98645123</v>
      </c>
      <c r="C11197" s="8">
        <f t="array" ref="C11197">PRODUCT(1-'Sparkling Model'!D$2:D$38^A11197)</f>
        <v>0.9865158047</v>
      </c>
    </row>
    <row r="11198">
      <c r="A11198" s="6">
        <v>11196.0</v>
      </c>
      <c r="B11198" s="17">
        <f t="array" ref="B11198">SUM(1-'Sparkling Model'!D$2:D$38^A11198)</f>
        <v>36.98645799</v>
      </c>
      <c r="C11198" s="8">
        <f t="array" ref="C11198">PRODUCT(1-'Sparkling Model'!D$2:D$38^A11198)</f>
        <v>0.9865224967</v>
      </c>
    </row>
    <row r="11199">
      <c r="A11199" s="6">
        <v>11197.0</v>
      </c>
      <c r="B11199" s="17">
        <f t="array" ref="B11199">SUM(1-'Sparkling Model'!D$2:D$38^A11199)</f>
        <v>36.98646474</v>
      </c>
      <c r="C11199" s="8">
        <f t="array" ref="C11199">PRODUCT(1-'Sparkling Model'!D$2:D$38^A11199)</f>
        <v>0.9865291853</v>
      </c>
    </row>
    <row r="11200">
      <c r="A11200" s="6">
        <v>11198.0</v>
      </c>
      <c r="B11200" s="17">
        <f t="array" ref="B11200">SUM(1-'Sparkling Model'!D$2:D$38^A11200)</f>
        <v>36.98647149</v>
      </c>
      <c r="C11200" s="8">
        <f t="array" ref="C11200">PRODUCT(1-'Sparkling Model'!D$2:D$38^A11200)</f>
        <v>0.9865358706</v>
      </c>
    </row>
    <row r="11201">
      <c r="A11201" s="6">
        <v>11199.0</v>
      </c>
      <c r="B11201" s="17">
        <f t="array" ref="B11201">SUM(1-'Sparkling Model'!D$2:D$38^A11201)</f>
        <v>36.98647824</v>
      </c>
      <c r="C11201" s="8">
        <f t="array" ref="C11201">PRODUCT(1-'Sparkling Model'!D$2:D$38^A11201)</f>
        <v>0.9865425526</v>
      </c>
    </row>
    <row r="11202">
      <c r="A11202" s="6">
        <v>11200.0</v>
      </c>
      <c r="B11202" s="17">
        <f t="array" ref="B11202">SUM(1-'Sparkling Model'!D$2:D$38^A11202)</f>
        <v>36.98648498</v>
      </c>
      <c r="C11202" s="8">
        <f t="array" ref="C11202">PRODUCT(1-'Sparkling Model'!D$2:D$38^A11202)</f>
        <v>0.9865492313</v>
      </c>
    </row>
    <row r="11203">
      <c r="A11203" s="6">
        <v>11201.0</v>
      </c>
      <c r="B11203" s="17">
        <f t="array" ref="B11203">SUM(1-'Sparkling Model'!D$2:D$38^A11203)</f>
        <v>36.98649172</v>
      </c>
      <c r="C11203" s="8">
        <f t="array" ref="C11203">PRODUCT(1-'Sparkling Model'!D$2:D$38^A11203)</f>
        <v>0.9865559066</v>
      </c>
    </row>
    <row r="11204">
      <c r="A11204" s="6">
        <v>11202.0</v>
      </c>
      <c r="B11204" s="17">
        <f t="array" ref="B11204">SUM(1-'Sparkling Model'!D$2:D$38^A11204)</f>
        <v>36.98649846</v>
      </c>
      <c r="C11204" s="8">
        <f t="array" ref="C11204">PRODUCT(1-'Sparkling Model'!D$2:D$38^A11204)</f>
        <v>0.9865625786</v>
      </c>
    </row>
    <row r="11205">
      <c r="A11205" s="6">
        <v>11203.0</v>
      </c>
      <c r="B11205" s="17">
        <f t="array" ref="B11205">SUM(1-'Sparkling Model'!D$2:D$38^A11205)</f>
        <v>36.98650519</v>
      </c>
      <c r="C11205" s="8">
        <f t="array" ref="C11205">PRODUCT(1-'Sparkling Model'!D$2:D$38^A11205)</f>
        <v>0.9865692473</v>
      </c>
    </row>
    <row r="11206">
      <c r="A11206" s="6">
        <v>11204.0</v>
      </c>
      <c r="B11206" s="17">
        <f t="array" ref="B11206">SUM(1-'Sparkling Model'!D$2:D$38^A11206)</f>
        <v>36.98651192</v>
      </c>
      <c r="C11206" s="8">
        <f t="array" ref="C11206">PRODUCT(1-'Sparkling Model'!D$2:D$38^A11206)</f>
        <v>0.9865759127</v>
      </c>
    </row>
    <row r="11207">
      <c r="A11207" s="6">
        <v>11205.0</v>
      </c>
      <c r="B11207" s="17">
        <f t="array" ref="B11207">SUM(1-'Sparkling Model'!D$2:D$38^A11207)</f>
        <v>36.98651864</v>
      </c>
      <c r="C11207" s="8">
        <f t="array" ref="C11207">PRODUCT(1-'Sparkling Model'!D$2:D$38^A11207)</f>
        <v>0.9865825747</v>
      </c>
    </row>
    <row r="11208">
      <c r="A11208" s="6">
        <v>11206.0</v>
      </c>
      <c r="B11208" s="17">
        <f t="array" ref="B11208">SUM(1-'Sparkling Model'!D$2:D$38^A11208)</f>
        <v>36.98652537</v>
      </c>
      <c r="C11208" s="8">
        <f t="array" ref="C11208">PRODUCT(1-'Sparkling Model'!D$2:D$38^A11208)</f>
        <v>0.9865892335</v>
      </c>
    </row>
    <row r="11209">
      <c r="A11209" s="6">
        <v>11207.0</v>
      </c>
      <c r="B11209" s="17">
        <f t="array" ref="B11209">SUM(1-'Sparkling Model'!D$2:D$38^A11209)</f>
        <v>36.98653209</v>
      </c>
      <c r="C11209" s="8">
        <f t="array" ref="C11209">PRODUCT(1-'Sparkling Model'!D$2:D$38^A11209)</f>
        <v>0.9865958889</v>
      </c>
    </row>
    <row r="11210">
      <c r="A11210" s="6">
        <v>11208.0</v>
      </c>
      <c r="B11210" s="17">
        <f t="array" ref="B11210">SUM(1-'Sparkling Model'!D$2:D$38^A11210)</f>
        <v>36.9865388</v>
      </c>
      <c r="C11210" s="8">
        <f t="array" ref="C11210">PRODUCT(1-'Sparkling Model'!D$2:D$38^A11210)</f>
        <v>0.986602541</v>
      </c>
    </row>
    <row r="11211">
      <c r="A11211" s="6">
        <v>11209.0</v>
      </c>
      <c r="B11211" s="17">
        <f t="array" ref="B11211">SUM(1-'Sparkling Model'!D$2:D$38^A11211)</f>
        <v>36.98654552</v>
      </c>
      <c r="C11211" s="8">
        <f t="array" ref="C11211">PRODUCT(1-'Sparkling Model'!D$2:D$38^A11211)</f>
        <v>0.9866091898</v>
      </c>
    </row>
    <row r="11212">
      <c r="A11212" s="6">
        <v>11210.0</v>
      </c>
      <c r="B11212" s="17">
        <f t="array" ref="B11212">SUM(1-'Sparkling Model'!D$2:D$38^A11212)</f>
        <v>36.98655222</v>
      </c>
      <c r="C11212" s="8">
        <f t="array" ref="C11212">PRODUCT(1-'Sparkling Model'!D$2:D$38^A11212)</f>
        <v>0.9866158353</v>
      </c>
    </row>
    <row r="11213">
      <c r="A11213" s="6">
        <v>11211.0</v>
      </c>
      <c r="B11213" s="17">
        <f t="array" ref="B11213">SUM(1-'Sparkling Model'!D$2:D$38^A11213)</f>
        <v>36.98655893</v>
      </c>
      <c r="C11213" s="8">
        <f t="array" ref="C11213">PRODUCT(1-'Sparkling Model'!D$2:D$38^A11213)</f>
        <v>0.9866224775</v>
      </c>
    </row>
    <row r="11214">
      <c r="A11214" s="6">
        <v>11212.0</v>
      </c>
      <c r="B11214" s="17">
        <f t="array" ref="B11214">SUM(1-'Sparkling Model'!D$2:D$38^A11214)</f>
        <v>36.98656563</v>
      </c>
      <c r="C11214" s="8">
        <f t="array" ref="C11214">PRODUCT(1-'Sparkling Model'!D$2:D$38^A11214)</f>
        <v>0.9866291164</v>
      </c>
    </row>
    <row r="11215">
      <c r="A11215" s="6">
        <v>11213.0</v>
      </c>
      <c r="B11215" s="17">
        <f t="array" ref="B11215">SUM(1-'Sparkling Model'!D$2:D$38^A11215)</f>
        <v>36.98657233</v>
      </c>
      <c r="C11215" s="8">
        <f t="array" ref="C11215">PRODUCT(1-'Sparkling Model'!D$2:D$38^A11215)</f>
        <v>0.9866357519</v>
      </c>
    </row>
    <row r="11216">
      <c r="A11216" s="6">
        <v>11214.0</v>
      </c>
      <c r="B11216" s="17">
        <f t="array" ref="B11216">SUM(1-'Sparkling Model'!D$2:D$38^A11216)</f>
        <v>36.98657903</v>
      </c>
      <c r="C11216" s="8">
        <f t="array" ref="C11216">PRODUCT(1-'Sparkling Model'!D$2:D$38^A11216)</f>
        <v>0.9866423842</v>
      </c>
    </row>
    <row r="11217">
      <c r="A11217" s="6">
        <v>11215.0</v>
      </c>
      <c r="B11217" s="17">
        <f t="array" ref="B11217">SUM(1-'Sparkling Model'!D$2:D$38^A11217)</f>
        <v>36.98658572</v>
      </c>
      <c r="C11217" s="8">
        <f t="array" ref="C11217">PRODUCT(1-'Sparkling Model'!D$2:D$38^A11217)</f>
        <v>0.9866490132</v>
      </c>
    </row>
    <row r="11218">
      <c r="A11218" s="6">
        <v>11216.0</v>
      </c>
      <c r="B11218" s="17">
        <f t="array" ref="B11218">SUM(1-'Sparkling Model'!D$2:D$38^A11218)</f>
        <v>36.98659241</v>
      </c>
      <c r="C11218" s="8">
        <f t="array" ref="C11218">PRODUCT(1-'Sparkling Model'!D$2:D$38^A11218)</f>
        <v>0.9866556388</v>
      </c>
    </row>
    <row r="11219">
      <c r="A11219" s="6">
        <v>11217.0</v>
      </c>
      <c r="B11219" s="17">
        <f t="array" ref="B11219">SUM(1-'Sparkling Model'!D$2:D$38^A11219)</f>
        <v>36.9865991</v>
      </c>
      <c r="C11219" s="8">
        <f t="array" ref="C11219">PRODUCT(1-'Sparkling Model'!D$2:D$38^A11219)</f>
        <v>0.9866622612</v>
      </c>
    </row>
    <row r="11220">
      <c r="A11220" s="6">
        <v>11218.0</v>
      </c>
      <c r="B11220" s="17">
        <f t="array" ref="B11220">SUM(1-'Sparkling Model'!D$2:D$38^A11220)</f>
        <v>36.98660578</v>
      </c>
      <c r="C11220" s="8">
        <f t="array" ref="C11220">PRODUCT(1-'Sparkling Model'!D$2:D$38^A11220)</f>
        <v>0.9866688803</v>
      </c>
    </row>
    <row r="11221">
      <c r="A11221" s="6">
        <v>11219.0</v>
      </c>
      <c r="B11221" s="17">
        <f t="array" ref="B11221">SUM(1-'Sparkling Model'!D$2:D$38^A11221)</f>
        <v>36.98661246</v>
      </c>
      <c r="C11221" s="8">
        <f t="array" ref="C11221">PRODUCT(1-'Sparkling Model'!D$2:D$38^A11221)</f>
        <v>0.9866754961</v>
      </c>
    </row>
    <row r="11222">
      <c r="A11222" s="6">
        <v>11220.0</v>
      </c>
      <c r="B11222" s="17">
        <f t="array" ref="B11222">SUM(1-'Sparkling Model'!D$2:D$38^A11222)</f>
        <v>36.98661913</v>
      </c>
      <c r="C11222" s="8">
        <f t="array" ref="C11222">PRODUCT(1-'Sparkling Model'!D$2:D$38^A11222)</f>
        <v>0.9866821086</v>
      </c>
    </row>
    <row r="11223">
      <c r="A11223" s="6">
        <v>11221.0</v>
      </c>
      <c r="B11223" s="17">
        <f t="array" ref="B11223">SUM(1-'Sparkling Model'!D$2:D$38^A11223)</f>
        <v>36.98662581</v>
      </c>
      <c r="C11223" s="8">
        <f t="array" ref="C11223">PRODUCT(1-'Sparkling Model'!D$2:D$38^A11223)</f>
        <v>0.9866887178</v>
      </c>
    </row>
    <row r="11224">
      <c r="A11224" s="6">
        <v>11222.0</v>
      </c>
      <c r="B11224" s="17">
        <f t="array" ref="B11224">SUM(1-'Sparkling Model'!D$2:D$38^A11224)</f>
        <v>36.98663247</v>
      </c>
      <c r="C11224" s="8">
        <f t="array" ref="C11224">PRODUCT(1-'Sparkling Model'!D$2:D$38^A11224)</f>
        <v>0.9866953237</v>
      </c>
    </row>
    <row r="11225">
      <c r="A11225" s="6">
        <v>11223.0</v>
      </c>
      <c r="B11225" s="17">
        <f t="array" ref="B11225">SUM(1-'Sparkling Model'!D$2:D$38^A11225)</f>
        <v>36.98663914</v>
      </c>
      <c r="C11225" s="8">
        <f t="array" ref="C11225">PRODUCT(1-'Sparkling Model'!D$2:D$38^A11225)</f>
        <v>0.9867019263</v>
      </c>
    </row>
    <row r="11226">
      <c r="A11226" s="6">
        <v>11224.0</v>
      </c>
      <c r="B11226" s="17">
        <f t="array" ref="B11226">SUM(1-'Sparkling Model'!D$2:D$38^A11226)</f>
        <v>36.9866458</v>
      </c>
      <c r="C11226" s="8">
        <f t="array" ref="C11226">PRODUCT(1-'Sparkling Model'!D$2:D$38^A11226)</f>
        <v>0.9867085256</v>
      </c>
    </row>
    <row r="11227">
      <c r="A11227" s="6">
        <v>11225.0</v>
      </c>
      <c r="B11227" s="17">
        <f t="array" ref="B11227">SUM(1-'Sparkling Model'!D$2:D$38^A11227)</f>
        <v>36.98665246</v>
      </c>
      <c r="C11227" s="8">
        <f t="array" ref="C11227">PRODUCT(1-'Sparkling Model'!D$2:D$38^A11227)</f>
        <v>0.9867151217</v>
      </c>
    </row>
    <row r="11228">
      <c r="A11228" s="6">
        <v>11226.0</v>
      </c>
      <c r="B11228" s="17">
        <f t="array" ref="B11228">SUM(1-'Sparkling Model'!D$2:D$38^A11228)</f>
        <v>36.98665912</v>
      </c>
      <c r="C11228" s="8">
        <f t="array" ref="C11228">PRODUCT(1-'Sparkling Model'!D$2:D$38^A11228)</f>
        <v>0.9867217145</v>
      </c>
    </row>
    <row r="11229">
      <c r="A11229" s="6">
        <v>11227.0</v>
      </c>
      <c r="B11229" s="17">
        <f t="array" ref="B11229">SUM(1-'Sparkling Model'!D$2:D$38^A11229)</f>
        <v>36.98666577</v>
      </c>
      <c r="C11229" s="8">
        <f t="array" ref="C11229">PRODUCT(1-'Sparkling Model'!D$2:D$38^A11229)</f>
        <v>0.9867283039</v>
      </c>
    </row>
    <row r="11230">
      <c r="A11230" s="6">
        <v>11228.0</v>
      </c>
      <c r="B11230" s="17">
        <f t="array" ref="B11230">SUM(1-'Sparkling Model'!D$2:D$38^A11230)</f>
        <v>36.98667242</v>
      </c>
      <c r="C11230" s="8">
        <f t="array" ref="C11230">PRODUCT(1-'Sparkling Model'!D$2:D$38^A11230)</f>
        <v>0.9867348902</v>
      </c>
    </row>
    <row r="11231">
      <c r="A11231" s="6">
        <v>11229.0</v>
      </c>
      <c r="B11231" s="17">
        <f t="array" ref="B11231">SUM(1-'Sparkling Model'!D$2:D$38^A11231)</f>
        <v>36.98667906</v>
      </c>
      <c r="C11231" s="8">
        <f t="array" ref="C11231">PRODUCT(1-'Sparkling Model'!D$2:D$38^A11231)</f>
        <v>0.9867414731</v>
      </c>
    </row>
    <row r="11232">
      <c r="A11232" s="6">
        <v>11230.0</v>
      </c>
      <c r="B11232" s="17">
        <f t="array" ref="B11232">SUM(1-'Sparkling Model'!D$2:D$38^A11232)</f>
        <v>36.98668571</v>
      </c>
      <c r="C11232" s="8">
        <f t="array" ref="C11232">PRODUCT(1-'Sparkling Model'!D$2:D$38^A11232)</f>
        <v>0.9867480527</v>
      </c>
    </row>
    <row r="11233">
      <c r="A11233" s="6">
        <v>11231.0</v>
      </c>
      <c r="B11233" s="17">
        <f t="array" ref="B11233">SUM(1-'Sparkling Model'!D$2:D$38^A11233)</f>
        <v>36.98669235</v>
      </c>
      <c r="C11233" s="8">
        <f t="array" ref="C11233">PRODUCT(1-'Sparkling Model'!D$2:D$38^A11233)</f>
        <v>0.9867546291</v>
      </c>
    </row>
    <row r="11234">
      <c r="A11234" s="6">
        <v>11232.0</v>
      </c>
      <c r="B11234" s="17">
        <f t="array" ref="B11234">SUM(1-'Sparkling Model'!D$2:D$38^A11234)</f>
        <v>36.98669898</v>
      </c>
      <c r="C11234" s="8">
        <f t="array" ref="C11234">PRODUCT(1-'Sparkling Model'!D$2:D$38^A11234)</f>
        <v>0.9867612022</v>
      </c>
    </row>
    <row r="11235">
      <c r="A11235" s="6">
        <v>11233.0</v>
      </c>
      <c r="B11235" s="17">
        <f t="array" ref="B11235">SUM(1-'Sparkling Model'!D$2:D$38^A11235)</f>
        <v>36.98670561</v>
      </c>
      <c r="C11235" s="8">
        <f t="array" ref="C11235">PRODUCT(1-'Sparkling Model'!D$2:D$38^A11235)</f>
        <v>0.9867677721</v>
      </c>
    </row>
    <row r="11236">
      <c r="A11236" s="6">
        <v>11234.0</v>
      </c>
      <c r="B11236" s="17">
        <f t="array" ref="B11236">SUM(1-'Sparkling Model'!D$2:D$38^A11236)</f>
        <v>36.98671224</v>
      </c>
      <c r="C11236" s="8">
        <f t="array" ref="C11236">PRODUCT(1-'Sparkling Model'!D$2:D$38^A11236)</f>
        <v>0.9867743386</v>
      </c>
    </row>
    <row r="11237">
      <c r="A11237" s="6">
        <v>11235.0</v>
      </c>
      <c r="B11237" s="17">
        <f t="array" ref="B11237">SUM(1-'Sparkling Model'!D$2:D$38^A11237)</f>
        <v>36.98671887</v>
      </c>
      <c r="C11237" s="8">
        <f t="array" ref="C11237">PRODUCT(1-'Sparkling Model'!D$2:D$38^A11237)</f>
        <v>0.9867809019</v>
      </c>
    </row>
    <row r="11238">
      <c r="A11238" s="6">
        <v>11236.0</v>
      </c>
      <c r="B11238" s="17">
        <f t="array" ref="B11238">SUM(1-'Sparkling Model'!D$2:D$38^A11238)</f>
        <v>36.98672549</v>
      </c>
      <c r="C11238" s="8">
        <f t="array" ref="C11238">PRODUCT(1-'Sparkling Model'!D$2:D$38^A11238)</f>
        <v>0.986787462</v>
      </c>
    </row>
    <row r="11239">
      <c r="A11239" s="6">
        <v>11237.0</v>
      </c>
      <c r="B11239" s="17">
        <f t="array" ref="B11239">SUM(1-'Sparkling Model'!D$2:D$38^A11239)</f>
        <v>36.98673211</v>
      </c>
      <c r="C11239" s="8">
        <f t="array" ref="C11239">PRODUCT(1-'Sparkling Model'!D$2:D$38^A11239)</f>
        <v>0.9867940187</v>
      </c>
    </row>
    <row r="11240">
      <c r="A11240" s="6">
        <v>11238.0</v>
      </c>
      <c r="B11240" s="17">
        <f t="array" ref="B11240">SUM(1-'Sparkling Model'!D$2:D$38^A11240)</f>
        <v>36.98673872</v>
      </c>
      <c r="C11240" s="8">
        <f t="array" ref="C11240">PRODUCT(1-'Sparkling Model'!D$2:D$38^A11240)</f>
        <v>0.9868005722</v>
      </c>
    </row>
    <row r="11241">
      <c r="A11241" s="6">
        <v>11239.0</v>
      </c>
      <c r="B11241" s="17">
        <f t="array" ref="B11241">SUM(1-'Sparkling Model'!D$2:D$38^A11241)</f>
        <v>36.98674534</v>
      </c>
      <c r="C11241" s="8">
        <f t="array" ref="C11241">PRODUCT(1-'Sparkling Model'!D$2:D$38^A11241)</f>
        <v>0.9868071225</v>
      </c>
    </row>
    <row r="11242">
      <c r="A11242" s="6">
        <v>11240.0</v>
      </c>
      <c r="B11242" s="17">
        <f t="array" ref="B11242">SUM(1-'Sparkling Model'!D$2:D$38^A11242)</f>
        <v>36.98675195</v>
      </c>
      <c r="C11242" s="8">
        <f t="array" ref="C11242">PRODUCT(1-'Sparkling Model'!D$2:D$38^A11242)</f>
        <v>0.9868136695</v>
      </c>
    </row>
    <row r="11243">
      <c r="A11243" s="6">
        <v>11241.0</v>
      </c>
      <c r="B11243" s="17">
        <f t="array" ref="B11243">SUM(1-'Sparkling Model'!D$2:D$38^A11243)</f>
        <v>36.98675855</v>
      </c>
      <c r="C11243" s="8">
        <f t="array" ref="C11243">PRODUCT(1-'Sparkling Model'!D$2:D$38^A11243)</f>
        <v>0.9868202132</v>
      </c>
    </row>
    <row r="11244">
      <c r="A11244" s="6">
        <v>11242.0</v>
      </c>
      <c r="B11244" s="17">
        <f t="array" ref="B11244">SUM(1-'Sparkling Model'!D$2:D$38^A11244)</f>
        <v>36.98676515</v>
      </c>
      <c r="C11244" s="8">
        <f t="array" ref="C11244">PRODUCT(1-'Sparkling Model'!D$2:D$38^A11244)</f>
        <v>0.9868267537</v>
      </c>
    </row>
    <row r="11245">
      <c r="A11245" s="6">
        <v>11243.0</v>
      </c>
      <c r="B11245" s="17">
        <f t="array" ref="B11245">SUM(1-'Sparkling Model'!D$2:D$38^A11245)</f>
        <v>36.98677175</v>
      </c>
      <c r="C11245" s="8">
        <f t="array" ref="C11245">PRODUCT(1-'Sparkling Model'!D$2:D$38^A11245)</f>
        <v>0.9868332909</v>
      </c>
    </row>
    <row r="11246">
      <c r="A11246" s="6">
        <v>11244.0</v>
      </c>
      <c r="B11246" s="17">
        <f t="array" ref="B11246">SUM(1-'Sparkling Model'!D$2:D$38^A11246)</f>
        <v>36.98677835</v>
      </c>
      <c r="C11246" s="8">
        <f t="array" ref="C11246">PRODUCT(1-'Sparkling Model'!D$2:D$38^A11246)</f>
        <v>0.9868398248</v>
      </c>
    </row>
    <row r="11247">
      <c r="A11247" s="6">
        <v>11245.0</v>
      </c>
      <c r="B11247" s="17">
        <f t="array" ref="B11247">SUM(1-'Sparkling Model'!D$2:D$38^A11247)</f>
        <v>36.98678494</v>
      </c>
      <c r="C11247" s="8">
        <f t="array" ref="C11247">PRODUCT(1-'Sparkling Model'!D$2:D$38^A11247)</f>
        <v>0.9868463555</v>
      </c>
    </row>
    <row r="11248">
      <c r="A11248" s="6">
        <v>11246.0</v>
      </c>
      <c r="B11248" s="17">
        <f t="array" ref="B11248">SUM(1-'Sparkling Model'!D$2:D$38^A11248)</f>
        <v>36.98679153</v>
      </c>
      <c r="C11248" s="8">
        <f t="array" ref="C11248">PRODUCT(1-'Sparkling Model'!D$2:D$38^A11248)</f>
        <v>0.986852883</v>
      </c>
    </row>
    <row r="11249">
      <c r="A11249" s="6">
        <v>11247.0</v>
      </c>
      <c r="B11249" s="17">
        <f t="array" ref="B11249">SUM(1-'Sparkling Model'!D$2:D$38^A11249)</f>
        <v>36.98679812</v>
      </c>
      <c r="C11249" s="8">
        <f t="array" ref="C11249">PRODUCT(1-'Sparkling Model'!D$2:D$38^A11249)</f>
        <v>0.9868594072</v>
      </c>
    </row>
    <row r="11250">
      <c r="A11250" s="6">
        <v>11248.0</v>
      </c>
      <c r="B11250" s="17">
        <f t="array" ref="B11250">SUM(1-'Sparkling Model'!D$2:D$38^A11250)</f>
        <v>36.9868047</v>
      </c>
      <c r="C11250" s="8">
        <f t="array" ref="C11250">PRODUCT(1-'Sparkling Model'!D$2:D$38^A11250)</f>
        <v>0.9868659282</v>
      </c>
    </row>
    <row r="11251">
      <c r="A11251" s="6">
        <v>11249.0</v>
      </c>
      <c r="B11251" s="17">
        <f t="array" ref="B11251">SUM(1-'Sparkling Model'!D$2:D$38^A11251)</f>
        <v>36.98681128</v>
      </c>
      <c r="C11251" s="8">
        <f t="array" ref="C11251">PRODUCT(1-'Sparkling Model'!D$2:D$38^A11251)</f>
        <v>0.9868724459</v>
      </c>
    </row>
    <row r="11252">
      <c r="A11252" s="6">
        <v>11250.0</v>
      </c>
      <c r="B11252" s="17">
        <f t="array" ref="B11252">SUM(1-'Sparkling Model'!D$2:D$38^A11252)</f>
        <v>36.98681785</v>
      </c>
      <c r="C11252" s="8">
        <f t="array" ref="C11252">PRODUCT(1-'Sparkling Model'!D$2:D$38^A11252)</f>
        <v>0.9868789603</v>
      </c>
    </row>
    <row r="11253">
      <c r="A11253" s="6">
        <v>11251.0</v>
      </c>
      <c r="B11253" s="17">
        <f t="array" ref="B11253">SUM(1-'Sparkling Model'!D$2:D$38^A11253)</f>
        <v>36.98682443</v>
      </c>
      <c r="C11253" s="8">
        <f t="array" ref="C11253">PRODUCT(1-'Sparkling Model'!D$2:D$38^A11253)</f>
        <v>0.9868854716</v>
      </c>
    </row>
    <row r="11254">
      <c r="A11254" s="6">
        <v>11252.0</v>
      </c>
      <c r="B11254" s="17">
        <f t="array" ref="B11254">SUM(1-'Sparkling Model'!D$2:D$38^A11254)</f>
        <v>36.98683099</v>
      </c>
      <c r="C11254" s="8">
        <f t="array" ref="C11254">PRODUCT(1-'Sparkling Model'!D$2:D$38^A11254)</f>
        <v>0.9868919796</v>
      </c>
    </row>
    <row r="11255">
      <c r="A11255" s="6">
        <v>11253.0</v>
      </c>
      <c r="B11255" s="17">
        <f t="array" ref="B11255">SUM(1-'Sparkling Model'!D$2:D$38^A11255)</f>
        <v>36.98683756</v>
      </c>
      <c r="C11255" s="8">
        <f t="array" ref="C11255">PRODUCT(1-'Sparkling Model'!D$2:D$38^A11255)</f>
        <v>0.9868984843</v>
      </c>
    </row>
    <row r="11256">
      <c r="A11256" s="6">
        <v>11254.0</v>
      </c>
      <c r="B11256" s="17">
        <f t="array" ref="B11256">SUM(1-'Sparkling Model'!D$2:D$38^A11256)</f>
        <v>36.98684412</v>
      </c>
      <c r="C11256" s="8">
        <f t="array" ref="C11256">PRODUCT(1-'Sparkling Model'!D$2:D$38^A11256)</f>
        <v>0.9869049858</v>
      </c>
    </row>
    <row r="11257">
      <c r="A11257" s="6">
        <v>11255.0</v>
      </c>
      <c r="B11257" s="17">
        <f t="array" ref="B11257">SUM(1-'Sparkling Model'!D$2:D$38^A11257)</f>
        <v>36.98685068</v>
      </c>
      <c r="C11257" s="8">
        <f t="array" ref="C11257">PRODUCT(1-'Sparkling Model'!D$2:D$38^A11257)</f>
        <v>0.9869114841</v>
      </c>
    </row>
    <row r="11258">
      <c r="A11258" s="6">
        <v>11256.0</v>
      </c>
      <c r="B11258" s="17">
        <f t="array" ref="B11258">SUM(1-'Sparkling Model'!D$2:D$38^A11258)</f>
        <v>36.98685724</v>
      </c>
      <c r="C11258" s="8">
        <f t="array" ref="C11258">PRODUCT(1-'Sparkling Model'!D$2:D$38^A11258)</f>
        <v>0.9869179792</v>
      </c>
    </row>
    <row r="11259">
      <c r="A11259" s="6">
        <v>11257.0</v>
      </c>
      <c r="B11259" s="17">
        <f t="array" ref="B11259">SUM(1-'Sparkling Model'!D$2:D$38^A11259)</f>
        <v>36.98686379</v>
      </c>
      <c r="C11259" s="8">
        <f t="array" ref="C11259">PRODUCT(1-'Sparkling Model'!D$2:D$38^A11259)</f>
        <v>0.986924471</v>
      </c>
    </row>
    <row r="11260">
      <c r="A11260" s="6">
        <v>11258.0</v>
      </c>
      <c r="B11260" s="17">
        <f t="array" ref="B11260">SUM(1-'Sparkling Model'!D$2:D$38^A11260)</f>
        <v>36.98687034</v>
      </c>
      <c r="C11260" s="8">
        <f t="array" ref="C11260">PRODUCT(1-'Sparkling Model'!D$2:D$38^A11260)</f>
        <v>0.9869309596</v>
      </c>
    </row>
    <row r="11261">
      <c r="A11261" s="6">
        <v>11259.0</v>
      </c>
      <c r="B11261" s="17">
        <f t="array" ref="B11261">SUM(1-'Sparkling Model'!D$2:D$38^A11261)</f>
        <v>36.98687689</v>
      </c>
      <c r="C11261" s="8">
        <f t="array" ref="C11261">PRODUCT(1-'Sparkling Model'!D$2:D$38^A11261)</f>
        <v>0.9869374449</v>
      </c>
    </row>
    <row r="11262">
      <c r="A11262" s="6">
        <v>11260.0</v>
      </c>
      <c r="B11262" s="17">
        <f t="array" ref="B11262">SUM(1-'Sparkling Model'!D$2:D$38^A11262)</f>
        <v>36.98688343</v>
      </c>
      <c r="C11262" s="8">
        <f t="array" ref="C11262">PRODUCT(1-'Sparkling Model'!D$2:D$38^A11262)</f>
        <v>0.986943927</v>
      </c>
    </row>
    <row r="11263">
      <c r="A11263" s="6">
        <v>11261.0</v>
      </c>
      <c r="B11263" s="17">
        <f t="array" ref="B11263">SUM(1-'Sparkling Model'!D$2:D$38^A11263)</f>
        <v>36.98688997</v>
      </c>
      <c r="C11263" s="8">
        <f t="array" ref="C11263">PRODUCT(1-'Sparkling Model'!D$2:D$38^A11263)</f>
        <v>0.9869504059</v>
      </c>
    </row>
    <row r="11264">
      <c r="A11264" s="6">
        <v>11262.0</v>
      </c>
      <c r="B11264" s="17">
        <f t="array" ref="B11264">SUM(1-'Sparkling Model'!D$2:D$38^A11264)</f>
        <v>36.98689651</v>
      </c>
      <c r="C11264" s="8">
        <f t="array" ref="C11264">PRODUCT(1-'Sparkling Model'!D$2:D$38^A11264)</f>
        <v>0.9869568816</v>
      </c>
    </row>
    <row r="11265">
      <c r="A11265" s="6">
        <v>11263.0</v>
      </c>
      <c r="B11265" s="17">
        <f t="array" ref="B11265">SUM(1-'Sparkling Model'!D$2:D$38^A11265)</f>
        <v>36.98690304</v>
      </c>
      <c r="C11265" s="8">
        <f t="array" ref="C11265">PRODUCT(1-'Sparkling Model'!D$2:D$38^A11265)</f>
        <v>0.9869633541</v>
      </c>
    </row>
    <row r="11266">
      <c r="A11266" s="6">
        <v>11264.0</v>
      </c>
      <c r="B11266" s="17">
        <f t="array" ref="B11266">SUM(1-'Sparkling Model'!D$2:D$38^A11266)</f>
        <v>36.98690957</v>
      </c>
      <c r="C11266" s="8">
        <f t="array" ref="C11266">PRODUCT(1-'Sparkling Model'!D$2:D$38^A11266)</f>
        <v>0.9869698233</v>
      </c>
    </row>
    <row r="11267">
      <c r="A11267" s="6">
        <v>11265.0</v>
      </c>
      <c r="B11267" s="17">
        <f t="array" ref="B11267">SUM(1-'Sparkling Model'!D$2:D$38^A11267)</f>
        <v>36.98691609</v>
      </c>
      <c r="C11267" s="8">
        <f t="array" ref="C11267">PRODUCT(1-'Sparkling Model'!D$2:D$38^A11267)</f>
        <v>0.9869762893</v>
      </c>
    </row>
    <row r="11268">
      <c r="A11268" s="6">
        <v>11266.0</v>
      </c>
      <c r="B11268" s="17">
        <f t="array" ref="B11268">SUM(1-'Sparkling Model'!D$2:D$38^A11268)</f>
        <v>36.98692262</v>
      </c>
      <c r="C11268" s="8">
        <f t="array" ref="C11268">PRODUCT(1-'Sparkling Model'!D$2:D$38^A11268)</f>
        <v>0.9869827521</v>
      </c>
    </row>
    <row r="11269">
      <c r="A11269" s="6">
        <v>11267.0</v>
      </c>
      <c r="B11269" s="17">
        <f t="array" ref="B11269">SUM(1-'Sparkling Model'!D$2:D$38^A11269)</f>
        <v>36.98692914</v>
      </c>
      <c r="C11269" s="8">
        <f t="array" ref="C11269">PRODUCT(1-'Sparkling Model'!D$2:D$38^A11269)</f>
        <v>0.9869892117</v>
      </c>
    </row>
    <row r="11270">
      <c r="A11270" s="6">
        <v>11268.0</v>
      </c>
      <c r="B11270" s="17">
        <f t="array" ref="B11270">SUM(1-'Sparkling Model'!D$2:D$38^A11270)</f>
        <v>36.98693565</v>
      </c>
      <c r="C11270" s="8">
        <f t="array" ref="C11270">PRODUCT(1-'Sparkling Model'!D$2:D$38^A11270)</f>
        <v>0.986995668</v>
      </c>
    </row>
    <row r="11271">
      <c r="A11271" s="6">
        <v>11269.0</v>
      </c>
      <c r="B11271" s="17">
        <f t="array" ref="B11271">SUM(1-'Sparkling Model'!D$2:D$38^A11271)</f>
        <v>36.98694217</v>
      </c>
      <c r="C11271" s="8">
        <f t="array" ref="C11271">PRODUCT(1-'Sparkling Model'!D$2:D$38^A11271)</f>
        <v>0.9870021212</v>
      </c>
    </row>
    <row r="11272">
      <c r="A11272" s="6">
        <v>11270.0</v>
      </c>
      <c r="B11272" s="17">
        <f t="array" ref="B11272">SUM(1-'Sparkling Model'!D$2:D$38^A11272)</f>
        <v>36.98694868</v>
      </c>
      <c r="C11272" s="8">
        <f t="array" ref="C11272">PRODUCT(1-'Sparkling Model'!D$2:D$38^A11272)</f>
        <v>0.9870085711</v>
      </c>
    </row>
    <row r="11273">
      <c r="A11273" s="6">
        <v>11271.0</v>
      </c>
      <c r="B11273" s="17">
        <f t="array" ref="B11273">SUM(1-'Sparkling Model'!D$2:D$38^A11273)</f>
        <v>36.98695518</v>
      </c>
      <c r="C11273" s="8">
        <f t="array" ref="C11273">PRODUCT(1-'Sparkling Model'!D$2:D$38^A11273)</f>
        <v>0.9870150178</v>
      </c>
    </row>
    <row r="11274">
      <c r="A11274" s="6">
        <v>11272.0</v>
      </c>
      <c r="B11274" s="17">
        <f t="array" ref="B11274">SUM(1-'Sparkling Model'!D$2:D$38^A11274)</f>
        <v>36.98696169</v>
      </c>
      <c r="C11274" s="8">
        <f t="array" ref="C11274">PRODUCT(1-'Sparkling Model'!D$2:D$38^A11274)</f>
        <v>0.9870214614</v>
      </c>
    </row>
    <row r="11275">
      <c r="A11275" s="6">
        <v>11273.0</v>
      </c>
      <c r="B11275" s="17">
        <f t="array" ref="B11275">SUM(1-'Sparkling Model'!D$2:D$38^A11275)</f>
        <v>36.98696819</v>
      </c>
      <c r="C11275" s="8">
        <f t="array" ref="C11275">PRODUCT(1-'Sparkling Model'!D$2:D$38^A11275)</f>
        <v>0.9870279017</v>
      </c>
    </row>
    <row r="11276">
      <c r="A11276" s="6">
        <v>11274.0</v>
      </c>
      <c r="B11276" s="17">
        <f t="array" ref="B11276">SUM(1-'Sparkling Model'!D$2:D$38^A11276)</f>
        <v>36.98697469</v>
      </c>
      <c r="C11276" s="8">
        <f t="array" ref="C11276">PRODUCT(1-'Sparkling Model'!D$2:D$38^A11276)</f>
        <v>0.9870343388</v>
      </c>
    </row>
    <row r="11277">
      <c r="A11277" s="6">
        <v>11275.0</v>
      </c>
      <c r="B11277" s="17">
        <f t="array" ref="B11277">SUM(1-'Sparkling Model'!D$2:D$38^A11277)</f>
        <v>36.98698118</v>
      </c>
      <c r="C11277" s="8">
        <f t="array" ref="C11277">PRODUCT(1-'Sparkling Model'!D$2:D$38^A11277)</f>
        <v>0.9870407727</v>
      </c>
    </row>
    <row r="11278">
      <c r="A11278" s="6">
        <v>11276.0</v>
      </c>
      <c r="B11278" s="17">
        <f t="array" ref="B11278">SUM(1-'Sparkling Model'!D$2:D$38^A11278)</f>
        <v>36.98698767</v>
      </c>
      <c r="C11278" s="8">
        <f t="array" ref="C11278">PRODUCT(1-'Sparkling Model'!D$2:D$38^A11278)</f>
        <v>0.9870472034</v>
      </c>
    </row>
    <row r="11279">
      <c r="A11279" s="6">
        <v>11277.0</v>
      </c>
      <c r="B11279" s="17">
        <f t="array" ref="B11279">SUM(1-'Sparkling Model'!D$2:D$38^A11279)</f>
        <v>36.98699416</v>
      </c>
      <c r="C11279" s="8">
        <f t="array" ref="C11279">PRODUCT(1-'Sparkling Model'!D$2:D$38^A11279)</f>
        <v>0.9870536309</v>
      </c>
    </row>
    <row r="11280">
      <c r="A11280" s="6">
        <v>11278.0</v>
      </c>
      <c r="B11280" s="17">
        <f t="array" ref="B11280">SUM(1-'Sparkling Model'!D$2:D$38^A11280)</f>
        <v>36.98700064</v>
      </c>
      <c r="C11280" s="8">
        <f t="array" ref="C11280">PRODUCT(1-'Sparkling Model'!D$2:D$38^A11280)</f>
        <v>0.9870600552</v>
      </c>
    </row>
    <row r="11281">
      <c r="A11281" s="6">
        <v>11279.0</v>
      </c>
      <c r="B11281" s="17">
        <f t="array" ref="B11281">SUM(1-'Sparkling Model'!D$2:D$38^A11281)</f>
        <v>36.98700712</v>
      </c>
      <c r="C11281" s="8">
        <f t="array" ref="C11281">PRODUCT(1-'Sparkling Model'!D$2:D$38^A11281)</f>
        <v>0.9870664763</v>
      </c>
    </row>
    <row r="11282">
      <c r="A11282" s="6">
        <v>11280.0</v>
      </c>
      <c r="B11282" s="17">
        <f t="array" ref="B11282">SUM(1-'Sparkling Model'!D$2:D$38^A11282)</f>
        <v>36.9870136</v>
      </c>
      <c r="C11282" s="8">
        <f t="array" ref="C11282">PRODUCT(1-'Sparkling Model'!D$2:D$38^A11282)</f>
        <v>0.9870728942</v>
      </c>
    </row>
    <row r="11283">
      <c r="A11283" s="6">
        <v>11281.0</v>
      </c>
      <c r="B11283" s="17">
        <f t="array" ref="B11283">SUM(1-'Sparkling Model'!D$2:D$38^A11283)</f>
        <v>36.98702007</v>
      </c>
      <c r="C11283" s="8">
        <f t="array" ref="C11283">PRODUCT(1-'Sparkling Model'!D$2:D$38^A11283)</f>
        <v>0.9870793089</v>
      </c>
    </row>
    <row r="11284">
      <c r="A11284" s="6">
        <v>11282.0</v>
      </c>
      <c r="B11284" s="17">
        <f t="array" ref="B11284">SUM(1-'Sparkling Model'!D$2:D$38^A11284)</f>
        <v>36.98702654</v>
      </c>
      <c r="C11284" s="8">
        <f t="array" ref="C11284">PRODUCT(1-'Sparkling Model'!D$2:D$38^A11284)</f>
        <v>0.9870857205</v>
      </c>
    </row>
    <row r="11285">
      <c r="A11285" s="6">
        <v>11283.0</v>
      </c>
      <c r="B11285" s="17">
        <f t="array" ref="B11285">SUM(1-'Sparkling Model'!D$2:D$38^A11285)</f>
        <v>36.98703301</v>
      </c>
      <c r="C11285" s="8">
        <f t="array" ref="C11285">PRODUCT(1-'Sparkling Model'!D$2:D$38^A11285)</f>
        <v>0.9870921288</v>
      </c>
    </row>
    <row r="11286">
      <c r="A11286" s="6">
        <v>11284.0</v>
      </c>
      <c r="B11286" s="17">
        <f t="array" ref="B11286">SUM(1-'Sparkling Model'!D$2:D$38^A11286)</f>
        <v>36.98703948</v>
      </c>
      <c r="C11286" s="8">
        <f t="array" ref="C11286">PRODUCT(1-'Sparkling Model'!D$2:D$38^A11286)</f>
        <v>0.9870985339</v>
      </c>
    </row>
    <row r="11287">
      <c r="A11287" s="6">
        <v>11285.0</v>
      </c>
      <c r="B11287" s="17">
        <f t="array" ref="B11287">SUM(1-'Sparkling Model'!D$2:D$38^A11287)</f>
        <v>36.98704594</v>
      </c>
      <c r="C11287" s="8">
        <f t="array" ref="C11287">PRODUCT(1-'Sparkling Model'!D$2:D$38^A11287)</f>
        <v>0.9871049359</v>
      </c>
    </row>
    <row r="11288">
      <c r="A11288" s="6">
        <v>11286.0</v>
      </c>
      <c r="B11288" s="17">
        <f t="array" ref="B11288">SUM(1-'Sparkling Model'!D$2:D$38^A11288)</f>
        <v>36.9870524</v>
      </c>
      <c r="C11288" s="8">
        <f t="array" ref="C11288">PRODUCT(1-'Sparkling Model'!D$2:D$38^A11288)</f>
        <v>0.9871113347</v>
      </c>
    </row>
    <row r="11289">
      <c r="A11289" s="6">
        <v>11287.0</v>
      </c>
      <c r="B11289" s="17">
        <f t="array" ref="B11289">SUM(1-'Sparkling Model'!D$2:D$38^A11289)</f>
        <v>36.98705885</v>
      </c>
      <c r="C11289" s="8">
        <f t="array" ref="C11289">PRODUCT(1-'Sparkling Model'!D$2:D$38^A11289)</f>
        <v>0.9871177302</v>
      </c>
    </row>
    <row r="11290">
      <c r="A11290" s="6">
        <v>11288.0</v>
      </c>
      <c r="B11290" s="17">
        <f t="array" ref="B11290">SUM(1-'Sparkling Model'!D$2:D$38^A11290)</f>
        <v>36.9870653</v>
      </c>
      <c r="C11290" s="8">
        <f t="array" ref="C11290">PRODUCT(1-'Sparkling Model'!D$2:D$38^A11290)</f>
        <v>0.9871241226</v>
      </c>
    </row>
    <row r="11291">
      <c r="A11291" s="6">
        <v>11289.0</v>
      </c>
      <c r="B11291" s="17">
        <f t="array" ref="B11291">SUM(1-'Sparkling Model'!D$2:D$38^A11291)</f>
        <v>36.98707175</v>
      </c>
      <c r="C11291" s="8">
        <f t="array" ref="C11291">PRODUCT(1-'Sparkling Model'!D$2:D$38^A11291)</f>
        <v>0.9871305119</v>
      </c>
    </row>
    <row r="11292">
      <c r="A11292" s="6">
        <v>11290.0</v>
      </c>
      <c r="B11292" s="17">
        <f t="array" ref="B11292">SUM(1-'Sparkling Model'!D$2:D$38^A11292)</f>
        <v>36.98707819</v>
      </c>
      <c r="C11292" s="8">
        <f t="array" ref="C11292">PRODUCT(1-'Sparkling Model'!D$2:D$38^A11292)</f>
        <v>0.9871368979</v>
      </c>
    </row>
    <row r="11293">
      <c r="A11293" s="6">
        <v>11291.0</v>
      </c>
      <c r="B11293" s="17">
        <f t="array" ref="B11293">SUM(1-'Sparkling Model'!D$2:D$38^A11293)</f>
        <v>36.98708464</v>
      </c>
      <c r="C11293" s="8">
        <f t="array" ref="C11293">PRODUCT(1-'Sparkling Model'!D$2:D$38^A11293)</f>
        <v>0.9871432808</v>
      </c>
    </row>
    <row r="11294">
      <c r="A11294" s="6">
        <v>11292.0</v>
      </c>
      <c r="B11294" s="17">
        <f t="array" ref="B11294">SUM(1-'Sparkling Model'!D$2:D$38^A11294)</f>
        <v>36.98709107</v>
      </c>
      <c r="C11294" s="8">
        <f t="array" ref="C11294">PRODUCT(1-'Sparkling Model'!D$2:D$38^A11294)</f>
        <v>0.9871496605</v>
      </c>
    </row>
    <row r="11295">
      <c r="A11295" s="6">
        <v>11293.0</v>
      </c>
      <c r="B11295" s="17">
        <f t="array" ref="B11295">SUM(1-'Sparkling Model'!D$2:D$38^A11295)</f>
        <v>36.98709751</v>
      </c>
      <c r="C11295" s="8">
        <f t="array" ref="C11295">PRODUCT(1-'Sparkling Model'!D$2:D$38^A11295)</f>
        <v>0.987156037</v>
      </c>
    </row>
    <row r="11296">
      <c r="A11296" s="6">
        <v>11294.0</v>
      </c>
      <c r="B11296" s="17">
        <f t="array" ref="B11296">SUM(1-'Sparkling Model'!D$2:D$38^A11296)</f>
        <v>36.98710394</v>
      </c>
      <c r="C11296" s="8">
        <f t="array" ref="C11296">PRODUCT(1-'Sparkling Model'!D$2:D$38^A11296)</f>
        <v>0.9871624103</v>
      </c>
    </row>
    <row r="11297">
      <c r="A11297" s="6">
        <v>11295.0</v>
      </c>
      <c r="B11297" s="17">
        <f t="array" ref="B11297">SUM(1-'Sparkling Model'!D$2:D$38^A11297)</f>
        <v>36.98711037</v>
      </c>
      <c r="C11297" s="8">
        <f t="array" ref="C11297">PRODUCT(1-'Sparkling Model'!D$2:D$38^A11297)</f>
        <v>0.9871687805</v>
      </c>
    </row>
    <row r="11298">
      <c r="A11298" s="6">
        <v>11296.0</v>
      </c>
      <c r="B11298" s="17">
        <f t="array" ref="B11298">SUM(1-'Sparkling Model'!D$2:D$38^A11298)</f>
        <v>36.9871168</v>
      </c>
      <c r="C11298" s="8">
        <f t="array" ref="C11298">PRODUCT(1-'Sparkling Model'!D$2:D$38^A11298)</f>
        <v>0.9871751475</v>
      </c>
    </row>
    <row r="11299">
      <c r="A11299" s="6">
        <v>11297.0</v>
      </c>
      <c r="B11299" s="17">
        <f t="array" ref="B11299">SUM(1-'Sparkling Model'!D$2:D$38^A11299)</f>
        <v>36.98712322</v>
      </c>
      <c r="C11299" s="8">
        <f t="array" ref="C11299">PRODUCT(1-'Sparkling Model'!D$2:D$38^A11299)</f>
        <v>0.9871815113</v>
      </c>
    </row>
    <row r="11300">
      <c r="A11300" s="6">
        <v>11298.0</v>
      </c>
      <c r="B11300" s="17">
        <f t="array" ref="B11300">SUM(1-'Sparkling Model'!D$2:D$38^A11300)</f>
        <v>36.98712964</v>
      </c>
      <c r="C11300" s="8">
        <f t="array" ref="C11300">PRODUCT(1-'Sparkling Model'!D$2:D$38^A11300)</f>
        <v>0.987187872</v>
      </c>
    </row>
    <row r="11301">
      <c r="A11301" s="6">
        <v>11299.0</v>
      </c>
      <c r="B11301" s="17">
        <f t="array" ref="B11301">SUM(1-'Sparkling Model'!D$2:D$38^A11301)</f>
        <v>36.98713605</v>
      </c>
      <c r="C11301" s="8">
        <f t="array" ref="C11301">PRODUCT(1-'Sparkling Model'!D$2:D$38^A11301)</f>
        <v>0.9871942295</v>
      </c>
    </row>
    <row r="11302">
      <c r="A11302" s="6">
        <v>11300.0</v>
      </c>
      <c r="B11302" s="17">
        <f t="array" ref="B11302">SUM(1-'Sparkling Model'!D$2:D$38^A11302)</f>
        <v>36.98714247</v>
      </c>
      <c r="C11302" s="8">
        <f t="array" ref="C11302">PRODUCT(1-'Sparkling Model'!D$2:D$38^A11302)</f>
        <v>0.9872005838</v>
      </c>
    </row>
    <row r="11303">
      <c r="A11303" s="6">
        <v>11301.0</v>
      </c>
      <c r="B11303" s="17">
        <f t="array" ref="B11303">SUM(1-'Sparkling Model'!D$2:D$38^A11303)</f>
        <v>36.98714888</v>
      </c>
      <c r="C11303" s="8">
        <f t="array" ref="C11303">PRODUCT(1-'Sparkling Model'!D$2:D$38^A11303)</f>
        <v>0.987206935</v>
      </c>
    </row>
    <row r="11304">
      <c r="A11304" s="6">
        <v>11302.0</v>
      </c>
      <c r="B11304" s="17">
        <f t="array" ref="B11304">SUM(1-'Sparkling Model'!D$2:D$38^A11304)</f>
        <v>36.98715528</v>
      </c>
      <c r="C11304" s="8">
        <f t="array" ref="C11304">PRODUCT(1-'Sparkling Model'!D$2:D$38^A11304)</f>
        <v>0.987213283</v>
      </c>
    </row>
    <row r="11305">
      <c r="A11305" s="6">
        <v>11303.0</v>
      </c>
      <c r="B11305" s="17">
        <f t="array" ref="B11305">SUM(1-'Sparkling Model'!D$2:D$38^A11305)</f>
        <v>36.98716169</v>
      </c>
      <c r="C11305" s="8">
        <f t="array" ref="C11305">PRODUCT(1-'Sparkling Model'!D$2:D$38^A11305)</f>
        <v>0.9872196278</v>
      </c>
    </row>
    <row r="11306">
      <c r="A11306" s="6">
        <v>11304.0</v>
      </c>
      <c r="B11306" s="17">
        <f t="array" ref="B11306">SUM(1-'Sparkling Model'!D$2:D$38^A11306)</f>
        <v>36.98716809</v>
      </c>
      <c r="C11306" s="8">
        <f t="array" ref="C11306">PRODUCT(1-'Sparkling Model'!D$2:D$38^A11306)</f>
        <v>0.9872259695</v>
      </c>
    </row>
    <row r="11307">
      <c r="A11307" s="6">
        <v>11305.0</v>
      </c>
      <c r="B11307" s="17">
        <f t="array" ref="B11307">SUM(1-'Sparkling Model'!D$2:D$38^A11307)</f>
        <v>36.98717448</v>
      </c>
      <c r="C11307" s="8">
        <f t="array" ref="C11307">PRODUCT(1-'Sparkling Model'!D$2:D$38^A11307)</f>
        <v>0.9872323081</v>
      </c>
    </row>
    <row r="11308">
      <c r="A11308" s="6">
        <v>11306.0</v>
      </c>
      <c r="B11308" s="17">
        <f t="array" ref="B11308">SUM(1-'Sparkling Model'!D$2:D$38^A11308)</f>
        <v>36.98718088</v>
      </c>
      <c r="C11308" s="8">
        <f t="array" ref="C11308">PRODUCT(1-'Sparkling Model'!D$2:D$38^A11308)</f>
        <v>0.9872386435</v>
      </c>
    </row>
    <row r="11309">
      <c r="A11309" s="6">
        <v>11307.0</v>
      </c>
      <c r="B11309" s="17">
        <f t="array" ref="B11309">SUM(1-'Sparkling Model'!D$2:D$38^A11309)</f>
        <v>36.98718727</v>
      </c>
      <c r="C11309" s="8">
        <f t="array" ref="C11309">PRODUCT(1-'Sparkling Model'!D$2:D$38^A11309)</f>
        <v>0.9872449757</v>
      </c>
    </row>
    <row r="11310">
      <c r="A11310" s="6">
        <v>11308.0</v>
      </c>
      <c r="B11310" s="17">
        <f t="array" ref="B11310">SUM(1-'Sparkling Model'!D$2:D$38^A11310)</f>
        <v>36.98719365</v>
      </c>
      <c r="C11310" s="8">
        <f t="array" ref="C11310">PRODUCT(1-'Sparkling Model'!D$2:D$38^A11310)</f>
        <v>0.9872513048</v>
      </c>
    </row>
    <row r="11311">
      <c r="A11311" s="6">
        <v>11309.0</v>
      </c>
      <c r="B11311" s="17">
        <f t="array" ref="B11311">SUM(1-'Sparkling Model'!D$2:D$38^A11311)</f>
        <v>36.98720004</v>
      </c>
      <c r="C11311" s="8">
        <f t="array" ref="C11311">PRODUCT(1-'Sparkling Model'!D$2:D$38^A11311)</f>
        <v>0.9872576307</v>
      </c>
    </row>
    <row r="11312">
      <c r="A11312" s="6">
        <v>11310.0</v>
      </c>
      <c r="B11312" s="17">
        <f t="array" ref="B11312">SUM(1-'Sparkling Model'!D$2:D$38^A11312)</f>
        <v>36.98720642</v>
      </c>
      <c r="C11312" s="8">
        <f t="array" ref="C11312">PRODUCT(1-'Sparkling Model'!D$2:D$38^A11312)</f>
        <v>0.9872639535</v>
      </c>
    </row>
    <row r="11313">
      <c r="A11313" s="6">
        <v>11311.0</v>
      </c>
      <c r="B11313" s="17">
        <f t="array" ref="B11313">SUM(1-'Sparkling Model'!D$2:D$38^A11313)</f>
        <v>36.98721279</v>
      </c>
      <c r="C11313" s="8">
        <f t="array" ref="C11313">PRODUCT(1-'Sparkling Model'!D$2:D$38^A11313)</f>
        <v>0.9872702731</v>
      </c>
    </row>
    <row r="11314">
      <c r="A11314" s="6">
        <v>11312.0</v>
      </c>
      <c r="B11314" s="17">
        <f t="array" ref="B11314">SUM(1-'Sparkling Model'!D$2:D$38^A11314)</f>
        <v>36.98721917</v>
      </c>
      <c r="C11314" s="8">
        <f t="array" ref="C11314">PRODUCT(1-'Sparkling Model'!D$2:D$38^A11314)</f>
        <v>0.9872765896</v>
      </c>
    </row>
    <row r="11315">
      <c r="A11315" s="6">
        <v>11313.0</v>
      </c>
      <c r="B11315" s="17">
        <f t="array" ref="B11315">SUM(1-'Sparkling Model'!D$2:D$38^A11315)</f>
        <v>36.98722554</v>
      </c>
      <c r="C11315" s="8">
        <f t="array" ref="C11315">PRODUCT(1-'Sparkling Model'!D$2:D$38^A11315)</f>
        <v>0.987282903</v>
      </c>
    </row>
    <row r="11316">
      <c r="A11316" s="6">
        <v>11314.0</v>
      </c>
      <c r="B11316" s="17">
        <f t="array" ref="B11316">SUM(1-'Sparkling Model'!D$2:D$38^A11316)</f>
        <v>36.98723191</v>
      </c>
      <c r="C11316" s="8">
        <f t="array" ref="C11316">PRODUCT(1-'Sparkling Model'!D$2:D$38^A11316)</f>
        <v>0.9872892132</v>
      </c>
    </row>
    <row r="11317">
      <c r="A11317" s="6">
        <v>11315.0</v>
      </c>
      <c r="B11317" s="17">
        <f t="array" ref="B11317">SUM(1-'Sparkling Model'!D$2:D$38^A11317)</f>
        <v>36.98723827</v>
      </c>
      <c r="C11317" s="8">
        <f t="array" ref="C11317">PRODUCT(1-'Sparkling Model'!D$2:D$38^A11317)</f>
        <v>0.9872955202</v>
      </c>
    </row>
    <row r="11318">
      <c r="A11318" s="6">
        <v>11316.0</v>
      </c>
      <c r="B11318" s="17">
        <f t="array" ref="B11318">SUM(1-'Sparkling Model'!D$2:D$38^A11318)</f>
        <v>36.98724463</v>
      </c>
      <c r="C11318" s="8">
        <f t="array" ref="C11318">PRODUCT(1-'Sparkling Model'!D$2:D$38^A11318)</f>
        <v>0.9873018242</v>
      </c>
    </row>
    <row r="11319">
      <c r="A11319" s="6">
        <v>11317.0</v>
      </c>
      <c r="B11319" s="17">
        <f t="array" ref="B11319">SUM(1-'Sparkling Model'!D$2:D$38^A11319)</f>
        <v>36.98725099</v>
      </c>
      <c r="C11319" s="8">
        <f t="array" ref="C11319">PRODUCT(1-'Sparkling Model'!D$2:D$38^A11319)</f>
        <v>0.987308125</v>
      </c>
    </row>
    <row r="11320">
      <c r="A11320" s="6">
        <v>11318.0</v>
      </c>
      <c r="B11320" s="17">
        <f t="array" ref="B11320">SUM(1-'Sparkling Model'!D$2:D$38^A11320)</f>
        <v>36.98725735</v>
      </c>
      <c r="C11320" s="8">
        <f t="array" ref="C11320">PRODUCT(1-'Sparkling Model'!D$2:D$38^A11320)</f>
        <v>0.9873144226</v>
      </c>
    </row>
    <row r="11321">
      <c r="A11321" s="6">
        <v>11319.0</v>
      </c>
      <c r="B11321" s="17">
        <f t="array" ref="B11321">SUM(1-'Sparkling Model'!D$2:D$38^A11321)</f>
        <v>36.9872637</v>
      </c>
      <c r="C11321" s="8">
        <f t="array" ref="C11321">PRODUCT(1-'Sparkling Model'!D$2:D$38^A11321)</f>
        <v>0.9873207171</v>
      </c>
    </row>
    <row r="11322">
      <c r="A11322" s="6">
        <v>11320.0</v>
      </c>
      <c r="B11322" s="17">
        <f t="array" ref="B11322">SUM(1-'Sparkling Model'!D$2:D$38^A11322)</f>
        <v>36.98727005</v>
      </c>
      <c r="C11322" s="8">
        <f t="array" ref="C11322">PRODUCT(1-'Sparkling Model'!D$2:D$38^A11322)</f>
        <v>0.9873270085</v>
      </c>
    </row>
    <row r="11323">
      <c r="A11323" s="6">
        <v>11321.0</v>
      </c>
      <c r="B11323" s="17">
        <f t="array" ref="B11323">SUM(1-'Sparkling Model'!D$2:D$38^A11323)</f>
        <v>36.98727639</v>
      </c>
      <c r="C11323" s="8">
        <f t="array" ref="C11323">PRODUCT(1-'Sparkling Model'!D$2:D$38^A11323)</f>
        <v>0.9873332968</v>
      </c>
    </row>
    <row r="11324">
      <c r="A11324" s="6">
        <v>11322.0</v>
      </c>
      <c r="B11324" s="17">
        <f t="array" ref="B11324">SUM(1-'Sparkling Model'!D$2:D$38^A11324)</f>
        <v>36.98728273</v>
      </c>
      <c r="C11324" s="8">
        <f t="array" ref="C11324">PRODUCT(1-'Sparkling Model'!D$2:D$38^A11324)</f>
        <v>0.9873395819</v>
      </c>
    </row>
    <row r="11325">
      <c r="A11325" s="6">
        <v>11323.0</v>
      </c>
      <c r="B11325" s="17">
        <f t="array" ref="B11325">SUM(1-'Sparkling Model'!D$2:D$38^A11325)</f>
        <v>36.98728907</v>
      </c>
      <c r="C11325" s="8">
        <f t="array" ref="C11325">PRODUCT(1-'Sparkling Model'!D$2:D$38^A11325)</f>
        <v>0.9873458639</v>
      </c>
    </row>
    <row r="11326">
      <c r="A11326" s="6">
        <v>11324.0</v>
      </c>
      <c r="B11326" s="17">
        <f t="array" ref="B11326">SUM(1-'Sparkling Model'!D$2:D$38^A11326)</f>
        <v>36.98729541</v>
      </c>
      <c r="C11326" s="8">
        <f t="array" ref="C11326">PRODUCT(1-'Sparkling Model'!D$2:D$38^A11326)</f>
        <v>0.9873521428</v>
      </c>
    </row>
    <row r="11327">
      <c r="A11327" s="6">
        <v>11325.0</v>
      </c>
      <c r="B11327" s="17">
        <f t="array" ref="B11327">SUM(1-'Sparkling Model'!D$2:D$38^A11327)</f>
        <v>36.98730174</v>
      </c>
      <c r="C11327" s="8">
        <f t="array" ref="C11327">PRODUCT(1-'Sparkling Model'!D$2:D$38^A11327)</f>
        <v>0.9873584185</v>
      </c>
    </row>
    <row r="11328">
      <c r="A11328" s="6">
        <v>11326.0</v>
      </c>
      <c r="B11328" s="17">
        <f t="array" ref="B11328">SUM(1-'Sparkling Model'!D$2:D$38^A11328)</f>
        <v>36.98730807</v>
      </c>
      <c r="C11328" s="8">
        <f t="array" ref="C11328">PRODUCT(1-'Sparkling Model'!D$2:D$38^A11328)</f>
        <v>0.9873646912</v>
      </c>
    </row>
    <row r="11329">
      <c r="A11329" s="6">
        <v>11327.0</v>
      </c>
      <c r="B11329" s="17">
        <f t="array" ref="B11329">SUM(1-'Sparkling Model'!D$2:D$38^A11329)</f>
        <v>36.9873144</v>
      </c>
      <c r="C11329" s="8">
        <f t="array" ref="C11329">PRODUCT(1-'Sparkling Model'!D$2:D$38^A11329)</f>
        <v>0.9873709607</v>
      </c>
    </row>
    <row r="11330">
      <c r="A11330" s="6">
        <v>11328.0</v>
      </c>
      <c r="B11330" s="17">
        <f t="array" ref="B11330">SUM(1-'Sparkling Model'!D$2:D$38^A11330)</f>
        <v>36.98732072</v>
      </c>
      <c r="C11330" s="8">
        <f t="array" ref="C11330">PRODUCT(1-'Sparkling Model'!D$2:D$38^A11330)</f>
        <v>0.987377227</v>
      </c>
    </row>
    <row r="11331">
      <c r="A11331" s="6">
        <v>11329.0</v>
      </c>
      <c r="B11331" s="17">
        <f t="array" ref="B11331">SUM(1-'Sparkling Model'!D$2:D$38^A11331)</f>
        <v>36.98732704</v>
      </c>
      <c r="C11331" s="8">
        <f t="array" ref="C11331">PRODUCT(1-'Sparkling Model'!D$2:D$38^A11331)</f>
        <v>0.9873834903</v>
      </c>
    </row>
    <row r="11332">
      <c r="A11332" s="6">
        <v>11330.0</v>
      </c>
      <c r="B11332" s="17">
        <f t="array" ref="B11332">SUM(1-'Sparkling Model'!D$2:D$38^A11332)</f>
        <v>36.98733336</v>
      </c>
      <c r="C11332" s="8">
        <f t="array" ref="C11332">PRODUCT(1-'Sparkling Model'!D$2:D$38^A11332)</f>
        <v>0.9873897505</v>
      </c>
    </row>
    <row r="11333">
      <c r="A11333" s="6">
        <v>11331.0</v>
      </c>
      <c r="B11333" s="17">
        <f t="array" ref="B11333">SUM(1-'Sparkling Model'!D$2:D$38^A11333)</f>
        <v>36.98733967</v>
      </c>
      <c r="C11333" s="8">
        <f t="array" ref="C11333">PRODUCT(1-'Sparkling Model'!D$2:D$38^A11333)</f>
        <v>0.9873960075</v>
      </c>
    </row>
    <row r="11334">
      <c r="A11334" s="6">
        <v>11332.0</v>
      </c>
      <c r="B11334" s="17">
        <f t="array" ref="B11334">SUM(1-'Sparkling Model'!D$2:D$38^A11334)</f>
        <v>36.98734598</v>
      </c>
      <c r="C11334" s="8">
        <f t="array" ref="C11334">PRODUCT(1-'Sparkling Model'!D$2:D$38^A11334)</f>
        <v>0.9874022614</v>
      </c>
    </row>
    <row r="11335">
      <c r="A11335" s="6">
        <v>11333.0</v>
      </c>
      <c r="B11335" s="17">
        <f t="array" ref="B11335">SUM(1-'Sparkling Model'!D$2:D$38^A11335)</f>
        <v>36.98735229</v>
      </c>
      <c r="C11335" s="8">
        <f t="array" ref="C11335">PRODUCT(1-'Sparkling Model'!D$2:D$38^A11335)</f>
        <v>0.9874085122</v>
      </c>
    </row>
    <row r="11336">
      <c r="A11336" s="6">
        <v>11334.0</v>
      </c>
      <c r="B11336" s="17">
        <f t="array" ref="B11336">SUM(1-'Sparkling Model'!D$2:D$38^A11336)</f>
        <v>36.98735859</v>
      </c>
      <c r="C11336" s="8">
        <f t="array" ref="C11336">PRODUCT(1-'Sparkling Model'!D$2:D$38^A11336)</f>
        <v>0.9874147599</v>
      </c>
    </row>
    <row r="11337">
      <c r="A11337" s="6">
        <v>11335.0</v>
      </c>
      <c r="B11337" s="17">
        <f t="array" ref="B11337">SUM(1-'Sparkling Model'!D$2:D$38^A11337)</f>
        <v>36.98736489</v>
      </c>
      <c r="C11337" s="8">
        <f t="array" ref="C11337">PRODUCT(1-'Sparkling Model'!D$2:D$38^A11337)</f>
        <v>0.9874210045</v>
      </c>
    </row>
    <row r="11338">
      <c r="A11338" s="6">
        <v>11336.0</v>
      </c>
      <c r="B11338" s="17">
        <f t="array" ref="B11338">SUM(1-'Sparkling Model'!D$2:D$38^A11338)</f>
        <v>36.98737119</v>
      </c>
      <c r="C11338" s="8">
        <f t="array" ref="C11338">PRODUCT(1-'Sparkling Model'!D$2:D$38^A11338)</f>
        <v>0.987427246</v>
      </c>
    </row>
    <row r="11339">
      <c r="A11339" s="6">
        <v>11337.0</v>
      </c>
      <c r="B11339" s="17">
        <f t="array" ref="B11339">SUM(1-'Sparkling Model'!D$2:D$38^A11339)</f>
        <v>36.98737748</v>
      </c>
      <c r="C11339" s="8">
        <f t="array" ref="C11339">PRODUCT(1-'Sparkling Model'!D$2:D$38^A11339)</f>
        <v>0.9874334844</v>
      </c>
    </row>
    <row r="11340">
      <c r="A11340" s="6">
        <v>11338.0</v>
      </c>
      <c r="B11340" s="17">
        <f t="array" ref="B11340">SUM(1-'Sparkling Model'!D$2:D$38^A11340)</f>
        <v>36.98738378</v>
      </c>
      <c r="C11340" s="8">
        <f t="array" ref="C11340">PRODUCT(1-'Sparkling Model'!D$2:D$38^A11340)</f>
        <v>0.9874397196</v>
      </c>
    </row>
    <row r="11341">
      <c r="A11341" s="6">
        <v>11339.0</v>
      </c>
      <c r="B11341" s="17">
        <f t="array" ref="B11341">SUM(1-'Sparkling Model'!D$2:D$38^A11341)</f>
        <v>36.98739006</v>
      </c>
      <c r="C11341" s="8">
        <f t="array" ref="C11341">PRODUCT(1-'Sparkling Model'!D$2:D$38^A11341)</f>
        <v>0.9874459518</v>
      </c>
    </row>
    <row r="11342">
      <c r="A11342" s="6">
        <v>11340.0</v>
      </c>
      <c r="B11342" s="17">
        <f t="array" ref="B11342">SUM(1-'Sparkling Model'!D$2:D$38^A11342)</f>
        <v>36.98739635</v>
      </c>
      <c r="C11342" s="8">
        <f t="array" ref="C11342">PRODUCT(1-'Sparkling Model'!D$2:D$38^A11342)</f>
        <v>0.9874521809</v>
      </c>
    </row>
    <row r="11343">
      <c r="A11343" s="6">
        <v>11341.0</v>
      </c>
      <c r="B11343" s="17">
        <f t="array" ref="B11343">SUM(1-'Sparkling Model'!D$2:D$38^A11343)</f>
        <v>36.98740263</v>
      </c>
      <c r="C11343" s="8">
        <f t="array" ref="C11343">PRODUCT(1-'Sparkling Model'!D$2:D$38^A11343)</f>
        <v>0.9874584069</v>
      </c>
    </row>
    <row r="11344">
      <c r="A11344" s="6">
        <v>11342.0</v>
      </c>
      <c r="B11344" s="17">
        <f t="array" ref="B11344">SUM(1-'Sparkling Model'!D$2:D$38^A11344)</f>
        <v>36.98740891</v>
      </c>
      <c r="C11344" s="8">
        <f t="array" ref="C11344">PRODUCT(1-'Sparkling Model'!D$2:D$38^A11344)</f>
        <v>0.9874646297</v>
      </c>
    </row>
    <row r="11345">
      <c r="A11345" s="6">
        <v>11343.0</v>
      </c>
      <c r="B11345" s="17">
        <f t="array" ref="B11345">SUM(1-'Sparkling Model'!D$2:D$38^A11345)</f>
        <v>36.98741519</v>
      </c>
      <c r="C11345" s="8">
        <f t="array" ref="C11345">PRODUCT(1-'Sparkling Model'!D$2:D$38^A11345)</f>
        <v>0.9874708495</v>
      </c>
    </row>
    <row r="11346">
      <c r="A11346" s="6">
        <v>11344.0</v>
      </c>
      <c r="B11346" s="17">
        <f t="array" ref="B11346">SUM(1-'Sparkling Model'!D$2:D$38^A11346)</f>
        <v>36.98742146</v>
      </c>
      <c r="C11346" s="8">
        <f t="array" ref="C11346">PRODUCT(1-'Sparkling Model'!D$2:D$38^A11346)</f>
        <v>0.9874770662</v>
      </c>
    </row>
    <row r="11347">
      <c r="A11347" s="6">
        <v>11345.0</v>
      </c>
      <c r="B11347" s="17">
        <f t="array" ref="B11347">SUM(1-'Sparkling Model'!D$2:D$38^A11347)</f>
        <v>36.98742773</v>
      </c>
      <c r="C11347" s="8">
        <f t="array" ref="C11347">PRODUCT(1-'Sparkling Model'!D$2:D$38^A11347)</f>
        <v>0.9874832798</v>
      </c>
    </row>
    <row r="11348">
      <c r="A11348" s="6">
        <v>11346.0</v>
      </c>
      <c r="B11348" s="17">
        <f t="array" ref="B11348">SUM(1-'Sparkling Model'!D$2:D$38^A11348)</f>
        <v>36.98743399</v>
      </c>
      <c r="C11348" s="8">
        <f t="array" ref="C11348">PRODUCT(1-'Sparkling Model'!D$2:D$38^A11348)</f>
        <v>0.9874894903</v>
      </c>
    </row>
    <row r="11349">
      <c r="A11349" s="6">
        <v>11347.0</v>
      </c>
      <c r="B11349" s="17">
        <f t="array" ref="B11349">SUM(1-'Sparkling Model'!D$2:D$38^A11349)</f>
        <v>36.98744026</v>
      </c>
      <c r="C11349" s="8">
        <f t="array" ref="C11349">PRODUCT(1-'Sparkling Model'!D$2:D$38^A11349)</f>
        <v>0.9874956977</v>
      </c>
    </row>
    <row r="11350">
      <c r="A11350" s="6">
        <v>11348.0</v>
      </c>
      <c r="B11350" s="17">
        <f t="array" ref="B11350">SUM(1-'Sparkling Model'!D$2:D$38^A11350)</f>
        <v>36.98744652</v>
      </c>
      <c r="C11350" s="8">
        <f t="array" ref="C11350">PRODUCT(1-'Sparkling Model'!D$2:D$38^A11350)</f>
        <v>0.987501902</v>
      </c>
    </row>
    <row r="11351">
      <c r="A11351" s="6">
        <v>11349.0</v>
      </c>
      <c r="B11351" s="17">
        <f t="array" ref="B11351">SUM(1-'Sparkling Model'!D$2:D$38^A11351)</f>
        <v>36.98745277</v>
      </c>
      <c r="C11351" s="8">
        <f t="array" ref="C11351">PRODUCT(1-'Sparkling Model'!D$2:D$38^A11351)</f>
        <v>0.9875081032</v>
      </c>
    </row>
    <row r="11352">
      <c r="A11352" s="6">
        <v>11350.0</v>
      </c>
      <c r="B11352" s="17">
        <f t="array" ref="B11352">SUM(1-'Sparkling Model'!D$2:D$38^A11352)</f>
        <v>36.98745903</v>
      </c>
      <c r="C11352" s="8">
        <f t="array" ref="C11352">PRODUCT(1-'Sparkling Model'!D$2:D$38^A11352)</f>
        <v>0.9875143013</v>
      </c>
    </row>
    <row r="11353">
      <c r="A11353" s="6">
        <v>11351.0</v>
      </c>
      <c r="B11353" s="17">
        <f t="array" ref="B11353">SUM(1-'Sparkling Model'!D$2:D$38^A11353)</f>
        <v>36.98746528</v>
      </c>
      <c r="C11353" s="8">
        <f t="array" ref="C11353">PRODUCT(1-'Sparkling Model'!D$2:D$38^A11353)</f>
        <v>0.9875204964</v>
      </c>
    </row>
    <row r="11354">
      <c r="A11354" s="6">
        <v>11352.0</v>
      </c>
      <c r="B11354" s="17">
        <f t="array" ref="B11354">SUM(1-'Sparkling Model'!D$2:D$38^A11354)</f>
        <v>36.98747153</v>
      </c>
      <c r="C11354" s="8">
        <f t="array" ref="C11354">PRODUCT(1-'Sparkling Model'!D$2:D$38^A11354)</f>
        <v>0.9875266884</v>
      </c>
    </row>
    <row r="11355">
      <c r="A11355" s="6">
        <v>11353.0</v>
      </c>
      <c r="B11355" s="17">
        <f t="array" ref="B11355">SUM(1-'Sparkling Model'!D$2:D$38^A11355)</f>
        <v>36.98747777</v>
      </c>
      <c r="C11355" s="8">
        <f t="array" ref="C11355">PRODUCT(1-'Sparkling Model'!D$2:D$38^A11355)</f>
        <v>0.9875328773</v>
      </c>
    </row>
    <row r="11356">
      <c r="A11356" s="6">
        <v>11354.0</v>
      </c>
      <c r="B11356" s="17">
        <f t="array" ref="B11356">SUM(1-'Sparkling Model'!D$2:D$38^A11356)</f>
        <v>36.98748401</v>
      </c>
      <c r="C11356" s="8">
        <f t="array" ref="C11356">PRODUCT(1-'Sparkling Model'!D$2:D$38^A11356)</f>
        <v>0.9875390631</v>
      </c>
    </row>
    <row r="11357">
      <c r="A11357" s="6">
        <v>11355.0</v>
      </c>
      <c r="B11357" s="17">
        <f t="array" ref="B11357">SUM(1-'Sparkling Model'!D$2:D$38^A11357)</f>
        <v>36.98749025</v>
      </c>
      <c r="C11357" s="8">
        <f t="array" ref="C11357">PRODUCT(1-'Sparkling Model'!D$2:D$38^A11357)</f>
        <v>0.9875452458</v>
      </c>
    </row>
    <row r="11358">
      <c r="A11358" s="6">
        <v>11356.0</v>
      </c>
      <c r="B11358" s="17">
        <f t="array" ref="B11358">SUM(1-'Sparkling Model'!D$2:D$38^A11358)</f>
        <v>36.98749648</v>
      </c>
      <c r="C11358" s="8">
        <f t="array" ref="C11358">PRODUCT(1-'Sparkling Model'!D$2:D$38^A11358)</f>
        <v>0.9875514255</v>
      </c>
    </row>
    <row r="11359">
      <c r="A11359" s="6">
        <v>11357.0</v>
      </c>
      <c r="B11359" s="17">
        <f t="array" ref="B11359">SUM(1-'Sparkling Model'!D$2:D$38^A11359)</f>
        <v>36.98750271</v>
      </c>
      <c r="C11359" s="8">
        <f t="array" ref="C11359">PRODUCT(1-'Sparkling Model'!D$2:D$38^A11359)</f>
        <v>0.987557602</v>
      </c>
    </row>
    <row r="11360">
      <c r="A11360" s="6">
        <v>11358.0</v>
      </c>
      <c r="B11360" s="17">
        <f t="array" ref="B11360">SUM(1-'Sparkling Model'!D$2:D$38^A11360)</f>
        <v>36.98750894</v>
      </c>
      <c r="C11360" s="8">
        <f t="array" ref="C11360">PRODUCT(1-'Sparkling Model'!D$2:D$38^A11360)</f>
        <v>0.9875637755</v>
      </c>
    </row>
    <row r="11361">
      <c r="A11361" s="6">
        <v>11359.0</v>
      </c>
      <c r="B11361" s="17">
        <f t="array" ref="B11361">SUM(1-'Sparkling Model'!D$2:D$38^A11361)</f>
        <v>36.98751517</v>
      </c>
      <c r="C11361" s="8">
        <f t="array" ref="C11361">PRODUCT(1-'Sparkling Model'!D$2:D$38^A11361)</f>
        <v>0.987569946</v>
      </c>
    </row>
    <row r="11362">
      <c r="A11362" s="6">
        <v>11360.0</v>
      </c>
      <c r="B11362" s="17">
        <f t="array" ref="B11362">SUM(1-'Sparkling Model'!D$2:D$38^A11362)</f>
        <v>36.98752139</v>
      </c>
      <c r="C11362" s="8">
        <f t="array" ref="C11362">PRODUCT(1-'Sparkling Model'!D$2:D$38^A11362)</f>
        <v>0.9875761133</v>
      </c>
    </row>
    <row r="11363">
      <c r="A11363" s="6">
        <v>11361.0</v>
      </c>
      <c r="B11363" s="17">
        <f t="array" ref="B11363">SUM(1-'Sparkling Model'!D$2:D$38^A11363)</f>
        <v>36.98752761</v>
      </c>
      <c r="C11363" s="8">
        <f t="array" ref="C11363">PRODUCT(1-'Sparkling Model'!D$2:D$38^A11363)</f>
        <v>0.9875822776</v>
      </c>
    </row>
    <row r="11364">
      <c r="A11364" s="6">
        <v>11362.0</v>
      </c>
      <c r="B11364" s="17">
        <f t="array" ref="B11364">SUM(1-'Sparkling Model'!D$2:D$38^A11364)</f>
        <v>36.98753383</v>
      </c>
      <c r="C11364" s="8">
        <f t="array" ref="C11364">PRODUCT(1-'Sparkling Model'!D$2:D$38^A11364)</f>
        <v>0.9875884389</v>
      </c>
    </row>
    <row r="11365">
      <c r="A11365" s="6">
        <v>11363.0</v>
      </c>
      <c r="B11365" s="17">
        <f t="array" ref="B11365">SUM(1-'Sparkling Model'!D$2:D$38^A11365)</f>
        <v>36.98754004</v>
      </c>
      <c r="C11365" s="8">
        <f t="array" ref="C11365">PRODUCT(1-'Sparkling Model'!D$2:D$38^A11365)</f>
        <v>0.987594597</v>
      </c>
    </row>
    <row r="11366">
      <c r="A11366" s="6">
        <v>11364.0</v>
      </c>
      <c r="B11366" s="17">
        <f t="array" ref="B11366">SUM(1-'Sparkling Model'!D$2:D$38^A11366)</f>
        <v>36.98754625</v>
      </c>
      <c r="C11366" s="8">
        <f t="array" ref="C11366">PRODUCT(1-'Sparkling Model'!D$2:D$38^A11366)</f>
        <v>0.9876007521</v>
      </c>
    </row>
    <row r="11367">
      <c r="A11367" s="6">
        <v>11365.0</v>
      </c>
      <c r="B11367" s="17">
        <f t="array" ref="B11367">SUM(1-'Sparkling Model'!D$2:D$38^A11367)</f>
        <v>36.98755246</v>
      </c>
      <c r="C11367" s="8">
        <f t="array" ref="C11367">PRODUCT(1-'Sparkling Model'!D$2:D$38^A11367)</f>
        <v>0.9876069042</v>
      </c>
    </row>
    <row r="11368">
      <c r="A11368" s="6">
        <v>11366.0</v>
      </c>
      <c r="B11368" s="17">
        <f t="array" ref="B11368">SUM(1-'Sparkling Model'!D$2:D$38^A11368)</f>
        <v>36.98755866</v>
      </c>
      <c r="C11368" s="8">
        <f t="array" ref="C11368">PRODUCT(1-'Sparkling Model'!D$2:D$38^A11368)</f>
        <v>0.9876130531</v>
      </c>
    </row>
    <row r="11369">
      <c r="A11369" s="6">
        <v>11367.0</v>
      </c>
      <c r="B11369" s="17">
        <f t="array" ref="B11369">SUM(1-'Sparkling Model'!D$2:D$38^A11369)</f>
        <v>36.98756486</v>
      </c>
      <c r="C11369" s="8">
        <f t="array" ref="C11369">PRODUCT(1-'Sparkling Model'!D$2:D$38^A11369)</f>
        <v>0.9876191991</v>
      </c>
    </row>
    <row r="11370">
      <c r="A11370" s="6">
        <v>11368.0</v>
      </c>
      <c r="B11370" s="17">
        <f t="array" ref="B11370">SUM(1-'Sparkling Model'!D$2:D$38^A11370)</f>
        <v>36.98757106</v>
      </c>
      <c r="C11370" s="8">
        <f t="array" ref="C11370">PRODUCT(1-'Sparkling Model'!D$2:D$38^A11370)</f>
        <v>0.9876253419</v>
      </c>
    </row>
    <row r="11371">
      <c r="A11371" s="6">
        <v>11369.0</v>
      </c>
      <c r="B11371" s="17">
        <f t="array" ref="B11371">SUM(1-'Sparkling Model'!D$2:D$38^A11371)</f>
        <v>36.98757725</v>
      </c>
      <c r="C11371" s="8">
        <f t="array" ref="C11371">PRODUCT(1-'Sparkling Model'!D$2:D$38^A11371)</f>
        <v>0.9876314817</v>
      </c>
    </row>
    <row r="11372">
      <c r="A11372" s="6">
        <v>11370.0</v>
      </c>
      <c r="B11372" s="17">
        <f t="array" ref="B11372">SUM(1-'Sparkling Model'!D$2:D$38^A11372)</f>
        <v>36.98758344</v>
      </c>
      <c r="C11372" s="8">
        <f t="array" ref="C11372">PRODUCT(1-'Sparkling Model'!D$2:D$38^A11372)</f>
        <v>0.9876376185</v>
      </c>
    </row>
    <row r="11373">
      <c r="A11373" s="6">
        <v>11371.0</v>
      </c>
      <c r="B11373" s="17">
        <f t="array" ref="B11373">SUM(1-'Sparkling Model'!D$2:D$38^A11373)</f>
        <v>36.98758963</v>
      </c>
      <c r="C11373" s="8">
        <f t="array" ref="C11373">PRODUCT(1-'Sparkling Model'!D$2:D$38^A11373)</f>
        <v>0.9876437521</v>
      </c>
    </row>
    <row r="11374">
      <c r="A11374" s="6">
        <v>11372.0</v>
      </c>
      <c r="B11374" s="17">
        <f t="array" ref="B11374">SUM(1-'Sparkling Model'!D$2:D$38^A11374)</f>
        <v>36.98759582</v>
      </c>
      <c r="C11374" s="8">
        <f t="array" ref="C11374">PRODUCT(1-'Sparkling Model'!D$2:D$38^A11374)</f>
        <v>0.9876498828</v>
      </c>
    </row>
    <row r="11375">
      <c r="A11375" s="6">
        <v>11373.0</v>
      </c>
      <c r="B11375" s="17">
        <f t="array" ref="B11375">SUM(1-'Sparkling Model'!D$2:D$38^A11375)</f>
        <v>36.987602</v>
      </c>
      <c r="C11375" s="8">
        <f t="array" ref="C11375">PRODUCT(1-'Sparkling Model'!D$2:D$38^A11375)</f>
        <v>0.9876560104</v>
      </c>
    </row>
    <row r="11376">
      <c r="A11376" s="6">
        <v>11374.0</v>
      </c>
      <c r="B11376" s="17">
        <f t="array" ref="B11376">SUM(1-'Sparkling Model'!D$2:D$38^A11376)</f>
        <v>36.98760818</v>
      </c>
      <c r="C11376" s="8">
        <f t="array" ref="C11376">PRODUCT(1-'Sparkling Model'!D$2:D$38^A11376)</f>
        <v>0.9876621349</v>
      </c>
    </row>
    <row r="11377">
      <c r="A11377" s="6">
        <v>11375.0</v>
      </c>
      <c r="B11377" s="17">
        <f t="array" ref="B11377">SUM(1-'Sparkling Model'!D$2:D$38^A11377)</f>
        <v>36.98761435</v>
      </c>
      <c r="C11377" s="8">
        <f t="array" ref="C11377">PRODUCT(1-'Sparkling Model'!D$2:D$38^A11377)</f>
        <v>0.9876682564</v>
      </c>
    </row>
    <row r="11378">
      <c r="A11378" s="6">
        <v>11376.0</v>
      </c>
      <c r="B11378" s="17">
        <f t="array" ref="B11378">SUM(1-'Sparkling Model'!D$2:D$38^A11378)</f>
        <v>36.98762052</v>
      </c>
      <c r="C11378" s="8">
        <f t="array" ref="C11378">PRODUCT(1-'Sparkling Model'!D$2:D$38^A11378)</f>
        <v>0.9876743749</v>
      </c>
    </row>
    <row r="11379">
      <c r="A11379" s="6">
        <v>11377.0</v>
      </c>
      <c r="B11379" s="17">
        <f t="array" ref="B11379">SUM(1-'Sparkling Model'!D$2:D$38^A11379)</f>
        <v>36.98762669</v>
      </c>
      <c r="C11379" s="8">
        <f t="array" ref="C11379">PRODUCT(1-'Sparkling Model'!D$2:D$38^A11379)</f>
        <v>0.9876804903</v>
      </c>
    </row>
    <row r="11380">
      <c r="A11380" s="6">
        <v>11378.0</v>
      </c>
      <c r="B11380" s="17">
        <f t="array" ref="B11380">SUM(1-'Sparkling Model'!D$2:D$38^A11380)</f>
        <v>36.98763286</v>
      </c>
      <c r="C11380" s="8">
        <f t="array" ref="C11380">PRODUCT(1-'Sparkling Model'!D$2:D$38^A11380)</f>
        <v>0.9876866026</v>
      </c>
    </row>
    <row r="11381">
      <c r="A11381" s="6">
        <v>11379.0</v>
      </c>
      <c r="B11381" s="17">
        <f t="array" ref="B11381">SUM(1-'Sparkling Model'!D$2:D$38^A11381)</f>
        <v>36.98763902</v>
      </c>
      <c r="C11381" s="8">
        <f t="array" ref="C11381">PRODUCT(1-'Sparkling Model'!D$2:D$38^A11381)</f>
        <v>0.9876927119</v>
      </c>
    </row>
    <row r="11382">
      <c r="A11382" s="6">
        <v>11380.0</v>
      </c>
      <c r="B11382" s="17">
        <f t="array" ref="B11382">SUM(1-'Sparkling Model'!D$2:D$38^A11382)</f>
        <v>36.98764518</v>
      </c>
      <c r="C11382" s="8">
        <f t="array" ref="C11382">PRODUCT(1-'Sparkling Model'!D$2:D$38^A11382)</f>
        <v>0.9876988182</v>
      </c>
    </row>
    <row r="11383">
      <c r="A11383" s="6">
        <v>11381.0</v>
      </c>
      <c r="B11383" s="17">
        <f t="array" ref="B11383">SUM(1-'Sparkling Model'!D$2:D$38^A11383)</f>
        <v>36.98765134</v>
      </c>
      <c r="C11383" s="8">
        <f t="array" ref="C11383">PRODUCT(1-'Sparkling Model'!D$2:D$38^A11383)</f>
        <v>0.9877049214</v>
      </c>
    </row>
    <row r="11384">
      <c r="A11384" s="6">
        <v>11382.0</v>
      </c>
      <c r="B11384" s="17">
        <f t="array" ref="B11384">SUM(1-'Sparkling Model'!D$2:D$38^A11384)</f>
        <v>36.98765749</v>
      </c>
      <c r="C11384" s="8">
        <f t="array" ref="C11384">PRODUCT(1-'Sparkling Model'!D$2:D$38^A11384)</f>
        <v>0.9877110216</v>
      </c>
    </row>
    <row r="11385">
      <c r="A11385" s="6">
        <v>11383.0</v>
      </c>
      <c r="B11385" s="17">
        <f t="array" ref="B11385">SUM(1-'Sparkling Model'!D$2:D$38^A11385)</f>
        <v>36.98766364</v>
      </c>
      <c r="C11385" s="8">
        <f t="array" ref="C11385">PRODUCT(1-'Sparkling Model'!D$2:D$38^A11385)</f>
        <v>0.9877171188</v>
      </c>
    </row>
    <row r="11386">
      <c r="A11386" s="6">
        <v>11384.0</v>
      </c>
      <c r="B11386" s="17">
        <f t="array" ref="B11386">SUM(1-'Sparkling Model'!D$2:D$38^A11386)</f>
        <v>36.98766979</v>
      </c>
      <c r="C11386" s="8">
        <f t="array" ref="C11386">PRODUCT(1-'Sparkling Model'!D$2:D$38^A11386)</f>
        <v>0.9877232129</v>
      </c>
    </row>
    <row r="11387">
      <c r="A11387" s="6">
        <v>11385.0</v>
      </c>
      <c r="B11387" s="17">
        <f t="array" ref="B11387">SUM(1-'Sparkling Model'!D$2:D$38^A11387)</f>
        <v>36.98767594</v>
      </c>
      <c r="C11387" s="8">
        <f t="array" ref="C11387">PRODUCT(1-'Sparkling Model'!D$2:D$38^A11387)</f>
        <v>0.987729304</v>
      </c>
    </row>
    <row r="11388">
      <c r="A11388" s="6">
        <v>11386.0</v>
      </c>
      <c r="B11388" s="17">
        <f t="array" ref="B11388">SUM(1-'Sparkling Model'!D$2:D$38^A11388)</f>
        <v>36.98768208</v>
      </c>
      <c r="C11388" s="8">
        <f t="array" ref="C11388">PRODUCT(1-'Sparkling Model'!D$2:D$38^A11388)</f>
        <v>0.9877353921</v>
      </c>
    </row>
    <row r="11389">
      <c r="A11389" s="6">
        <v>11387.0</v>
      </c>
      <c r="B11389" s="17">
        <f t="array" ref="B11389">SUM(1-'Sparkling Model'!D$2:D$38^A11389)</f>
        <v>36.98768822</v>
      </c>
      <c r="C11389" s="8">
        <f t="array" ref="C11389">PRODUCT(1-'Sparkling Model'!D$2:D$38^A11389)</f>
        <v>0.9877414771</v>
      </c>
    </row>
    <row r="11390">
      <c r="A11390" s="6">
        <v>11388.0</v>
      </c>
      <c r="B11390" s="17">
        <f t="array" ref="B11390">SUM(1-'Sparkling Model'!D$2:D$38^A11390)</f>
        <v>36.98769435</v>
      </c>
      <c r="C11390" s="8">
        <f t="array" ref="C11390">PRODUCT(1-'Sparkling Model'!D$2:D$38^A11390)</f>
        <v>0.9877475592</v>
      </c>
    </row>
    <row r="11391">
      <c r="A11391" s="6">
        <v>11389.0</v>
      </c>
      <c r="B11391" s="17">
        <f t="array" ref="B11391">SUM(1-'Sparkling Model'!D$2:D$38^A11391)</f>
        <v>36.98770048</v>
      </c>
      <c r="C11391" s="8">
        <f t="array" ref="C11391">PRODUCT(1-'Sparkling Model'!D$2:D$38^A11391)</f>
        <v>0.9877536381</v>
      </c>
    </row>
    <row r="11392">
      <c r="A11392" s="6">
        <v>11390.0</v>
      </c>
      <c r="B11392" s="17">
        <f t="array" ref="B11392">SUM(1-'Sparkling Model'!D$2:D$38^A11392)</f>
        <v>36.98770661</v>
      </c>
      <c r="C11392" s="8">
        <f t="array" ref="C11392">PRODUCT(1-'Sparkling Model'!D$2:D$38^A11392)</f>
        <v>0.9877597141</v>
      </c>
    </row>
    <row r="11393">
      <c r="A11393" s="6">
        <v>11391.0</v>
      </c>
      <c r="B11393" s="17">
        <f t="array" ref="B11393">SUM(1-'Sparkling Model'!D$2:D$38^A11393)</f>
        <v>36.98771274</v>
      </c>
      <c r="C11393" s="8">
        <f t="array" ref="C11393">PRODUCT(1-'Sparkling Model'!D$2:D$38^A11393)</f>
        <v>0.987765787</v>
      </c>
    </row>
    <row r="11394">
      <c r="A11394" s="6">
        <v>11392.0</v>
      </c>
      <c r="B11394" s="17">
        <f t="array" ref="B11394">SUM(1-'Sparkling Model'!D$2:D$38^A11394)</f>
        <v>36.98771886</v>
      </c>
      <c r="C11394" s="8">
        <f t="array" ref="C11394">PRODUCT(1-'Sparkling Model'!D$2:D$38^A11394)</f>
        <v>0.9877718569</v>
      </c>
    </row>
    <row r="11395">
      <c r="A11395" s="6">
        <v>11393.0</v>
      </c>
      <c r="B11395" s="17">
        <f t="array" ref="B11395">SUM(1-'Sparkling Model'!D$2:D$38^A11395)</f>
        <v>36.98772498</v>
      </c>
      <c r="C11395" s="8">
        <f t="array" ref="C11395">PRODUCT(1-'Sparkling Model'!D$2:D$38^A11395)</f>
        <v>0.9877779238</v>
      </c>
    </row>
    <row r="11396">
      <c r="A11396" s="6">
        <v>11394.0</v>
      </c>
      <c r="B11396" s="17">
        <f t="array" ref="B11396">SUM(1-'Sparkling Model'!D$2:D$38^A11396)</f>
        <v>36.9877311</v>
      </c>
      <c r="C11396" s="8">
        <f t="array" ref="C11396">PRODUCT(1-'Sparkling Model'!D$2:D$38^A11396)</f>
        <v>0.9877839877</v>
      </c>
    </row>
    <row r="11397">
      <c r="A11397" s="6">
        <v>11395.0</v>
      </c>
      <c r="B11397" s="17">
        <f t="array" ref="B11397">SUM(1-'Sparkling Model'!D$2:D$38^A11397)</f>
        <v>36.98773721</v>
      </c>
      <c r="C11397" s="8">
        <f t="array" ref="C11397">PRODUCT(1-'Sparkling Model'!D$2:D$38^A11397)</f>
        <v>0.9877900486</v>
      </c>
    </row>
    <row r="11398">
      <c r="A11398" s="6">
        <v>11396.0</v>
      </c>
      <c r="B11398" s="17">
        <f t="array" ref="B11398">SUM(1-'Sparkling Model'!D$2:D$38^A11398)</f>
        <v>36.98774332</v>
      </c>
      <c r="C11398" s="8">
        <f t="array" ref="C11398">PRODUCT(1-'Sparkling Model'!D$2:D$38^A11398)</f>
        <v>0.9877961064</v>
      </c>
    </row>
    <row r="11399">
      <c r="A11399" s="6">
        <v>11397.0</v>
      </c>
      <c r="B11399" s="17">
        <f t="array" ref="B11399">SUM(1-'Sparkling Model'!D$2:D$38^A11399)</f>
        <v>36.98774943</v>
      </c>
      <c r="C11399" s="8">
        <f t="array" ref="C11399">PRODUCT(1-'Sparkling Model'!D$2:D$38^A11399)</f>
        <v>0.9878021612</v>
      </c>
    </row>
    <row r="11400">
      <c r="A11400" s="6">
        <v>11398.0</v>
      </c>
      <c r="B11400" s="17">
        <f t="array" ref="B11400">SUM(1-'Sparkling Model'!D$2:D$38^A11400)</f>
        <v>36.98775554</v>
      </c>
      <c r="C11400" s="8">
        <f t="array" ref="C11400">PRODUCT(1-'Sparkling Model'!D$2:D$38^A11400)</f>
        <v>0.987808213</v>
      </c>
    </row>
    <row r="11401">
      <c r="A11401" s="6">
        <v>11399.0</v>
      </c>
      <c r="B11401" s="17">
        <f t="array" ref="B11401">SUM(1-'Sparkling Model'!D$2:D$38^A11401)</f>
        <v>36.98776164</v>
      </c>
      <c r="C11401" s="8">
        <f t="array" ref="C11401">PRODUCT(1-'Sparkling Model'!D$2:D$38^A11401)</f>
        <v>0.9878142619</v>
      </c>
    </row>
    <row r="11402">
      <c r="A11402" s="6">
        <v>11400.0</v>
      </c>
      <c r="B11402" s="17">
        <f t="array" ref="B11402">SUM(1-'Sparkling Model'!D$2:D$38^A11402)</f>
        <v>36.98776774</v>
      </c>
      <c r="C11402" s="8">
        <f t="array" ref="C11402">PRODUCT(1-'Sparkling Model'!D$2:D$38^A11402)</f>
        <v>0.9878203076</v>
      </c>
    </row>
    <row r="11403">
      <c r="A11403" s="6">
        <v>11401.0</v>
      </c>
      <c r="B11403" s="17">
        <f t="array" ref="B11403">SUM(1-'Sparkling Model'!D$2:D$38^A11403)</f>
        <v>36.98777383</v>
      </c>
      <c r="C11403" s="8">
        <f t="array" ref="C11403">PRODUCT(1-'Sparkling Model'!D$2:D$38^A11403)</f>
        <v>0.9878263504</v>
      </c>
    </row>
    <row r="11404">
      <c r="A11404" s="6">
        <v>11402.0</v>
      </c>
      <c r="B11404" s="17">
        <f t="array" ref="B11404">SUM(1-'Sparkling Model'!D$2:D$38^A11404)</f>
        <v>36.98777993</v>
      </c>
      <c r="C11404" s="8">
        <f t="array" ref="C11404">PRODUCT(1-'Sparkling Model'!D$2:D$38^A11404)</f>
        <v>0.9878323902</v>
      </c>
    </row>
    <row r="11405">
      <c r="A11405" s="6">
        <v>11403.0</v>
      </c>
      <c r="B11405" s="17">
        <f t="array" ref="B11405">SUM(1-'Sparkling Model'!D$2:D$38^A11405)</f>
        <v>36.98778601</v>
      </c>
      <c r="C11405" s="8">
        <f t="array" ref="C11405">PRODUCT(1-'Sparkling Model'!D$2:D$38^A11405)</f>
        <v>0.987838427</v>
      </c>
    </row>
    <row r="11406">
      <c r="A11406" s="6">
        <v>11404.0</v>
      </c>
      <c r="B11406" s="17">
        <f t="array" ref="B11406">SUM(1-'Sparkling Model'!D$2:D$38^A11406)</f>
        <v>36.9877921</v>
      </c>
      <c r="C11406" s="8">
        <f t="array" ref="C11406">PRODUCT(1-'Sparkling Model'!D$2:D$38^A11406)</f>
        <v>0.9878444607</v>
      </c>
    </row>
    <row r="11407">
      <c r="A11407" s="6">
        <v>11405.0</v>
      </c>
      <c r="B11407" s="17">
        <f t="array" ref="B11407">SUM(1-'Sparkling Model'!D$2:D$38^A11407)</f>
        <v>36.98779818</v>
      </c>
      <c r="C11407" s="8">
        <f t="array" ref="C11407">PRODUCT(1-'Sparkling Model'!D$2:D$38^A11407)</f>
        <v>0.9878504915</v>
      </c>
    </row>
    <row r="11408">
      <c r="A11408" s="6">
        <v>11406.0</v>
      </c>
      <c r="B11408" s="17">
        <f t="array" ref="B11408">SUM(1-'Sparkling Model'!D$2:D$38^A11408)</f>
        <v>36.98780426</v>
      </c>
      <c r="C11408" s="8">
        <f t="array" ref="C11408">PRODUCT(1-'Sparkling Model'!D$2:D$38^A11408)</f>
        <v>0.9878565193</v>
      </c>
    </row>
    <row r="11409">
      <c r="A11409" s="6">
        <v>11407.0</v>
      </c>
      <c r="B11409" s="17">
        <f t="array" ref="B11409">SUM(1-'Sparkling Model'!D$2:D$38^A11409)</f>
        <v>36.98781034</v>
      </c>
      <c r="C11409" s="8">
        <f t="array" ref="C11409">PRODUCT(1-'Sparkling Model'!D$2:D$38^A11409)</f>
        <v>0.987862544</v>
      </c>
    </row>
    <row r="11410">
      <c r="A11410" s="6">
        <v>11408.0</v>
      </c>
      <c r="B11410" s="17">
        <f t="array" ref="B11410">SUM(1-'Sparkling Model'!D$2:D$38^A11410)</f>
        <v>36.98781642</v>
      </c>
      <c r="C11410" s="8">
        <f t="array" ref="C11410">PRODUCT(1-'Sparkling Model'!D$2:D$38^A11410)</f>
        <v>0.9878685658</v>
      </c>
    </row>
    <row r="11411">
      <c r="A11411" s="6">
        <v>11409.0</v>
      </c>
      <c r="B11411" s="17">
        <f t="array" ref="B11411">SUM(1-'Sparkling Model'!D$2:D$38^A11411)</f>
        <v>36.98782249</v>
      </c>
      <c r="C11411" s="8">
        <f t="array" ref="C11411">PRODUCT(1-'Sparkling Model'!D$2:D$38^A11411)</f>
        <v>0.9878745846</v>
      </c>
    </row>
    <row r="11412">
      <c r="A11412" s="6">
        <v>11410.0</v>
      </c>
      <c r="B11412" s="17">
        <f t="array" ref="B11412">SUM(1-'Sparkling Model'!D$2:D$38^A11412)</f>
        <v>36.98782855</v>
      </c>
      <c r="C11412" s="8">
        <f t="array" ref="C11412">PRODUCT(1-'Sparkling Model'!D$2:D$38^A11412)</f>
        <v>0.9878806004</v>
      </c>
    </row>
    <row r="11413">
      <c r="A11413" s="6">
        <v>11411.0</v>
      </c>
      <c r="B11413" s="17">
        <f t="array" ref="B11413">SUM(1-'Sparkling Model'!D$2:D$38^A11413)</f>
        <v>36.98783462</v>
      </c>
      <c r="C11413" s="8">
        <f t="array" ref="C11413">PRODUCT(1-'Sparkling Model'!D$2:D$38^A11413)</f>
        <v>0.9878866131</v>
      </c>
    </row>
    <row r="11414">
      <c r="A11414" s="6">
        <v>11412.0</v>
      </c>
      <c r="B11414" s="17">
        <f t="array" ref="B11414">SUM(1-'Sparkling Model'!D$2:D$38^A11414)</f>
        <v>36.98784068</v>
      </c>
      <c r="C11414" s="8">
        <f t="array" ref="C11414">PRODUCT(1-'Sparkling Model'!D$2:D$38^A11414)</f>
        <v>0.9878926229</v>
      </c>
    </row>
    <row r="11415">
      <c r="A11415" s="6">
        <v>11413.0</v>
      </c>
      <c r="B11415" s="17">
        <f t="array" ref="B11415">SUM(1-'Sparkling Model'!D$2:D$38^A11415)</f>
        <v>36.98784674</v>
      </c>
      <c r="C11415" s="8">
        <f t="array" ref="C11415">PRODUCT(1-'Sparkling Model'!D$2:D$38^A11415)</f>
        <v>0.9878986297</v>
      </c>
    </row>
    <row r="11416">
      <c r="A11416" s="6">
        <v>11414.0</v>
      </c>
      <c r="B11416" s="17">
        <f t="array" ref="B11416">SUM(1-'Sparkling Model'!D$2:D$38^A11416)</f>
        <v>36.9878528</v>
      </c>
      <c r="C11416" s="8">
        <f t="array" ref="C11416">PRODUCT(1-'Sparkling Model'!D$2:D$38^A11416)</f>
        <v>0.9879046336</v>
      </c>
    </row>
    <row r="11417">
      <c r="A11417" s="6">
        <v>11415.0</v>
      </c>
      <c r="B11417" s="17">
        <f t="array" ref="B11417">SUM(1-'Sparkling Model'!D$2:D$38^A11417)</f>
        <v>36.98785885</v>
      </c>
      <c r="C11417" s="8">
        <f t="array" ref="C11417">PRODUCT(1-'Sparkling Model'!D$2:D$38^A11417)</f>
        <v>0.9879106344</v>
      </c>
    </row>
    <row r="11418">
      <c r="A11418" s="6">
        <v>11416.0</v>
      </c>
      <c r="B11418" s="17">
        <f t="array" ref="B11418">SUM(1-'Sparkling Model'!D$2:D$38^A11418)</f>
        <v>36.9878649</v>
      </c>
      <c r="C11418" s="8">
        <f t="array" ref="C11418">PRODUCT(1-'Sparkling Model'!D$2:D$38^A11418)</f>
        <v>0.9879166322</v>
      </c>
    </row>
    <row r="11419">
      <c r="A11419" s="6">
        <v>11417.0</v>
      </c>
      <c r="B11419" s="17">
        <f t="array" ref="B11419">SUM(1-'Sparkling Model'!D$2:D$38^A11419)</f>
        <v>36.98787095</v>
      </c>
      <c r="C11419" s="8">
        <f t="array" ref="C11419">PRODUCT(1-'Sparkling Model'!D$2:D$38^A11419)</f>
        <v>0.9879226271</v>
      </c>
    </row>
    <row r="11420">
      <c r="A11420" s="6">
        <v>11418.0</v>
      </c>
      <c r="B11420" s="17">
        <f t="array" ref="B11420">SUM(1-'Sparkling Model'!D$2:D$38^A11420)</f>
        <v>36.98787699</v>
      </c>
      <c r="C11420" s="8">
        <f t="array" ref="C11420">PRODUCT(1-'Sparkling Model'!D$2:D$38^A11420)</f>
        <v>0.9879286189</v>
      </c>
    </row>
    <row r="11421">
      <c r="A11421" s="6">
        <v>11419.0</v>
      </c>
      <c r="B11421" s="17">
        <f t="array" ref="B11421">SUM(1-'Sparkling Model'!D$2:D$38^A11421)</f>
        <v>36.98788303</v>
      </c>
      <c r="C11421" s="8">
        <f t="array" ref="C11421">PRODUCT(1-'Sparkling Model'!D$2:D$38^A11421)</f>
        <v>0.9879346078</v>
      </c>
    </row>
    <row r="11422">
      <c r="A11422" s="6">
        <v>11420.0</v>
      </c>
      <c r="B11422" s="17">
        <f t="array" ref="B11422">SUM(1-'Sparkling Model'!D$2:D$38^A11422)</f>
        <v>36.98788907</v>
      </c>
      <c r="C11422" s="8">
        <f t="array" ref="C11422">PRODUCT(1-'Sparkling Model'!D$2:D$38^A11422)</f>
        <v>0.9879405937</v>
      </c>
    </row>
    <row r="11423">
      <c r="A11423" s="6">
        <v>11421.0</v>
      </c>
      <c r="B11423" s="17">
        <f t="array" ref="B11423">SUM(1-'Sparkling Model'!D$2:D$38^A11423)</f>
        <v>36.9878951</v>
      </c>
      <c r="C11423" s="8">
        <f t="array" ref="C11423">PRODUCT(1-'Sparkling Model'!D$2:D$38^A11423)</f>
        <v>0.9879465767</v>
      </c>
    </row>
    <row r="11424">
      <c r="A11424" s="6">
        <v>11422.0</v>
      </c>
      <c r="B11424" s="17">
        <f t="array" ref="B11424">SUM(1-'Sparkling Model'!D$2:D$38^A11424)</f>
        <v>36.98790113</v>
      </c>
      <c r="C11424" s="8">
        <f t="array" ref="C11424">PRODUCT(1-'Sparkling Model'!D$2:D$38^A11424)</f>
        <v>0.9879525566</v>
      </c>
    </row>
    <row r="11425">
      <c r="A11425" s="6">
        <v>11423.0</v>
      </c>
      <c r="B11425" s="17">
        <f t="array" ref="B11425">SUM(1-'Sparkling Model'!D$2:D$38^A11425)</f>
        <v>36.98790716</v>
      </c>
      <c r="C11425" s="8">
        <f t="array" ref="C11425">PRODUCT(1-'Sparkling Model'!D$2:D$38^A11425)</f>
        <v>0.9879585336</v>
      </c>
    </row>
    <row r="11426">
      <c r="A11426" s="6">
        <v>11424.0</v>
      </c>
      <c r="B11426" s="17">
        <f t="array" ref="B11426">SUM(1-'Sparkling Model'!D$2:D$38^A11426)</f>
        <v>36.98791319</v>
      </c>
      <c r="C11426" s="8">
        <f t="array" ref="C11426">PRODUCT(1-'Sparkling Model'!D$2:D$38^A11426)</f>
        <v>0.9879645076</v>
      </c>
    </row>
    <row r="11427">
      <c r="A11427" s="6">
        <v>11425.0</v>
      </c>
      <c r="B11427" s="17">
        <f t="array" ref="B11427">SUM(1-'Sparkling Model'!D$2:D$38^A11427)</f>
        <v>36.98791921</v>
      </c>
      <c r="C11427" s="8">
        <f t="array" ref="C11427">PRODUCT(1-'Sparkling Model'!D$2:D$38^A11427)</f>
        <v>0.9879704786</v>
      </c>
    </row>
    <row r="11428">
      <c r="A11428" s="6">
        <v>11426.0</v>
      </c>
      <c r="B11428" s="17">
        <f t="array" ref="B11428">SUM(1-'Sparkling Model'!D$2:D$38^A11428)</f>
        <v>36.98792523</v>
      </c>
      <c r="C11428" s="8">
        <f t="array" ref="C11428">PRODUCT(1-'Sparkling Model'!D$2:D$38^A11428)</f>
        <v>0.9879764467</v>
      </c>
    </row>
    <row r="11429">
      <c r="A11429" s="6">
        <v>11427.0</v>
      </c>
      <c r="B11429" s="17">
        <f t="array" ref="B11429">SUM(1-'Sparkling Model'!D$2:D$38^A11429)</f>
        <v>36.98793125</v>
      </c>
      <c r="C11429" s="8">
        <f t="array" ref="C11429">PRODUCT(1-'Sparkling Model'!D$2:D$38^A11429)</f>
        <v>0.9879824118</v>
      </c>
    </row>
    <row r="11430">
      <c r="A11430" s="6">
        <v>11428.0</v>
      </c>
      <c r="B11430" s="17">
        <f t="array" ref="B11430">SUM(1-'Sparkling Model'!D$2:D$38^A11430)</f>
        <v>36.98793726</v>
      </c>
      <c r="C11430" s="8">
        <f t="array" ref="C11430">PRODUCT(1-'Sparkling Model'!D$2:D$38^A11430)</f>
        <v>0.9879883739</v>
      </c>
    </row>
    <row r="11431">
      <c r="A11431" s="6">
        <v>11429.0</v>
      </c>
      <c r="B11431" s="17">
        <f t="array" ref="B11431">SUM(1-'Sparkling Model'!D$2:D$38^A11431)</f>
        <v>36.98794327</v>
      </c>
      <c r="C11431" s="8">
        <f t="array" ref="C11431">PRODUCT(1-'Sparkling Model'!D$2:D$38^A11431)</f>
        <v>0.9879943331</v>
      </c>
    </row>
    <row r="11432">
      <c r="A11432" s="6">
        <v>11430.0</v>
      </c>
      <c r="B11432" s="17">
        <f t="array" ref="B11432">SUM(1-'Sparkling Model'!D$2:D$38^A11432)</f>
        <v>36.98794928</v>
      </c>
      <c r="C11432" s="8">
        <f t="array" ref="C11432">PRODUCT(1-'Sparkling Model'!D$2:D$38^A11432)</f>
        <v>0.9880002893</v>
      </c>
    </row>
    <row r="11433">
      <c r="A11433" s="6">
        <v>11431.0</v>
      </c>
      <c r="B11433" s="17">
        <f t="array" ref="B11433">SUM(1-'Sparkling Model'!D$2:D$38^A11433)</f>
        <v>36.98795528</v>
      </c>
      <c r="C11433" s="8">
        <f t="array" ref="C11433">PRODUCT(1-'Sparkling Model'!D$2:D$38^A11433)</f>
        <v>0.9880062425</v>
      </c>
    </row>
    <row r="11434">
      <c r="A11434" s="6">
        <v>11432.0</v>
      </c>
      <c r="B11434" s="17">
        <f t="array" ref="B11434">SUM(1-'Sparkling Model'!D$2:D$38^A11434)</f>
        <v>36.98796128</v>
      </c>
      <c r="C11434" s="8">
        <f t="array" ref="C11434">PRODUCT(1-'Sparkling Model'!D$2:D$38^A11434)</f>
        <v>0.9880121928</v>
      </c>
    </row>
    <row r="11435">
      <c r="A11435" s="6">
        <v>11433.0</v>
      </c>
      <c r="B11435" s="17">
        <f t="array" ref="B11435">SUM(1-'Sparkling Model'!D$2:D$38^A11435)</f>
        <v>36.98796728</v>
      </c>
      <c r="C11435" s="8">
        <f t="array" ref="C11435">PRODUCT(1-'Sparkling Model'!D$2:D$38^A11435)</f>
        <v>0.9880181401</v>
      </c>
    </row>
    <row r="11436">
      <c r="A11436" s="6">
        <v>11434.0</v>
      </c>
      <c r="B11436" s="17">
        <f t="array" ref="B11436">SUM(1-'Sparkling Model'!D$2:D$38^A11436)</f>
        <v>36.98797328</v>
      </c>
      <c r="C11436" s="8">
        <f t="array" ref="C11436">PRODUCT(1-'Sparkling Model'!D$2:D$38^A11436)</f>
        <v>0.9880240844</v>
      </c>
    </row>
    <row r="11437">
      <c r="A11437" s="6">
        <v>11435.0</v>
      </c>
      <c r="B11437" s="17">
        <f t="array" ref="B11437">SUM(1-'Sparkling Model'!D$2:D$38^A11437)</f>
        <v>36.98797927</v>
      </c>
      <c r="C11437" s="8">
        <f t="array" ref="C11437">PRODUCT(1-'Sparkling Model'!D$2:D$38^A11437)</f>
        <v>0.9880300258</v>
      </c>
    </row>
    <row r="11438">
      <c r="A11438" s="6">
        <v>11436.0</v>
      </c>
      <c r="B11438" s="17">
        <f t="array" ref="B11438">SUM(1-'Sparkling Model'!D$2:D$38^A11438)</f>
        <v>36.98798526</v>
      </c>
      <c r="C11438" s="8">
        <f t="array" ref="C11438">PRODUCT(1-'Sparkling Model'!D$2:D$38^A11438)</f>
        <v>0.9880359642</v>
      </c>
    </row>
    <row r="11439">
      <c r="A11439" s="6">
        <v>11437.0</v>
      </c>
      <c r="B11439" s="17">
        <f t="array" ref="B11439">SUM(1-'Sparkling Model'!D$2:D$38^A11439)</f>
        <v>36.98799124</v>
      </c>
      <c r="C11439" s="8">
        <f t="array" ref="C11439">PRODUCT(1-'Sparkling Model'!D$2:D$38^A11439)</f>
        <v>0.9880418997</v>
      </c>
    </row>
    <row r="11440">
      <c r="A11440" s="6">
        <v>11438.0</v>
      </c>
      <c r="B11440" s="17">
        <f t="array" ref="B11440">SUM(1-'Sparkling Model'!D$2:D$38^A11440)</f>
        <v>36.98799723</v>
      </c>
      <c r="C11440" s="8">
        <f t="array" ref="C11440">PRODUCT(1-'Sparkling Model'!D$2:D$38^A11440)</f>
        <v>0.9880478322</v>
      </c>
    </row>
    <row r="11441">
      <c r="A11441" s="6">
        <v>11439.0</v>
      </c>
      <c r="B11441" s="17">
        <f t="array" ref="B11441">SUM(1-'Sparkling Model'!D$2:D$38^A11441)</f>
        <v>36.98800321</v>
      </c>
      <c r="C11441" s="8">
        <f t="array" ref="C11441">PRODUCT(1-'Sparkling Model'!D$2:D$38^A11441)</f>
        <v>0.9880537618</v>
      </c>
    </row>
    <row r="11442">
      <c r="A11442" s="6">
        <v>11440.0</v>
      </c>
      <c r="B11442" s="17">
        <f t="array" ref="B11442">SUM(1-'Sparkling Model'!D$2:D$38^A11442)</f>
        <v>36.98800919</v>
      </c>
      <c r="C11442" s="8">
        <f t="array" ref="C11442">PRODUCT(1-'Sparkling Model'!D$2:D$38^A11442)</f>
        <v>0.9880596884</v>
      </c>
    </row>
    <row r="11443">
      <c r="A11443" s="6">
        <v>11441.0</v>
      </c>
      <c r="B11443" s="17">
        <f t="array" ref="B11443">SUM(1-'Sparkling Model'!D$2:D$38^A11443)</f>
        <v>36.98801516</v>
      </c>
      <c r="C11443" s="8">
        <f t="array" ref="C11443">PRODUCT(1-'Sparkling Model'!D$2:D$38^A11443)</f>
        <v>0.9880656121</v>
      </c>
    </row>
    <row r="11444">
      <c r="A11444" s="6">
        <v>11442.0</v>
      </c>
      <c r="B11444" s="17">
        <f t="array" ref="B11444">SUM(1-'Sparkling Model'!D$2:D$38^A11444)</f>
        <v>36.98802113</v>
      </c>
      <c r="C11444" s="8">
        <f t="array" ref="C11444">PRODUCT(1-'Sparkling Model'!D$2:D$38^A11444)</f>
        <v>0.9880715328</v>
      </c>
    </row>
    <row r="11445">
      <c r="A11445" s="6">
        <v>11443.0</v>
      </c>
      <c r="B11445" s="17">
        <f t="array" ref="B11445">SUM(1-'Sparkling Model'!D$2:D$38^A11445)</f>
        <v>36.9880271</v>
      </c>
      <c r="C11445" s="8">
        <f t="array" ref="C11445">PRODUCT(1-'Sparkling Model'!D$2:D$38^A11445)</f>
        <v>0.9880774506</v>
      </c>
    </row>
    <row r="11446">
      <c r="A11446" s="6">
        <v>11444.0</v>
      </c>
      <c r="B11446" s="17">
        <f t="array" ref="B11446">SUM(1-'Sparkling Model'!D$2:D$38^A11446)</f>
        <v>36.98803306</v>
      </c>
      <c r="C11446" s="8">
        <f t="array" ref="C11446">PRODUCT(1-'Sparkling Model'!D$2:D$38^A11446)</f>
        <v>0.9880833654</v>
      </c>
    </row>
    <row r="11447">
      <c r="A11447" s="6">
        <v>11445.0</v>
      </c>
      <c r="B11447" s="17">
        <f t="array" ref="B11447">SUM(1-'Sparkling Model'!D$2:D$38^A11447)</f>
        <v>36.98803903</v>
      </c>
      <c r="C11447" s="8">
        <f t="array" ref="C11447">PRODUCT(1-'Sparkling Model'!D$2:D$38^A11447)</f>
        <v>0.9880892773</v>
      </c>
    </row>
    <row r="11448">
      <c r="A11448" s="6">
        <v>11446.0</v>
      </c>
      <c r="B11448" s="17">
        <f t="array" ref="B11448">SUM(1-'Sparkling Model'!D$2:D$38^A11448)</f>
        <v>36.98804499</v>
      </c>
      <c r="C11448" s="8">
        <f t="array" ref="C11448">PRODUCT(1-'Sparkling Model'!D$2:D$38^A11448)</f>
        <v>0.9880951863</v>
      </c>
    </row>
    <row r="11449">
      <c r="A11449" s="6">
        <v>11447.0</v>
      </c>
      <c r="B11449" s="17">
        <f t="array" ref="B11449">SUM(1-'Sparkling Model'!D$2:D$38^A11449)</f>
        <v>36.98805094</v>
      </c>
      <c r="C11449" s="8">
        <f t="array" ref="C11449">PRODUCT(1-'Sparkling Model'!D$2:D$38^A11449)</f>
        <v>0.9881010923</v>
      </c>
    </row>
    <row r="11450">
      <c r="A11450" s="6">
        <v>11448.0</v>
      </c>
      <c r="B11450" s="17">
        <f t="array" ref="B11450">SUM(1-'Sparkling Model'!D$2:D$38^A11450)</f>
        <v>36.9880569</v>
      </c>
      <c r="C11450" s="8">
        <f t="array" ref="C11450">PRODUCT(1-'Sparkling Model'!D$2:D$38^A11450)</f>
        <v>0.9881069954</v>
      </c>
    </row>
    <row r="11451">
      <c r="A11451" s="6">
        <v>11449.0</v>
      </c>
      <c r="B11451" s="17">
        <f t="array" ref="B11451">SUM(1-'Sparkling Model'!D$2:D$38^A11451)</f>
        <v>36.98806285</v>
      </c>
      <c r="C11451" s="8">
        <f t="array" ref="C11451">PRODUCT(1-'Sparkling Model'!D$2:D$38^A11451)</f>
        <v>0.9881128955</v>
      </c>
    </row>
    <row r="11452">
      <c r="A11452" s="6">
        <v>11450.0</v>
      </c>
      <c r="B11452" s="17">
        <f t="array" ref="B11452">SUM(1-'Sparkling Model'!D$2:D$38^A11452)</f>
        <v>36.98806879</v>
      </c>
      <c r="C11452" s="8">
        <f t="array" ref="C11452">PRODUCT(1-'Sparkling Model'!D$2:D$38^A11452)</f>
        <v>0.9881187927</v>
      </c>
    </row>
    <row r="11453">
      <c r="A11453" s="6">
        <v>11451.0</v>
      </c>
      <c r="B11453" s="17">
        <f t="array" ref="B11453">SUM(1-'Sparkling Model'!D$2:D$38^A11453)</f>
        <v>36.98807474</v>
      </c>
      <c r="C11453" s="8">
        <f t="array" ref="C11453">PRODUCT(1-'Sparkling Model'!D$2:D$38^A11453)</f>
        <v>0.988124687</v>
      </c>
    </row>
    <row r="11454">
      <c r="A11454" s="6">
        <v>11452.0</v>
      </c>
      <c r="B11454" s="17">
        <f t="array" ref="B11454">SUM(1-'Sparkling Model'!D$2:D$38^A11454)</f>
        <v>36.98808068</v>
      </c>
      <c r="C11454" s="8">
        <f t="array" ref="C11454">PRODUCT(1-'Sparkling Model'!D$2:D$38^A11454)</f>
        <v>0.9881305783</v>
      </c>
    </row>
    <row r="11455">
      <c r="A11455" s="6">
        <v>11453.0</v>
      </c>
      <c r="B11455" s="17">
        <f t="array" ref="B11455">SUM(1-'Sparkling Model'!D$2:D$38^A11455)</f>
        <v>36.98808662</v>
      </c>
      <c r="C11455" s="8">
        <f t="array" ref="C11455">PRODUCT(1-'Sparkling Model'!D$2:D$38^A11455)</f>
        <v>0.9881364667</v>
      </c>
    </row>
    <row r="11456">
      <c r="A11456" s="6">
        <v>11454.0</v>
      </c>
      <c r="B11456" s="17">
        <f t="array" ref="B11456">SUM(1-'Sparkling Model'!D$2:D$38^A11456)</f>
        <v>36.98809255</v>
      </c>
      <c r="C11456" s="8">
        <f t="array" ref="C11456">PRODUCT(1-'Sparkling Model'!D$2:D$38^A11456)</f>
        <v>0.9881423522</v>
      </c>
    </row>
    <row r="11457">
      <c r="A11457" s="6">
        <v>11455.0</v>
      </c>
      <c r="B11457" s="17">
        <f t="array" ref="B11457">SUM(1-'Sparkling Model'!D$2:D$38^A11457)</f>
        <v>36.98809849</v>
      </c>
      <c r="C11457" s="8">
        <f t="array" ref="C11457">PRODUCT(1-'Sparkling Model'!D$2:D$38^A11457)</f>
        <v>0.9881482347</v>
      </c>
    </row>
    <row r="11458">
      <c r="A11458" s="6">
        <v>11456.0</v>
      </c>
      <c r="B11458" s="17">
        <f t="array" ref="B11458">SUM(1-'Sparkling Model'!D$2:D$38^A11458)</f>
        <v>36.98810441</v>
      </c>
      <c r="C11458" s="8">
        <f t="array" ref="C11458">PRODUCT(1-'Sparkling Model'!D$2:D$38^A11458)</f>
        <v>0.9881541143</v>
      </c>
    </row>
    <row r="11459">
      <c r="A11459" s="6">
        <v>11457.0</v>
      </c>
      <c r="B11459" s="17">
        <f t="array" ref="B11459">SUM(1-'Sparkling Model'!D$2:D$38^A11459)</f>
        <v>36.98811034</v>
      </c>
      <c r="C11459" s="8">
        <f t="array" ref="C11459">PRODUCT(1-'Sparkling Model'!D$2:D$38^A11459)</f>
        <v>0.988159991</v>
      </c>
    </row>
    <row r="11460">
      <c r="A11460" s="6">
        <v>11458.0</v>
      </c>
      <c r="B11460" s="17">
        <f t="array" ref="B11460">SUM(1-'Sparkling Model'!D$2:D$38^A11460)</f>
        <v>36.98811626</v>
      </c>
      <c r="C11460" s="8">
        <f t="array" ref="C11460">PRODUCT(1-'Sparkling Model'!D$2:D$38^A11460)</f>
        <v>0.9881658648</v>
      </c>
    </row>
    <row r="11461">
      <c r="A11461" s="6">
        <v>11459.0</v>
      </c>
      <c r="B11461" s="17">
        <f t="array" ref="B11461">SUM(1-'Sparkling Model'!D$2:D$38^A11461)</f>
        <v>36.98812219</v>
      </c>
      <c r="C11461" s="8">
        <f t="array" ref="C11461">PRODUCT(1-'Sparkling Model'!D$2:D$38^A11461)</f>
        <v>0.9881717356</v>
      </c>
    </row>
    <row r="11462">
      <c r="A11462" s="6">
        <v>11460.0</v>
      </c>
      <c r="B11462" s="17">
        <f t="array" ref="B11462">SUM(1-'Sparkling Model'!D$2:D$38^A11462)</f>
        <v>36.9881281</v>
      </c>
      <c r="C11462" s="8">
        <f t="array" ref="C11462">PRODUCT(1-'Sparkling Model'!D$2:D$38^A11462)</f>
        <v>0.9881776036</v>
      </c>
    </row>
    <row r="11463">
      <c r="A11463" s="6">
        <v>11461.0</v>
      </c>
      <c r="B11463" s="17">
        <f t="array" ref="B11463">SUM(1-'Sparkling Model'!D$2:D$38^A11463)</f>
        <v>36.98813402</v>
      </c>
      <c r="C11463" s="8">
        <f t="array" ref="C11463">PRODUCT(1-'Sparkling Model'!D$2:D$38^A11463)</f>
        <v>0.9881834686</v>
      </c>
    </row>
    <row r="11464">
      <c r="A11464" s="6">
        <v>11462.0</v>
      </c>
      <c r="B11464" s="17">
        <f t="array" ref="B11464">SUM(1-'Sparkling Model'!D$2:D$38^A11464)</f>
        <v>36.98813993</v>
      </c>
      <c r="C11464" s="8">
        <f t="array" ref="C11464">PRODUCT(1-'Sparkling Model'!D$2:D$38^A11464)</f>
        <v>0.9881893306</v>
      </c>
    </row>
    <row r="11465">
      <c r="A11465" s="6">
        <v>11463.0</v>
      </c>
      <c r="B11465" s="17">
        <f t="array" ref="B11465">SUM(1-'Sparkling Model'!D$2:D$38^A11465)</f>
        <v>36.98814584</v>
      </c>
      <c r="C11465" s="8">
        <f t="array" ref="C11465">PRODUCT(1-'Sparkling Model'!D$2:D$38^A11465)</f>
        <v>0.9881951898</v>
      </c>
    </row>
    <row r="11466">
      <c r="A11466" s="6">
        <v>11464.0</v>
      </c>
      <c r="B11466" s="17">
        <f t="array" ref="B11466">SUM(1-'Sparkling Model'!D$2:D$38^A11466)</f>
        <v>36.98815174</v>
      </c>
      <c r="C11466" s="8">
        <f t="array" ref="C11466">PRODUCT(1-'Sparkling Model'!D$2:D$38^A11466)</f>
        <v>0.9882010461</v>
      </c>
    </row>
    <row r="11467">
      <c r="A11467" s="6">
        <v>11465.0</v>
      </c>
      <c r="B11467" s="17">
        <f t="array" ref="B11467">SUM(1-'Sparkling Model'!D$2:D$38^A11467)</f>
        <v>36.98815765</v>
      </c>
      <c r="C11467" s="8">
        <f t="array" ref="C11467">PRODUCT(1-'Sparkling Model'!D$2:D$38^A11467)</f>
        <v>0.9882068994</v>
      </c>
    </row>
    <row r="11468">
      <c r="A11468" s="6">
        <v>11466.0</v>
      </c>
      <c r="B11468" s="17">
        <f t="array" ref="B11468">SUM(1-'Sparkling Model'!D$2:D$38^A11468)</f>
        <v>36.98816355</v>
      </c>
      <c r="C11468" s="8">
        <f t="array" ref="C11468">PRODUCT(1-'Sparkling Model'!D$2:D$38^A11468)</f>
        <v>0.9882127498</v>
      </c>
    </row>
    <row r="11469">
      <c r="A11469" s="6">
        <v>11467.0</v>
      </c>
      <c r="B11469" s="17">
        <f t="array" ref="B11469">SUM(1-'Sparkling Model'!D$2:D$38^A11469)</f>
        <v>36.98816944</v>
      </c>
      <c r="C11469" s="8">
        <f t="array" ref="C11469">PRODUCT(1-'Sparkling Model'!D$2:D$38^A11469)</f>
        <v>0.9882185973</v>
      </c>
    </row>
    <row r="11470">
      <c r="A11470" s="6">
        <v>11468.0</v>
      </c>
      <c r="B11470" s="17">
        <f t="array" ref="B11470">SUM(1-'Sparkling Model'!D$2:D$38^A11470)</f>
        <v>36.98817534</v>
      </c>
      <c r="C11470" s="8">
        <f t="array" ref="C11470">PRODUCT(1-'Sparkling Model'!D$2:D$38^A11470)</f>
        <v>0.9882244419</v>
      </c>
    </row>
    <row r="11471">
      <c r="A11471" s="6">
        <v>11469.0</v>
      </c>
      <c r="B11471" s="17">
        <f t="array" ref="B11471">SUM(1-'Sparkling Model'!D$2:D$38^A11471)</f>
        <v>36.98818123</v>
      </c>
      <c r="C11471" s="8">
        <f t="array" ref="C11471">PRODUCT(1-'Sparkling Model'!D$2:D$38^A11471)</f>
        <v>0.9882302836</v>
      </c>
    </row>
    <row r="11472">
      <c r="A11472" s="6">
        <v>11470.0</v>
      </c>
      <c r="B11472" s="17">
        <f t="array" ref="B11472">SUM(1-'Sparkling Model'!D$2:D$38^A11472)</f>
        <v>36.98818712</v>
      </c>
      <c r="C11472" s="8">
        <f t="array" ref="C11472">PRODUCT(1-'Sparkling Model'!D$2:D$38^A11472)</f>
        <v>0.9882361224</v>
      </c>
    </row>
    <row r="11473">
      <c r="A11473" s="6">
        <v>11471.0</v>
      </c>
      <c r="B11473" s="17">
        <f t="array" ref="B11473">SUM(1-'Sparkling Model'!D$2:D$38^A11473)</f>
        <v>36.988193</v>
      </c>
      <c r="C11473" s="8">
        <f t="array" ref="C11473">PRODUCT(1-'Sparkling Model'!D$2:D$38^A11473)</f>
        <v>0.9882419583</v>
      </c>
    </row>
    <row r="11474">
      <c r="A11474" s="6">
        <v>11472.0</v>
      </c>
      <c r="B11474" s="17">
        <f t="array" ref="B11474">SUM(1-'Sparkling Model'!D$2:D$38^A11474)</f>
        <v>36.98819888</v>
      </c>
      <c r="C11474" s="8">
        <f t="array" ref="C11474">PRODUCT(1-'Sparkling Model'!D$2:D$38^A11474)</f>
        <v>0.9882477913</v>
      </c>
    </row>
    <row r="11475">
      <c r="A11475" s="6">
        <v>11473.0</v>
      </c>
      <c r="B11475" s="17">
        <f t="array" ref="B11475">SUM(1-'Sparkling Model'!D$2:D$38^A11475)</f>
        <v>36.98820476</v>
      </c>
      <c r="C11475" s="8">
        <f t="array" ref="C11475">PRODUCT(1-'Sparkling Model'!D$2:D$38^A11475)</f>
        <v>0.9882536214</v>
      </c>
    </row>
    <row r="11476">
      <c r="A11476" s="6">
        <v>11474.0</v>
      </c>
      <c r="B11476" s="17">
        <f t="array" ref="B11476">SUM(1-'Sparkling Model'!D$2:D$38^A11476)</f>
        <v>36.98821064</v>
      </c>
      <c r="C11476" s="8">
        <f t="array" ref="C11476">PRODUCT(1-'Sparkling Model'!D$2:D$38^A11476)</f>
        <v>0.9882594486</v>
      </c>
    </row>
    <row r="11477">
      <c r="A11477" s="6">
        <v>11475.0</v>
      </c>
      <c r="B11477" s="17">
        <f t="array" ref="B11477">SUM(1-'Sparkling Model'!D$2:D$38^A11477)</f>
        <v>36.98821651</v>
      </c>
      <c r="C11477" s="8">
        <f t="array" ref="C11477">PRODUCT(1-'Sparkling Model'!D$2:D$38^A11477)</f>
        <v>0.9882652728</v>
      </c>
    </row>
    <row r="11478">
      <c r="A11478" s="6">
        <v>11476.0</v>
      </c>
      <c r="B11478" s="17">
        <f t="array" ref="B11478">SUM(1-'Sparkling Model'!D$2:D$38^A11478)</f>
        <v>36.98822238</v>
      </c>
      <c r="C11478" s="8">
        <f t="array" ref="C11478">PRODUCT(1-'Sparkling Model'!D$2:D$38^A11478)</f>
        <v>0.9882710942</v>
      </c>
    </row>
    <row r="11479">
      <c r="A11479" s="6">
        <v>11477.0</v>
      </c>
      <c r="B11479" s="17">
        <f t="array" ref="B11479">SUM(1-'Sparkling Model'!D$2:D$38^A11479)</f>
        <v>36.98822825</v>
      </c>
      <c r="C11479" s="8">
        <f t="array" ref="C11479">PRODUCT(1-'Sparkling Model'!D$2:D$38^A11479)</f>
        <v>0.9882769127</v>
      </c>
    </row>
    <row r="11480">
      <c r="A11480" s="6">
        <v>11478.0</v>
      </c>
      <c r="B11480" s="17">
        <f t="array" ref="B11480">SUM(1-'Sparkling Model'!D$2:D$38^A11480)</f>
        <v>36.98823411</v>
      </c>
      <c r="C11480" s="8">
        <f t="array" ref="C11480">PRODUCT(1-'Sparkling Model'!D$2:D$38^A11480)</f>
        <v>0.9882827283</v>
      </c>
    </row>
    <row r="11481">
      <c r="A11481" s="6">
        <v>11479.0</v>
      </c>
      <c r="B11481" s="17">
        <f t="array" ref="B11481">SUM(1-'Sparkling Model'!D$2:D$38^A11481)</f>
        <v>36.98823997</v>
      </c>
      <c r="C11481" s="8">
        <f t="array" ref="C11481">PRODUCT(1-'Sparkling Model'!D$2:D$38^A11481)</f>
        <v>0.988288541</v>
      </c>
    </row>
    <row r="11482">
      <c r="A11482" s="6">
        <v>11480.0</v>
      </c>
      <c r="B11482" s="17">
        <f t="array" ref="B11482">SUM(1-'Sparkling Model'!D$2:D$38^A11482)</f>
        <v>36.98824583</v>
      </c>
      <c r="C11482" s="8">
        <f t="array" ref="C11482">PRODUCT(1-'Sparkling Model'!D$2:D$38^A11482)</f>
        <v>0.9882943508</v>
      </c>
    </row>
    <row r="11483">
      <c r="A11483" s="6">
        <v>11481.0</v>
      </c>
      <c r="B11483" s="17">
        <f t="array" ref="B11483">SUM(1-'Sparkling Model'!D$2:D$38^A11483)</f>
        <v>36.98825169</v>
      </c>
      <c r="C11483" s="8">
        <f t="array" ref="C11483">PRODUCT(1-'Sparkling Model'!D$2:D$38^A11483)</f>
        <v>0.9883001577</v>
      </c>
    </row>
    <row r="11484">
      <c r="A11484" s="6">
        <v>11482.0</v>
      </c>
      <c r="B11484" s="17">
        <f t="array" ref="B11484">SUM(1-'Sparkling Model'!D$2:D$38^A11484)</f>
        <v>36.98825754</v>
      </c>
      <c r="C11484" s="8">
        <f t="array" ref="C11484">PRODUCT(1-'Sparkling Model'!D$2:D$38^A11484)</f>
        <v>0.9883059617</v>
      </c>
    </row>
    <row r="11485">
      <c r="A11485" s="6">
        <v>11483.0</v>
      </c>
      <c r="B11485" s="17">
        <f t="array" ref="B11485">SUM(1-'Sparkling Model'!D$2:D$38^A11485)</f>
        <v>36.98826339</v>
      </c>
      <c r="C11485" s="8">
        <f t="array" ref="C11485">PRODUCT(1-'Sparkling Model'!D$2:D$38^A11485)</f>
        <v>0.9883117629</v>
      </c>
    </row>
    <row r="11486">
      <c r="A11486" s="6">
        <v>11484.0</v>
      </c>
      <c r="B11486" s="17">
        <f t="array" ref="B11486">SUM(1-'Sparkling Model'!D$2:D$38^A11486)</f>
        <v>36.98826924</v>
      </c>
      <c r="C11486" s="8">
        <f t="array" ref="C11486">PRODUCT(1-'Sparkling Model'!D$2:D$38^A11486)</f>
        <v>0.9883175611</v>
      </c>
    </row>
    <row r="11487">
      <c r="A11487" s="6">
        <v>11485.0</v>
      </c>
      <c r="B11487" s="17">
        <f t="array" ref="B11487">SUM(1-'Sparkling Model'!D$2:D$38^A11487)</f>
        <v>36.98827508</v>
      </c>
      <c r="C11487" s="8">
        <f t="array" ref="C11487">PRODUCT(1-'Sparkling Model'!D$2:D$38^A11487)</f>
        <v>0.9883233565</v>
      </c>
    </row>
    <row r="11488">
      <c r="A11488" s="6">
        <v>11486.0</v>
      </c>
      <c r="B11488" s="17">
        <f t="array" ref="B11488">SUM(1-'Sparkling Model'!D$2:D$38^A11488)</f>
        <v>36.98828092</v>
      </c>
      <c r="C11488" s="8">
        <f t="array" ref="C11488">PRODUCT(1-'Sparkling Model'!D$2:D$38^A11488)</f>
        <v>0.988329149</v>
      </c>
    </row>
    <row r="11489">
      <c r="A11489" s="6">
        <v>11487.0</v>
      </c>
      <c r="B11489" s="17">
        <f t="array" ref="B11489">SUM(1-'Sparkling Model'!D$2:D$38^A11489)</f>
        <v>36.98828676</v>
      </c>
      <c r="C11489" s="8">
        <f t="array" ref="C11489">PRODUCT(1-'Sparkling Model'!D$2:D$38^A11489)</f>
        <v>0.9883349386</v>
      </c>
    </row>
    <row r="11490">
      <c r="A11490" s="6">
        <v>11488.0</v>
      </c>
      <c r="B11490" s="17">
        <f t="array" ref="B11490">SUM(1-'Sparkling Model'!D$2:D$38^A11490)</f>
        <v>36.9882926</v>
      </c>
      <c r="C11490" s="8">
        <f t="array" ref="C11490">PRODUCT(1-'Sparkling Model'!D$2:D$38^A11490)</f>
        <v>0.9883407253</v>
      </c>
    </row>
    <row r="11491">
      <c r="A11491" s="6">
        <v>11489.0</v>
      </c>
      <c r="B11491" s="17">
        <f t="array" ref="B11491">SUM(1-'Sparkling Model'!D$2:D$38^A11491)</f>
        <v>36.98829843</v>
      </c>
      <c r="C11491" s="8">
        <f t="array" ref="C11491">PRODUCT(1-'Sparkling Model'!D$2:D$38^A11491)</f>
        <v>0.9883465091</v>
      </c>
    </row>
    <row r="11492">
      <c r="A11492" s="6">
        <v>11490.0</v>
      </c>
      <c r="B11492" s="17">
        <f t="array" ref="B11492">SUM(1-'Sparkling Model'!D$2:D$38^A11492)</f>
        <v>36.98830426</v>
      </c>
      <c r="C11492" s="8">
        <f t="array" ref="C11492">PRODUCT(1-'Sparkling Model'!D$2:D$38^A11492)</f>
        <v>0.9883522901</v>
      </c>
    </row>
    <row r="11493">
      <c r="A11493" s="6">
        <v>11491.0</v>
      </c>
      <c r="B11493" s="17">
        <f t="array" ref="B11493">SUM(1-'Sparkling Model'!D$2:D$38^A11493)</f>
        <v>36.98831008</v>
      </c>
      <c r="C11493" s="8">
        <f t="array" ref="C11493">PRODUCT(1-'Sparkling Model'!D$2:D$38^A11493)</f>
        <v>0.9883580682</v>
      </c>
    </row>
    <row r="11494">
      <c r="A11494" s="6">
        <v>11492.0</v>
      </c>
      <c r="B11494" s="17">
        <f t="array" ref="B11494">SUM(1-'Sparkling Model'!D$2:D$38^A11494)</f>
        <v>36.98831591</v>
      </c>
      <c r="C11494" s="8">
        <f t="array" ref="C11494">PRODUCT(1-'Sparkling Model'!D$2:D$38^A11494)</f>
        <v>0.9883638434</v>
      </c>
    </row>
    <row r="11495">
      <c r="A11495" s="6">
        <v>11493.0</v>
      </c>
      <c r="B11495" s="17">
        <f t="array" ref="B11495">SUM(1-'Sparkling Model'!D$2:D$38^A11495)</f>
        <v>36.98832173</v>
      </c>
      <c r="C11495" s="8">
        <f t="array" ref="C11495">PRODUCT(1-'Sparkling Model'!D$2:D$38^A11495)</f>
        <v>0.9883696158</v>
      </c>
    </row>
    <row r="11496">
      <c r="A11496" s="6">
        <v>11494.0</v>
      </c>
      <c r="B11496" s="17">
        <f t="array" ref="B11496">SUM(1-'Sparkling Model'!D$2:D$38^A11496)</f>
        <v>36.98832754</v>
      </c>
      <c r="C11496" s="8">
        <f t="array" ref="C11496">PRODUCT(1-'Sparkling Model'!D$2:D$38^A11496)</f>
        <v>0.9883753852</v>
      </c>
    </row>
    <row r="11497">
      <c r="A11497" s="6">
        <v>11495.0</v>
      </c>
      <c r="B11497" s="17">
        <f t="array" ref="B11497">SUM(1-'Sparkling Model'!D$2:D$38^A11497)</f>
        <v>36.98833336</v>
      </c>
      <c r="C11497" s="8">
        <f t="array" ref="C11497">PRODUCT(1-'Sparkling Model'!D$2:D$38^A11497)</f>
        <v>0.9883811518</v>
      </c>
    </row>
    <row r="11498">
      <c r="A11498" s="6">
        <v>11496.0</v>
      </c>
      <c r="B11498" s="17">
        <f t="array" ref="B11498">SUM(1-'Sparkling Model'!D$2:D$38^A11498)</f>
        <v>36.98833917</v>
      </c>
      <c r="C11498" s="8">
        <f t="array" ref="C11498">PRODUCT(1-'Sparkling Model'!D$2:D$38^A11498)</f>
        <v>0.9883869155</v>
      </c>
    </row>
    <row r="11499">
      <c r="A11499" s="6">
        <v>11497.0</v>
      </c>
      <c r="B11499" s="17">
        <f t="array" ref="B11499">SUM(1-'Sparkling Model'!D$2:D$38^A11499)</f>
        <v>36.98834498</v>
      </c>
      <c r="C11499" s="8">
        <f t="array" ref="C11499">PRODUCT(1-'Sparkling Model'!D$2:D$38^A11499)</f>
        <v>0.9883926764</v>
      </c>
    </row>
    <row r="11500">
      <c r="A11500" s="6">
        <v>11498.0</v>
      </c>
      <c r="B11500" s="17">
        <f t="array" ref="B11500">SUM(1-'Sparkling Model'!D$2:D$38^A11500)</f>
        <v>36.98835078</v>
      </c>
      <c r="C11500" s="8">
        <f t="array" ref="C11500">PRODUCT(1-'Sparkling Model'!D$2:D$38^A11500)</f>
        <v>0.9883984344</v>
      </c>
    </row>
    <row r="11501">
      <c r="A11501" s="6">
        <v>11499.0</v>
      </c>
      <c r="B11501" s="17">
        <f t="array" ref="B11501">SUM(1-'Sparkling Model'!D$2:D$38^A11501)</f>
        <v>36.98835659</v>
      </c>
      <c r="C11501" s="8">
        <f t="array" ref="C11501">PRODUCT(1-'Sparkling Model'!D$2:D$38^A11501)</f>
        <v>0.9884041895</v>
      </c>
    </row>
    <row r="11502">
      <c r="A11502" s="6">
        <v>11500.0</v>
      </c>
      <c r="B11502" s="17">
        <f t="array" ref="B11502">SUM(1-'Sparkling Model'!D$2:D$38^A11502)</f>
        <v>36.98836239</v>
      </c>
      <c r="C11502" s="8">
        <f t="array" ref="C11502">PRODUCT(1-'Sparkling Model'!D$2:D$38^A11502)</f>
        <v>0.9884099418</v>
      </c>
    </row>
    <row r="11503">
      <c r="A11503" s="6">
        <v>11501.0</v>
      </c>
      <c r="B11503" s="17">
        <f t="array" ref="B11503">SUM(1-'Sparkling Model'!D$2:D$38^A11503)</f>
        <v>36.98836818</v>
      </c>
      <c r="C11503" s="8">
        <f t="array" ref="C11503">PRODUCT(1-'Sparkling Model'!D$2:D$38^A11503)</f>
        <v>0.9884156912</v>
      </c>
    </row>
    <row r="11504">
      <c r="A11504" s="6">
        <v>11502.0</v>
      </c>
      <c r="B11504" s="17">
        <f t="array" ref="B11504">SUM(1-'Sparkling Model'!D$2:D$38^A11504)</f>
        <v>36.98837398</v>
      </c>
      <c r="C11504" s="8">
        <f t="array" ref="C11504">PRODUCT(1-'Sparkling Model'!D$2:D$38^A11504)</f>
        <v>0.9884214377</v>
      </c>
    </row>
    <row r="11505">
      <c r="A11505" s="6">
        <v>11503.0</v>
      </c>
      <c r="B11505" s="17">
        <f t="array" ref="B11505">SUM(1-'Sparkling Model'!D$2:D$38^A11505)</f>
        <v>36.98837977</v>
      </c>
      <c r="C11505" s="8">
        <f t="array" ref="C11505">PRODUCT(1-'Sparkling Model'!D$2:D$38^A11505)</f>
        <v>0.9884271814</v>
      </c>
    </row>
    <row r="11506">
      <c r="A11506" s="6">
        <v>11504.0</v>
      </c>
      <c r="B11506" s="17">
        <f t="array" ref="B11506">SUM(1-'Sparkling Model'!D$2:D$38^A11506)</f>
        <v>36.98838556</v>
      </c>
      <c r="C11506" s="8">
        <f t="array" ref="C11506">PRODUCT(1-'Sparkling Model'!D$2:D$38^A11506)</f>
        <v>0.9884329222</v>
      </c>
    </row>
    <row r="11507">
      <c r="A11507" s="6">
        <v>11505.0</v>
      </c>
      <c r="B11507" s="17">
        <f t="array" ref="B11507">SUM(1-'Sparkling Model'!D$2:D$38^A11507)</f>
        <v>36.98839134</v>
      </c>
      <c r="C11507" s="8">
        <f t="array" ref="C11507">PRODUCT(1-'Sparkling Model'!D$2:D$38^A11507)</f>
        <v>0.9884386602</v>
      </c>
    </row>
    <row r="11508">
      <c r="A11508" s="6">
        <v>11506.0</v>
      </c>
      <c r="B11508" s="17">
        <f t="array" ref="B11508">SUM(1-'Sparkling Model'!D$2:D$38^A11508)</f>
        <v>36.98839713</v>
      </c>
      <c r="C11508" s="8">
        <f t="array" ref="C11508">PRODUCT(1-'Sparkling Model'!D$2:D$38^A11508)</f>
        <v>0.9884443953</v>
      </c>
    </row>
    <row r="11509">
      <c r="A11509" s="6">
        <v>11507.0</v>
      </c>
      <c r="B11509" s="17">
        <f t="array" ref="B11509">SUM(1-'Sparkling Model'!D$2:D$38^A11509)</f>
        <v>36.98840291</v>
      </c>
      <c r="C11509" s="8">
        <f t="array" ref="C11509">PRODUCT(1-'Sparkling Model'!D$2:D$38^A11509)</f>
        <v>0.9884501276</v>
      </c>
    </row>
    <row r="11510">
      <c r="A11510" s="6">
        <v>11508.0</v>
      </c>
      <c r="B11510" s="17">
        <f t="array" ref="B11510">SUM(1-'Sparkling Model'!D$2:D$38^A11510)</f>
        <v>36.98840868</v>
      </c>
      <c r="C11510" s="8">
        <f t="array" ref="C11510">PRODUCT(1-'Sparkling Model'!D$2:D$38^A11510)</f>
        <v>0.988455857</v>
      </c>
    </row>
    <row r="11511">
      <c r="A11511" s="6">
        <v>11509.0</v>
      </c>
      <c r="B11511" s="17">
        <f t="array" ref="B11511">SUM(1-'Sparkling Model'!D$2:D$38^A11511)</f>
        <v>36.98841446</v>
      </c>
      <c r="C11511" s="8">
        <f t="array" ref="C11511">PRODUCT(1-'Sparkling Model'!D$2:D$38^A11511)</f>
        <v>0.9884615836</v>
      </c>
    </row>
    <row r="11512">
      <c r="A11512" s="6">
        <v>11510.0</v>
      </c>
      <c r="B11512" s="17">
        <f t="array" ref="B11512">SUM(1-'Sparkling Model'!D$2:D$38^A11512)</f>
        <v>36.98842023</v>
      </c>
      <c r="C11512" s="8">
        <f t="array" ref="C11512">PRODUCT(1-'Sparkling Model'!D$2:D$38^A11512)</f>
        <v>0.9884673073</v>
      </c>
    </row>
    <row r="11513">
      <c r="A11513" s="6">
        <v>11511.0</v>
      </c>
      <c r="B11513" s="17">
        <f t="array" ref="B11513">SUM(1-'Sparkling Model'!D$2:D$38^A11513)</f>
        <v>36.98842599</v>
      </c>
      <c r="C11513" s="8">
        <f t="array" ref="C11513">PRODUCT(1-'Sparkling Model'!D$2:D$38^A11513)</f>
        <v>0.9884730281</v>
      </c>
    </row>
    <row r="11514">
      <c r="A11514" s="6">
        <v>11512.0</v>
      </c>
      <c r="B11514" s="17">
        <f t="array" ref="B11514">SUM(1-'Sparkling Model'!D$2:D$38^A11514)</f>
        <v>36.98843176</v>
      </c>
      <c r="C11514" s="8">
        <f t="array" ref="C11514">PRODUCT(1-'Sparkling Model'!D$2:D$38^A11514)</f>
        <v>0.9884787461</v>
      </c>
    </row>
    <row r="11515">
      <c r="A11515" s="6">
        <v>11513.0</v>
      </c>
      <c r="B11515" s="17">
        <f t="array" ref="B11515">SUM(1-'Sparkling Model'!D$2:D$38^A11515)</f>
        <v>36.98843752</v>
      </c>
      <c r="C11515" s="8">
        <f t="array" ref="C11515">PRODUCT(1-'Sparkling Model'!D$2:D$38^A11515)</f>
        <v>0.9884844613</v>
      </c>
    </row>
    <row r="11516">
      <c r="A11516" s="6">
        <v>11514.0</v>
      </c>
      <c r="B11516" s="17">
        <f t="array" ref="B11516">SUM(1-'Sparkling Model'!D$2:D$38^A11516)</f>
        <v>36.98844328</v>
      </c>
      <c r="C11516" s="8">
        <f t="array" ref="C11516">PRODUCT(1-'Sparkling Model'!D$2:D$38^A11516)</f>
        <v>0.9884901736</v>
      </c>
    </row>
    <row r="11517">
      <c r="A11517" s="6">
        <v>11515.0</v>
      </c>
      <c r="B11517" s="17">
        <f t="array" ref="B11517">SUM(1-'Sparkling Model'!D$2:D$38^A11517)</f>
        <v>36.98844904</v>
      </c>
      <c r="C11517" s="8">
        <f t="array" ref="C11517">PRODUCT(1-'Sparkling Model'!D$2:D$38^A11517)</f>
        <v>0.9884958831</v>
      </c>
    </row>
    <row r="11518">
      <c r="A11518" s="6">
        <v>11516.0</v>
      </c>
      <c r="B11518" s="17">
        <f t="array" ref="B11518">SUM(1-'Sparkling Model'!D$2:D$38^A11518)</f>
        <v>36.98845479</v>
      </c>
      <c r="C11518" s="8">
        <f t="array" ref="C11518">PRODUCT(1-'Sparkling Model'!D$2:D$38^A11518)</f>
        <v>0.9885015898</v>
      </c>
    </row>
    <row r="11519">
      <c r="A11519" s="6">
        <v>11517.0</v>
      </c>
      <c r="B11519" s="17">
        <f t="array" ref="B11519">SUM(1-'Sparkling Model'!D$2:D$38^A11519)</f>
        <v>36.98846054</v>
      </c>
      <c r="C11519" s="8">
        <f t="array" ref="C11519">PRODUCT(1-'Sparkling Model'!D$2:D$38^A11519)</f>
        <v>0.9885072936</v>
      </c>
    </row>
    <row r="11520">
      <c r="A11520" s="6">
        <v>11518.0</v>
      </c>
      <c r="B11520" s="17">
        <f t="array" ref="B11520">SUM(1-'Sparkling Model'!D$2:D$38^A11520)</f>
        <v>36.98846629</v>
      </c>
      <c r="C11520" s="8">
        <f t="array" ref="C11520">PRODUCT(1-'Sparkling Model'!D$2:D$38^A11520)</f>
        <v>0.9885129945</v>
      </c>
    </row>
    <row r="11521">
      <c r="A11521" s="6">
        <v>11519.0</v>
      </c>
      <c r="B11521" s="17">
        <f t="array" ref="B11521">SUM(1-'Sparkling Model'!D$2:D$38^A11521)</f>
        <v>36.98847204</v>
      </c>
      <c r="C11521" s="8">
        <f t="array" ref="C11521">PRODUCT(1-'Sparkling Model'!D$2:D$38^A11521)</f>
        <v>0.9885186927</v>
      </c>
    </row>
    <row r="11522">
      <c r="A11522" s="6">
        <v>11520.0</v>
      </c>
      <c r="B11522" s="17">
        <f t="array" ref="B11522">SUM(1-'Sparkling Model'!D$2:D$38^A11522)</f>
        <v>36.98847778</v>
      </c>
      <c r="C11522" s="8">
        <f t="array" ref="C11522">PRODUCT(1-'Sparkling Model'!D$2:D$38^A11522)</f>
        <v>0.988524388</v>
      </c>
    </row>
    <row r="11523">
      <c r="A11523" s="6">
        <v>11521.0</v>
      </c>
      <c r="B11523" s="17">
        <f t="array" ref="B11523">SUM(1-'Sparkling Model'!D$2:D$38^A11523)</f>
        <v>36.98848352</v>
      </c>
      <c r="C11523" s="8">
        <f t="array" ref="C11523">PRODUCT(1-'Sparkling Model'!D$2:D$38^A11523)</f>
        <v>0.9885300804</v>
      </c>
    </row>
    <row r="11524">
      <c r="A11524" s="6">
        <v>11522.0</v>
      </c>
      <c r="B11524" s="17">
        <f t="array" ref="B11524">SUM(1-'Sparkling Model'!D$2:D$38^A11524)</f>
        <v>36.98848925</v>
      </c>
      <c r="C11524" s="8">
        <f t="array" ref="C11524">PRODUCT(1-'Sparkling Model'!D$2:D$38^A11524)</f>
        <v>0.9885357701</v>
      </c>
    </row>
    <row r="11525">
      <c r="A11525" s="6">
        <v>11523.0</v>
      </c>
      <c r="B11525" s="17">
        <f t="array" ref="B11525">SUM(1-'Sparkling Model'!D$2:D$38^A11525)</f>
        <v>36.98849499</v>
      </c>
      <c r="C11525" s="8">
        <f t="array" ref="C11525">PRODUCT(1-'Sparkling Model'!D$2:D$38^A11525)</f>
        <v>0.9885414569</v>
      </c>
    </row>
    <row r="11526">
      <c r="A11526" s="6">
        <v>11524.0</v>
      </c>
      <c r="B11526" s="17">
        <f t="array" ref="B11526">SUM(1-'Sparkling Model'!D$2:D$38^A11526)</f>
        <v>36.98850072</v>
      </c>
      <c r="C11526" s="8">
        <f t="array" ref="C11526">PRODUCT(1-'Sparkling Model'!D$2:D$38^A11526)</f>
        <v>0.9885471408</v>
      </c>
    </row>
    <row r="11527">
      <c r="A11527" s="6">
        <v>11525.0</v>
      </c>
      <c r="B11527" s="17">
        <f t="array" ref="B11527">SUM(1-'Sparkling Model'!D$2:D$38^A11527)</f>
        <v>36.98850644</v>
      </c>
      <c r="C11527" s="8">
        <f t="array" ref="C11527">PRODUCT(1-'Sparkling Model'!D$2:D$38^A11527)</f>
        <v>0.988552822</v>
      </c>
    </row>
    <row r="11528">
      <c r="A11528" s="6">
        <v>11526.0</v>
      </c>
      <c r="B11528" s="17">
        <f t="array" ref="B11528">SUM(1-'Sparkling Model'!D$2:D$38^A11528)</f>
        <v>36.98851217</v>
      </c>
      <c r="C11528" s="8">
        <f t="array" ref="C11528">PRODUCT(1-'Sparkling Model'!D$2:D$38^A11528)</f>
        <v>0.9885585003</v>
      </c>
    </row>
    <row r="11529">
      <c r="A11529" s="6">
        <v>11527.0</v>
      </c>
      <c r="B11529" s="17">
        <f t="array" ref="B11529">SUM(1-'Sparkling Model'!D$2:D$38^A11529)</f>
        <v>36.98851789</v>
      </c>
      <c r="C11529" s="8">
        <f t="array" ref="C11529">PRODUCT(1-'Sparkling Model'!D$2:D$38^A11529)</f>
        <v>0.9885641758</v>
      </c>
    </row>
    <row r="11530">
      <c r="A11530" s="6">
        <v>11528.0</v>
      </c>
      <c r="B11530" s="17">
        <f t="array" ref="B11530">SUM(1-'Sparkling Model'!D$2:D$38^A11530)</f>
        <v>36.98852361</v>
      </c>
      <c r="C11530" s="8">
        <f t="array" ref="C11530">PRODUCT(1-'Sparkling Model'!D$2:D$38^A11530)</f>
        <v>0.9885698485</v>
      </c>
    </row>
    <row r="11531">
      <c r="A11531" s="6">
        <v>11529.0</v>
      </c>
      <c r="B11531" s="17">
        <f t="array" ref="B11531">SUM(1-'Sparkling Model'!D$2:D$38^A11531)</f>
        <v>36.98852933</v>
      </c>
      <c r="C11531" s="8">
        <f t="array" ref="C11531">PRODUCT(1-'Sparkling Model'!D$2:D$38^A11531)</f>
        <v>0.9885755183</v>
      </c>
    </row>
    <row r="11532">
      <c r="A11532" s="6">
        <v>11530.0</v>
      </c>
      <c r="B11532" s="17">
        <f t="array" ref="B11532">SUM(1-'Sparkling Model'!D$2:D$38^A11532)</f>
        <v>36.98853504</v>
      </c>
      <c r="C11532" s="8">
        <f t="array" ref="C11532">PRODUCT(1-'Sparkling Model'!D$2:D$38^A11532)</f>
        <v>0.9885811853</v>
      </c>
    </row>
    <row r="11533">
      <c r="A11533" s="6">
        <v>11531.0</v>
      </c>
      <c r="B11533" s="17">
        <f t="array" ref="B11533">SUM(1-'Sparkling Model'!D$2:D$38^A11533)</f>
        <v>36.98854075</v>
      </c>
      <c r="C11533" s="8">
        <f t="array" ref="C11533">PRODUCT(1-'Sparkling Model'!D$2:D$38^A11533)</f>
        <v>0.9885868495</v>
      </c>
    </row>
    <row r="11534">
      <c r="A11534" s="6">
        <v>11532.0</v>
      </c>
      <c r="B11534" s="17">
        <f t="array" ref="B11534">SUM(1-'Sparkling Model'!D$2:D$38^A11534)</f>
        <v>36.98854646</v>
      </c>
      <c r="C11534" s="8">
        <f t="array" ref="C11534">PRODUCT(1-'Sparkling Model'!D$2:D$38^A11534)</f>
        <v>0.9885925109</v>
      </c>
    </row>
    <row r="11535">
      <c r="A11535" s="6">
        <v>11533.0</v>
      </c>
      <c r="B11535" s="17">
        <f t="array" ref="B11535">SUM(1-'Sparkling Model'!D$2:D$38^A11535)</f>
        <v>36.98855216</v>
      </c>
      <c r="C11535" s="8">
        <f t="array" ref="C11535">PRODUCT(1-'Sparkling Model'!D$2:D$38^A11535)</f>
        <v>0.9885981695</v>
      </c>
    </row>
    <row r="11536">
      <c r="A11536" s="6">
        <v>11534.0</v>
      </c>
      <c r="B11536" s="17">
        <f t="array" ref="B11536">SUM(1-'Sparkling Model'!D$2:D$38^A11536)</f>
        <v>36.98855786</v>
      </c>
      <c r="C11536" s="8">
        <f t="array" ref="C11536">PRODUCT(1-'Sparkling Model'!D$2:D$38^A11536)</f>
        <v>0.9886038252</v>
      </c>
    </row>
    <row r="11537">
      <c r="A11537" s="6">
        <v>11535.0</v>
      </c>
      <c r="B11537" s="17">
        <f t="array" ref="B11537">SUM(1-'Sparkling Model'!D$2:D$38^A11537)</f>
        <v>36.98856356</v>
      </c>
      <c r="C11537" s="8">
        <f t="array" ref="C11537">PRODUCT(1-'Sparkling Model'!D$2:D$38^A11537)</f>
        <v>0.9886094782</v>
      </c>
    </row>
    <row r="11538">
      <c r="A11538" s="6">
        <v>11536.0</v>
      </c>
      <c r="B11538" s="17">
        <f t="array" ref="B11538">SUM(1-'Sparkling Model'!D$2:D$38^A11538)</f>
        <v>36.98856926</v>
      </c>
      <c r="C11538" s="8">
        <f t="array" ref="C11538">PRODUCT(1-'Sparkling Model'!D$2:D$38^A11538)</f>
        <v>0.9886151283</v>
      </c>
    </row>
    <row r="11539">
      <c r="A11539" s="6">
        <v>11537.0</v>
      </c>
      <c r="B11539" s="17">
        <f t="array" ref="B11539">SUM(1-'Sparkling Model'!D$2:D$38^A11539)</f>
        <v>36.98857495</v>
      </c>
      <c r="C11539" s="8">
        <f t="array" ref="C11539">PRODUCT(1-'Sparkling Model'!D$2:D$38^A11539)</f>
        <v>0.9886207756</v>
      </c>
    </row>
    <row r="11540">
      <c r="A11540" s="6">
        <v>11538.0</v>
      </c>
      <c r="B11540" s="17">
        <f t="array" ref="B11540">SUM(1-'Sparkling Model'!D$2:D$38^A11540)</f>
        <v>36.98858064</v>
      </c>
      <c r="C11540" s="8">
        <f t="array" ref="C11540">PRODUCT(1-'Sparkling Model'!D$2:D$38^A11540)</f>
        <v>0.9886264201</v>
      </c>
    </row>
    <row r="11541">
      <c r="A11541" s="6">
        <v>11539.0</v>
      </c>
      <c r="B11541" s="17">
        <f t="array" ref="B11541">SUM(1-'Sparkling Model'!D$2:D$38^A11541)</f>
        <v>36.98858633</v>
      </c>
      <c r="C11541" s="8">
        <f t="array" ref="C11541">PRODUCT(1-'Sparkling Model'!D$2:D$38^A11541)</f>
        <v>0.9886320618</v>
      </c>
    </row>
    <row r="11542">
      <c r="A11542" s="6">
        <v>11540.0</v>
      </c>
      <c r="B11542" s="17">
        <f t="array" ref="B11542">SUM(1-'Sparkling Model'!D$2:D$38^A11542)</f>
        <v>36.98859202</v>
      </c>
      <c r="C11542" s="8">
        <f t="array" ref="C11542">PRODUCT(1-'Sparkling Model'!D$2:D$38^A11542)</f>
        <v>0.9886377007</v>
      </c>
    </row>
    <row r="11543">
      <c r="A11543" s="6">
        <v>11541.0</v>
      </c>
      <c r="B11543" s="17">
        <f t="array" ref="B11543">SUM(1-'Sparkling Model'!D$2:D$38^A11543)</f>
        <v>36.9885977</v>
      </c>
      <c r="C11543" s="8">
        <f t="array" ref="C11543">PRODUCT(1-'Sparkling Model'!D$2:D$38^A11543)</f>
        <v>0.9886433368</v>
      </c>
    </row>
    <row r="11544">
      <c r="A11544" s="6">
        <v>11542.0</v>
      </c>
      <c r="B11544" s="17">
        <f t="array" ref="B11544">SUM(1-'Sparkling Model'!D$2:D$38^A11544)</f>
        <v>36.98860338</v>
      </c>
      <c r="C11544" s="8">
        <f t="array" ref="C11544">PRODUCT(1-'Sparkling Model'!D$2:D$38^A11544)</f>
        <v>0.9886489701</v>
      </c>
    </row>
    <row r="11545">
      <c r="A11545" s="6">
        <v>11543.0</v>
      </c>
      <c r="B11545" s="17">
        <f t="array" ref="B11545">SUM(1-'Sparkling Model'!D$2:D$38^A11545)</f>
        <v>36.98860905</v>
      </c>
      <c r="C11545" s="8">
        <f t="array" ref="C11545">PRODUCT(1-'Sparkling Model'!D$2:D$38^A11545)</f>
        <v>0.9886546006</v>
      </c>
    </row>
    <row r="11546">
      <c r="A11546" s="6">
        <v>11544.0</v>
      </c>
      <c r="B11546" s="17">
        <f t="array" ref="B11546">SUM(1-'Sparkling Model'!D$2:D$38^A11546)</f>
        <v>36.98861473</v>
      </c>
      <c r="C11546" s="8">
        <f t="array" ref="C11546">PRODUCT(1-'Sparkling Model'!D$2:D$38^A11546)</f>
        <v>0.9886602283</v>
      </c>
    </row>
    <row r="11547">
      <c r="A11547" s="6">
        <v>11545.0</v>
      </c>
      <c r="B11547" s="17">
        <f t="array" ref="B11547">SUM(1-'Sparkling Model'!D$2:D$38^A11547)</f>
        <v>36.9886204</v>
      </c>
      <c r="C11547" s="8">
        <f t="array" ref="C11547">PRODUCT(1-'Sparkling Model'!D$2:D$38^A11547)</f>
        <v>0.9886658531</v>
      </c>
    </row>
    <row r="11548">
      <c r="A11548" s="6">
        <v>11546.0</v>
      </c>
      <c r="B11548" s="17">
        <f t="array" ref="B11548">SUM(1-'Sparkling Model'!D$2:D$38^A11548)</f>
        <v>36.98862606</v>
      </c>
      <c r="C11548" s="8">
        <f t="array" ref="C11548">PRODUCT(1-'Sparkling Model'!D$2:D$38^A11548)</f>
        <v>0.9886714752</v>
      </c>
    </row>
    <row r="11549">
      <c r="A11549" s="6">
        <v>11547.0</v>
      </c>
      <c r="B11549" s="17">
        <f t="array" ref="B11549">SUM(1-'Sparkling Model'!D$2:D$38^A11549)</f>
        <v>36.98863173</v>
      </c>
      <c r="C11549" s="8">
        <f t="array" ref="C11549">PRODUCT(1-'Sparkling Model'!D$2:D$38^A11549)</f>
        <v>0.9886770945</v>
      </c>
    </row>
    <row r="11550">
      <c r="A11550" s="6">
        <v>11548.0</v>
      </c>
      <c r="B11550" s="17">
        <f t="array" ref="B11550">SUM(1-'Sparkling Model'!D$2:D$38^A11550)</f>
        <v>36.98863739</v>
      </c>
      <c r="C11550" s="8">
        <f t="array" ref="C11550">PRODUCT(1-'Sparkling Model'!D$2:D$38^A11550)</f>
        <v>0.988682711</v>
      </c>
    </row>
    <row r="11551">
      <c r="A11551" s="6">
        <v>11549.0</v>
      </c>
      <c r="B11551" s="17">
        <f t="array" ref="B11551">SUM(1-'Sparkling Model'!D$2:D$38^A11551)</f>
        <v>36.98864305</v>
      </c>
      <c r="C11551" s="8">
        <f t="array" ref="C11551">PRODUCT(1-'Sparkling Model'!D$2:D$38^A11551)</f>
        <v>0.9886883247</v>
      </c>
    </row>
    <row r="11552">
      <c r="A11552" s="6">
        <v>11550.0</v>
      </c>
      <c r="B11552" s="17">
        <f t="array" ref="B11552">SUM(1-'Sparkling Model'!D$2:D$38^A11552)</f>
        <v>36.98864871</v>
      </c>
      <c r="C11552" s="8">
        <f t="array" ref="C11552">PRODUCT(1-'Sparkling Model'!D$2:D$38^A11552)</f>
        <v>0.9886939356</v>
      </c>
    </row>
    <row r="11553">
      <c r="A11553" s="6">
        <v>11551.0</v>
      </c>
      <c r="B11553" s="17">
        <f t="array" ref="B11553">SUM(1-'Sparkling Model'!D$2:D$38^A11553)</f>
        <v>36.98865436</v>
      </c>
      <c r="C11553" s="8">
        <f t="array" ref="C11553">PRODUCT(1-'Sparkling Model'!D$2:D$38^A11553)</f>
        <v>0.9886995437</v>
      </c>
    </row>
    <row r="11554">
      <c r="A11554" s="6">
        <v>11552.0</v>
      </c>
      <c r="B11554" s="17">
        <f t="array" ref="B11554">SUM(1-'Sparkling Model'!D$2:D$38^A11554)</f>
        <v>36.98866001</v>
      </c>
      <c r="C11554" s="8">
        <f t="array" ref="C11554">PRODUCT(1-'Sparkling Model'!D$2:D$38^A11554)</f>
        <v>0.988705149</v>
      </c>
    </row>
    <row r="11555">
      <c r="A11555" s="6">
        <v>11553.0</v>
      </c>
      <c r="B11555" s="17">
        <f t="array" ref="B11555">SUM(1-'Sparkling Model'!D$2:D$38^A11555)</f>
        <v>36.98866566</v>
      </c>
      <c r="C11555" s="8">
        <f t="array" ref="C11555">PRODUCT(1-'Sparkling Model'!D$2:D$38^A11555)</f>
        <v>0.9887107516</v>
      </c>
    </row>
    <row r="11556">
      <c r="A11556" s="6">
        <v>11554.0</v>
      </c>
      <c r="B11556" s="17">
        <f t="array" ref="B11556">SUM(1-'Sparkling Model'!D$2:D$38^A11556)</f>
        <v>36.9886713</v>
      </c>
      <c r="C11556" s="8">
        <f t="array" ref="C11556">PRODUCT(1-'Sparkling Model'!D$2:D$38^A11556)</f>
        <v>0.9887163513</v>
      </c>
    </row>
    <row r="11557">
      <c r="A11557" s="6">
        <v>11555.0</v>
      </c>
      <c r="B11557" s="17">
        <f t="array" ref="B11557">SUM(1-'Sparkling Model'!D$2:D$38^A11557)</f>
        <v>36.98867694</v>
      </c>
      <c r="C11557" s="8">
        <f t="array" ref="C11557">PRODUCT(1-'Sparkling Model'!D$2:D$38^A11557)</f>
        <v>0.9887219483</v>
      </c>
    </row>
    <row r="11558">
      <c r="A11558" s="6">
        <v>11556.0</v>
      </c>
      <c r="B11558" s="17">
        <f t="array" ref="B11558">SUM(1-'Sparkling Model'!D$2:D$38^A11558)</f>
        <v>36.98868258</v>
      </c>
      <c r="C11558" s="8">
        <f t="array" ref="C11558">PRODUCT(1-'Sparkling Model'!D$2:D$38^A11558)</f>
        <v>0.9887275424</v>
      </c>
    </row>
    <row r="11559">
      <c r="A11559" s="6">
        <v>11557.0</v>
      </c>
      <c r="B11559" s="17">
        <f t="array" ref="B11559">SUM(1-'Sparkling Model'!D$2:D$38^A11559)</f>
        <v>36.98868822</v>
      </c>
      <c r="C11559" s="8">
        <f t="array" ref="C11559">PRODUCT(1-'Sparkling Model'!D$2:D$38^A11559)</f>
        <v>0.9887331338</v>
      </c>
    </row>
    <row r="11560">
      <c r="A11560" s="6">
        <v>11558.0</v>
      </c>
      <c r="B11560" s="17">
        <f t="array" ref="B11560">SUM(1-'Sparkling Model'!D$2:D$38^A11560)</f>
        <v>36.98869385</v>
      </c>
      <c r="C11560" s="8">
        <f t="array" ref="C11560">PRODUCT(1-'Sparkling Model'!D$2:D$38^A11560)</f>
        <v>0.9887387224</v>
      </c>
    </row>
    <row r="11561">
      <c r="A11561" s="6">
        <v>11559.0</v>
      </c>
      <c r="B11561" s="17">
        <f t="array" ref="B11561">SUM(1-'Sparkling Model'!D$2:D$38^A11561)</f>
        <v>36.98869948</v>
      </c>
      <c r="C11561" s="8">
        <f t="array" ref="C11561">PRODUCT(1-'Sparkling Model'!D$2:D$38^A11561)</f>
        <v>0.9887443083</v>
      </c>
    </row>
    <row r="11562">
      <c r="A11562" s="6">
        <v>11560.0</v>
      </c>
      <c r="B11562" s="17">
        <f t="array" ref="B11562">SUM(1-'Sparkling Model'!D$2:D$38^A11562)</f>
        <v>36.98870511</v>
      </c>
      <c r="C11562" s="8">
        <f t="array" ref="C11562">PRODUCT(1-'Sparkling Model'!D$2:D$38^A11562)</f>
        <v>0.9887498913</v>
      </c>
    </row>
    <row r="11563">
      <c r="A11563" s="6">
        <v>11561.0</v>
      </c>
      <c r="B11563" s="17">
        <f t="array" ref="B11563">SUM(1-'Sparkling Model'!D$2:D$38^A11563)</f>
        <v>36.98871074</v>
      </c>
      <c r="C11563" s="8">
        <f t="array" ref="C11563">PRODUCT(1-'Sparkling Model'!D$2:D$38^A11563)</f>
        <v>0.9887554716</v>
      </c>
    </row>
    <row r="11564">
      <c r="A11564" s="6">
        <v>11562.0</v>
      </c>
      <c r="B11564" s="17">
        <f t="array" ref="B11564">SUM(1-'Sparkling Model'!D$2:D$38^A11564)</f>
        <v>36.98871636</v>
      </c>
      <c r="C11564" s="8">
        <f t="array" ref="C11564">PRODUCT(1-'Sparkling Model'!D$2:D$38^A11564)</f>
        <v>0.9887610491</v>
      </c>
    </row>
    <row r="11565">
      <c r="A11565" s="6">
        <v>11563.0</v>
      </c>
      <c r="B11565" s="17">
        <f t="array" ref="B11565">SUM(1-'Sparkling Model'!D$2:D$38^A11565)</f>
        <v>36.98872198</v>
      </c>
      <c r="C11565" s="8">
        <f t="array" ref="C11565">PRODUCT(1-'Sparkling Model'!D$2:D$38^A11565)</f>
        <v>0.9887666238</v>
      </c>
    </row>
    <row r="11566">
      <c r="A11566" s="6">
        <v>11564.0</v>
      </c>
      <c r="B11566" s="17">
        <f t="array" ref="B11566">SUM(1-'Sparkling Model'!D$2:D$38^A11566)</f>
        <v>36.9887276</v>
      </c>
      <c r="C11566" s="8">
        <f t="array" ref="C11566">PRODUCT(1-'Sparkling Model'!D$2:D$38^A11566)</f>
        <v>0.9887721957</v>
      </c>
    </row>
    <row r="11567">
      <c r="A11567" s="6">
        <v>11565.0</v>
      </c>
      <c r="B11567" s="17">
        <f t="array" ref="B11567">SUM(1-'Sparkling Model'!D$2:D$38^A11567)</f>
        <v>36.98873321</v>
      </c>
      <c r="C11567" s="8">
        <f t="array" ref="C11567">PRODUCT(1-'Sparkling Model'!D$2:D$38^A11567)</f>
        <v>0.9887777649</v>
      </c>
    </row>
    <row r="11568">
      <c r="A11568" s="6">
        <v>11566.0</v>
      </c>
      <c r="B11568" s="17">
        <f t="array" ref="B11568">SUM(1-'Sparkling Model'!D$2:D$38^A11568)</f>
        <v>36.98873882</v>
      </c>
      <c r="C11568" s="8">
        <f t="array" ref="C11568">PRODUCT(1-'Sparkling Model'!D$2:D$38^A11568)</f>
        <v>0.9887833313</v>
      </c>
    </row>
    <row r="11569">
      <c r="A11569" s="6">
        <v>11567.0</v>
      </c>
      <c r="B11569" s="17">
        <f t="array" ref="B11569">SUM(1-'Sparkling Model'!D$2:D$38^A11569)</f>
        <v>36.98874443</v>
      </c>
      <c r="C11569" s="8">
        <f t="array" ref="C11569">PRODUCT(1-'Sparkling Model'!D$2:D$38^A11569)</f>
        <v>0.988788895</v>
      </c>
    </row>
    <row r="11570">
      <c r="A11570" s="6">
        <v>11568.0</v>
      </c>
      <c r="B11570" s="17">
        <f t="array" ref="B11570">SUM(1-'Sparkling Model'!D$2:D$38^A11570)</f>
        <v>36.98875003</v>
      </c>
      <c r="C11570" s="8">
        <f t="array" ref="C11570">PRODUCT(1-'Sparkling Model'!D$2:D$38^A11570)</f>
        <v>0.9887944558</v>
      </c>
    </row>
    <row r="11571">
      <c r="A11571" s="6">
        <v>11569.0</v>
      </c>
      <c r="B11571" s="17">
        <f t="array" ref="B11571">SUM(1-'Sparkling Model'!D$2:D$38^A11571)</f>
        <v>36.98875564</v>
      </c>
      <c r="C11571" s="8">
        <f t="array" ref="C11571">PRODUCT(1-'Sparkling Model'!D$2:D$38^A11571)</f>
        <v>0.9888000139</v>
      </c>
    </row>
    <row r="11572">
      <c r="A11572" s="6">
        <v>11570.0</v>
      </c>
      <c r="B11572" s="17">
        <f t="array" ref="B11572">SUM(1-'Sparkling Model'!D$2:D$38^A11572)</f>
        <v>36.98876124</v>
      </c>
      <c r="C11572" s="8">
        <f t="array" ref="C11572">PRODUCT(1-'Sparkling Model'!D$2:D$38^A11572)</f>
        <v>0.9888055693</v>
      </c>
    </row>
    <row r="11573">
      <c r="A11573" s="6">
        <v>11571.0</v>
      </c>
      <c r="B11573" s="17">
        <f t="array" ref="B11573">SUM(1-'Sparkling Model'!D$2:D$38^A11573)</f>
        <v>36.98876683</v>
      </c>
      <c r="C11573" s="8">
        <f t="array" ref="C11573">PRODUCT(1-'Sparkling Model'!D$2:D$38^A11573)</f>
        <v>0.9888111218</v>
      </c>
    </row>
    <row r="11574">
      <c r="A11574" s="6">
        <v>11572.0</v>
      </c>
      <c r="B11574" s="17">
        <f t="array" ref="B11574">SUM(1-'Sparkling Model'!D$2:D$38^A11574)</f>
        <v>36.98877243</v>
      </c>
      <c r="C11574" s="8">
        <f t="array" ref="C11574">PRODUCT(1-'Sparkling Model'!D$2:D$38^A11574)</f>
        <v>0.9888166717</v>
      </c>
    </row>
    <row r="11575">
      <c r="A11575" s="6">
        <v>11573.0</v>
      </c>
      <c r="B11575" s="17">
        <f t="array" ref="B11575">SUM(1-'Sparkling Model'!D$2:D$38^A11575)</f>
        <v>36.98877802</v>
      </c>
      <c r="C11575" s="8">
        <f t="array" ref="C11575">PRODUCT(1-'Sparkling Model'!D$2:D$38^A11575)</f>
        <v>0.9888222187</v>
      </c>
    </row>
    <row r="11576">
      <c r="A11576" s="6">
        <v>11574.0</v>
      </c>
      <c r="B11576" s="17">
        <f t="array" ref="B11576">SUM(1-'Sparkling Model'!D$2:D$38^A11576)</f>
        <v>36.98878361</v>
      </c>
      <c r="C11576" s="8">
        <f t="array" ref="C11576">PRODUCT(1-'Sparkling Model'!D$2:D$38^A11576)</f>
        <v>0.988827763</v>
      </c>
    </row>
    <row r="11577">
      <c r="A11577" s="6">
        <v>11575.0</v>
      </c>
      <c r="B11577" s="17">
        <f t="array" ref="B11577">SUM(1-'Sparkling Model'!D$2:D$38^A11577)</f>
        <v>36.98878919</v>
      </c>
      <c r="C11577" s="8">
        <f t="array" ref="C11577">PRODUCT(1-'Sparkling Model'!D$2:D$38^A11577)</f>
        <v>0.9888333045</v>
      </c>
    </row>
    <row r="11578">
      <c r="A11578" s="6">
        <v>11576.0</v>
      </c>
      <c r="B11578" s="17">
        <f t="array" ref="B11578">SUM(1-'Sparkling Model'!D$2:D$38^A11578)</f>
        <v>36.98879478</v>
      </c>
      <c r="C11578" s="8">
        <f t="array" ref="C11578">PRODUCT(1-'Sparkling Model'!D$2:D$38^A11578)</f>
        <v>0.9888388433</v>
      </c>
    </row>
    <row r="11579">
      <c r="A11579" s="6">
        <v>11577.0</v>
      </c>
      <c r="B11579" s="17">
        <f t="array" ref="B11579">SUM(1-'Sparkling Model'!D$2:D$38^A11579)</f>
        <v>36.98880036</v>
      </c>
      <c r="C11579" s="8">
        <f t="array" ref="C11579">PRODUCT(1-'Sparkling Model'!D$2:D$38^A11579)</f>
        <v>0.9888443793</v>
      </c>
    </row>
    <row r="11580">
      <c r="A11580" s="6">
        <v>11578.0</v>
      </c>
      <c r="B11580" s="17">
        <f t="array" ref="B11580">SUM(1-'Sparkling Model'!D$2:D$38^A11580)</f>
        <v>36.98880593</v>
      </c>
      <c r="C11580" s="8">
        <f t="array" ref="C11580">PRODUCT(1-'Sparkling Model'!D$2:D$38^A11580)</f>
        <v>0.9888499126</v>
      </c>
    </row>
    <row r="11581">
      <c r="A11581" s="6">
        <v>11579.0</v>
      </c>
      <c r="B11581" s="17">
        <f t="array" ref="B11581">SUM(1-'Sparkling Model'!D$2:D$38^A11581)</f>
        <v>36.98881151</v>
      </c>
      <c r="C11581" s="8">
        <f t="array" ref="C11581">PRODUCT(1-'Sparkling Model'!D$2:D$38^A11581)</f>
        <v>0.9888554431</v>
      </c>
    </row>
    <row r="11582">
      <c r="A11582" s="6">
        <v>11580.0</v>
      </c>
      <c r="B11582" s="17">
        <f t="array" ref="B11582">SUM(1-'Sparkling Model'!D$2:D$38^A11582)</f>
        <v>36.98881708</v>
      </c>
      <c r="C11582" s="8">
        <f t="array" ref="C11582">PRODUCT(1-'Sparkling Model'!D$2:D$38^A11582)</f>
        <v>0.9888609709</v>
      </c>
    </row>
    <row r="11583">
      <c r="A11583" s="6">
        <v>11581.0</v>
      </c>
      <c r="B11583" s="17">
        <f t="array" ref="B11583">SUM(1-'Sparkling Model'!D$2:D$38^A11583)</f>
        <v>36.98882265</v>
      </c>
      <c r="C11583" s="8">
        <f t="array" ref="C11583">PRODUCT(1-'Sparkling Model'!D$2:D$38^A11583)</f>
        <v>0.9888664959</v>
      </c>
    </row>
    <row r="11584">
      <c r="A11584" s="6">
        <v>11582.0</v>
      </c>
      <c r="B11584" s="17">
        <f t="array" ref="B11584">SUM(1-'Sparkling Model'!D$2:D$38^A11584)</f>
        <v>36.98882822</v>
      </c>
      <c r="C11584" s="8">
        <f t="array" ref="C11584">PRODUCT(1-'Sparkling Model'!D$2:D$38^A11584)</f>
        <v>0.9888720181</v>
      </c>
    </row>
    <row r="11585">
      <c r="A11585" s="6">
        <v>11583.0</v>
      </c>
      <c r="B11585" s="17">
        <f t="array" ref="B11585">SUM(1-'Sparkling Model'!D$2:D$38^A11585)</f>
        <v>36.98883378</v>
      </c>
      <c r="C11585" s="8">
        <f t="array" ref="C11585">PRODUCT(1-'Sparkling Model'!D$2:D$38^A11585)</f>
        <v>0.9888775376</v>
      </c>
    </row>
    <row r="11586">
      <c r="A11586" s="6">
        <v>11584.0</v>
      </c>
      <c r="B11586" s="17">
        <f t="array" ref="B11586">SUM(1-'Sparkling Model'!D$2:D$38^A11586)</f>
        <v>36.98883934</v>
      </c>
      <c r="C11586" s="8">
        <f t="array" ref="C11586">PRODUCT(1-'Sparkling Model'!D$2:D$38^A11586)</f>
        <v>0.9888830544</v>
      </c>
    </row>
    <row r="11587">
      <c r="A11587" s="6">
        <v>11585.0</v>
      </c>
      <c r="B11587" s="17">
        <f t="array" ref="B11587">SUM(1-'Sparkling Model'!D$2:D$38^A11587)</f>
        <v>36.9888449</v>
      </c>
      <c r="C11587" s="8">
        <f t="array" ref="C11587">PRODUCT(1-'Sparkling Model'!D$2:D$38^A11587)</f>
        <v>0.9888885684</v>
      </c>
    </row>
    <row r="11588">
      <c r="A11588" s="6">
        <v>11586.0</v>
      </c>
      <c r="B11588" s="17">
        <f t="array" ref="B11588">SUM(1-'Sparkling Model'!D$2:D$38^A11588)</f>
        <v>36.98885045</v>
      </c>
      <c r="C11588" s="8">
        <f t="array" ref="C11588">PRODUCT(1-'Sparkling Model'!D$2:D$38^A11588)</f>
        <v>0.9888940797</v>
      </c>
    </row>
    <row r="11589">
      <c r="A11589" s="6">
        <v>11587.0</v>
      </c>
      <c r="B11589" s="17">
        <f t="array" ref="B11589">SUM(1-'Sparkling Model'!D$2:D$38^A11589)</f>
        <v>36.988856</v>
      </c>
      <c r="C11589" s="8">
        <f t="array" ref="C11589">PRODUCT(1-'Sparkling Model'!D$2:D$38^A11589)</f>
        <v>0.9888995883</v>
      </c>
    </row>
    <row r="11590">
      <c r="A11590" s="6">
        <v>11588.0</v>
      </c>
      <c r="B11590" s="17">
        <f t="array" ref="B11590">SUM(1-'Sparkling Model'!D$2:D$38^A11590)</f>
        <v>36.98886155</v>
      </c>
      <c r="C11590" s="8">
        <f t="array" ref="C11590">PRODUCT(1-'Sparkling Model'!D$2:D$38^A11590)</f>
        <v>0.9889050941</v>
      </c>
    </row>
    <row r="11591">
      <c r="A11591" s="6">
        <v>11589.0</v>
      </c>
      <c r="B11591" s="17">
        <f t="array" ref="B11591">SUM(1-'Sparkling Model'!D$2:D$38^A11591)</f>
        <v>36.9888671</v>
      </c>
      <c r="C11591" s="8">
        <f t="array" ref="C11591">PRODUCT(1-'Sparkling Model'!D$2:D$38^A11591)</f>
        <v>0.9889105971</v>
      </c>
    </row>
    <row r="11592">
      <c r="A11592" s="6">
        <v>11590.0</v>
      </c>
      <c r="B11592" s="17">
        <f t="array" ref="B11592">SUM(1-'Sparkling Model'!D$2:D$38^A11592)</f>
        <v>36.98887264</v>
      </c>
      <c r="C11592" s="8">
        <f t="array" ref="C11592">PRODUCT(1-'Sparkling Model'!D$2:D$38^A11592)</f>
        <v>0.9889160974</v>
      </c>
    </row>
    <row r="11593">
      <c r="A11593" s="6">
        <v>11591.0</v>
      </c>
      <c r="B11593" s="17">
        <f t="array" ref="B11593">SUM(1-'Sparkling Model'!D$2:D$38^A11593)</f>
        <v>36.98887819</v>
      </c>
      <c r="C11593" s="8">
        <f t="array" ref="C11593">PRODUCT(1-'Sparkling Model'!D$2:D$38^A11593)</f>
        <v>0.988921595</v>
      </c>
    </row>
    <row r="11594">
      <c r="A11594" s="6">
        <v>11592.0</v>
      </c>
      <c r="B11594" s="17">
        <f t="array" ref="B11594">SUM(1-'Sparkling Model'!D$2:D$38^A11594)</f>
        <v>36.98888372</v>
      </c>
      <c r="C11594" s="8">
        <f t="array" ref="C11594">PRODUCT(1-'Sparkling Model'!D$2:D$38^A11594)</f>
        <v>0.9889270899</v>
      </c>
    </row>
    <row r="11595">
      <c r="A11595" s="6">
        <v>11593.0</v>
      </c>
      <c r="B11595" s="17">
        <f t="array" ref="B11595">SUM(1-'Sparkling Model'!D$2:D$38^A11595)</f>
        <v>36.98888926</v>
      </c>
      <c r="C11595" s="8">
        <f t="array" ref="C11595">PRODUCT(1-'Sparkling Model'!D$2:D$38^A11595)</f>
        <v>0.988932582</v>
      </c>
    </row>
    <row r="11596">
      <c r="A11596" s="6">
        <v>11594.0</v>
      </c>
      <c r="B11596" s="17">
        <f t="array" ref="B11596">SUM(1-'Sparkling Model'!D$2:D$38^A11596)</f>
        <v>36.98889479</v>
      </c>
      <c r="C11596" s="8">
        <f t="array" ref="C11596">PRODUCT(1-'Sparkling Model'!D$2:D$38^A11596)</f>
        <v>0.9889380714</v>
      </c>
    </row>
    <row r="11597">
      <c r="A11597" s="6">
        <v>11595.0</v>
      </c>
      <c r="B11597" s="17">
        <f t="array" ref="B11597">SUM(1-'Sparkling Model'!D$2:D$38^A11597)</f>
        <v>36.98890032</v>
      </c>
      <c r="C11597" s="8">
        <f t="array" ref="C11597">PRODUCT(1-'Sparkling Model'!D$2:D$38^A11597)</f>
        <v>0.988943558</v>
      </c>
    </row>
    <row r="11598">
      <c r="A11598" s="6">
        <v>11596.0</v>
      </c>
      <c r="B11598" s="17">
        <f t="array" ref="B11598">SUM(1-'Sparkling Model'!D$2:D$38^A11598)</f>
        <v>36.98890585</v>
      </c>
      <c r="C11598" s="8">
        <f t="array" ref="C11598">PRODUCT(1-'Sparkling Model'!D$2:D$38^A11598)</f>
        <v>0.988949042</v>
      </c>
    </row>
    <row r="11599">
      <c r="A11599" s="6">
        <v>11597.0</v>
      </c>
      <c r="B11599" s="17">
        <f t="array" ref="B11599">SUM(1-'Sparkling Model'!D$2:D$38^A11599)</f>
        <v>36.98891137</v>
      </c>
      <c r="C11599" s="8">
        <f t="array" ref="C11599">PRODUCT(1-'Sparkling Model'!D$2:D$38^A11599)</f>
        <v>0.9889545232</v>
      </c>
    </row>
    <row r="11600">
      <c r="A11600" s="6">
        <v>11598.0</v>
      </c>
      <c r="B11600" s="17">
        <f t="array" ref="B11600">SUM(1-'Sparkling Model'!D$2:D$38^A11600)</f>
        <v>36.9889169</v>
      </c>
      <c r="C11600" s="8">
        <f t="array" ref="C11600">PRODUCT(1-'Sparkling Model'!D$2:D$38^A11600)</f>
        <v>0.9889600016</v>
      </c>
    </row>
    <row r="11601">
      <c r="A11601" s="6">
        <v>11599.0</v>
      </c>
      <c r="B11601" s="17">
        <f t="array" ref="B11601">SUM(1-'Sparkling Model'!D$2:D$38^A11601)</f>
        <v>36.98892241</v>
      </c>
      <c r="C11601" s="8">
        <f t="array" ref="C11601">PRODUCT(1-'Sparkling Model'!D$2:D$38^A11601)</f>
        <v>0.9889654774</v>
      </c>
    </row>
    <row r="11602">
      <c r="A11602" s="6">
        <v>11600.0</v>
      </c>
      <c r="B11602" s="17">
        <f t="array" ref="B11602">SUM(1-'Sparkling Model'!D$2:D$38^A11602)</f>
        <v>36.98892793</v>
      </c>
      <c r="C11602" s="8">
        <f t="array" ref="C11602">PRODUCT(1-'Sparkling Model'!D$2:D$38^A11602)</f>
        <v>0.9889709504</v>
      </c>
    </row>
    <row r="11603">
      <c r="A11603" s="6">
        <v>11601.0</v>
      </c>
      <c r="B11603" s="17">
        <f t="array" ref="B11603">SUM(1-'Sparkling Model'!D$2:D$38^A11603)</f>
        <v>36.98893344</v>
      </c>
      <c r="C11603" s="8">
        <f t="array" ref="C11603">PRODUCT(1-'Sparkling Model'!D$2:D$38^A11603)</f>
        <v>0.9889764207</v>
      </c>
    </row>
    <row r="11604">
      <c r="A11604" s="6">
        <v>11602.0</v>
      </c>
      <c r="B11604" s="17">
        <f t="array" ref="B11604">SUM(1-'Sparkling Model'!D$2:D$38^A11604)</f>
        <v>36.98893896</v>
      </c>
      <c r="C11604" s="8">
        <f t="array" ref="C11604">PRODUCT(1-'Sparkling Model'!D$2:D$38^A11604)</f>
        <v>0.9889818883</v>
      </c>
    </row>
    <row r="11605">
      <c r="A11605" s="6">
        <v>11603.0</v>
      </c>
      <c r="B11605" s="17">
        <f t="array" ref="B11605">SUM(1-'Sparkling Model'!D$2:D$38^A11605)</f>
        <v>36.98894446</v>
      </c>
      <c r="C11605" s="8">
        <f t="array" ref="C11605">PRODUCT(1-'Sparkling Model'!D$2:D$38^A11605)</f>
        <v>0.9889873531</v>
      </c>
    </row>
    <row r="11606">
      <c r="A11606" s="6">
        <v>11604.0</v>
      </c>
      <c r="B11606" s="17">
        <f t="array" ref="B11606">SUM(1-'Sparkling Model'!D$2:D$38^A11606)</f>
        <v>36.98894997</v>
      </c>
      <c r="C11606" s="8">
        <f t="array" ref="C11606">PRODUCT(1-'Sparkling Model'!D$2:D$38^A11606)</f>
        <v>0.9889928153</v>
      </c>
    </row>
    <row r="11607">
      <c r="A11607" s="6">
        <v>11605.0</v>
      </c>
      <c r="B11607" s="17">
        <f t="array" ref="B11607">SUM(1-'Sparkling Model'!D$2:D$38^A11607)</f>
        <v>36.98895547</v>
      </c>
      <c r="C11607" s="8">
        <f t="array" ref="C11607">PRODUCT(1-'Sparkling Model'!D$2:D$38^A11607)</f>
        <v>0.9889982747</v>
      </c>
    </row>
    <row r="11608">
      <c r="A11608" s="6">
        <v>11606.0</v>
      </c>
      <c r="B11608" s="17">
        <f t="array" ref="B11608">SUM(1-'Sparkling Model'!D$2:D$38^A11608)</f>
        <v>36.98896097</v>
      </c>
      <c r="C11608" s="8">
        <f t="array" ref="C11608">PRODUCT(1-'Sparkling Model'!D$2:D$38^A11608)</f>
        <v>0.9890037314</v>
      </c>
    </row>
    <row r="11609">
      <c r="A11609" s="6">
        <v>11607.0</v>
      </c>
      <c r="B11609" s="17">
        <f t="array" ref="B11609">SUM(1-'Sparkling Model'!D$2:D$38^A11609)</f>
        <v>36.98896647</v>
      </c>
      <c r="C11609" s="8">
        <f t="array" ref="C11609">PRODUCT(1-'Sparkling Model'!D$2:D$38^A11609)</f>
        <v>0.9890091854</v>
      </c>
    </row>
    <row r="11610">
      <c r="A11610" s="6">
        <v>11608.0</v>
      </c>
      <c r="B11610" s="17">
        <f t="array" ref="B11610">SUM(1-'Sparkling Model'!D$2:D$38^A11610)</f>
        <v>36.98897196</v>
      </c>
      <c r="C11610" s="8">
        <f t="array" ref="C11610">PRODUCT(1-'Sparkling Model'!D$2:D$38^A11610)</f>
        <v>0.9890146366</v>
      </c>
    </row>
    <row r="11611">
      <c r="A11611" s="6">
        <v>11609.0</v>
      </c>
      <c r="B11611" s="17">
        <f t="array" ref="B11611">SUM(1-'Sparkling Model'!D$2:D$38^A11611)</f>
        <v>36.98897745</v>
      </c>
      <c r="C11611" s="8">
        <f t="array" ref="C11611">PRODUCT(1-'Sparkling Model'!D$2:D$38^A11611)</f>
        <v>0.9890200852</v>
      </c>
    </row>
    <row r="11612">
      <c r="A11612" s="6">
        <v>11610.0</v>
      </c>
      <c r="B11612" s="17">
        <f t="array" ref="B11612">SUM(1-'Sparkling Model'!D$2:D$38^A11612)</f>
        <v>36.98898294</v>
      </c>
      <c r="C11612" s="8">
        <f t="array" ref="C11612">PRODUCT(1-'Sparkling Model'!D$2:D$38^A11612)</f>
        <v>0.9890255311</v>
      </c>
    </row>
    <row r="11613">
      <c r="A11613" s="6">
        <v>11611.0</v>
      </c>
      <c r="B11613" s="17">
        <f t="array" ref="B11613">SUM(1-'Sparkling Model'!D$2:D$38^A11613)</f>
        <v>36.98898843</v>
      </c>
      <c r="C11613" s="8">
        <f t="array" ref="C11613">PRODUCT(1-'Sparkling Model'!D$2:D$38^A11613)</f>
        <v>0.9890309742</v>
      </c>
    </row>
    <row r="11614">
      <c r="A11614" s="6">
        <v>11612.0</v>
      </c>
      <c r="B11614" s="17">
        <f t="array" ref="B11614">SUM(1-'Sparkling Model'!D$2:D$38^A11614)</f>
        <v>36.98899391</v>
      </c>
      <c r="C11614" s="8">
        <f t="array" ref="C11614">PRODUCT(1-'Sparkling Model'!D$2:D$38^A11614)</f>
        <v>0.9890364146</v>
      </c>
    </row>
    <row r="11615">
      <c r="A11615" s="6">
        <v>11613.0</v>
      </c>
      <c r="B11615" s="17">
        <f t="array" ref="B11615">SUM(1-'Sparkling Model'!D$2:D$38^A11615)</f>
        <v>36.98899939</v>
      </c>
      <c r="C11615" s="8">
        <f t="array" ref="C11615">PRODUCT(1-'Sparkling Model'!D$2:D$38^A11615)</f>
        <v>0.9890418524</v>
      </c>
    </row>
    <row r="11616">
      <c r="A11616" s="6">
        <v>11614.0</v>
      </c>
      <c r="B11616" s="17">
        <f t="array" ref="B11616">SUM(1-'Sparkling Model'!D$2:D$38^A11616)</f>
        <v>36.98900487</v>
      </c>
      <c r="C11616" s="8">
        <f t="array" ref="C11616">PRODUCT(1-'Sparkling Model'!D$2:D$38^A11616)</f>
        <v>0.9890472874</v>
      </c>
    </row>
    <row r="11617">
      <c r="A11617" s="6">
        <v>11615.0</v>
      </c>
      <c r="B11617" s="17">
        <f t="array" ref="B11617">SUM(1-'Sparkling Model'!D$2:D$38^A11617)</f>
        <v>36.98901034</v>
      </c>
      <c r="C11617" s="8">
        <f t="array" ref="C11617">PRODUCT(1-'Sparkling Model'!D$2:D$38^A11617)</f>
        <v>0.9890527197</v>
      </c>
    </row>
    <row r="11618">
      <c r="A11618" s="6">
        <v>11616.0</v>
      </c>
      <c r="B11618" s="17">
        <f t="array" ref="B11618">SUM(1-'Sparkling Model'!D$2:D$38^A11618)</f>
        <v>36.98901581</v>
      </c>
      <c r="C11618" s="8">
        <f t="array" ref="C11618">PRODUCT(1-'Sparkling Model'!D$2:D$38^A11618)</f>
        <v>0.9890581493</v>
      </c>
    </row>
    <row r="11619">
      <c r="A11619" s="6">
        <v>11617.0</v>
      </c>
      <c r="B11619" s="17">
        <f t="array" ref="B11619">SUM(1-'Sparkling Model'!D$2:D$38^A11619)</f>
        <v>36.98902128</v>
      </c>
      <c r="C11619" s="8">
        <f t="array" ref="C11619">PRODUCT(1-'Sparkling Model'!D$2:D$38^A11619)</f>
        <v>0.9890635763</v>
      </c>
    </row>
    <row r="11620">
      <c r="A11620" s="6">
        <v>11618.0</v>
      </c>
      <c r="B11620" s="17">
        <f t="array" ref="B11620">SUM(1-'Sparkling Model'!D$2:D$38^A11620)</f>
        <v>36.98902675</v>
      </c>
      <c r="C11620" s="8">
        <f t="array" ref="C11620">PRODUCT(1-'Sparkling Model'!D$2:D$38^A11620)</f>
        <v>0.9890690005</v>
      </c>
    </row>
    <row r="11621">
      <c r="A11621" s="6">
        <v>11619.0</v>
      </c>
      <c r="B11621" s="17">
        <f t="array" ref="B11621">SUM(1-'Sparkling Model'!D$2:D$38^A11621)</f>
        <v>36.98903221</v>
      </c>
      <c r="C11621" s="8">
        <f t="array" ref="C11621">PRODUCT(1-'Sparkling Model'!D$2:D$38^A11621)</f>
        <v>0.989074422</v>
      </c>
    </row>
    <row r="11622">
      <c r="A11622" s="6">
        <v>11620.0</v>
      </c>
      <c r="B11622" s="17">
        <f t="array" ref="B11622">SUM(1-'Sparkling Model'!D$2:D$38^A11622)</f>
        <v>36.98903768</v>
      </c>
      <c r="C11622" s="8">
        <f t="array" ref="C11622">PRODUCT(1-'Sparkling Model'!D$2:D$38^A11622)</f>
        <v>0.9890798408</v>
      </c>
    </row>
    <row r="11623">
      <c r="A11623" s="6">
        <v>11621.0</v>
      </c>
      <c r="B11623" s="17">
        <f t="array" ref="B11623">SUM(1-'Sparkling Model'!D$2:D$38^A11623)</f>
        <v>36.98904313</v>
      </c>
      <c r="C11623" s="8">
        <f t="array" ref="C11623">PRODUCT(1-'Sparkling Model'!D$2:D$38^A11623)</f>
        <v>0.989085257</v>
      </c>
    </row>
    <row r="11624">
      <c r="A11624" s="6">
        <v>11622.0</v>
      </c>
      <c r="B11624" s="17">
        <f t="array" ref="B11624">SUM(1-'Sparkling Model'!D$2:D$38^A11624)</f>
        <v>36.98904859</v>
      </c>
      <c r="C11624" s="8">
        <f t="array" ref="C11624">PRODUCT(1-'Sparkling Model'!D$2:D$38^A11624)</f>
        <v>0.9890906704</v>
      </c>
    </row>
    <row r="11625">
      <c r="A11625" s="6">
        <v>11623.0</v>
      </c>
      <c r="B11625" s="17">
        <f t="array" ref="B11625">SUM(1-'Sparkling Model'!D$2:D$38^A11625)</f>
        <v>36.98905404</v>
      </c>
      <c r="C11625" s="8">
        <f t="array" ref="C11625">PRODUCT(1-'Sparkling Model'!D$2:D$38^A11625)</f>
        <v>0.9890960811</v>
      </c>
    </row>
    <row r="11626">
      <c r="A11626" s="6">
        <v>11624.0</v>
      </c>
      <c r="B11626" s="17">
        <f t="array" ref="B11626">SUM(1-'Sparkling Model'!D$2:D$38^A11626)</f>
        <v>36.98905949</v>
      </c>
      <c r="C11626" s="8">
        <f t="array" ref="C11626">PRODUCT(1-'Sparkling Model'!D$2:D$38^A11626)</f>
        <v>0.9891014892</v>
      </c>
    </row>
    <row r="11627">
      <c r="A11627" s="6">
        <v>11625.0</v>
      </c>
      <c r="B11627" s="17">
        <f t="array" ref="B11627">SUM(1-'Sparkling Model'!D$2:D$38^A11627)</f>
        <v>36.98906494</v>
      </c>
      <c r="C11627" s="8">
        <f t="array" ref="C11627">PRODUCT(1-'Sparkling Model'!D$2:D$38^A11627)</f>
        <v>0.9891068945</v>
      </c>
    </row>
    <row r="11628">
      <c r="A11628" s="6">
        <v>11626.0</v>
      </c>
      <c r="B11628" s="17">
        <f t="array" ref="B11628">SUM(1-'Sparkling Model'!D$2:D$38^A11628)</f>
        <v>36.98907038</v>
      </c>
      <c r="C11628" s="8">
        <f t="array" ref="C11628">PRODUCT(1-'Sparkling Model'!D$2:D$38^A11628)</f>
        <v>0.9891122972</v>
      </c>
    </row>
    <row r="11629">
      <c r="A11629" s="6">
        <v>11627.0</v>
      </c>
      <c r="B11629" s="17">
        <f t="array" ref="B11629">SUM(1-'Sparkling Model'!D$2:D$38^A11629)</f>
        <v>36.98907583</v>
      </c>
      <c r="C11629" s="8">
        <f t="array" ref="C11629">PRODUCT(1-'Sparkling Model'!D$2:D$38^A11629)</f>
        <v>0.9891176972</v>
      </c>
    </row>
    <row r="11630">
      <c r="A11630" s="6">
        <v>11628.0</v>
      </c>
      <c r="B11630" s="17">
        <f t="array" ref="B11630">SUM(1-'Sparkling Model'!D$2:D$38^A11630)</f>
        <v>36.98908127</v>
      </c>
      <c r="C11630" s="8">
        <f t="array" ref="C11630">PRODUCT(1-'Sparkling Model'!D$2:D$38^A11630)</f>
        <v>0.9891230945</v>
      </c>
    </row>
    <row r="11631">
      <c r="A11631" s="6">
        <v>11629.0</v>
      </c>
      <c r="B11631" s="17">
        <f t="array" ref="B11631">SUM(1-'Sparkling Model'!D$2:D$38^A11631)</f>
        <v>36.9890867</v>
      </c>
      <c r="C11631" s="8">
        <f t="array" ref="C11631">PRODUCT(1-'Sparkling Model'!D$2:D$38^A11631)</f>
        <v>0.9891284891</v>
      </c>
    </row>
    <row r="11632">
      <c r="A11632" s="6">
        <v>11630.0</v>
      </c>
      <c r="B11632" s="17">
        <f t="array" ref="B11632">SUM(1-'Sparkling Model'!D$2:D$38^A11632)</f>
        <v>36.98909214</v>
      </c>
      <c r="C11632" s="8">
        <f t="array" ref="C11632">PRODUCT(1-'Sparkling Model'!D$2:D$38^A11632)</f>
        <v>0.989133881</v>
      </c>
    </row>
    <row r="11633">
      <c r="A11633" s="6">
        <v>11631.0</v>
      </c>
      <c r="B11633" s="17">
        <f t="array" ref="B11633">SUM(1-'Sparkling Model'!D$2:D$38^A11633)</f>
        <v>36.98909757</v>
      </c>
      <c r="C11633" s="8">
        <f t="array" ref="C11633">PRODUCT(1-'Sparkling Model'!D$2:D$38^A11633)</f>
        <v>0.9891392703</v>
      </c>
    </row>
    <row r="11634">
      <c r="A11634" s="6">
        <v>11632.0</v>
      </c>
      <c r="B11634" s="17">
        <f t="array" ref="B11634">SUM(1-'Sparkling Model'!D$2:D$38^A11634)</f>
        <v>36.989103</v>
      </c>
      <c r="C11634" s="8">
        <f t="array" ref="C11634">PRODUCT(1-'Sparkling Model'!D$2:D$38^A11634)</f>
        <v>0.9891446568</v>
      </c>
    </row>
    <row r="11635">
      <c r="A11635" s="6">
        <v>11633.0</v>
      </c>
      <c r="B11635" s="17">
        <f t="array" ref="B11635">SUM(1-'Sparkling Model'!D$2:D$38^A11635)</f>
        <v>36.98910842</v>
      </c>
      <c r="C11635" s="8">
        <f t="array" ref="C11635">PRODUCT(1-'Sparkling Model'!D$2:D$38^A11635)</f>
        <v>0.9891500407</v>
      </c>
    </row>
    <row r="11636">
      <c r="A11636" s="6">
        <v>11634.0</v>
      </c>
      <c r="B11636" s="17">
        <f t="array" ref="B11636">SUM(1-'Sparkling Model'!D$2:D$38^A11636)</f>
        <v>36.98911384</v>
      </c>
      <c r="C11636" s="8">
        <f t="array" ref="C11636">PRODUCT(1-'Sparkling Model'!D$2:D$38^A11636)</f>
        <v>0.9891554219</v>
      </c>
    </row>
    <row r="11637">
      <c r="A11637" s="6">
        <v>11635.0</v>
      </c>
      <c r="B11637" s="17">
        <f t="array" ref="B11637">SUM(1-'Sparkling Model'!D$2:D$38^A11637)</f>
        <v>36.98911926</v>
      </c>
      <c r="C11637" s="8">
        <f t="array" ref="C11637">PRODUCT(1-'Sparkling Model'!D$2:D$38^A11637)</f>
        <v>0.9891608005</v>
      </c>
    </row>
    <row r="11638">
      <c r="A11638" s="6">
        <v>11636.0</v>
      </c>
      <c r="B11638" s="17">
        <f t="array" ref="B11638">SUM(1-'Sparkling Model'!D$2:D$38^A11638)</f>
        <v>36.98912468</v>
      </c>
      <c r="C11638" s="8">
        <f t="array" ref="C11638">PRODUCT(1-'Sparkling Model'!D$2:D$38^A11638)</f>
        <v>0.9891661763</v>
      </c>
    </row>
    <row r="11639">
      <c r="A11639" s="6">
        <v>11637.0</v>
      </c>
      <c r="B11639" s="17">
        <f t="array" ref="B11639">SUM(1-'Sparkling Model'!D$2:D$38^A11639)</f>
        <v>36.9891301</v>
      </c>
      <c r="C11639" s="8">
        <f t="array" ref="C11639">PRODUCT(1-'Sparkling Model'!D$2:D$38^A11639)</f>
        <v>0.9891715495</v>
      </c>
    </row>
    <row r="11640">
      <c r="A11640" s="6">
        <v>11638.0</v>
      </c>
      <c r="B11640" s="17">
        <f t="array" ref="B11640">SUM(1-'Sparkling Model'!D$2:D$38^A11640)</f>
        <v>36.98913551</v>
      </c>
      <c r="C11640" s="8">
        <f t="array" ref="C11640">PRODUCT(1-'Sparkling Model'!D$2:D$38^A11640)</f>
        <v>0.98917692</v>
      </c>
    </row>
    <row r="11641">
      <c r="A11641" s="6">
        <v>11639.0</v>
      </c>
      <c r="B11641" s="17">
        <f t="array" ref="B11641">SUM(1-'Sparkling Model'!D$2:D$38^A11641)</f>
        <v>36.98914092</v>
      </c>
      <c r="C11641" s="8">
        <f t="array" ref="C11641">PRODUCT(1-'Sparkling Model'!D$2:D$38^A11641)</f>
        <v>0.9891822878</v>
      </c>
    </row>
    <row r="11642">
      <c r="A11642" s="6">
        <v>11640.0</v>
      </c>
      <c r="B11642" s="17">
        <f t="array" ref="B11642">SUM(1-'Sparkling Model'!D$2:D$38^A11642)</f>
        <v>36.98914632</v>
      </c>
      <c r="C11642" s="8">
        <f t="array" ref="C11642">PRODUCT(1-'Sparkling Model'!D$2:D$38^A11642)</f>
        <v>0.989187653</v>
      </c>
    </row>
    <row r="11643">
      <c r="A11643" s="6">
        <v>11641.0</v>
      </c>
      <c r="B11643" s="17">
        <f t="array" ref="B11643">SUM(1-'Sparkling Model'!D$2:D$38^A11643)</f>
        <v>36.98915173</v>
      </c>
      <c r="C11643" s="8">
        <f t="array" ref="C11643">PRODUCT(1-'Sparkling Model'!D$2:D$38^A11643)</f>
        <v>0.9891930155</v>
      </c>
    </row>
    <row r="11644">
      <c r="A11644" s="6">
        <v>11642.0</v>
      </c>
      <c r="B11644" s="17">
        <f t="array" ref="B11644">SUM(1-'Sparkling Model'!D$2:D$38^A11644)</f>
        <v>36.98915713</v>
      </c>
      <c r="C11644" s="8">
        <f t="array" ref="C11644">PRODUCT(1-'Sparkling Model'!D$2:D$38^A11644)</f>
        <v>0.9891983753</v>
      </c>
    </row>
    <row r="11645">
      <c r="A11645" s="6">
        <v>11643.0</v>
      </c>
      <c r="B11645" s="17">
        <f t="array" ref="B11645">SUM(1-'Sparkling Model'!D$2:D$38^A11645)</f>
        <v>36.98916253</v>
      </c>
      <c r="C11645" s="8">
        <f t="array" ref="C11645">PRODUCT(1-'Sparkling Model'!D$2:D$38^A11645)</f>
        <v>0.9892037325</v>
      </c>
    </row>
    <row r="11646">
      <c r="A11646" s="6">
        <v>11644.0</v>
      </c>
      <c r="B11646" s="17">
        <f t="array" ref="B11646">SUM(1-'Sparkling Model'!D$2:D$38^A11646)</f>
        <v>36.98916792</v>
      </c>
      <c r="C11646" s="8">
        <f t="array" ref="C11646">PRODUCT(1-'Sparkling Model'!D$2:D$38^A11646)</f>
        <v>0.989209087</v>
      </c>
    </row>
    <row r="11647">
      <c r="A11647" s="6">
        <v>11645.0</v>
      </c>
      <c r="B11647" s="17">
        <f t="array" ref="B11647">SUM(1-'Sparkling Model'!D$2:D$38^A11647)</f>
        <v>36.98917332</v>
      </c>
      <c r="C11647" s="8">
        <f t="array" ref="C11647">PRODUCT(1-'Sparkling Model'!D$2:D$38^A11647)</f>
        <v>0.9892144388</v>
      </c>
    </row>
    <row r="11648">
      <c r="A11648" s="6">
        <v>11646.0</v>
      </c>
      <c r="B11648" s="17">
        <f t="array" ref="B11648">SUM(1-'Sparkling Model'!D$2:D$38^A11648)</f>
        <v>36.98917871</v>
      </c>
      <c r="C11648" s="8">
        <f t="array" ref="C11648">PRODUCT(1-'Sparkling Model'!D$2:D$38^A11648)</f>
        <v>0.989219788</v>
      </c>
    </row>
    <row r="11649">
      <c r="A11649" s="6">
        <v>11647.0</v>
      </c>
      <c r="B11649" s="17">
        <f t="array" ref="B11649">SUM(1-'Sparkling Model'!D$2:D$38^A11649)</f>
        <v>36.98918409</v>
      </c>
      <c r="C11649" s="8">
        <f t="array" ref="C11649">PRODUCT(1-'Sparkling Model'!D$2:D$38^A11649)</f>
        <v>0.9892251345</v>
      </c>
    </row>
    <row r="11650">
      <c r="A11650" s="6">
        <v>11648.0</v>
      </c>
      <c r="B11650" s="17">
        <f t="array" ref="B11650">SUM(1-'Sparkling Model'!D$2:D$38^A11650)</f>
        <v>36.98918948</v>
      </c>
      <c r="C11650" s="8">
        <f t="array" ref="C11650">PRODUCT(1-'Sparkling Model'!D$2:D$38^A11650)</f>
        <v>0.9892304783</v>
      </c>
    </row>
    <row r="11651">
      <c r="A11651" s="6">
        <v>11649.0</v>
      </c>
      <c r="B11651" s="17">
        <f t="array" ref="B11651">SUM(1-'Sparkling Model'!D$2:D$38^A11651)</f>
        <v>36.98919486</v>
      </c>
      <c r="C11651" s="8">
        <f t="array" ref="C11651">PRODUCT(1-'Sparkling Model'!D$2:D$38^A11651)</f>
        <v>0.9892358195</v>
      </c>
    </row>
    <row r="11652">
      <c r="A11652" s="6">
        <v>11650.0</v>
      </c>
      <c r="B11652" s="17">
        <f t="array" ref="B11652">SUM(1-'Sparkling Model'!D$2:D$38^A11652)</f>
        <v>36.98920024</v>
      </c>
      <c r="C11652" s="8">
        <f t="array" ref="C11652">PRODUCT(1-'Sparkling Model'!D$2:D$38^A11652)</f>
        <v>0.9892411581</v>
      </c>
    </row>
    <row r="11653">
      <c r="A11653" s="6">
        <v>11651.0</v>
      </c>
      <c r="B11653" s="17">
        <f t="array" ref="B11653">SUM(1-'Sparkling Model'!D$2:D$38^A11653)</f>
        <v>36.98920562</v>
      </c>
      <c r="C11653" s="8">
        <f t="array" ref="C11653">PRODUCT(1-'Sparkling Model'!D$2:D$38^A11653)</f>
        <v>0.9892464939</v>
      </c>
    </row>
    <row r="11654">
      <c r="A11654" s="6">
        <v>11652.0</v>
      </c>
      <c r="B11654" s="17">
        <f t="array" ref="B11654">SUM(1-'Sparkling Model'!D$2:D$38^A11654)</f>
        <v>36.98921099</v>
      </c>
      <c r="C11654" s="8">
        <f t="array" ref="C11654">PRODUCT(1-'Sparkling Model'!D$2:D$38^A11654)</f>
        <v>0.9892518272</v>
      </c>
    </row>
    <row r="11655">
      <c r="A11655" s="6">
        <v>11653.0</v>
      </c>
      <c r="B11655" s="17">
        <f t="array" ref="B11655">SUM(1-'Sparkling Model'!D$2:D$38^A11655)</f>
        <v>36.98921636</v>
      </c>
      <c r="C11655" s="8">
        <f t="array" ref="C11655">PRODUCT(1-'Sparkling Model'!D$2:D$38^A11655)</f>
        <v>0.9892571577</v>
      </c>
    </row>
    <row r="11656">
      <c r="A11656" s="6">
        <v>11654.0</v>
      </c>
      <c r="B11656" s="17">
        <f t="array" ref="B11656">SUM(1-'Sparkling Model'!D$2:D$38^A11656)</f>
        <v>36.98922173</v>
      </c>
      <c r="C11656" s="8">
        <f t="array" ref="C11656">PRODUCT(1-'Sparkling Model'!D$2:D$38^A11656)</f>
        <v>0.9892624857</v>
      </c>
    </row>
    <row r="11657">
      <c r="A11657" s="6">
        <v>11655.0</v>
      </c>
      <c r="B11657" s="17">
        <f t="array" ref="B11657">SUM(1-'Sparkling Model'!D$2:D$38^A11657)</f>
        <v>36.9892271</v>
      </c>
      <c r="C11657" s="8">
        <f t="array" ref="C11657">PRODUCT(1-'Sparkling Model'!D$2:D$38^A11657)</f>
        <v>0.9892678109</v>
      </c>
    </row>
    <row r="11658">
      <c r="A11658" s="6">
        <v>11656.0</v>
      </c>
      <c r="B11658" s="17">
        <f t="array" ref="B11658">SUM(1-'Sparkling Model'!D$2:D$38^A11658)</f>
        <v>36.98923246</v>
      </c>
      <c r="C11658" s="8">
        <f t="array" ref="C11658">PRODUCT(1-'Sparkling Model'!D$2:D$38^A11658)</f>
        <v>0.9892731336</v>
      </c>
    </row>
    <row r="11659">
      <c r="A11659" s="6">
        <v>11657.0</v>
      </c>
      <c r="B11659" s="17">
        <f t="array" ref="B11659">SUM(1-'Sparkling Model'!D$2:D$38^A11659)</f>
        <v>36.98923782</v>
      </c>
      <c r="C11659" s="8">
        <f t="array" ref="C11659">PRODUCT(1-'Sparkling Model'!D$2:D$38^A11659)</f>
        <v>0.9892784535</v>
      </c>
    </row>
    <row r="11660">
      <c r="A11660" s="6">
        <v>11658.0</v>
      </c>
      <c r="B11660" s="17">
        <f t="array" ref="B11660">SUM(1-'Sparkling Model'!D$2:D$38^A11660)</f>
        <v>36.98924318</v>
      </c>
      <c r="C11660" s="8">
        <f t="array" ref="C11660">PRODUCT(1-'Sparkling Model'!D$2:D$38^A11660)</f>
        <v>0.9892837709</v>
      </c>
    </row>
    <row r="11661">
      <c r="A11661" s="6">
        <v>11659.0</v>
      </c>
      <c r="B11661" s="17">
        <f t="array" ref="B11661">SUM(1-'Sparkling Model'!D$2:D$38^A11661)</f>
        <v>36.98924854</v>
      </c>
      <c r="C11661" s="8">
        <f t="array" ref="C11661">PRODUCT(1-'Sparkling Model'!D$2:D$38^A11661)</f>
        <v>0.9892890855</v>
      </c>
    </row>
    <row r="11662">
      <c r="A11662" s="6">
        <v>11660.0</v>
      </c>
      <c r="B11662" s="17">
        <f t="array" ref="B11662">SUM(1-'Sparkling Model'!D$2:D$38^A11662)</f>
        <v>36.98925389</v>
      </c>
      <c r="C11662" s="8">
        <f t="array" ref="C11662">PRODUCT(1-'Sparkling Model'!D$2:D$38^A11662)</f>
        <v>0.9892943976</v>
      </c>
    </row>
    <row r="11663">
      <c r="A11663" s="6">
        <v>11661.0</v>
      </c>
      <c r="B11663" s="17">
        <f t="array" ref="B11663">SUM(1-'Sparkling Model'!D$2:D$38^A11663)</f>
        <v>36.98925924</v>
      </c>
      <c r="C11663" s="8">
        <f t="array" ref="C11663">PRODUCT(1-'Sparkling Model'!D$2:D$38^A11663)</f>
        <v>0.989299707</v>
      </c>
    </row>
    <row r="11664">
      <c r="A11664" s="6">
        <v>11662.0</v>
      </c>
      <c r="B11664" s="17">
        <f t="array" ref="B11664">SUM(1-'Sparkling Model'!D$2:D$38^A11664)</f>
        <v>36.98926459</v>
      </c>
      <c r="C11664" s="8">
        <f t="array" ref="C11664">PRODUCT(1-'Sparkling Model'!D$2:D$38^A11664)</f>
        <v>0.9893050137</v>
      </c>
    </row>
    <row r="11665">
      <c r="A11665" s="6">
        <v>11663.0</v>
      </c>
      <c r="B11665" s="17">
        <f t="array" ref="B11665">SUM(1-'Sparkling Model'!D$2:D$38^A11665)</f>
        <v>36.98926993</v>
      </c>
      <c r="C11665" s="8">
        <f t="array" ref="C11665">PRODUCT(1-'Sparkling Model'!D$2:D$38^A11665)</f>
        <v>0.9893103178</v>
      </c>
    </row>
    <row r="11666">
      <c r="A11666" s="6">
        <v>11664.0</v>
      </c>
      <c r="B11666" s="17">
        <f t="array" ref="B11666">SUM(1-'Sparkling Model'!D$2:D$38^A11666)</f>
        <v>36.98927527</v>
      </c>
      <c r="C11666" s="8">
        <f t="array" ref="C11666">PRODUCT(1-'Sparkling Model'!D$2:D$38^A11666)</f>
        <v>0.9893156193</v>
      </c>
    </row>
    <row r="11667">
      <c r="A11667" s="6">
        <v>11665.0</v>
      </c>
      <c r="B11667" s="17">
        <f t="array" ref="B11667">SUM(1-'Sparkling Model'!D$2:D$38^A11667)</f>
        <v>36.98928061</v>
      </c>
      <c r="C11667" s="8">
        <f t="array" ref="C11667">PRODUCT(1-'Sparkling Model'!D$2:D$38^A11667)</f>
        <v>0.9893209182</v>
      </c>
    </row>
    <row r="11668">
      <c r="A11668" s="6">
        <v>11666.0</v>
      </c>
      <c r="B11668" s="17">
        <f t="array" ref="B11668">SUM(1-'Sparkling Model'!D$2:D$38^A11668)</f>
        <v>36.98928595</v>
      </c>
      <c r="C11668" s="8">
        <f t="array" ref="C11668">PRODUCT(1-'Sparkling Model'!D$2:D$38^A11668)</f>
        <v>0.9893262144</v>
      </c>
    </row>
    <row r="11669">
      <c r="A11669" s="6">
        <v>11667.0</v>
      </c>
      <c r="B11669" s="17">
        <f t="array" ref="B11669">SUM(1-'Sparkling Model'!D$2:D$38^A11669)</f>
        <v>36.98929128</v>
      </c>
      <c r="C11669" s="8">
        <f t="array" ref="C11669">PRODUCT(1-'Sparkling Model'!D$2:D$38^A11669)</f>
        <v>0.9893315079</v>
      </c>
    </row>
    <row r="11670">
      <c r="A11670" s="6">
        <v>11668.0</v>
      </c>
      <c r="B11670" s="17">
        <f t="array" ref="B11670">SUM(1-'Sparkling Model'!D$2:D$38^A11670)</f>
        <v>36.98929661</v>
      </c>
      <c r="C11670" s="8">
        <f t="array" ref="C11670">PRODUCT(1-'Sparkling Model'!D$2:D$38^A11670)</f>
        <v>0.9893367989</v>
      </c>
    </row>
    <row r="11671">
      <c r="A11671" s="6">
        <v>11669.0</v>
      </c>
      <c r="B11671" s="17">
        <f t="array" ref="B11671">SUM(1-'Sparkling Model'!D$2:D$38^A11671)</f>
        <v>36.98930194</v>
      </c>
      <c r="C11671" s="8">
        <f t="array" ref="C11671">PRODUCT(1-'Sparkling Model'!D$2:D$38^A11671)</f>
        <v>0.9893420872</v>
      </c>
    </row>
    <row r="11672">
      <c r="A11672" s="6">
        <v>11670.0</v>
      </c>
      <c r="B11672" s="17">
        <f t="array" ref="B11672">SUM(1-'Sparkling Model'!D$2:D$38^A11672)</f>
        <v>36.98930727</v>
      </c>
      <c r="C11672" s="8">
        <f t="array" ref="C11672">PRODUCT(1-'Sparkling Model'!D$2:D$38^A11672)</f>
        <v>0.9893473728</v>
      </c>
    </row>
    <row r="11673">
      <c r="A11673" s="6">
        <v>11671.0</v>
      </c>
      <c r="B11673" s="17">
        <f t="array" ref="B11673">SUM(1-'Sparkling Model'!D$2:D$38^A11673)</f>
        <v>36.98931259</v>
      </c>
      <c r="C11673" s="8">
        <f t="array" ref="C11673">PRODUCT(1-'Sparkling Model'!D$2:D$38^A11673)</f>
        <v>0.9893526559</v>
      </c>
    </row>
    <row r="11674">
      <c r="A11674" s="6">
        <v>11672.0</v>
      </c>
      <c r="B11674" s="17">
        <f t="array" ref="B11674">SUM(1-'Sparkling Model'!D$2:D$38^A11674)</f>
        <v>36.98931791</v>
      </c>
      <c r="C11674" s="8">
        <f t="array" ref="C11674">PRODUCT(1-'Sparkling Model'!D$2:D$38^A11674)</f>
        <v>0.9893579363</v>
      </c>
    </row>
    <row r="11675">
      <c r="A11675" s="6">
        <v>11673.0</v>
      </c>
      <c r="B11675" s="17">
        <f t="array" ref="B11675">SUM(1-'Sparkling Model'!D$2:D$38^A11675)</f>
        <v>36.98932323</v>
      </c>
      <c r="C11675" s="8">
        <f t="array" ref="C11675">PRODUCT(1-'Sparkling Model'!D$2:D$38^A11675)</f>
        <v>0.9893632141</v>
      </c>
    </row>
    <row r="11676">
      <c r="A11676" s="6">
        <v>11674.0</v>
      </c>
      <c r="B11676" s="17">
        <f t="array" ref="B11676">SUM(1-'Sparkling Model'!D$2:D$38^A11676)</f>
        <v>36.98932854</v>
      </c>
      <c r="C11676" s="8">
        <f t="array" ref="C11676">PRODUCT(1-'Sparkling Model'!D$2:D$38^A11676)</f>
        <v>0.9893684893</v>
      </c>
    </row>
    <row r="11677">
      <c r="A11677" s="6">
        <v>11675.0</v>
      </c>
      <c r="B11677" s="17">
        <f t="array" ref="B11677">SUM(1-'Sparkling Model'!D$2:D$38^A11677)</f>
        <v>36.98933386</v>
      </c>
      <c r="C11677" s="8">
        <f t="array" ref="C11677">PRODUCT(1-'Sparkling Model'!D$2:D$38^A11677)</f>
        <v>0.9893737618</v>
      </c>
    </row>
    <row r="11678">
      <c r="A11678" s="6">
        <v>11676.0</v>
      </c>
      <c r="B11678" s="17">
        <f t="array" ref="B11678">SUM(1-'Sparkling Model'!D$2:D$38^A11678)</f>
        <v>36.98933917</v>
      </c>
      <c r="C11678" s="8">
        <f t="array" ref="C11678">PRODUCT(1-'Sparkling Model'!D$2:D$38^A11678)</f>
        <v>0.9893790317</v>
      </c>
    </row>
    <row r="11679">
      <c r="A11679" s="6">
        <v>11677.0</v>
      </c>
      <c r="B11679" s="17">
        <f t="array" ref="B11679">SUM(1-'Sparkling Model'!D$2:D$38^A11679)</f>
        <v>36.98934447</v>
      </c>
      <c r="C11679" s="8">
        <f t="array" ref="C11679">PRODUCT(1-'Sparkling Model'!D$2:D$38^A11679)</f>
        <v>0.989384299</v>
      </c>
    </row>
    <row r="11680">
      <c r="A11680" s="6">
        <v>11678.0</v>
      </c>
      <c r="B11680" s="17">
        <f t="array" ref="B11680">SUM(1-'Sparkling Model'!D$2:D$38^A11680)</f>
        <v>36.98934978</v>
      </c>
      <c r="C11680" s="8">
        <f t="array" ref="C11680">PRODUCT(1-'Sparkling Model'!D$2:D$38^A11680)</f>
        <v>0.9893895637</v>
      </c>
    </row>
    <row r="11681">
      <c r="A11681" s="6">
        <v>11679.0</v>
      </c>
      <c r="B11681" s="17">
        <f t="array" ref="B11681">SUM(1-'Sparkling Model'!D$2:D$38^A11681)</f>
        <v>36.98935508</v>
      </c>
      <c r="C11681" s="8">
        <f t="array" ref="C11681">PRODUCT(1-'Sparkling Model'!D$2:D$38^A11681)</f>
        <v>0.9893948258</v>
      </c>
    </row>
    <row r="11682">
      <c r="A11682" s="6">
        <v>11680.0</v>
      </c>
      <c r="B11682" s="17">
        <f t="array" ref="B11682">SUM(1-'Sparkling Model'!D$2:D$38^A11682)</f>
        <v>36.98936038</v>
      </c>
      <c r="C11682" s="8">
        <f t="array" ref="C11682">PRODUCT(1-'Sparkling Model'!D$2:D$38^A11682)</f>
        <v>0.9894000852</v>
      </c>
    </row>
    <row r="11683">
      <c r="A11683" s="6">
        <v>11681.0</v>
      </c>
      <c r="B11683" s="17">
        <f t="array" ref="B11683">SUM(1-'Sparkling Model'!D$2:D$38^A11683)</f>
        <v>36.98936568</v>
      </c>
      <c r="C11683" s="8">
        <f t="array" ref="C11683">PRODUCT(1-'Sparkling Model'!D$2:D$38^A11683)</f>
        <v>0.989405342</v>
      </c>
    </row>
    <row r="11684">
      <c r="A11684" s="6">
        <v>11682.0</v>
      </c>
      <c r="B11684" s="17">
        <f t="array" ref="B11684">SUM(1-'Sparkling Model'!D$2:D$38^A11684)</f>
        <v>36.98937097</v>
      </c>
      <c r="C11684" s="8">
        <f t="array" ref="C11684">PRODUCT(1-'Sparkling Model'!D$2:D$38^A11684)</f>
        <v>0.9894105962</v>
      </c>
    </row>
    <row r="11685">
      <c r="A11685" s="6">
        <v>11683.0</v>
      </c>
      <c r="B11685" s="17">
        <f t="array" ref="B11685">SUM(1-'Sparkling Model'!D$2:D$38^A11685)</f>
        <v>36.98937626</v>
      </c>
      <c r="C11685" s="8">
        <f t="array" ref="C11685">PRODUCT(1-'Sparkling Model'!D$2:D$38^A11685)</f>
        <v>0.9894158478</v>
      </c>
    </row>
    <row r="11686">
      <c r="A11686" s="6">
        <v>11684.0</v>
      </c>
      <c r="B11686" s="17">
        <f t="array" ref="B11686">SUM(1-'Sparkling Model'!D$2:D$38^A11686)</f>
        <v>36.98938155</v>
      </c>
      <c r="C11686" s="8">
        <f t="array" ref="C11686">PRODUCT(1-'Sparkling Model'!D$2:D$38^A11686)</f>
        <v>0.9894210968</v>
      </c>
    </row>
    <row r="11687">
      <c r="A11687" s="6">
        <v>11685.0</v>
      </c>
      <c r="B11687" s="17">
        <f t="array" ref="B11687">SUM(1-'Sparkling Model'!D$2:D$38^A11687)</f>
        <v>36.98938684</v>
      </c>
      <c r="C11687" s="8">
        <f t="array" ref="C11687">PRODUCT(1-'Sparkling Model'!D$2:D$38^A11687)</f>
        <v>0.9894263432</v>
      </c>
    </row>
    <row r="11688">
      <c r="A11688" s="6">
        <v>11686.0</v>
      </c>
      <c r="B11688" s="17">
        <f t="array" ref="B11688">SUM(1-'Sparkling Model'!D$2:D$38^A11688)</f>
        <v>36.98939212</v>
      </c>
      <c r="C11688" s="8">
        <f t="array" ref="C11688">PRODUCT(1-'Sparkling Model'!D$2:D$38^A11688)</f>
        <v>0.9894315869</v>
      </c>
    </row>
    <row r="11689">
      <c r="A11689" s="6">
        <v>11687.0</v>
      </c>
      <c r="B11689" s="17">
        <f t="array" ref="B11689">SUM(1-'Sparkling Model'!D$2:D$38^A11689)</f>
        <v>36.9893974</v>
      </c>
      <c r="C11689" s="8">
        <f t="array" ref="C11689">PRODUCT(1-'Sparkling Model'!D$2:D$38^A11689)</f>
        <v>0.9894368281</v>
      </c>
    </row>
    <row r="11690">
      <c r="A11690" s="6">
        <v>11688.0</v>
      </c>
      <c r="B11690" s="17">
        <f t="array" ref="B11690">SUM(1-'Sparkling Model'!D$2:D$38^A11690)</f>
        <v>36.98940268</v>
      </c>
      <c r="C11690" s="8">
        <f t="array" ref="C11690">PRODUCT(1-'Sparkling Model'!D$2:D$38^A11690)</f>
        <v>0.9894420666</v>
      </c>
    </row>
    <row r="11691">
      <c r="A11691" s="6">
        <v>11689.0</v>
      </c>
      <c r="B11691" s="17">
        <f t="array" ref="B11691">SUM(1-'Sparkling Model'!D$2:D$38^A11691)</f>
        <v>36.98940795</v>
      </c>
      <c r="C11691" s="8">
        <f t="array" ref="C11691">PRODUCT(1-'Sparkling Model'!D$2:D$38^A11691)</f>
        <v>0.9894473026</v>
      </c>
    </row>
    <row r="11692">
      <c r="A11692" s="6">
        <v>11690.0</v>
      </c>
      <c r="B11692" s="17">
        <f t="array" ref="B11692">SUM(1-'Sparkling Model'!D$2:D$38^A11692)</f>
        <v>36.98941323</v>
      </c>
      <c r="C11692" s="8">
        <f t="array" ref="C11692">PRODUCT(1-'Sparkling Model'!D$2:D$38^A11692)</f>
        <v>0.9894525359</v>
      </c>
    </row>
    <row r="11693">
      <c r="A11693" s="6">
        <v>11691.0</v>
      </c>
      <c r="B11693" s="17">
        <f t="array" ref="B11693">SUM(1-'Sparkling Model'!D$2:D$38^A11693)</f>
        <v>36.9894185</v>
      </c>
      <c r="C11693" s="8">
        <f t="array" ref="C11693">PRODUCT(1-'Sparkling Model'!D$2:D$38^A11693)</f>
        <v>0.9894577666</v>
      </c>
    </row>
    <row r="11694">
      <c r="A11694" s="6">
        <v>11692.0</v>
      </c>
      <c r="B11694" s="17">
        <f t="array" ref="B11694">SUM(1-'Sparkling Model'!D$2:D$38^A11694)</f>
        <v>36.98942376</v>
      </c>
      <c r="C11694" s="8">
        <f t="array" ref="C11694">PRODUCT(1-'Sparkling Model'!D$2:D$38^A11694)</f>
        <v>0.9894629948</v>
      </c>
    </row>
    <row r="11695">
      <c r="A11695" s="6">
        <v>11693.0</v>
      </c>
      <c r="B11695" s="17">
        <f t="array" ref="B11695">SUM(1-'Sparkling Model'!D$2:D$38^A11695)</f>
        <v>36.98942903</v>
      </c>
      <c r="C11695" s="8">
        <f t="array" ref="C11695">PRODUCT(1-'Sparkling Model'!D$2:D$38^A11695)</f>
        <v>0.9894682203</v>
      </c>
    </row>
    <row r="11696">
      <c r="A11696" s="6">
        <v>11694.0</v>
      </c>
      <c r="B11696" s="17">
        <f t="array" ref="B11696">SUM(1-'Sparkling Model'!D$2:D$38^A11696)</f>
        <v>36.98943429</v>
      </c>
      <c r="C11696" s="8">
        <f t="array" ref="C11696">PRODUCT(1-'Sparkling Model'!D$2:D$38^A11696)</f>
        <v>0.9894734432</v>
      </c>
    </row>
    <row r="11697">
      <c r="A11697" s="6">
        <v>11695.0</v>
      </c>
      <c r="B11697" s="17">
        <f t="array" ref="B11697">SUM(1-'Sparkling Model'!D$2:D$38^A11697)</f>
        <v>36.98943955</v>
      </c>
      <c r="C11697" s="8">
        <f t="array" ref="C11697">PRODUCT(1-'Sparkling Model'!D$2:D$38^A11697)</f>
        <v>0.9894786636</v>
      </c>
    </row>
    <row r="11698">
      <c r="A11698" s="6">
        <v>11696.0</v>
      </c>
      <c r="B11698" s="17">
        <f t="array" ref="B11698">SUM(1-'Sparkling Model'!D$2:D$38^A11698)</f>
        <v>36.98944481</v>
      </c>
      <c r="C11698" s="8">
        <f t="array" ref="C11698">PRODUCT(1-'Sparkling Model'!D$2:D$38^A11698)</f>
        <v>0.9894838813</v>
      </c>
    </row>
    <row r="11699">
      <c r="A11699" s="6">
        <v>11697.0</v>
      </c>
      <c r="B11699" s="17">
        <f t="array" ref="B11699">SUM(1-'Sparkling Model'!D$2:D$38^A11699)</f>
        <v>36.98945006</v>
      </c>
      <c r="C11699" s="8">
        <f t="array" ref="C11699">PRODUCT(1-'Sparkling Model'!D$2:D$38^A11699)</f>
        <v>0.9894890965</v>
      </c>
    </row>
    <row r="11700">
      <c r="A11700" s="6">
        <v>11698.0</v>
      </c>
      <c r="B11700" s="17">
        <f t="array" ref="B11700">SUM(1-'Sparkling Model'!D$2:D$38^A11700)</f>
        <v>36.98945531</v>
      </c>
      <c r="C11700" s="8">
        <f t="array" ref="C11700">PRODUCT(1-'Sparkling Model'!D$2:D$38^A11700)</f>
        <v>0.989494309</v>
      </c>
    </row>
    <row r="11701">
      <c r="A11701" s="6">
        <v>11699.0</v>
      </c>
      <c r="B11701" s="17">
        <f t="array" ref="B11701">SUM(1-'Sparkling Model'!D$2:D$38^A11701)</f>
        <v>36.98946056</v>
      </c>
      <c r="C11701" s="8">
        <f t="array" ref="C11701">PRODUCT(1-'Sparkling Model'!D$2:D$38^A11701)</f>
        <v>0.989499519</v>
      </c>
    </row>
    <row r="11702">
      <c r="A11702" s="6">
        <v>11700.0</v>
      </c>
      <c r="B11702" s="17">
        <f t="array" ref="B11702">SUM(1-'Sparkling Model'!D$2:D$38^A11702)</f>
        <v>36.98946581</v>
      </c>
      <c r="C11702" s="8">
        <f t="array" ref="C11702">PRODUCT(1-'Sparkling Model'!D$2:D$38^A11702)</f>
        <v>0.9895047263</v>
      </c>
    </row>
    <row r="11703">
      <c r="A11703" s="6">
        <v>11701.0</v>
      </c>
      <c r="B11703" s="17">
        <f t="array" ref="B11703">SUM(1-'Sparkling Model'!D$2:D$38^A11703)</f>
        <v>36.98947105</v>
      </c>
      <c r="C11703" s="8">
        <f t="array" ref="C11703">PRODUCT(1-'Sparkling Model'!D$2:D$38^A11703)</f>
        <v>0.9895099311</v>
      </c>
    </row>
    <row r="11704">
      <c r="A11704" s="6">
        <v>11702.0</v>
      </c>
      <c r="B11704" s="17">
        <f t="array" ref="B11704">SUM(1-'Sparkling Model'!D$2:D$38^A11704)</f>
        <v>36.98947629</v>
      </c>
      <c r="C11704" s="8">
        <f t="array" ref="C11704">PRODUCT(1-'Sparkling Model'!D$2:D$38^A11704)</f>
        <v>0.9895151333</v>
      </c>
    </row>
    <row r="11705">
      <c r="A11705" s="6">
        <v>11703.0</v>
      </c>
      <c r="B11705" s="17">
        <f t="array" ref="B11705">SUM(1-'Sparkling Model'!D$2:D$38^A11705)</f>
        <v>36.98948153</v>
      </c>
      <c r="C11705" s="8">
        <f t="array" ref="C11705">PRODUCT(1-'Sparkling Model'!D$2:D$38^A11705)</f>
        <v>0.9895203329</v>
      </c>
    </row>
    <row r="11706">
      <c r="A11706" s="6">
        <v>11704.0</v>
      </c>
      <c r="B11706" s="17">
        <f t="array" ref="B11706">SUM(1-'Sparkling Model'!D$2:D$38^A11706)</f>
        <v>36.98948677</v>
      </c>
      <c r="C11706" s="8">
        <f t="array" ref="C11706">PRODUCT(1-'Sparkling Model'!D$2:D$38^A11706)</f>
        <v>0.9895255299</v>
      </c>
    </row>
    <row r="11707">
      <c r="A11707" s="6">
        <v>11705.0</v>
      </c>
      <c r="B11707" s="17">
        <f t="array" ref="B11707">SUM(1-'Sparkling Model'!D$2:D$38^A11707)</f>
        <v>36.989492</v>
      </c>
      <c r="C11707" s="8">
        <f t="array" ref="C11707">PRODUCT(1-'Sparkling Model'!D$2:D$38^A11707)</f>
        <v>0.9895307243</v>
      </c>
    </row>
    <row r="11708">
      <c r="A11708" s="6">
        <v>11706.0</v>
      </c>
      <c r="B11708" s="17">
        <f t="array" ref="B11708">SUM(1-'Sparkling Model'!D$2:D$38^A11708)</f>
        <v>36.98949723</v>
      </c>
      <c r="C11708" s="8">
        <f t="array" ref="C11708">PRODUCT(1-'Sparkling Model'!D$2:D$38^A11708)</f>
        <v>0.9895359161</v>
      </c>
    </row>
    <row r="11709">
      <c r="A11709" s="6">
        <v>11707.0</v>
      </c>
      <c r="B11709" s="17">
        <f t="array" ref="B11709">SUM(1-'Sparkling Model'!D$2:D$38^A11709)</f>
        <v>36.98950246</v>
      </c>
      <c r="C11709" s="8">
        <f t="array" ref="C11709">PRODUCT(1-'Sparkling Model'!D$2:D$38^A11709)</f>
        <v>0.9895411054</v>
      </c>
    </row>
    <row r="11710">
      <c r="A11710" s="6">
        <v>11708.0</v>
      </c>
      <c r="B11710" s="17">
        <f t="array" ref="B11710">SUM(1-'Sparkling Model'!D$2:D$38^A11710)</f>
        <v>36.98950768</v>
      </c>
      <c r="C11710" s="8">
        <f t="array" ref="C11710">PRODUCT(1-'Sparkling Model'!D$2:D$38^A11710)</f>
        <v>0.9895462921</v>
      </c>
    </row>
    <row r="11711">
      <c r="A11711" s="6">
        <v>11709.0</v>
      </c>
      <c r="B11711" s="17">
        <f t="array" ref="B11711">SUM(1-'Sparkling Model'!D$2:D$38^A11711)</f>
        <v>36.98951291</v>
      </c>
      <c r="C11711" s="8">
        <f t="array" ref="C11711">PRODUCT(1-'Sparkling Model'!D$2:D$38^A11711)</f>
        <v>0.9895514762</v>
      </c>
    </row>
    <row r="11712">
      <c r="A11712" s="6">
        <v>11710.0</v>
      </c>
      <c r="B11712" s="17">
        <f t="array" ref="B11712">SUM(1-'Sparkling Model'!D$2:D$38^A11712)</f>
        <v>36.98951813</v>
      </c>
      <c r="C11712" s="8">
        <f t="array" ref="C11712">PRODUCT(1-'Sparkling Model'!D$2:D$38^A11712)</f>
        <v>0.9895566577</v>
      </c>
    </row>
    <row r="11713">
      <c r="A11713" s="6">
        <v>11711.0</v>
      </c>
      <c r="B11713" s="17">
        <f t="array" ref="B11713">SUM(1-'Sparkling Model'!D$2:D$38^A11713)</f>
        <v>36.98952335</v>
      </c>
      <c r="C11713" s="8">
        <f t="array" ref="C11713">PRODUCT(1-'Sparkling Model'!D$2:D$38^A11713)</f>
        <v>0.9895618366</v>
      </c>
    </row>
    <row r="11714">
      <c r="A11714" s="6">
        <v>11712.0</v>
      </c>
      <c r="B11714" s="17">
        <f t="array" ref="B11714">SUM(1-'Sparkling Model'!D$2:D$38^A11714)</f>
        <v>36.98952856</v>
      </c>
      <c r="C11714" s="8">
        <f t="array" ref="C11714">PRODUCT(1-'Sparkling Model'!D$2:D$38^A11714)</f>
        <v>0.989567013</v>
      </c>
    </row>
    <row r="11715">
      <c r="A11715" s="6">
        <v>11713.0</v>
      </c>
      <c r="B11715" s="17">
        <f t="array" ref="B11715">SUM(1-'Sparkling Model'!D$2:D$38^A11715)</f>
        <v>36.98953377</v>
      </c>
      <c r="C11715" s="8">
        <f t="array" ref="C11715">PRODUCT(1-'Sparkling Model'!D$2:D$38^A11715)</f>
        <v>0.9895721868</v>
      </c>
    </row>
    <row r="11716">
      <c r="A11716" s="6">
        <v>11714.0</v>
      </c>
      <c r="B11716" s="17">
        <f t="array" ref="B11716">SUM(1-'Sparkling Model'!D$2:D$38^A11716)</f>
        <v>36.98953898</v>
      </c>
      <c r="C11716" s="8">
        <f t="array" ref="C11716">PRODUCT(1-'Sparkling Model'!D$2:D$38^A11716)</f>
        <v>0.989577358</v>
      </c>
    </row>
    <row r="11717">
      <c r="A11717" s="6">
        <v>11715.0</v>
      </c>
      <c r="B11717" s="17">
        <f t="array" ref="B11717">SUM(1-'Sparkling Model'!D$2:D$38^A11717)</f>
        <v>36.98954419</v>
      </c>
      <c r="C11717" s="8">
        <f t="array" ref="C11717">PRODUCT(1-'Sparkling Model'!D$2:D$38^A11717)</f>
        <v>0.9895825267</v>
      </c>
    </row>
    <row r="11718">
      <c r="A11718" s="6">
        <v>11716.0</v>
      </c>
      <c r="B11718" s="17">
        <f t="array" ref="B11718">SUM(1-'Sparkling Model'!D$2:D$38^A11718)</f>
        <v>36.98954939</v>
      </c>
      <c r="C11718" s="8">
        <f t="array" ref="C11718">PRODUCT(1-'Sparkling Model'!D$2:D$38^A11718)</f>
        <v>0.9895876927</v>
      </c>
    </row>
    <row r="11719">
      <c r="A11719" s="6">
        <v>11717.0</v>
      </c>
      <c r="B11719" s="17">
        <f t="array" ref="B11719">SUM(1-'Sparkling Model'!D$2:D$38^A11719)</f>
        <v>36.9895546</v>
      </c>
      <c r="C11719" s="8">
        <f t="array" ref="C11719">PRODUCT(1-'Sparkling Model'!D$2:D$38^A11719)</f>
        <v>0.9895928562</v>
      </c>
    </row>
    <row r="11720">
      <c r="A11720" s="6">
        <v>11718.0</v>
      </c>
      <c r="B11720" s="17">
        <f t="array" ref="B11720">SUM(1-'Sparkling Model'!D$2:D$38^A11720)</f>
        <v>36.98955979</v>
      </c>
      <c r="C11720" s="8">
        <f t="array" ref="C11720">PRODUCT(1-'Sparkling Model'!D$2:D$38^A11720)</f>
        <v>0.9895980172</v>
      </c>
    </row>
    <row r="11721">
      <c r="A11721" s="6">
        <v>11719.0</v>
      </c>
      <c r="B11721" s="17">
        <f t="array" ref="B11721">SUM(1-'Sparkling Model'!D$2:D$38^A11721)</f>
        <v>36.98956499</v>
      </c>
      <c r="C11721" s="8">
        <f t="array" ref="C11721">PRODUCT(1-'Sparkling Model'!D$2:D$38^A11721)</f>
        <v>0.9896031755</v>
      </c>
    </row>
    <row r="11722">
      <c r="A11722" s="6">
        <v>11720.0</v>
      </c>
      <c r="B11722" s="17">
        <f t="array" ref="B11722">SUM(1-'Sparkling Model'!D$2:D$38^A11722)</f>
        <v>36.98957019</v>
      </c>
      <c r="C11722" s="8">
        <f t="array" ref="C11722">PRODUCT(1-'Sparkling Model'!D$2:D$38^A11722)</f>
        <v>0.9896083313</v>
      </c>
    </row>
    <row r="11723">
      <c r="A11723" s="6">
        <v>11721.0</v>
      </c>
      <c r="B11723" s="17">
        <f t="array" ref="B11723">SUM(1-'Sparkling Model'!D$2:D$38^A11723)</f>
        <v>36.98957538</v>
      </c>
      <c r="C11723" s="8">
        <f t="array" ref="C11723">PRODUCT(1-'Sparkling Model'!D$2:D$38^A11723)</f>
        <v>0.9896134846</v>
      </c>
    </row>
    <row r="11724">
      <c r="A11724" s="6">
        <v>11722.0</v>
      </c>
      <c r="B11724" s="17">
        <f t="array" ref="B11724">SUM(1-'Sparkling Model'!D$2:D$38^A11724)</f>
        <v>36.98958057</v>
      </c>
      <c r="C11724" s="8">
        <f t="array" ref="C11724">PRODUCT(1-'Sparkling Model'!D$2:D$38^A11724)</f>
        <v>0.9896186353</v>
      </c>
    </row>
    <row r="11725">
      <c r="A11725" s="6">
        <v>11723.0</v>
      </c>
      <c r="B11725" s="17">
        <f t="array" ref="B11725">SUM(1-'Sparkling Model'!D$2:D$38^A11725)</f>
        <v>36.98958575</v>
      </c>
      <c r="C11725" s="8">
        <f t="array" ref="C11725">PRODUCT(1-'Sparkling Model'!D$2:D$38^A11725)</f>
        <v>0.9896237834</v>
      </c>
    </row>
    <row r="11726">
      <c r="A11726" s="6">
        <v>11724.0</v>
      </c>
      <c r="B11726" s="17">
        <f t="array" ref="B11726">SUM(1-'Sparkling Model'!D$2:D$38^A11726)</f>
        <v>36.98959094</v>
      </c>
      <c r="C11726" s="8">
        <f t="array" ref="C11726">PRODUCT(1-'Sparkling Model'!D$2:D$38^A11726)</f>
        <v>0.9896289289</v>
      </c>
    </row>
    <row r="11727">
      <c r="A11727" s="6">
        <v>11725.0</v>
      </c>
      <c r="B11727" s="17">
        <f t="array" ref="B11727">SUM(1-'Sparkling Model'!D$2:D$38^A11727)</f>
        <v>36.98959612</v>
      </c>
      <c r="C11727" s="8">
        <f t="array" ref="C11727">PRODUCT(1-'Sparkling Model'!D$2:D$38^A11727)</f>
        <v>0.9896340719</v>
      </c>
    </row>
    <row r="11728">
      <c r="A11728" s="6">
        <v>11726.0</v>
      </c>
      <c r="B11728" s="17">
        <f t="array" ref="B11728">SUM(1-'Sparkling Model'!D$2:D$38^A11728)</f>
        <v>36.98960129</v>
      </c>
      <c r="C11728" s="8">
        <f t="array" ref="C11728">PRODUCT(1-'Sparkling Model'!D$2:D$38^A11728)</f>
        <v>0.9896392124</v>
      </c>
    </row>
    <row r="11729">
      <c r="A11729" s="6">
        <v>11727.0</v>
      </c>
      <c r="B11729" s="17">
        <f t="array" ref="B11729">SUM(1-'Sparkling Model'!D$2:D$38^A11729)</f>
        <v>36.98960647</v>
      </c>
      <c r="C11729" s="8">
        <f t="array" ref="C11729">PRODUCT(1-'Sparkling Model'!D$2:D$38^A11729)</f>
        <v>0.9896443502</v>
      </c>
    </row>
    <row r="11730">
      <c r="A11730" s="6">
        <v>11728.0</v>
      </c>
      <c r="B11730" s="17">
        <f t="array" ref="B11730">SUM(1-'Sparkling Model'!D$2:D$38^A11730)</f>
        <v>36.98961164</v>
      </c>
      <c r="C11730" s="8">
        <f t="array" ref="C11730">PRODUCT(1-'Sparkling Model'!D$2:D$38^A11730)</f>
        <v>0.9896494856</v>
      </c>
    </row>
    <row r="11731">
      <c r="A11731" s="6">
        <v>11729.0</v>
      </c>
      <c r="B11731" s="17">
        <f t="array" ref="B11731">SUM(1-'Sparkling Model'!D$2:D$38^A11731)</f>
        <v>36.98961681</v>
      </c>
      <c r="C11731" s="8">
        <f t="array" ref="C11731">PRODUCT(1-'Sparkling Model'!D$2:D$38^A11731)</f>
        <v>0.9896546183</v>
      </c>
    </row>
    <row r="11732">
      <c r="A11732" s="6">
        <v>11730.0</v>
      </c>
      <c r="B11732" s="17">
        <f t="array" ref="B11732">SUM(1-'Sparkling Model'!D$2:D$38^A11732)</f>
        <v>36.98962198</v>
      </c>
      <c r="C11732" s="8">
        <f t="array" ref="C11732">PRODUCT(1-'Sparkling Model'!D$2:D$38^A11732)</f>
        <v>0.9896597485</v>
      </c>
    </row>
    <row r="11733">
      <c r="A11733" s="6">
        <v>11731.0</v>
      </c>
      <c r="B11733" s="17">
        <f t="array" ref="B11733">SUM(1-'Sparkling Model'!D$2:D$38^A11733)</f>
        <v>36.98962715</v>
      </c>
      <c r="C11733" s="8">
        <f t="array" ref="C11733">PRODUCT(1-'Sparkling Model'!D$2:D$38^A11733)</f>
        <v>0.9896648762</v>
      </c>
    </row>
    <row r="11734">
      <c r="A11734" s="6">
        <v>11732.0</v>
      </c>
      <c r="B11734" s="17">
        <f t="array" ref="B11734">SUM(1-'Sparkling Model'!D$2:D$38^A11734)</f>
        <v>36.98963231</v>
      </c>
      <c r="C11734" s="8">
        <f t="array" ref="C11734">PRODUCT(1-'Sparkling Model'!D$2:D$38^A11734)</f>
        <v>0.9896700013</v>
      </c>
    </row>
    <row r="11735">
      <c r="A11735" s="6">
        <v>11733.0</v>
      </c>
      <c r="B11735" s="17">
        <f t="array" ref="B11735">SUM(1-'Sparkling Model'!D$2:D$38^A11735)</f>
        <v>36.98963747</v>
      </c>
      <c r="C11735" s="8">
        <f t="array" ref="C11735">PRODUCT(1-'Sparkling Model'!D$2:D$38^A11735)</f>
        <v>0.9896751239</v>
      </c>
    </row>
    <row r="11736">
      <c r="A11736" s="6">
        <v>11734.0</v>
      </c>
      <c r="B11736" s="17">
        <f t="array" ref="B11736">SUM(1-'Sparkling Model'!D$2:D$38^A11736)</f>
        <v>36.98964263</v>
      </c>
      <c r="C11736" s="8">
        <f t="array" ref="C11736">PRODUCT(1-'Sparkling Model'!D$2:D$38^A11736)</f>
        <v>0.9896802439</v>
      </c>
    </row>
    <row r="11737">
      <c r="A11737" s="6">
        <v>11735.0</v>
      </c>
      <c r="B11737" s="17">
        <f t="array" ref="B11737">SUM(1-'Sparkling Model'!D$2:D$38^A11737)</f>
        <v>36.98964778</v>
      </c>
      <c r="C11737" s="8">
        <f t="array" ref="C11737">PRODUCT(1-'Sparkling Model'!D$2:D$38^A11737)</f>
        <v>0.9896853614</v>
      </c>
    </row>
    <row r="11738">
      <c r="A11738" s="6">
        <v>11736.0</v>
      </c>
      <c r="B11738" s="17">
        <f t="array" ref="B11738">SUM(1-'Sparkling Model'!D$2:D$38^A11738)</f>
        <v>36.98965294</v>
      </c>
      <c r="C11738" s="8">
        <f t="array" ref="C11738">PRODUCT(1-'Sparkling Model'!D$2:D$38^A11738)</f>
        <v>0.9896904763</v>
      </c>
    </row>
    <row r="11739">
      <c r="A11739" s="6">
        <v>11737.0</v>
      </c>
      <c r="B11739" s="17">
        <f t="array" ref="B11739">SUM(1-'Sparkling Model'!D$2:D$38^A11739)</f>
        <v>36.98965809</v>
      </c>
      <c r="C11739" s="8">
        <f t="array" ref="C11739">PRODUCT(1-'Sparkling Model'!D$2:D$38^A11739)</f>
        <v>0.9896955887</v>
      </c>
    </row>
    <row r="11740">
      <c r="A11740" s="6">
        <v>11738.0</v>
      </c>
      <c r="B11740" s="17">
        <f t="array" ref="B11740">SUM(1-'Sparkling Model'!D$2:D$38^A11740)</f>
        <v>36.98966323</v>
      </c>
      <c r="C11740" s="8">
        <f t="array" ref="C11740">PRODUCT(1-'Sparkling Model'!D$2:D$38^A11740)</f>
        <v>0.9897006985</v>
      </c>
    </row>
    <row r="11741">
      <c r="A11741" s="6">
        <v>11739.0</v>
      </c>
      <c r="B11741" s="17">
        <f t="array" ref="B11741">SUM(1-'Sparkling Model'!D$2:D$38^A11741)</f>
        <v>36.98966838</v>
      </c>
      <c r="C11741" s="8">
        <f t="array" ref="C11741">PRODUCT(1-'Sparkling Model'!D$2:D$38^A11741)</f>
        <v>0.9897058058</v>
      </c>
    </row>
    <row r="11742">
      <c r="A11742" s="6">
        <v>11740.0</v>
      </c>
      <c r="B11742" s="17">
        <f t="array" ref="B11742">SUM(1-'Sparkling Model'!D$2:D$38^A11742)</f>
        <v>36.98967352</v>
      </c>
      <c r="C11742" s="8">
        <f t="array" ref="C11742">PRODUCT(1-'Sparkling Model'!D$2:D$38^A11742)</f>
        <v>0.9897109106</v>
      </c>
    </row>
    <row r="11743">
      <c r="A11743" s="6">
        <v>11741.0</v>
      </c>
      <c r="B11743" s="17">
        <f t="array" ref="B11743">SUM(1-'Sparkling Model'!D$2:D$38^A11743)</f>
        <v>36.98967866</v>
      </c>
      <c r="C11743" s="8">
        <f t="array" ref="C11743">PRODUCT(1-'Sparkling Model'!D$2:D$38^A11743)</f>
        <v>0.9897160128</v>
      </c>
    </row>
    <row r="11744">
      <c r="A11744" s="6">
        <v>11742.0</v>
      </c>
      <c r="B11744" s="17">
        <f t="array" ref="B11744">SUM(1-'Sparkling Model'!D$2:D$38^A11744)</f>
        <v>36.9896838</v>
      </c>
      <c r="C11744" s="8">
        <f t="array" ref="C11744">PRODUCT(1-'Sparkling Model'!D$2:D$38^A11744)</f>
        <v>0.9897211125</v>
      </c>
    </row>
    <row r="11745">
      <c r="A11745" s="6">
        <v>11743.0</v>
      </c>
      <c r="B11745" s="17">
        <f t="array" ref="B11745">SUM(1-'Sparkling Model'!D$2:D$38^A11745)</f>
        <v>36.98968893</v>
      </c>
      <c r="C11745" s="8">
        <f t="array" ref="C11745">PRODUCT(1-'Sparkling Model'!D$2:D$38^A11745)</f>
        <v>0.9897262096</v>
      </c>
    </row>
    <row r="11746">
      <c r="A11746" s="6">
        <v>11744.0</v>
      </c>
      <c r="B11746" s="17">
        <f t="array" ref="B11746">SUM(1-'Sparkling Model'!D$2:D$38^A11746)</f>
        <v>36.98969406</v>
      </c>
      <c r="C11746" s="8">
        <f t="array" ref="C11746">PRODUCT(1-'Sparkling Model'!D$2:D$38^A11746)</f>
        <v>0.9897313042</v>
      </c>
    </row>
    <row r="11747">
      <c r="A11747" s="6">
        <v>11745.0</v>
      </c>
      <c r="B11747" s="17">
        <f t="array" ref="B11747">SUM(1-'Sparkling Model'!D$2:D$38^A11747)</f>
        <v>36.98969919</v>
      </c>
      <c r="C11747" s="8">
        <f t="array" ref="C11747">PRODUCT(1-'Sparkling Model'!D$2:D$38^A11747)</f>
        <v>0.9897363963</v>
      </c>
    </row>
    <row r="11748">
      <c r="A11748" s="6">
        <v>11746.0</v>
      </c>
      <c r="B11748" s="17">
        <f t="array" ref="B11748">SUM(1-'Sparkling Model'!D$2:D$38^A11748)</f>
        <v>36.98970432</v>
      </c>
      <c r="C11748" s="8">
        <f t="array" ref="C11748">PRODUCT(1-'Sparkling Model'!D$2:D$38^A11748)</f>
        <v>0.9897414858</v>
      </c>
    </row>
    <row r="11749">
      <c r="A11749" s="6">
        <v>11747.0</v>
      </c>
      <c r="B11749" s="17">
        <f t="array" ref="B11749">SUM(1-'Sparkling Model'!D$2:D$38^A11749)</f>
        <v>36.98970944</v>
      </c>
      <c r="C11749" s="8">
        <f t="array" ref="C11749">PRODUCT(1-'Sparkling Model'!D$2:D$38^A11749)</f>
        <v>0.9897465728</v>
      </c>
    </row>
    <row r="11750">
      <c r="A11750" s="6">
        <v>11748.0</v>
      </c>
      <c r="B11750" s="17">
        <f t="array" ref="B11750">SUM(1-'Sparkling Model'!D$2:D$38^A11750)</f>
        <v>36.98971457</v>
      </c>
      <c r="C11750" s="8">
        <f t="array" ref="C11750">PRODUCT(1-'Sparkling Model'!D$2:D$38^A11750)</f>
        <v>0.9897516573</v>
      </c>
    </row>
    <row r="11751">
      <c r="A11751" s="6">
        <v>11749.0</v>
      </c>
      <c r="B11751" s="17">
        <f t="array" ref="B11751">SUM(1-'Sparkling Model'!D$2:D$38^A11751)</f>
        <v>36.98971969</v>
      </c>
      <c r="C11751" s="8">
        <f t="array" ref="C11751">PRODUCT(1-'Sparkling Model'!D$2:D$38^A11751)</f>
        <v>0.9897567393</v>
      </c>
    </row>
    <row r="11752">
      <c r="A11752" s="6">
        <v>11750.0</v>
      </c>
      <c r="B11752" s="17">
        <f t="array" ref="B11752">SUM(1-'Sparkling Model'!D$2:D$38^A11752)</f>
        <v>36.9897248</v>
      </c>
      <c r="C11752" s="8">
        <f t="array" ref="C11752">PRODUCT(1-'Sparkling Model'!D$2:D$38^A11752)</f>
        <v>0.9897618187</v>
      </c>
    </row>
    <row r="11753">
      <c r="A11753" s="6">
        <v>11751.0</v>
      </c>
      <c r="B11753" s="17">
        <f t="array" ref="B11753">SUM(1-'Sparkling Model'!D$2:D$38^A11753)</f>
        <v>36.98972992</v>
      </c>
      <c r="C11753" s="8">
        <f t="array" ref="C11753">PRODUCT(1-'Sparkling Model'!D$2:D$38^A11753)</f>
        <v>0.9897668956</v>
      </c>
    </row>
    <row r="11754">
      <c r="A11754" s="6">
        <v>11752.0</v>
      </c>
      <c r="B11754" s="17">
        <f t="array" ref="B11754">SUM(1-'Sparkling Model'!D$2:D$38^A11754)</f>
        <v>36.98973503</v>
      </c>
      <c r="C11754" s="8">
        <f t="array" ref="C11754">PRODUCT(1-'Sparkling Model'!D$2:D$38^A11754)</f>
        <v>0.9897719699</v>
      </c>
    </row>
    <row r="11755">
      <c r="A11755" s="6">
        <v>11753.0</v>
      </c>
      <c r="B11755" s="17">
        <f t="array" ref="B11755">SUM(1-'Sparkling Model'!D$2:D$38^A11755)</f>
        <v>36.98974014</v>
      </c>
      <c r="C11755" s="8">
        <f t="array" ref="C11755">PRODUCT(1-'Sparkling Model'!D$2:D$38^A11755)</f>
        <v>0.9897770418</v>
      </c>
    </row>
    <row r="11756">
      <c r="A11756" s="6">
        <v>11754.0</v>
      </c>
      <c r="B11756" s="17">
        <f t="array" ref="B11756">SUM(1-'Sparkling Model'!D$2:D$38^A11756)</f>
        <v>36.98974524</v>
      </c>
      <c r="C11756" s="8">
        <f t="array" ref="C11756">PRODUCT(1-'Sparkling Model'!D$2:D$38^A11756)</f>
        <v>0.9897821111</v>
      </c>
    </row>
    <row r="11757">
      <c r="A11757" s="6">
        <v>11755.0</v>
      </c>
      <c r="B11757" s="17">
        <f t="array" ref="B11757">SUM(1-'Sparkling Model'!D$2:D$38^A11757)</f>
        <v>36.98975035</v>
      </c>
      <c r="C11757" s="8">
        <f t="array" ref="C11757">PRODUCT(1-'Sparkling Model'!D$2:D$38^A11757)</f>
        <v>0.9897871779</v>
      </c>
    </row>
    <row r="11758">
      <c r="A11758" s="6">
        <v>11756.0</v>
      </c>
      <c r="B11758" s="17">
        <f t="array" ref="B11758">SUM(1-'Sparkling Model'!D$2:D$38^A11758)</f>
        <v>36.98975545</v>
      </c>
      <c r="C11758" s="8">
        <f t="array" ref="C11758">PRODUCT(1-'Sparkling Model'!D$2:D$38^A11758)</f>
        <v>0.9897922422</v>
      </c>
    </row>
    <row r="11759">
      <c r="A11759" s="6">
        <v>11757.0</v>
      </c>
      <c r="B11759" s="17">
        <f t="array" ref="B11759">SUM(1-'Sparkling Model'!D$2:D$38^A11759)</f>
        <v>36.98976055</v>
      </c>
      <c r="C11759" s="8">
        <f t="array" ref="C11759">PRODUCT(1-'Sparkling Model'!D$2:D$38^A11759)</f>
        <v>0.989797304</v>
      </c>
    </row>
    <row r="11760">
      <c r="A11760" s="6">
        <v>11758.0</v>
      </c>
      <c r="B11760" s="17">
        <f t="array" ref="B11760">SUM(1-'Sparkling Model'!D$2:D$38^A11760)</f>
        <v>36.98976564</v>
      </c>
      <c r="C11760" s="8">
        <f t="array" ref="C11760">PRODUCT(1-'Sparkling Model'!D$2:D$38^A11760)</f>
        <v>0.9898023632</v>
      </c>
    </row>
    <row r="11761">
      <c r="A11761" s="6">
        <v>11759.0</v>
      </c>
      <c r="B11761" s="17">
        <f t="array" ref="B11761">SUM(1-'Sparkling Model'!D$2:D$38^A11761)</f>
        <v>36.98977074</v>
      </c>
      <c r="C11761" s="8">
        <f t="array" ref="C11761">PRODUCT(1-'Sparkling Model'!D$2:D$38^A11761)</f>
        <v>0.9898074199</v>
      </c>
    </row>
    <row r="11762">
      <c r="A11762" s="6">
        <v>11760.0</v>
      </c>
      <c r="B11762" s="17">
        <f t="array" ref="B11762">SUM(1-'Sparkling Model'!D$2:D$38^A11762)</f>
        <v>36.98977583</v>
      </c>
      <c r="C11762" s="8">
        <f t="array" ref="C11762">PRODUCT(1-'Sparkling Model'!D$2:D$38^A11762)</f>
        <v>0.9898124741</v>
      </c>
    </row>
    <row r="11763">
      <c r="A11763" s="6">
        <v>11761.0</v>
      </c>
      <c r="B11763" s="17">
        <f t="array" ref="B11763">SUM(1-'Sparkling Model'!D$2:D$38^A11763)</f>
        <v>36.98978091</v>
      </c>
      <c r="C11763" s="8">
        <f t="array" ref="C11763">PRODUCT(1-'Sparkling Model'!D$2:D$38^A11763)</f>
        <v>0.9898175258</v>
      </c>
    </row>
    <row r="11764">
      <c r="A11764" s="6">
        <v>11762.0</v>
      </c>
      <c r="B11764" s="17">
        <f t="array" ref="B11764">SUM(1-'Sparkling Model'!D$2:D$38^A11764)</f>
        <v>36.989786</v>
      </c>
      <c r="C11764" s="8">
        <f t="array" ref="C11764">PRODUCT(1-'Sparkling Model'!D$2:D$38^A11764)</f>
        <v>0.989822575</v>
      </c>
    </row>
    <row r="11765">
      <c r="A11765" s="6">
        <v>11763.0</v>
      </c>
      <c r="B11765" s="17">
        <f t="array" ref="B11765">SUM(1-'Sparkling Model'!D$2:D$38^A11765)</f>
        <v>36.98979108</v>
      </c>
      <c r="C11765" s="8">
        <f t="array" ref="C11765">PRODUCT(1-'Sparkling Model'!D$2:D$38^A11765)</f>
        <v>0.9898276217</v>
      </c>
    </row>
    <row r="11766">
      <c r="A11766" s="6">
        <v>11764.0</v>
      </c>
      <c r="B11766" s="17">
        <f t="array" ref="B11766">SUM(1-'Sparkling Model'!D$2:D$38^A11766)</f>
        <v>36.98979616</v>
      </c>
      <c r="C11766" s="8">
        <f t="array" ref="C11766">PRODUCT(1-'Sparkling Model'!D$2:D$38^A11766)</f>
        <v>0.9898326659</v>
      </c>
    </row>
    <row r="11767">
      <c r="A11767" s="6">
        <v>11765.0</v>
      </c>
      <c r="B11767" s="17">
        <f t="array" ref="B11767">SUM(1-'Sparkling Model'!D$2:D$38^A11767)</f>
        <v>36.98980124</v>
      </c>
      <c r="C11767" s="8">
        <f t="array" ref="C11767">PRODUCT(1-'Sparkling Model'!D$2:D$38^A11767)</f>
        <v>0.9898377075</v>
      </c>
    </row>
    <row r="11768">
      <c r="A11768" s="6">
        <v>11766.0</v>
      </c>
      <c r="B11768" s="17">
        <f t="array" ref="B11768">SUM(1-'Sparkling Model'!D$2:D$38^A11768)</f>
        <v>36.98980632</v>
      </c>
      <c r="C11768" s="8">
        <f t="array" ref="C11768">PRODUCT(1-'Sparkling Model'!D$2:D$38^A11768)</f>
        <v>0.9898427467</v>
      </c>
    </row>
    <row r="11769">
      <c r="A11769" s="6">
        <v>11767.0</v>
      </c>
      <c r="B11769" s="17">
        <f t="array" ref="B11769">SUM(1-'Sparkling Model'!D$2:D$38^A11769)</f>
        <v>36.98981139</v>
      </c>
      <c r="C11769" s="8">
        <f t="array" ref="C11769">PRODUCT(1-'Sparkling Model'!D$2:D$38^A11769)</f>
        <v>0.9898477833</v>
      </c>
    </row>
    <row r="11770">
      <c r="A11770" s="6">
        <v>11768.0</v>
      </c>
      <c r="B11770" s="17">
        <f t="array" ref="B11770">SUM(1-'Sparkling Model'!D$2:D$38^A11770)</f>
        <v>36.98981646</v>
      </c>
      <c r="C11770" s="8">
        <f t="array" ref="C11770">PRODUCT(1-'Sparkling Model'!D$2:D$38^A11770)</f>
        <v>0.9898528175</v>
      </c>
    </row>
    <row r="11771">
      <c r="A11771" s="6">
        <v>11769.0</v>
      </c>
      <c r="B11771" s="17">
        <f t="array" ref="B11771">SUM(1-'Sparkling Model'!D$2:D$38^A11771)</f>
        <v>36.98982153</v>
      </c>
      <c r="C11771" s="8">
        <f t="array" ref="C11771">PRODUCT(1-'Sparkling Model'!D$2:D$38^A11771)</f>
        <v>0.9898578491</v>
      </c>
    </row>
    <row r="11772">
      <c r="A11772" s="6">
        <v>11770.0</v>
      </c>
      <c r="B11772" s="17">
        <f t="array" ref="B11772">SUM(1-'Sparkling Model'!D$2:D$38^A11772)</f>
        <v>36.9898266</v>
      </c>
      <c r="C11772" s="8">
        <f t="array" ref="C11772">PRODUCT(1-'Sparkling Model'!D$2:D$38^A11772)</f>
        <v>0.9898628782</v>
      </c>
    </row>
    <row r="11773">
      <c r="A11773" s="6">
        <v>11771.0</v>
      </c>
      <c r="B11773" s="17">
        <f t="array" ref="B11773">SUM(1-'Sparkling Model'!D$2:D$38^A11773)</f>
        <v>36.98983166</v>
      </c>
      <c r="C11773" s="8">
        <f t="array" ref="C11773">PRODUCT(1-'Sparkling Model'!D$2:D$38^A11773)</f>
        <v>0.9898679049</v>
      </c>
    </row>
    <row r="11774">
      <c r="A11774" s="6">
        <v>11772.0</v>
      </c>
      <c r="B11774" s="17">
        <f t="array" ref="B11774">SUM(1-'Sparkling Model'!D$2:D$38^A11774)</f>
        <v>36.98983672</v>
      </c>
      <c r="C11774" s="8">
        <f t="array" ref="C11774">PRODUCT(1-'Sparkling Model'!D$2:D$38^A11774)</f>
        <v>0.989872929</v>
      </c>
    </row>
    <row r="11775">
      <c r="A11775" s="6">
        <v>11773.0</v>
      </c>
      <c r="B11775" s="17">
        <f t="array" ref="B11775">SUM(1-'Sparkling Model'!D$2:D$38^A11775)</f>
        <v>36.98984178</v>
      </c>
      <c r="C11775" s="8">
        <f t="array" ref="C11775">PRODUCT(1-'Sparkling Model'!D$2:D$38^A11775)</f>
        <v>0.9898779506</v>
      </c>
    </row>
    <row r="11776">
      <c r="A11776" s="6">
        <v>11774.0</v>
      </c>
      <c r="B11776" s="17">
        <f t="array" ref="B11776">SUM(1-'Sparkling Model'!D$2:D$38^A11776)</f>
        <v>36.98984683</v>
      </c>
      <c r="C11776" s="8">
        <f t="array" ref="C11776">PRODUCT(1-'Sparkling Model'!D$2:D$38^A11776)</f>
        <v>0.9898829698</v>
      </c>
    </row>
    <row r="11777">
      <c r="A11777" s="6">
        <v>11775.0</v>
      </c>
      <c r="B11777" s="17">
        <f t="array" ref="B11777">SUM(1-'Sparkling Model'!D$2:D$38^A11777)</f>
        <v>36.98985188</v>
      </c>
      <c r="C11777" s="8">
        <f t="array" ref="C11777">PRODUCT(1-'Sparkling Model'!D$2:D$38^A11777)</f>
        <v>0.9898879864</v>
      </c>
    </row>
    <row r="11778">
      <c r="A11778" s="6">
        <v>11776.0</v>
      </c>
      <c r="B11778" s="17">
        <f t="array" ref="B11778">SUM(1-'Sparkling Model'!D$2:D$38^A11778)</f>
        <v>36.98985693</v>
      </c>
      <c r="C11778" s="8">
        <f t="array" ref="C11778">PRODUCT(1-'Sparkling Model'!D$2:D$38^A11778)</f>
        <v>0.9898930005</v>
      </c>
    </row>
    <row r="11779">
      <c r="A11779" s="6">
        <v>11777.0</v>
      </c>
      <c r="B11779" s="17">
        <f t="array" ref="B11779">SUM(1-'Sparkling Model'!D$2:D$38^A11779)</f>
        <v>36.98986198</v>
      </c>
      <c r="C11779" s="8">
        <f t="array" ref="C11779">PRODUCT(1-'Sparkling Model'!D$2:D$38^A11779)</f>
        <v>0.9898980122</v>
      </c>
    </row>
    <row r="11780">
      <c r="A11780" s="6">
        <v>11778.0</v>
      </c>
      <c r="B11780" s="17">
        <f t="array" ref="B11780">SUM(1-'Sparkling Model'!D$2:D$38^A11780)</f>
        <v>36.98986703</v>
      </c>
      <c r="C11780" s="8">
        <f t="array" ref="C11780">PRODUCT(1-'Sparkling Model'!D$2:D$38^A11780)</f>
        <v>0.9899030213</v>
      </c>
    </row>
    <row r="11781">
      <c r="A11781" s="6">
        <v>11779.0</v>
      </c>
      <c r="B11781" s="17">
        <f t="array" ref="B11781">SUM(1-'Sparkling Model'!D$2:D$38^A11781)</f>
        <v>36.98987207</v>
      </c>
      <c r="C11781" s="8">
        <f t="array" ref="C11781">PRODUCT(1-'Sparkling Model'!D$2:D$38^A11781)</f>
        <v>0.989908028</v>
      </c>
    </row>
    <row r="11782">
      <c r="A11782" s="6">
        <v>11780.0</v>
      </c>
      <c r="B11782" s="17">
        <f t="array" ref="B11782">SUM(1-'Sparkling Model'!D$2:D$38^A11782)</f>
        <v>36.98987711</v>
      </c>
      <c r="C11782" s="8">
        <f t="array" ref="C11782">PRODUCT(1-'Sparkling Model'!D$2:D$38^A11782)</f>
        <v>0.9899130322</v>
      </c>
    </row>
    <row r="11783">
      <c r="A11783" s="6">
        <v>11781.0</v>
      </c>
      <c r="B11783" s="17">
        <f t="array" ref="B11783">SUM(1-'Sparkling Model'!D$2:D$38^A11783)</f>
        <v>36.98988215</v>
      </c>
      <c r="C11783" s="8">
        <f t="array" ref="C11783">PRODUCT(1-'Sparkling Model'!D$2:D$38^A11783)</f>
        <v>0.9899180339</v>
      </c>
    </row>
    <row r="11784">
      <c r="A11784" s="6">
        <v>11782.0</v>
      </c>
      <c r="B11784" s="17">
        <f t="array" ref="B11784">SUM(1-'Sparkling Model'!D$2:D$38^A11784)</f>
        <v>36.98988718</v>
      </c>
      <c r="C11784" s="8">
        <f t="array" ref="C11784">PRODUCT(1-'Sparkling Model'!D$2:D$38^A11784)</f>
        <v>0.9899230331</v>
      </c>
    </row>
    <row r="11785">
      <c r="A11785" s="6">
        <v>11783.0</v>
      </c>
      <c r="B11785" s="17">
        <f t="array" ref="B11785">SUM(1-'Sparkling Model'!D$2:D$38^A11785)</f>
        <v>36.98989222</v>
      </c>
      <c r="C11785" s="8">
        <f t="array" ref="C11785">PRODUCT(1-'Sparkling Model'!D$2:D$38^A11785)</f>
        <v>0.9899280298</v>
      </c>
    </row>
    <row r="11786">
      <c r="A11786" s="6">
        <v>11784.0</v>
      </c>
      <c r="B11786" s="17">
        <f t="array" ref="B11786">SUM(1-'Sparkling Model'!D$2:D$38^A11786)</f>
        <v>36.98989725</v>
      </c>
      <c r="C11786" s="8">
        <f t="array" ref="C11786">PRODUCT(1-'Sparkling Model'!D$2:D$38^A11786)</f>
        <v>0.989933024</v>
      </c>
    </row>
    <row r="11787">
      <c r="A11787" s="6">
        <v>11785.0</v>
      </c>
      <c r="B11787" s="17">
        <f t="array" ref="B11787">SUM(1-'Sparkling Model'!D$2:D$38^A11787)</f>
        <v>36.98990227</v>
      </c>
      <c r="C11787" s="8">
        <f t="array" ref="C11787">PRODUCT(1-'Sparkling Model'!D$2:D$38^A11787)</f>
        <v>0.9899380158</v>
      </c>
    </row>
    <row r="11788">
      <c r="A11788" s="6">
        <v>11786.0</v>
      </c>
      <c r="B11788" s="17">
        <f t="array" ref="B11788">SUM(1-'Sparkling Model'!D$2:D$38^A11788)</f>
        <v>36.9899073</v>
      </c>
      <c r="C11788" s="8">
        <f t="array" ref="C11788">PRODUCT(1-'Sparkling Model'!D$2:D$38^A11788)</f>
        <v>0.989943005</v>
      </c>
    </row>
    <row r="11789">
      <c r="A11789" s="6">
        <v>11787.0</v>
      </c>
      <c r="B11789" s="17">
        <f t="array" ref="B11789">SUM(1-'Sparkling Model'!D$2:D$38^A11789)</f>
        <v>36.98991232</v>
      </c>
      <c r="C11789" s="8">
        <f t="array" ref="C11789">PRODUCT(1-'Sparkling Model'!D$2:D$38^A11789)</f>
        <v>0.9899479918</v>
      </c>
    </row>
    <row r="11790">
      <c r="A11790" s="6">
        <v>11788.0</v>
      </c>
      <c r="B11790" s="17">
        <f t="array" ref="B11790">SUM(1-'Sparkling Model'!D$2:D$38^A11790)</f>
        <v>36.98991734</v>
      </c>
      <c r="C11790" s="8">
        <f t="array" ref="C11790">PRODUCT(1-'Sparkling Model'!D$2:D$38^A11790)</f>
        <v>0.9899529761</v>
      </c>
    </row>
    <row r="11791">
      <c r="A11791" s="6">
        <v>11789.0</v>
      </c>
      <c r="B11791" s="17">
        <f t="array" ref="B11791">SUM(1-'Sparkling Model'!D$2:D$38^A11791)</f>
        <v>36.98992236</v>
      </c>
      <c r="C11791" s="8">
        <f t="array" ref="C11791">PRODUCT(1-'Sparkling Model'!D$2:D$38^A11791)</f>
        <v>0.9899579579</v>
      </c>
    </row>
    <row r="11792">
      <c r="A11792" s="6">
        <v>11790.0</v>
      </c>
      <c r="B11792" s="17">
        <f t="array" ref="B11792">SUM(1-'Sparkling Model'!D$2:D$38^A11792)</f>
        <v>36.98992737</v>
      </c>
      <c r="C11792" s="8">
        <f t="array" ref="C11792">PRODUCT(1-'Sparkling Model'!D$2:D$38^A11792)</f>
        <v>0.9899629372</v>
      </c>
    </row>
    <row r="11793">
      <c r="A11793" s="6">
        <v>11791.0</v>
      </c>
      <c r="B11793" s="17">
        <f t="array" ref="B11793">SUM(1-'Sparkling Model'!D$2:D$38^A11793)</f>
        <v>36.98993239</v>
      </c>
      <c r="C11793" s="8">
        <f t="array" ref="C11793">PRODUCT(1-'Sparkling Model'!D$2:D$38^A11793)</f>
        <v>0.9899679141</v>
      </c>
    </row>
    <row r="11794">
      <c r="A11794" s="6">
        <v>11792.0</v>
      </c>
      <c r="B11794" s="17">
        <f t="array" ref="B11794">SUM(1-'Sparkling Model'!D$2:D$38^A11794)</f>
        <v>36.9899374</v>
      </c>
      <c r="C11794" s="8">
        <f t="array" ref="C11794">PRODUCT(1-'Sparkling Model'!D$2:D$38^A11794)</f>
        <v>0.9899728885</v>
      </c>
    </row>
    <row r="11795">
      <c r="A11795" s="6">
        <v>11793.0</v>
      </c>
      <c r="B11795" s="17">
        <f t="array" ref="B11795">SUM(1-'Sparkling Model'!D$2:D$38^A11795)</f>
        <v>36.9899424</v>
      </c>
      <c r="C11795" s="8">
        <f t="array" ref="C11795">PRODUCT(1-'Sparkling Model'!D$2:D$38^A11795)</f>
        <v>0.9899778604</v>
      </c>
    </row>
    <row r="11796">
      <c r="A11796" s="6">
        <v>11794.0</v>
      </c>
      <c r="B11796" s="17">
        <f t="array" ref="B11796">SUM(1-'Sparkling Model'!D$2:D$38^A11796)</f>
        <v>36.98994741</v>
      </c>
      <c r="C11796" s="8">
        <f t="array" ref="C11796">PRODUCT(1-'Sparkling Model'!D$2:D$38^A11796)</f>
        <v>0.9899828299</v>
      </c>
    </row>
    <row r="11797">
      <c r="A11797" s="6">
        <v>11795.0</v>
      </c>
      <c r="B11797" s="17">
        <f t="array" ref="B11797">SUM(1-'Sparkling Model'!D$2:D$38^A11797)</f>
        <v>36.98995241</v>
      </c>
      <c r="C11797" s="8">
        <f t="array" ref="C11797">PRODUCT(1-'Sparkling Model'!D$2:D$38^A11797)</f>
        <v>0.9899877968</v>
      </c>
    </row>
    <row r="11798">
      <c r="A11798" s="6">
        <v>11796.0</v>
      </c>
      <c r="B11798" s="17">
        <f t="array" ref="B11798">SUM(1-'Sparkling Model'!D$2:D$38^A11798)</f>
        <v>36.98995741</v>
      </c>
      <c r="C11798" s="8">
        <f t="array" ref="C11798">PRODUCT(1-'Sparkling Model'!D$2:D$38^A11798)</f>
        <v>0.9899927613</v>
      </c>
    </row>
    <row r="11799">
      <c r="A11799" s="6">
        <v>11797.0</v>
      </c>
      <c r="B11799" s="17">
        <f t="array" ref="B11799">SUM(1-'Sparkling Model'!D$2:D$38^A11799)</f>
        <v>36.98996241</v>
      </c>
      <c r="C11799" s="8">
        <f t="array" ref="C11799">PRODUCT(1-'Sparkling Model'!D$2:D$38^A11799)</f>
        <v>0.9899977234</v>
      </c>
    </row>
    <row r="11800">
      <c r="A11800" s="6">
        <v>11798.0</v>
      </c>
      <c r="B11800" s="17">
        <f t="array" ref="B11800">SUM(1-'Sparkling Model'!D$2:D$38^A11800)</f>
        <v>36.9899674</v>
      </c>
      <c r="C11800" s="8">
        <f t="array" ref="C11800">PRODUCT(1-'Sparkling Model'!D$2:D$38^A11800)</f>
        <v>0.9900026829</v>
      </c>
    </row>
    <row r="11801">
      <c r="A11801" s="6">
        <v>11799.0</v>
      </c>
      <c r="B11801" s="17">
        <f t="array" ref="B11801">SUM(1-'Sparkling Model'!D$2:D$38^A11801)</f>
        <v>36.9899724</v>
      </c>
      <c r="C11801" s="8">
        <f t="array" ref="C11801">PRODUCT(1-'Sparkling Model'!D$2:D$38^A11801)</f>
        <v>0.99000764</v>
      </c>
    </row>
    <row r="11802">
      <c r="A11802" s="6">
        <v>11800.0</v>
      </c>
      <c r="B11802" s="17">
        <f t="array" ref="B11802">SUM(1-'Sparkling Model'!D$2:D$38^A11802)</f>
        <v>36.98997739</v>
      </c>
      <c r="C11802" s="8">
        <f t="array" ref="C11802">PRODUCT(1-'Sparkling Model'!D$2:D$38^A11802)</f>
        <v>0.9900125947</v>
      </c>
    </row>
    <row r="11803">
      <c r="A11803" s="6">
        <v>11801.0</v>
      </c>
      <c r="B11803" s="17">
        <f t="array" ref="B11803">SUM(1-'Sparkling Model'!D$2:D$38^A11803)</f>
        <v>36.98998237</v>
      </c>
      <c r="C11803" s="8">
        <f t="array" ref="C11803">PRODUCT(1-'Sparkling Model'!D$2:D$38^A11803)</f>
        <v>0.9900175468</v>
      </c>
    </row>
    <row r="11804">
      <c r="A11804" s="6">
        <v>11802.0</v>
      </c>
      <c r="B11804" s="17">
        <f t="array" ref="B11804">SUM(1-'Sparkling Model'!D$2:D$38^A11804)</f>
        <v>36.98998736</v>
      </c>
      <c r="C11804" s="8">
        <f t="array" ref="C11804">PRODUCT(1-'Sparkling Model'!D$2:D$38^A11804)</f>
        <v>0.9900224965</v>
      </c>
    </row>
    <row r="11805">
      <c r="A11805" s="6">
        <v>11803.0</v>
      </c>
      <c r="B11805" s="17">
        <f t="array" ref="B11805">SUM(1-'Sparkling Model'!D$2:D$38^A11805)</f>
        <v>36.98999234</v>
      </c>
      <c r="C11805" s="8">
        <f t="array" ref="C11805">PRODUCT(1-'Sparkling Model'!D$2:D$38^A11805)</f>
        <v>0.9900274438</v>
      </c>
    </row>
    <row r="11806">
      <c r="A11806" s="6">
        <v>11804.0</v>
      </c>
      <c r="B11806" s="17">
        <f t="array" ref="B11806">SUM(1-'Sparkling Model'!D$2:D$38^A11806)</f>
        <v>36.98999732</v>
      </c>
      <c r="C11806" s="8">
        <f t="array" ref="C11806">PRODUCT(1-'Sparkling Model'!D$2:D$38^A11806)</f>
        <v>0.9900323886</v>
      </c>
    </row>
    <row r="11807">
      <c r="A11807" s="6">
        <v>11805.0</v>
      </c>
      <c r="B11807" s="17">
        <f t="array" ref="B11807">SUM(1-'Sparkling Model'!D$2:D$38^A11807)</f>
        <v>36.9900023</v>
      </c>
      <c r="C11807" s="8">
        <f t="array" ref="C11807">PRODUCT(1-'Sparkling Model'!D$2:D$38^A11807)</f>
        <v>0.9900373309</v>
      </c>
    </row>
    <row r="11808">
      <c r="A11808" s="6">
        <v>11806.0</v>
      </c>
      <c r="B11808" s="17">
        <f t="array" ref="B11808">SUM(1-'Sparkling Model'!D$2:D$38^A11808)</f>
        <v>36.99000727</v>
      </c>
      <c r="C11808" s="8">
        <f t="array" ref="C11808">PRODUCT(1-'Sparkling Model'!D$2:D$38^A11808)</f>
        <v>0.9900422707</v>
      </c>
    </row>
    <row r="11809">
      <c r="A11809" s="6">
        <v>11807.0</v>
      </c>
      <c r="B11809" s="17">
        <f t="array" ref="B11809">SUM(1-'Sparkling Model'!D$2:D$38^A11809)</f>
        <v>36.99001224</v>
      </c>
      <c r="C11809" s="8">
        <f t="array" ref="C11809">PRODUCT(1-'Sparkling Model'!D$2:D$38^A11809)</f>
        <v>0.9900472082</v>
      </c>
    </row>
    <row r="11810">
      <c r="A11810" s="6">
        <v>11808.0</v>
      </c>
      <c r="B11810" s="17">
        <f t="array" ref="B11810">SUM(1-'Sparkling Model'!D$2:D$38^A11810)</f>
        <v>36.99001721</v>
      </c>
      <c r="C11810" s="8">
        <f t="array" ref="C11810">PRODUCT(1-'Sparkling Model'!D$2:D$38^A11810)</f>
        <v>0.9900521431</v>
      </c>
    </row>
    <row r="11811">
      <c r="A11811" s="6">
        <v>11809.0</v>
      </c>
      <c r="B11811" s="17">
        <f t="array" ref="B11811">SUM(1-'Sparkling Model'!D$2:D$38^A11811)</f>
        <v>36.99002218</v>
      </c>
      <c r="C11811" s="8">
        <f t="array" ref="C11811">PRODUCT(1-'Sparkling Model'!D$2:D$38^A11811)</f>
        <v>0.9900570756</v>
      </c>
    </row>
    <row r="11812">
      <c r="A11812" s="6">
        <v>11810.0</v>
      </c>
      <c r="B11812" s="17">
        <f t="array" ref="B11812">SUM(1-'Sparkling Model'!D$2:D$38^A11812)</f>
        <v>36.99002715</v>
      </c>
      <c r="C11812" s="8">
        <f t="array" ref="C11812">PRODUCT(1-'Sparkling Model'!D$2:D$38^A11812)</f>
        <v>0.9900620056</v>
      </c>
    </row>
    <row r="11813">
      <c r="A11813" s="6">
        <v>11811.0</v>
      </c>
      <c r="B11813" s="17">
        <f t="array" ref="B11813">SUM(1-'Sparkling Model'!D$2:D$38^A11813)</f>
        <v>36.99003211</v>
      </c>
      <c r="C11813" s="8">
        <f t="array" ref="C11813">PRODUCT(1-'Sparkling Model'!D$2:D$38^A11813)</f>
        <v>0.9900669332</v>
      </c>
    </row>
    <row r="11814">
      <c r="A11814" s="6">
        <v>11812.0</v>
      </c>
      <c r="B11814" s="17">
        <f t="array" ref="B11814">SUM(1-'Sparkling Model'!D$2:D$38^A11814)</f>
        <v>36.99003707</v>
      </c>
      <c r="C11814" s="8">
        <f t="array" ref="C11814">PRODUCT(1-'Sparkling Model'!D$2:D$38^A11814)</f>
        <v>0.9900718584</v>
      </c>
    </row>
    <row r="11815">
      <c r="A11815" s="6">
        <v>11813.0</v>
      </c>
      <c r="B11815" s="17">
        <f t="array" ref="B11815">SUM(1-'Sparkling Model'!D$2:D$38^A11815)</f>
        <v>36.99004203</v>
      </c>
      <c r="C11815" s="8">
        <f t="array" ref="C11815">PRODUCT(1-'Sparkling Model'!D$2:D$38^A11815)</f>
        <v>0.9900767811</v>
      </c>
    </row>
    <row r="11816">
      <c r="A11816" s="6">
        <v>11814.0</v>
      </c>
      <c r="B11816" s="17">
        <f t="array" ref="B11816">SUM(1-'Sparkling Model'!D$2:D$38^A11816)</f>
        <v>36.99004698</v>
      </c>
      <c r="C11816" s="8">
        <f t="array" ref="C11816">PRODUCT(1-'Sparkling Model'!D$2:D$38^A11816)</f>
        <v>0.9900817013</v>
      </c>
    </row>
    <row r="11817">
      <c r="A11817" s="6">
        <v>11815.0</v>
      </c>
      <c r="B11817" s="17">
        <f t="array" ref="B11817">SUM(1-'Sparkling Model'!D$2:D$38^A11817)</f>
        <v>36.99005193</v>
      </c>
      <c r="C11817" s="8">
        <f t="array" ref="C11817">PRODUCT(1-'Sparkling Model'!D$2:D$38^A11817)</f>
        <v>0.9900866191</v>
      </c>
    </row>
    <row r="11818">
      <c r="A11818" s="6">
        <v>11816.0</v>
      </c>
      <c r="B11818" s="17">
        <f t="array" ref="B11818">SUM(1-'Sparkling Model'!D$2:D$38^A11818)</f>
        <v>36.99005688</v>
      </c>
      <c r="C11818" s="8">
        <f t="array" ref="C11818">PRODUCT(1-'Sparkling Model'!D$2:D$38^A11818)</f>
        <v>0.9900915345</v>
      </c>
    </row>
    <row r="11819">
      <c r="A11819" s="6">
        <v>11817.0</v>
      </c>
      <c r="B11819" s="17">
        <f t="array" ref="B11819">SUM(1-'Sparkling Model'!D$2:D$38^A11819)</f>
        <v>36.99006183</v>
      </c>
      <c r="C11819" s="8">
        <f t="array" ref="C11819">PRODUCT(1-'Sparkling Model'!D$2:D$38^A11819)</f>
        <v>0.9900964474</v>
      </c>
    </row>
    <row r="11820">
      <c r="A11820" s="6">
        <v>11818.0</v>
      </c>
      <c r="B11820" s="17">
        <f t="array" ref="B11820">SUM(1-'Sparkling Model'!D$2:D$38^A11820)</f>
        <v>36.99006678</v>
      </c>
      <c r="C11820" s="8">
        <f t="array" ref="C11820">PRODUCT(1-'Sparkling Model'!D$2:D$38^A11820)</f>
        <v>0.9901013578</v>
      </c>
    </row>
    <row r="11821">
      <c r="A11821" s="6">
        <v>11819.0</v>
      </c>
      <c r="B11821" s="17">
        <f t="array" ref="B11821">SUM(1-'Sparkling Model'!D$2:D$38^A11821)</f>
        <v>36.99007172</v>
      </c>
      <c r="C11821" s="8">
        <f t="array" ref="C11821">PRODUCT(1-'Sparkling Model'!D$2:D$38^A11821)</f>
        <v>0.9901062659</v>
      </c>
    </row>
    <row r="11822">
      <c r="A11822" s="6">
        <v>11820.0</v>
      </c>
      <c r="B11822" s="17">
        <f t="array" ref="B11822">SUM(1-'Sparkling Model'!D$2:D$38^A11822)</f>
        <v>36.99007666</v>
      </c>
      <c r="C11822" s="8">
        <f t="array" ref="C11822">PRODUCT(1-'Sparkling Model'!D$2:D$38^A11822)</f>
        <v>0.9901111714</v>
      </c>
    </row>
    <row r="11823">
      <c r="A11823" s="6">
        <v>11821.0</v>
      </c>
      <c r="B11823" s="17">
        <f t="array" ref="B11823">SUM(1-'Sparkling Model'!D$2:D$38^A11823)</f>
        <v>36.9900816</v>
      </c>
      <c r="C11823" s="8">
        <f t="array" ref="C11823">PRODUCT(1-'Sparkling Model'!D$2:D$38^A11823)</f>
        <v>0.9901160746</v>
      </c>
    </row>
    <row r="11824">
      <c r="A11824" s="6">
        <v>11822.0</v>
      </c>
      <c r="B11824" s="17">
        <f t="array" ref="B11824">SUM(1-'Sparkling Model'!D$2:D$38^A11824)</f>
        <v>36.99008653</v>
      </c>
      <c r="C11824" s="8">
        <f t="array" ref="C11824">PRODUCT(1-'Sparkling Model'!D$2:D$38^A11824)</f>
        <v>0.9901209753</v>
      </c>
    </row>
    <row r="11825">
      <c r="A11825" s="6">
        <v>11823.0</v>
      </c>
      <c r="B11825" s="17">
        <f t="array" ref="B11825">SUM(1-'Sparkling Model'!D$2:D$38^A11825)</f>
        <v>36.99009147</v>
      </c>
      <c r="C11825" s="8">
        <f t="array" ref="C11825">PRODUCT(1-'Sparkling Model'!D$2:D$38^A11825)</f>
        <v>0.9901258736</v>
      </c>
    </row>
    <row r="11826">
      <c r="A11826" s="6">
        <v>11824.0</v>
      </c>
      <c r="B11826" s="17">
        <f t="array" ref="B11826">SUM(1-'Sparkling Model'!D$2:D$38^A11826)</f>
        <v>36.9900964</v>
      </c>
      <c r="C11826" s="8">
        <f t="array" ref="C11826">PRODUCT(1-'Sparkling Model'!D$2:D$38^A11826)</f>
        <v>0.9901307694</v>
      </c>
    </row>
    <row r="11827">
      <c r="A11827" s="6">
        <v>11825.0</v>
      </c>
      <c r="B11827" s="17">
        <f t="array" ref="B11827">SUM(1-'Sparkling Model'!D$2:D$38^A11827)</f>
        <v>36.99010132</v>
      </c>
      <c r="C11827" s="8">
        <f t="array" ref="C11827">PRODUCT(1-'Sparkling Model'!D$2:D$38^A11827)</f>
        <v>0.9901356628</v>
      </c>
    </row>
    <row r="11828">
      <c r="A11828" s="6">
        <v>11826.0</v>
      </c>
      <c r="B11828" s="17">
        <f t="array" ref="B11828">SUM(1-'Sparkling Model'!D$2:D$38^A11828)</f>
        <v>36.99010625</v>
      </c>
      <c r="C11828" s="8">
        <f t="array" ref="C11828">PRODUCT(1-'Sparkling Model'!D$2:D$38^A11828)</f>
        <v>0.9901405537</v>
      </c>
    </row>
    <row r="11829">
      <c r="A11829" s="6">
        <v>11827.0</v>
      </c>
      <c r="B11829" s="17">
        <f t="array" ref="B11829">SUM(1-'Sparkling Model'!D$2:D$38^A11829)</f>
        <v>36.99011117</v>
      </c>
      <c r="C11829" s="8">
        <f t="array" ref="C11829">PRODUCT(1-'Sparkling Model'!D$2:D$38^A11829)</f>
        <v>0.9901454423</v>
      </c>
    </row>
    <row r="11830">
      <c r="A11830" s="6">
        <v>11828.0</v>
      </c>
      <c r="B11830" s="17">
        <f t="array" ref="B11830">SUM(1-'Sparkling Model'!D$2:D$38^A11830)</f>
        <v>36.99011609</v>
      </c>
      <c r="C11830" s="8">
        <f t="array" ref="C11830">PRODUCT(1-'Sparkling Model'!D$2:D$38^A11830)</f>
        <v>0.9901503284</v>
      </c>
    </row>
    <row r="11831">
      <c r="A11831" s="6">
        <v>11829.0</v>
      </c>
      <c r="B11831" s="17">
        <f t="array" ref="B11831">SUM(1-'Sparkling Model'!D$2:D$38^A11831)</f>
        <v>36.99012101</v>
      </c>
      <c r="C11831" s="8">
        <f t="array" ref="C11831">PRODUCT(1-'Sparkling Model'!D$2:D$38^A11831)</f>
        <v>0.990155212</v>
      </c>
    </row>
    <row r="11832">
      <c r="A11832" s="6">
        <v>11830.0</v>
      </c>
      <c r="B11832" s="17">
        <f t="array" ref="B11832">SUM(1-'Sparkling Model'!D$2:D$38^A11832)</f>
        <v>36.99012593</v>
      </c>
      <c r="C11832" s="8">
        <f t="array" ref="C11832">PRODUCT(1-'Sparkling Model'!D$2:D$38^A11832)</f>
        <v>0.9901600933</v>
      </c>
    </row>
    <row r="11833">
      <c r="A11833" s="6">
        <v>11831.0</v>
      </c>
      <c r="B11833" s="17">
        <f t="array" ref="B11833">SUM(1-'Sparkling Model'!D$2:D$38^A11833)</f>
        <v>36.99013084</v>
      </c>
      <c r="C11833" s="8">
        <f t="array" ref="C11833">PRODUCT(1-'Sparkling Model'!D$2:D$38^A11833)</f>
        <v>0.9901649721</v>
      </c>
    </row>
    <row r="11834">
      <c r="A11834" s="6">
        <v>11832.0</v>
      </c>
      <c r="B11834" s="17">
        <f t="array" ref="B11834">SUM(1-'Sparkling Model'!D$2:D$38^A11834)</f>
        <v>36.99013575</v>
      </c>
      <c r="C11834" s="8">
        <f t="array" ref="C11834">PRODUCT(1-'Sparkling Model'!D$2:D$38^A11834)</f>
        <v>0.9901698485</v>
      </c>
    </row>
    <row r="11835">
      <c r="A11835" s="6">
        <v>11833.0</v>
      </c>
      <c r="B11835" s="17">
        <f t="array" ref="B11835">SUM(1-'Sparkling Model'!D$2:D$38^A11835)</f>
        <v>36.99014066</v>
      </c>
      <c r="C11835" s="8">
        <f t="array" ref="C11835">PRODUCT(1-'Sparkling Model'!D$2:D$38^A11835)</f>
        <v>0.9901747224</v>
      </c>
    </row>
    <row r="11836">
      <c r="A11836" s="6">
        <v>11834.0</v>
      </c>
      <c r="B11836" s="17">
        <f t="array" ref="B11836">SUM(1-'Sparkling Model'!D$2:D$38^A11836)</f>
        <v>36.99014556</v>
      </c>
      <c r="C11836" s="8">
        <f t="array" ref="C11836">PRODUCT(1-'Sparkling Model'!D$2:D$38^A11836)</f>
        <v>0.990179594</v>
      </c>
    </row>
    <row r="11837">
      <c r="A11837" s="6">
        <v>11835.0</v>
      </c>
      <c r="B11837" s="17">
        <f t="array" ref="B11837">SUM(1-'Sparkling Model'!D$2:D$38^A11837)</f>
        <v>36.99015047</v>
      </c>
      <c r="C11837" s="8">
        <f t="array" ref="C11837">PRODUCT(1-'Sparkling Model'!D$2:D$38^A11837)</f>
        <v>0.9901844631</v>
      </c>
    </row>
    <row r="11838">
      <c r="A11838" s="6">
        <v>11836.0</v>
      </c>
      <c r="B11838" s="17">
        <f t="array" ref="B11838">SUM(1-'Sparkling Model'!D$2:D$38^A11838)</f>
        <v>36.99015537</v>
      </c>
      <c r="C11838" s="8">
        <f t="array" ref="C11838">PRODUCT(1-'Sparkling Model'!D$2:D$38^A11838)</f>
        <v>0.9901893298</v>
      </c>
    </row>
    <row r="11839">
      <c r="A11839" s="6">
        <v>11837.0</v>
      </c>
      <c r="B11839" s="17">
        <f t="array" ref="B11839">SUM(1-'Sparkling Model'!D$2:D$38^A11839)</f>
        <v>36.99016027</v>
      </c>
      <c r="C11839" s="8">
        <f t="array" ref="C11839">PRODUCT(1-'Sparkling Model'!D$2:D$38^A11839)</f>
        <v>0.990194194</v>
      </c>
    </row>
    <row r="11840">
      <c r="A11840" s="6">
        <v>11838.0</v>
      </c>
      <c r="B11840" s="17">
        <f t="array" ref="B11840">SUM(1-'Sparkling Model'!D$2:D$38^A11840)</f>
        <v>36.99016516</v>
      </c>
      <c r="C11840" s="8">
        <f t="array" ref="C11840">PRODUCT(1-'Sparkling Model'!D$2:D$38^A11840)</f>
        <v>0.9901990559</v>
      </c>
    </row>
    <row r="11841">
      <c r="A11841" s="6">
        <v>11839.0</v>
      </c>
      <c r="B11841" s="17">
        <f t="array" ref="B11841">SUM(1-'Sparkling Model'!D$2:D$38^A11841)</f>
        <v>36.99017005</v>
      </c>
      <c r="C11841" s="8">
        <f t="array" ref="C11841">PRODUCT(1-'Sparkling Model'!D$2:D$38^A11841)</f>
        <v>0.9902039153</v>
      </c>
    </row>
    <row r="11842">
      <c r="A11842" s="6">
        <v>11840.0</v>
      </c>
      <c r="B11842" s="17">
        <f t="array" ref="B11842">SUM(1-'Sparkling Model'!D$2:D$38^A11842)</f>
        <v>36.99017495</v>
      </c>
      <c r="C11842" s="8">
        <f t="array" ref="C11842">PRODUCT(1-'Sparkling Model'!D$2:D$38^A11842)</f>
        <v>0.9902087723</v>
      </c>
    </row>
    <row r="11843">
      <c r="A11843" s="6">
        <v>11841.0</v>
      </c>
      <c r="B11843" s="17">
        <f t="array" ref="B11843">SUM(1-'Sparkling Model'!D$2:D$38^A11843)</f>
        <v>36.99017983</v>
      </c>
      <c r="C11843" s="8">
        <f t="array" ref="C11843">PRODUCT(1-'Sparkling Model'!D$2:D$38^A11843)</f>
        <v>0.9902136269</v>
      </c>
    </row>
    <row r="11844">
      <c r="A11844" s="6">
        <v>11842.0</v>
      </c>
      <c r="B11844" s="17">
        <f t="array" ref="B11844">SUM(1-'Sparkling Model'!D$2:D$38^A11844)</f>
        <v>36.99018472</v>
      </c>
      <c r="C11844" s="8">
        <f t="array" ref="C11844">PRODUCT(1-'Sparkling Model'!D$2:D$38^A11844)</f>
        <v>0.9902184791</v>
      </c>
    </row>
    <row r="11845">
      <c r="A11845" s="6">
        <v>11843.0</v>
      </c>
      <c r="B11845" s="17">
        <f t="array" ref="B11845">SUM(1-'Sparkling Model'!D$2:D$38^A11845)</f>
        <v>36.9901896</v>
      </c>
      <c r="C11845" s="8">
        <f t="array" ref="C11845">PRODUCT(1-'Sparkling Model'!D$2:D$38^A11845)</f>
        <v>0.9902233289</v>
      </c>
    </row>
    <row r="11846">
      <c r="A11846" s="6">
        <v>11844.0</v>
      </c>
      <c r="B11846" s="17">
        <f t="array" ref="B11846">SUM(1-'Sparkling Model'!D$2:D$38^A11846)</f>
        <v>36.99019448</v>
      </c>
      <c r="C11846" s="8">
        <f t="array" ref="C11846">PRODUCT(1-'Sparkling Model'!D$2:D$38^A11846)</f>
        <v>0.9902281763</v>
      </c>
    </row>
    <row r="11847">
      <c r="A11847" s="6">
        <v>11845.0</v>
      </c>
      <c r="B11847" s="17">
        <f t="array" ref="B11847">SUM(1-'Sparkling Model'!D$2:D$38^A11847)</f>
        <v>36.99019936</v>
      </c>
      <c r="C11847" s="8">
        <f t="array" ref="C11847">PRODUCT(1-'Sparkling Model'!D$2:D$38^A11847)</f>
        <v>0.9902330212</v>
      </c>
    </row>
    <row r="11848">
      <c r="A11848" s="6">
        <v>11846.0</v>
      </c>
      <c r="B11848" s="17">
        <f t="array" ref="B11848">SUM(1-'Sparkling Model'!D$2:D$38^A11848)</f>
        <v>36.99020424</v>
      </c>
      <c r="C11848" s="8">
        <f t="array" ref="C11848">PRODUCT(1-'Sparkling Model'!D$2:D$38^A11848)</f>
        <v>0.9902378637</v>
      </c>
    </row>
    <row r="11849">
      <c r="A11849" s="6">
        <v>11847.0</v>
      </c>
      <c r="B11849" s="17">
        <f t="array" ref="B11849">SUM(1-'Sparkling Model'!D$2:D$38^A11849)</f>
        <v>36.99020911</v>
      </c>
      <c r="C11849" s="8">
        <f t="array" ref="C11849">PRODUCT(1-'Sparkling Model'!D$2:D$38^A11849)</f>
        <v>0.9902427039</v>
      </c>
    </row>
    <row r="11850">
      <c r="A11850" s="6">
        <v>11848.0</v>
      </c>
      <c r="B11850" s="17">
        <f t="array" ref="B11850">SUM(1-'Sparkling Model'!D$2:D$38^A11850)</f>
        <v>36.99021398</v>
      </c>
      <c r="C11850" s="8">
        <f t="array" ref="C11850">PRODUCT(1-'Sparkling Model'!D$2:D$38^A11850)</f>
        <v>0.9902475416</v>
      </c>
    </row>
    <row r="11851">
      <c r="A11851" s="6">
        <v>11849.0</v>
      </c>
      <c r="B11851" s="17">
        <f t="array" ref="B11851">SUM(1-'Sparkling Model'!D$2:D$38^A11851)</f>
        <v>36.99021885</v>
      </c>
      <c r="C11851" s="8">
        <f t="array" ref="C11851">PRODUCT(1-'Sparkling Model'!D$2:D$38^A11851)</f>
        <v>0.9902523769</v>
      </c>
    </row>
    <row r="11852">
      <c r="A11852" s="6">
        <v>11850.0</v>
      </c>
      <c r="B11852" s="17">
        <f t="array" ref="B11852">SUM(1-'Sparkling Model'!D$2:D$38^A11852)</f>
        <v>36.99022372</v>
      </c>
      <c r="C11852" s="8">
        <f t="array" ref="C11852">PRODUCT(1-'Sparkling Model'!D$2:D$38^A11852)</f>
        <v>0.9902572098</v>
      </c>
    </row>
    <row r="11853">
      <c r="A11853" s="6">
        <v>11851.0</v>
      </c>
      <c r="B11853" s="17">
        <f t="array" ref="B11853">SUM(1-'Sparkling Model'!D$2:D$38^A11853)</f>
        <v>36.99022858</v>
      </c>
      <c r="C11853" s="8">
        <f t="array" ref="C11853">PRODUCT(1-'Sparkling Model'!D$2:D$38^A11853)</f>
        <v>0.9902620404</v>
      </c>
    </row>
    <row r="11854">
      <c r="A11854" s="6">
        <v>11852.0</v>
      </c>
      <c r="B11854" s="17">
        <f t="array" ref="B11854">SUM(1-'Sparkling Model'!D$2:D$38^A11854)</f>
        <v>36.99023345</v>
      </c>
      <c r="C11854" s="8">
        <f t="array" ref="C11854">PRODUCT(1-'Sparkling Model'!D$2:D$38^A11854)</f>
        <v>0.9902668685</v>
      </c>
    </row>
    <row r="11855">
      <c r="A11855" s="6">
        <v>11853.0</v>
      </c>
      <c r="B11855" s="17">
        <f t="array" ref="B11855">SUM(1-'Sparkling Model'!D$2:D$38^A11855)</f>
        <v>36.9902383</v>
      </c>
      <c r="C11855" s="8">
        <f t="array" ref="C11855">PRODUCT(1-'Sparkling Model'!D$2:D$38^A11855)</f>
        <v>0.9902716942</v>
      </c>
    </row>
    <row r="11856">
      <c r="A11856" s="6">
        <v>11854.0</v>
      </c>
      <c r="B11856" s="17">
        <f t="array" ref="B11856">SUM(1-'Sparkling Model'!D$2:D$38^A11856)</f>
        <v>36.99024316</v>
      </c>
      <c r="C11856" s="8">
        <f t="array" ref="C11856">PRODUCT(1-'Sparkling Model'!D$2:D$38^A11856)</f>
        <v>0.9902765175</v>
      </c>
    </row>
    <row r="11857">
      <c r="A11857" s="6">
        <v>11855.0</v>
      </c>
      <c r="B11857" s="17">
        <f t="array" ref="B11857">SUM(1-'Sparkling Model'!D$2:D$38^A11857)</f>
        <v>36.99024802</v>
      </c>
      <c r="C11857" s="8">
        <f t="array" ref="C11857">PRODUCT(1-'Sparkling Model'!D$2:D$38^A11857)</f>
        <v>0.9902813384</v>
      </c>
    </row>
    <row r="11858">
      <c r="A11858" s="6">
        <v>11856.0</v>
      </c>
      <c r="B11858" s="17">
        <f t="array" ref="B11858">SUM(1-'Sparkling Model'!D$2:D$38^A11858)</f>
        <v>36.99025287</v>
      </c>
      <c r="C11858" s="8">
        <f t="array" ref="C11858">PRODUCT(1-'Sparkling Model'!D$2:D$38^A11858)</f>
        <v>0.9902861569</v>
      </c>
    </row>
    <row r="11859">
      <c r="A11859" s="6">
        <v>11857.0</v>
      </c>
      <c r="B11859" s="17">
        <f t="array" ref="B11859">SUM(1-'Sparkling Model'!D$2:D$38^A11859)</f>
        <v>36.99025772</v>
      </c>
      <c r="C11859" s="8">
        <f t="array" ref="C11859">PRODUCT(1-'Sparkling Model'!D$2:D$38^A11859)</f>
        <v>0.990290973</v>
      </c>
    </row>
    <row r="11860">
      <c r="A11860" s="6">
        <v>11858.0</v>
      </c>
      <c r="B11860" s="17">
        <f t="array" ref="B11860">SUM(1-'Sparkling Model'!D$2:D$38^A11860)</f>
        <v>36.99026256</v>
      </c>
      <c r="C11860" s="8">
        <f t="array" ref="C11860">PRODUCT(1-'Sparkling Model'!D$2:D$38^A11860)</f>
        <v>0.9902957867</v>
      </c>
    </row>
    <row r="11861">
      <c r="A11861" s="6">
        <v>11859.0</v>
      </c>
      <c r="B11861" s="17">
        <f t="array" ref="B11861">SUM(1-'Sparkling Model'!D$2:D$38^A11861)</f>
        <v>36.99026741</v>
      </c>
      <c r="C11861" s="8">
        <f t="array" ref="C11861">PRODUCT(1-'Sparkling Model'!D$2:D$38^A11861)</f>
        <v>0.9903005981</v>
      </c>
    </row>
    <row r="11862">
      <c r="A11862" s="6">
        <v>11860.0</v>
      </c>
      <c r="B11862" s="17">
        <f t="array" ref="B11862">SUM(1-'Sparkling Model'!D$2:D$38^A11862)</f>
        <v>36.99027225</v>
      </c>
      <c r="C11862" s="8">
        <f t="array" ref="C11862">PRODUCT(1-'Sparkling Model'!D$2:D$38^A11862)</f>
        <v>0.990305407</v>
      </c>
    </row>
    <row r="11863">
      <c r="A11863" s="6">
        <v>11861.0</v>
      </c>
      <c r="B11863" s="17">
        <f t="array" ref="B11863">SUM(1-'Sparkling Model'!D$2:D$38^A11863)</f>
        <v>36.99027709</v>
      </c>
      <c r="C11863" s="8">
        <f t="array" ref="C11863">PRODUCT(1-'Sparkling Model'!D$2:D$38^A11863)</f>
        <v>0.9903102135</v>
      </c>
    </row>
    <row r="11864">
      <c r="A11864" s="6">
        <v>11862.0</v>
      </c>
      <c r="B11864" s="17">
        <f t="array" ref="B11864">SUM(1-'Sparkling Model'!D$2:D$38^A11864)</f>
        <v>36.99028193</v>
      </c>
      <c r="C11864" s="8">
        <f t="array" ref="C11864">PRODUCT(1-'Sparkling Model'!D$2:D$38^A11864)</f>
        <v>0.9903150177</v>
      </c>
    </row>
    <row r="11865">
      <c r="A11865" s="6">
        <v>11863.0</v>
      </c>
      <c r="B11865" s="17">
        <f t="array" ref="B11865">SUM(1-'Sparkling Model'!D$2:D$38^A11865)</f>
        <v>36.99028676</v>
      </c>
      <c r="C11865" s="8">
        <f t="array" ref="C11865">PRODUCT(1-'Sparkling Model'!D$2:D$38^A11865)</f>
        <v>0.9903198195</v>
      </c>
    </row>
    <row r="11866">
      <c r="A11866" s="6">
        <v>11864.0</v>
      </c>
      <c r="B11866" s="17">
        <f t="array" ref="B11866">SUM(1-'Sparkling Model'!D$2:D$38^A11866)</f>
        <v>36.99029159</v>
      </c>
      <c r="C11866" s="8">
        <f t="array" ref="C11866">PRODUCT(1-'Sparkling Model'!D$2:D$38^A11866)</f>
        <v>0.9903246188</v>
      </c>
    </row>
    <row r="11867">
      <c r="A11867" s="6">
        <v>11865.0</v>
      </c>
      <c r="B11867" s="17">
        <f t="array" ref="B11867">SUM(1-'Sparkling Model'!D$2:D$38^A11867)</f>
        <v>36.99029643</v>
      </c>
      <c r="C11867" s="8">
        <f t="array" ref="C11867">PRODUCT(1-'Sparkling Model'!D$2:D$38^A11867)</f>
        <v>0.9903294158</v>
      </c>
    </row>
    <row r="11868">
      <c r="A11868" s="6">
        <v>11866.0</v>
      </c>
      <c r="B11868" s="17">
        <f t="array" ref="B11868">SUM(1-'Sparkling Model'!D$2:D$38^A11868)</f>
        <v>36.99030125</v>
      </c>
      <c r="C11868" s="8">
        <f t="array" ref="C11868">PRODUCT(1-'Sparkling Model'!D$2:D$38^A11868)</f>
        <v>0.9903342104</v>
      </c>
    </row>
    <row r="11869">
      <c r="A11869" s="6">
        <v>11867.0</v>
      </c>
      <c r="B11869" s="17">
        <f t="array" ref="B11869">SUM(1-'Sparkling Model'!D$2:D$38^A11869)</f>
        <v>36.99030608</v>
      </c>
      <c r="C11869" s="8">
        <f t="array" ref="C11869">PRODUCT(1-'Sparkling Model'!D$2:D$38^A11869)</f>
        <v>0.9903390026</v>
      </c>
    </row>
    <row r="11870">
      <c r="A11870" s="6">
        <v>11868.0</v>
      </c>
      <c r="B11870" s="17">
        <f t="array" ref="B11870">SUM(1-'Sparkling Model'!D$2:D$38^A11870)</f>
        <v>36.9903109</v>
      </c>
      <c r="C11870" s="8">
        <f t="array" ref="C11870">PRODUCT(1-'Sparkling Model'!D$2:D$38^A11870)</f>
        <v>0.9903437925</v>
      </c>
    </row>
    <row r="11871">
      <c r="A11871" s="6">
        <v>11869.0</v>
      </c>
      <c r="B11871" s="17">
        <f t="array" ref="B11871">SUM(1-'Sparkling Model'!D$2:D$38^A11871)</f>
        <v>36.99031572</v>
      </c>
      <c r="C11871" s="8">
        <f t="array" ref="C11871">PRODUCT(1-'Sparkling Model'!D$2:D$38^A11871)</f>
        <v>0.9903485799</v>
      </c>
    </row>
    <row r="11872">
      <c r="A11872" s="6">
        <v>11870.0</v>
      </c>
      <c r="B11872" s="17">
        <f t="array" ref="B11872">SUM(1-'Sparkling Model'!D$2:D$38^A11872)</f>
        <v>36.99032054</v>
      </c>
      <c r="C11872" s="8">
        <f t="array" ref="C11872">PRODUCT(1-'Sparkling Model'!D$2:D$38^A11872)</f>
        <v>0.990353365</v>
      </c>
    </row>
    <row r="11873">
      <c r="A11873" s="6">
        <v>11871.0</v>
      </c>
      <c r="B11873" s="17">
        <f t="array" ref="B11873">SUM(1-'Sparkling Model'!D$2:D$38^A11873)</f>
        <v>36.99032535</v>
      </c>
      <c r="C11873" s="8">
        <f t="array" ref="C11873">PRODUCT(1-'Sparkling Model'!D$2:D$38^A11873)</f>
        <v>0.9903581477</v>
      </c>
    </row>
    <row r="11874">
      <c r="A11874" s="6">
        <v>11872.0</v>
      </c>
      <c r="B11874" s="17">
        <f t="array" ref="B11874">SUM(1-'Sparkling Model'!D$2:D$38^A11874)</f>
        <v>36.99033017</v>
      </c>
      <c r="C11874" s="8">
        <f t="array" ref="C11874">PRODUCT(1-'Sparkling Model'!D$2:D$38^A11874)</f>
        <v>0.990362928</v>
      </c>
    </row>
    <row r="11875">
      <c r="A11875" s="6">
        <v>11873.0</v>
      </c>
      <c r="B11875" s="17">
        <f t="array" ref="B11875">SUM(1-'Sparkling Model'!D$2:D$38^A11875)</f>
        <v>36.99033498</v>
      </c>
      <c r="C11875" s="8">
        <f t="array" ref="C11875">PRODUCT(1-'Sparkling Model'!D$2:D$38^A11875)</f>
        <v>0.990367706</v>
      </c>
    </row>
    <row r="11876">
      <c r="A11876" s="6">
        <v>11874.0</v>
      </c>
      <c r="B11876" s="17">
        <f t="array" ref="B11876">SUM(1-'Sparkling Model'!D$2:D$38^A11876)</f>
        <v>36.99033979</v>
      </c>
      <c r="C11876" s="8">
        <f t="array" ref="C11876">PRODUCT(1-'Sparkling Model'!D$2:D$38^A11876)</f>
        <v>0.9903724815</v>
      </c>
    </row>
    <row r="11877">
      <c r="A11877" s="6">
        <v>11875.0</v>
      </c>
      <c r="B11877" s="17">
        <f t="array" ref="B11877">SUM(1-'Sparkling Model'!D$2:D$38^A11877)</f>
        <v>36.99034459</v>
      </c>
      <c r="C11877" s="8">
        <f t="array" ref="C11877">PRODUCT(1-'Sparkling Model'!D$2:D$38^A11877)</f>
        <v>0.9903772547</v>
      </c>
    </row>
    <row r="11878">
      <c r="A11878" s="6">
        <v>11876.0</v>
      </c>
      <c r="B11878" s="17">
        <f t="array" ref="B11878">SUM(1-'Sparkling Model'!D$2:D$38^A11878)</f>
        <v>36.9903494</v>
      </c>
      <c r="C11878" s="8">
        <f t="array" ref="C11878">PRODUCT(1-'Sparkling Model'!D$2:D$38^A11878)</f>
        <v>0.9903820255</v>
      </c>
    </row>
    <row r="11879">
      <c r="A11879" s="6">
        <v>11877.0</v>
      </c>
      <c r="B11879" s="17">
        <f t="array" ref="B11879">SUM(1-'Sparkling Model'!D$2:D$38^A11879)</f>
        <v>36.9903542</v>
      </c>
      <c r="C11879" s="8">
        <f t="array" ref="C11879">PRODUCT(1-'Sparkling Model'!D$2:D$38^A11879)</f>
        <v>0.990386794</v>
      </c>
    </row>
    <row r="11880">
      <c r="A11880" s="6">
        <v>11878.0</v>
      </c>
      <c r="B11880" s="17">
        <f t="array" ref="B11880">SUM(1-'Sparkling Model'!D$2:D$38^A11880)</f>
        <v>36.990359</v>
      </c>
      <c r="C11880" s="8">
        <f t="array" ref="C11880">PRODUCT(1-'Sparkling Model'!D$2:D$38^A11880)</f>
        <v>0.99039156</v>
      </c>
    </row>
    <row r="11881">
      <c r="A11881" s="6">
        <v>11879.0</v>
      </c>
      <c r="B11881" s="17">
        <f t="array" ref="B11881">SUM(1-'Sparkling Model'!D$2:D$38^A11881)</f>
        <v>36.99036379</v>
      </c>
      <c r="C11881" s="8">
        <f t="array" ref="C11881">PRODUCT(1-'Sparkling Model'!D$2:D$38^A11881)</f>
        <v>0.9903963237</v>
      </c>
    </row>
    <row r="11882">
      <c r="A11882" s="6">
        <v>11880.0</v>
      </c>
      <c r="B11882" s="17">
        <f t="array" ref="B11882">SUM(1-'Sparkling Model'!D$2:D$38^A11882)</f>
        <v>36.99036859</v>
      </c>
      <c r="C11882" s="8">
        <f t="array" ref="C11882">PRODUCT(1-'Sparkling Model'!D$2:D$38^A11882)</f>
        <v>0.990401085</v>
      </c>
    </row>
    <row r="11883">
      <c r="A11883" s="6">
        <v>11881.0</v>
      </c>
      <c r="B11883" s="17">
        <f t="array" ref="B11883">SUM(1-'Sparkling Model'!D$2:D$38^A11883)</f>
        <v>36.99037338</v>
      </c>
      <c r="C11883" s="8">
        <f t="array" ref="C11883">PRODUCT(1-'Sparkling Model'!D$2:D$38^A11883)</f>
        <v>0.990405844</v>
      </c>
    </row>
    <row r="11884">
      <c r="A11884" s="6">
        <v>11882.0</v>
      </c>
      <c r="B11884" s="17">
        <f t="array" ref="B11884">SUM(1-'Sparkling Model'!D$2:D$38^A11884)</f>
        <v>36.99037817</v>
      </c>
      <c r="C11884" s="8">
        <f t="array" ref="C11884">PRODUCT(1-'Sparkling Model'!D$2:D$38^A11884)</f>
        <v>0.9904106006</v>
      </c>
    </row>
    <row r="11885">
      <c r="A11885" s="6">
        <v>11883.0</v>
      </c>
      <c r="B11885" s="17">
        <f t="array" ref="B11885">SUM(1-'Sparkling Model'!D$2:D$38^A11885)</f>
        <v>36.99038295</v>
      </c>
      <c r="C11885" s="8">
        <f t="array" ref="C11885">PRODUCT(1-'Sparkling Model'!D$2:D$38^A11885)</f>
        <v>0.9904153548</v>
      </c>
    </row>
    <row r="11886">
      <c r="A11886" s="6">
        <v>11884.0</v>
      </c>
      <c r="B11886" s="17">
        <f t="array" ref="B11886">SUM(1-'Sparkling Model'!D$2:D$38^A11886)</f>
        <v>36.99038774</v>
      </c>
      <c r="C11886" s="8">
        <f t="array" ref="C11886">PRODUCT(1-'Sparkling Model'!D$2:D$38^A11886)</f>
        <v>0.9904201067</v>
      </c>
    </row>
    <row r="11887">
      <c r="A11887" s="6">
        <v>11885.0</v>
      </c>
      <c r="B11887" s="17">
        <f t="array" ref="B11887">SUM(1-'Sparkling Model'!D$2:D$38^A11887)</f>
        <v>36.99039252</v>
      </c>
      <c r="C11887" s="8">
        <f t="array" ref="C11887">PRODUCT(1-'Sparkling Model'!D$2:D$38^A11887)</f>
        <v>0.9904248562</v>
      </c>
    </row>
    <row r="11888">
      <c r="A11888" s="6">
        <v>11886.0</v>
      </c>
      <c r="B11888" s="17">
        <f t="array" ref="B11888">SUM(1-'Sparkling Model'!D$2:D$38^A11888)</f>
        <v>36.9903973</v>
      </c>
      <c r="C11888" s="8">
        <f t="array" ref="C11888">PRODUCT(1-'Sparkling Model'!D$2:D$38^A11888)</f>
        <v>0.9904296033</v>
      </c>
    </row>
    <row r="11889">
      <c r="A11889" s="6">
        <v>11887.0</v>
      </c>
      <c r="B11889" s="17">
        <f t="array" ref="B11889">SUM(1-'Sparkling Model'!D$2:D$38^A11889)</f>
        <v>36.99040208</v>
      </c>
      <c r="C11889" s="8">
        <f t="array" ref="C11889">PRODUCT(1-'Sparkling Model'!D$2:D$38^A11889)</f>
        <v>0.9904343481</v>
      </c>
    </row>
    <row r="11890">
      <c r="A11890" s="6">
        <v>11888.0</v>
      </c>
      <c r="B11890" s="17">
        <f t="array" ref="B11890">SUM(1-'Sparkling Model'!D$2:D$38^A11890)</f>
        <v>36.99040685</v>
      </c>
      <c r="C11890" s="8">
        <f t="array" ref="C11890">PRODUCT(1-'Sparkling Model'!D$2:D$38^A11890)</f>
        <v>0.9904390905</v>
      </c>
    </row>
    <row r="11891">
      <c r="A11891" s="6">
        <v>11889.0</v>
      </c>
      <c r="B11891" s="17">
        <f t="array" ref="B11891">SUM(1-'Sparkling Model'!D$2:D$38^A11891)</f>
        <v>36.99041162</v>
      </c>
      <c r="C11891" s="8">
        <f t="array" ref="C11891">PRODUCT(1-'Sparkling Model'!D$2:D$38^A11891)</f>
        <v>0.9904438306</v>
      </c>
    </row>
    <row r="11892">
      <c r="A11892" s="6">
        <v>11890.0</v>
      </c>
      <c r="B11892" s="17">
        <f t="array" ref="B11892">SUM(1-'Sparkling Model'!D$2:D$38^A11892)</f>
        <v>36.99041639</v>
      </c>
      <c r="C11892" s="8">
        <f t="array" ref="C11892">PRODUCT(1-'Sparkling Model'!D$2:D$38^A11892)</f>
        <v>0.9904485683</v>
      </c>
    </row>
    <row r="11893">
      <c r="A11893" s="6">
        <v>11891.0</v>
      </c>
      <c r="B11893" s="17">
        <f t="array" ref="B11893">SUM(1-'Sparkling Model'!D$2:D$38^A11893)</f>
        <v>36.99042116</v>
      </c>
      <c r="C11893" s="8">
        <f t="array" ref="C11893">PRODUCT(1-'Sparkling Model'!D$2:D$38^A11893)</f>
        <v>0.9904533037</v>
      </c>
    </row>
    <row r="11894">
      <c r="A11894" s="6">
        <v>11892.0</v>
      </c>
      <c r="B11894" s="17">
        <f t="array" ref="B11894">SUM(1-'Sparkling Model'!D$2:D$38^A11894)</f>
        <v>36.99042593</v>
      </c>
      <c r="C11894" s="8">
        <f t="array" ref="C11894">PRODUCT(1-'Sparkling Model'!D$2:D$38^A11894)</f>
        <v>0.9904580367</v>
      </c>
    </row>
    <row r="11895">
      <c r="A11895" s="6">
        <v>11893.0</v>
      </c>
      <c r="B11895" s="17">
        <f t="array" ref="B11895">SUM(1-'Sparkling Model'!D$2:D$38^A11895)</f>
        <v>36.99043069</v>
      </c>
      <c r="C11895" s="8">
        <f t="array" ref="C11895">PRODUCT(1-'Sparkling Model'!D$2:D$38^A11895)</f>
        <v>0.9904627673</v>
      </c>
    </row>
    <row r="11896">
      <c r="A11896" s="6">
        <v>11894.0</v>
      </c>
      <c r="B11896" s="17">
        <f t="array" ref="B11896">SUM(1-'Sparkling Model'!D$2:D$38^A11896)</f>
        <v>36.99043545</v>
      </c>
      <c r="C11896" s="8">
        <f t="array" ref="C11896">PRODUCT(1-'Sparkling Model'!D$2:D$38^A11896)</f>
        <v>0.9904674956</v>
      </c>
    </row>
    <row r="11897">
      <c r="A11897" s="6">
        <v>11895.0</v>
      </c>
      <c r="B11897" s="17">
        <f t="array" ref="B11897">SUM(1-'Sparkling Model'!D$2:D$38^A11897)</f>
        <v>36.99044021</v>
      </c>
      <c r="C11897" s="8">
        <f t="array" ref="C11897">PRODUCT(1-'Sparkling Model'!D$2:D$38^A11897)</f>
        <v>0.9904722215</v>
      </c>
    </row>
    <row r="11898">
      <c r="A11898" s="6">
        <v>11896.0</v>
      </c>
      <c r="B11898" s="17">
        <f t="array" ref="B11898">SUM(1-'Sparkling Model'!D$2:D$38^A11898)</f>
        <v>36.99044496</v>
      </c>
      <c r="C11898" s="8">
        <f t="array" ref="C11898">PRODUCT(1-'Sparkling Model'!D$2:D$38^A11898)</f>
        <v>0.9904769451</v>
      </c>
    </row>
    <row r="11899">
      <c r="A11899" s="6">
        <v>11897.0</v>
      </c>
      <c r="B11899" s="17">
        <f t="array" ref="B11899">SUM(1-'Sparkling Model'!D$2:D$38^A11899)</f>
        <v>36.99044972</v>
      </c>
      <c r="C11899" s="8">
        <f t="array" ref="C11899">PRODUCT(1-'Sparkling Model'!D$2:D$38^A11899)</f>
        <v>0.9904816663</v>
      </c>
    </row>
    <row r="11900">
      <c r="A11900" s="6">
        <v>11898.0</v>
      </c>
      <c r="B11900" s="17">
        <f t="array" ref="B11900">SUM(1-'Sparkling Model'!D$2:D$38^A11900)</f>
        <v>36.99045447</v>
      </c>
      <c r="C11900" s="8">
        <f t="array" ref="C11900">PRODUCT(1-'Sparkling Model'!D$2:D$38^A11900)</f>
        <v>0.9904863852</v>
      </c>
    </row>
    <row r="11901">
      <c r="A11901" s="6">
        <v>11899.0</v>
      </c>
      <c r="B11901" s="17">
        <f t="array" ref="B11901">SUM(1-'Sparkling Model'!D$2:D$38^A11901)</f>
        <v>36.99045921</v>
      </c>
      <c r="C11901" s="8">
        <f t="array" ref="C11901">PRODUCT(1-'Sparkling Model'!D$2:D$38^A11901)</f>
        <v>0.9904911018</v>
      </c>
    </row>
    <row r="11902">
      <c r="A11902" s="6">
        <v>11900.0</v>
      </c>
      <c r="B11902" s="17">
        <f t="array" ref="B11902">SUM(1-'Sparkling Model'!D$2:D$38^A11902)</f>
        <v>36.99046396</v>
      </c>
      <c r="C11902" s="8">
        <f t="array" ref="C11902">PRODUCT(1-'Sparkling Model'!D$2:D$38^A11902)</f>
        <v>0.990495816</v>
      </c>
    </row>
    <row r="11903">
      <c r="A11903" s="6">
        <v>11901.0</v>
      </c>
      <c r="B11903" s="17">
        <f t="array" ref="B11903">SUM(1-'Sparkling Model'!D$2:D$38^A11903)</f>
        <v>36.9904687</v>
      </c>
      <c r="C11903" s="8">
        <f t="array" ref="C11903">PRODUCT(1-'Sparkling Model'!D$2:D$38^A11903)</f>
        <v>0.9905005278</v>
      </c>
    </row>
    <row r="11904">
      <c r="A11904" s="6">
        <v>11902.0</v>
      </c>
      <c r="B11904" s="17">
        <f t="array" ref="B11904">SUM(1-'Sparkling Model'!D$2:D$38^A11904)</f>
        <v>36.99047345</v>
      </c>
      <c r="C11904" s="8">
        <f t="array" ref="C11904">PRODUCT(1-'Sparkling Model'!D$2:D$38^A11904)</f>
        <v>0.9905052373</v>
      </c>
    </row>
    <row r="11905">
      <c r="A11905" s="6">
        <v>11903.0</v>
      </c>
      <c r="B11905" s="17">
        <f t="array" ref="B11905">SUM(1-'Sparkling Model'!D$2:D$38^A11905)</f>
        <v>36.99047819</v>
      </c>
      <c r="C11905" s="8">
        <f t="array" ref="C11905">PRODUCT(1-'Sparkling Model'!D$2:D$38^A11905)</f>
        <v>0.9905099445</v>
      </c>
    </row>
    <row r="11906">
      <c r="A11906" s="6">
        <v>11904.0</v>
      </c>
      <c r="B11906" s="17">
        <f t="array" ref="B11906">SUM(1-'Sparkling Model'!D$2:D$38^A11906)</f>
        <v>36.99048292</v>
      </c>
      <c r="C11906" s="8">
        <f t="array" ref="C11906">PRODUCT(1-'Sparkling Model'!D$2:D$38^A11906)</f>
        <v>0.9905146493</v>
      </c>
    </row>
    <row r="11907">
      <c r="A11907" s="6">
        <v>11905.0</v>
      </c>
      <c r="B11907" s="17">
        <f t="array" ref="B11907">SUM(1-'Sparkling Model'!D$2:D$38^A11907)</f>
        <v>36.99048766</v>
      </c>
      <c r="C11907" s="8">
        <f t="array" ref="C11907">PRODUCT(1-'Sparkling Model'!D$2:D$38^A11907)</f>
        <v>0.9905193518</v>
      </c>
    </row>
    <row r="11908">
      <c r="A11908" s="6">
        <v>11906.0</v>
      </c>
      <c r="B11908" s="17">
        <f t="array" ref="B11908">SUM(1-'Sparkling Model'!D$2:D$38^A11908)</f>
        <v>36.99049239</v>
      </c>
      <c r="C11908" s="8">
        <f t="array" ref="C11908">PRODUCT(1-'Sparkling Model'!D$2:D$38^A11908)</f>
        <v>0.990524052</v>
      </c>
    </row>
    <row r="11909">
      <c r="A11909" s="6">
        <v>11907.0</v>
      </c>
      <c r="B11909" s="17">
        <f t="array" ref="B11909">SUM(1-'Sparkling Model'!D$2:D$38^A11909)</f>
        <v>36.99049712</v>
      </c>
      <c r="C11909" s="8">
        <f t="array" ref="C11909">PRODUCT(1-'Sparkling Model'!D$2:D$38^A11909)</f>
        <v>0.9905287498</v>
      </c>
    </row>
    <row r="11910">
      <c r="A11910" s="6">
        <v>11908.0</v>
      </c>
      <c r="B11910" s="17">
        <f t="array" ref="B11910">SUM(1-'Sparkling Model'!D$2:D$38^A11910)</f>
        <v>36.99050184</v>
      </c>
      <c r="C11910" s="8">
        <f t="array" ref="C11910">PRODUCT(1-'Sparkling Model'!D$2:D$38^A11910)</f>
        <v>0.9905334452</v>
      </c>
    </row>
    <row r="11911">
      <c r="A11911" s="6">
        <v>11909.0</v>
      </c>
      <c r="B11911" s="17">
        <f t="array" ref="B11911">SUM(1-'Sparkling Model'!D$2:D$38^A11911)</f>
        <v>36.99050657</v>
      </c>
      <c r="C11911" s="8">
        <f t="array" ref="C11911">PRODUCT(1-'Sparkling Model'!D$2:D$38^A11911)</f>
        <v>0.9905381384</v>
      </c>
    </row>
    <row r="11912">
      <c r="A11912" s="6">
        <v>11910.0</v>
      </c>
      <c r="B11912" s="17">
        <f t="array" ref="B11912">SUM(1-'Sparkling Model'!D$2:D$38^A11912)</f>
        <v>36.99051129</v>
      </c>
      <c r="C11912" s="8">
        <f t="array" ref="C11912">PRODUCT(1-'Sparkling Model'!D$2:D$38^A11912)</f>
        <v>0.9905428292</v>
      </c>
    </row>
    <row r="11913">
      <c r="A11913" s="6">
        <v>11911.0</v>
      </c>
      <c r="B11913" s="17">
        <f t="array" ref="B11913">SUM(1-'Sparkling Model'!D$2:D$38^A11913)</f>
        <v>36.99051601</v>
      </c>
      <c r="C11913" s="8">
        <f t="array" ref="C11913">PRODUCT(1-'Sparkling Model'!D$2:D$38^A11913)</f>
        <v>0.9905475177</v>
      </c>
    </row>
    <row r="11914">
      <c r="A11914" s="6">
        <v>11912.0</v>
      </c>
      <c r="B11914" s="17">
        <f t="array" ref="B11914">SUM(1-'Sparkling Model'!D$2:D$38^A11914)</f>
        <v>36.99052073</v>
      </c>
      <c r="C11914" s="8">
        <f t="array" ref="C11914">PRODUCT(1-'Sparkling Model'!D$2:D$38^A11914)</f>
        <v>0.9905522038</v>
      </c>
    </row>
    <row r="11915">
      <c r="A11915" s="6">
        <v>11913.0</v>
      </c>
      <c r="B11915" s="17">
        <f t="array" ref="B11915">SUM(1-'Sparkling Model'!D$2:D$38^A11915)</f>
        <v>36.99052544</v>
      </c>
      <c r="C11915" s="8">
        <f t="array" ref="C11915">PRODUCT(1-'Sparkling Model'!D$2:D$38^A11915)</f>
        <v>0.9905568876</v>
      </c>
    </row>
    <row r="11916">
      <c r="A11916" s="6">
        <v>11914.0</v>
      </c>
      <c r="B11916" s="17">
        <f t="array" ref="B11916">SUM(1-'Sparkling Model'!D$2:D$38^A11916)</f>
        <v>36.99053016</v>
      </c>
      <c r="C11916" s="8">
        <f t="array" ref="C11916">PRODUCT(1-'Sparkling Model'!D$2:D$38^A11916)</f>
        <v>0.9905615691</v>
      </c>
    </row>
    <row r="11917">
      <c r="A11917" s="6">
        <v>11915.0</v>
      </c>
      <c r="B11917" s="17">
        <f t="array" ref="B11917">SUM(1-'Sparkling Model'!D$2:D$38^A11917)</f>
        <v>36.99053487</v>
      </c>
      <c r="C11917" s="8">
        <f t="array" ref="C11917">PRODUCT(1-'Sparkling Model'!D$2:D$38^A11917)</f>
        <v>0.9905662483</v>
      </c>
    </row>
    <row r="11918">
      <c r="A11918" s="6">
        <v>11916.0</v>
      </c>
      <c r="B11918" s="17">
        <f t="array" ref="B11918">SUM(1-'Sparkling Model'!D$2:D$38^A11918)</f>
        <v>36.99053958</v>
      </c>
      <c r="C11918" s="8">
        <f t="array" ref="C11918">PRODUCT(1-'Sparkling Model'!D$2:D$38^A11918)</f>
        <v>0.9905709251</v>
      </c>
    </row>
    <row r="11919">
      <c r="A11919" s="6">
        <v>11917.0</v>
      </c>
      <c r="B11919" s="17">
        <f t="array" ref="B11919">SUM(1-'Sparkling Model'!D$2:D$38^A11919)</f>
        <v>36.99054428</v>
      </c>
      <c r="C11919" s="8">
        <f t="array" ref="C11919">PRODUCT(1-'Sparkling Model'!D$2:D$38^A11919)</f>
        <v>0.9905755996</v>
      </c>
    </row>
    <row r="11920">
      <c r="A11920" s="6">
        <v>11918.0</v>
      </c>
      <c r="B11920" s="17">
        <f t="array" ref="B11920">SUM(1-'Sparkling Model'!D$2:D$38^A11920)</f>
        <v>36.99054899</v>
      </c>
      <c r="C11920" s="8">
        <f t="array" ref="C11920">PRODUCT(1-'Sparkling Model'!D$2:D$38^A11920)</f>
        <v>0.9905802718</v>
      </c>
    </row>
    <row r="11921">
      <c r="A11921" s="6">
        <v>11919.0</v>
      </c>
      <c r="B11921" s="17">
        <f t="array" ref="B11921">SUM(1-'Sparkling Model'!D$2:D$38^A11921)</f>
        <v>36.99055369</v>
      </c>
      <c r="C11921" s="8">
        <f t="array" ref="C11921">PRODUCT(1-'Sparkling Model'!D$2:D$38^A11921)</f>
        <v>0.9905849416</v>
      </c>
    </row>
    <row r="11922">
      <c r="A11922" s="6">
        <v>11920.0</v>
      </c>
      <c r="B11922" s="17">
        <f t="array" ref="B11922">SUM(1-'Sparkling Model'!D$2:D$38^A11922)</f>
        <v>36.99055839</v>
      </c>
      <c r="C11922" s="8">
        <f t="array" ref="C11922">PRODUCT(1-'Sparkling Model'!D$2:D$38^A11922)</f>
        <v>0.9905896092</v>
      </c>
    </row>
    <row r="11923">
      <c r="A11923" s="6">
        <v>11921.0</v>
      </c>
      <c r="B11923" s="17">
        <f t="array" ref="B11923">SUM(1-'Sparkling Model'!D$2:D$38^A11923)</f>
        <v>36.99056308</v>
      </c>
      <c r="C11923" s="8">
        <f t="array" ref="C11923">PRODUCT(1-'Sparkling Model'!D$2:D$38^A11923)</f>
        <v>0.9905942744</v>
      </c>
    </row>
    <row r="11924">
      <c r="A11924" s="6">
        <v>11922.0</v>
      </c>
      <c r="B11924" s="17">
        <f t="array" ref="B11924">SUM(1-'Sparkling Model'!D$2:D$38^A11924)</f>
        <v>36.99056778</v>
      </c>
      <c r="C11924" s="8">
        <f t="array" ref="C11924">PRODUCT(1-'Sparkling Model'!D$2:D$38^A11924)</f>
        <v>0.9905989373</v>
      </c>
    </row>
    <row r="11925">
      <c r="A11925" s="6">
        <v>11923.0</v>
      </c>
      <c r="B11925" s="17">
        <f t="array" ref="B11925">SUM(1-'Sparkling Model'!D$2:D$38^A11925)</f>
        <v>36.99057247</v>
      </c>
      <c r="C11925" s="8">
        <f t="array" ref="C11925">PRODUCT(1-'Sparkling Model'!D$2:D$38^A11925)</f>
        <v>0.9906035978</v>
      </c>
    </row>
    <row r="11926">
      <c r="A11926" s="6">
        <v>11924.0</v>
      </c>
      <c r="B11926" s="17">
        <f t="array" ref="B11926">SUM(1-'Sparkling Model'!D$2:D$38^A11926)</f>
        <v>36.99057716</v>
      </c>
      <c r="C11926" s="8">
        <f t="array" ref="C11926">PRODUCT(1-'Sparkling Model'!D$2:D$38^A11926)</f>
        <v>0.9906082561</v>
      </c>
    </row>
    <row r="11927">
      <c r="A11927" s="6">
        <v>11925.0</v>
      </c>
      <c r="B11927" s="17">
        <f t="array" ref="B11927">SUM(1-'Sparkling Model'!D$2:D$38^A11927)</f>
        <v>36.99058184</v>
      </c>
      <c r="C11927" s="8">
        <f t="array" ref="C11927">PRODUCT(1-'Sparkling Model'!D$2:D$38^A11927)</f>
        <v>0.990612912</v>
      </c>
    </row>
    <row r="11928">
      <c r="A11928" s="6">
        <v>11926.0</v>
      </c>
      <c r="B11928" s="17">
        <f t="array" ref="B11928">SUM(1-'Sparkling Model'!D$2:D$38^A11928)</f>
        <v>36.99058653</v>
      </c>
      <c r="C11928" s="8">
        <f t="array" ref="C11928">PRODUCT(1-'Sparkling Model'!D$2:D$38^A11928)</f>
        <v>0.9906175657</v>
      </c>
    </row>
    <row r="11929">
      <c r="A11929" s="6">
        <v>11927.0</v>
      </c>
      <c r="B11929" s="17">
        <f t="array" ref="B11929">SUM(1-'Sparkling Model'!D$2:D$38^A11929)</f>
        <v>36.99059121</v>
      </c>
      <c r="C11929" s="8">
        <f t="array" ref="C11929">PRODUCT(1-'Sparkling Model'!D$2:D$38^A11929)</f>
        <v>0.990622217</v>
      </c>
    </row>
    <row r="11930">
      <c r="A11930" s="6">
        <v>11928.0</v>
      </c>
      <c r="B11930" s="17">
        <f t="array" ref="B11930">SUM(1-'Sparkling Model'!D$2:D$38^A11930)</f>
        <v>36.99059589</v>
      </c>
      <c r="C11930" s="8">
        <f t="array" ref="C11930">PRODUCT(1-'Sparkling Model'!D$2:D$38^A11930)</f>
        <v>0.990626866</v>
      </c>
    </row>
    <row r="11931">
      <c r="A11931" s="6">
        <v>11929.0</v>
      </c>
      <c r="B11931" s="17">
        <f t="array" ref="B11931">SUM(1-'Sparkling Model'!D$2:D$38^A11931)</f>
        <v>36.99060057</v>
      </c>
      <c r="C11931" s="8">
        <f t="array" ref="C11931">PRODUCT(1-'Sparkling Model'!D$2:D$38^A11931)</f>
        <v>0.9906315126</v>
      </c>
    </row>
    <row r="11932">
      <c r="A11932" s="6">
        <v>11930.0</v>
      </c>
      <c r="B11932" s="17">
        <f t="array" ref="B11932">SUM(1-'Sparkling Model'!D$2:D$38^A11932)</f>
        <v>36.99060524</v>
      </c>
      <c r="C11932" s="8">
        <f t="array" ref="C11932">PRODUCT(1-'Sparkling Model'!D$2:D$38^A11932)</f>
        <v>0.990636157</v>
      </c>
    </row>
    <row r="11933">
      <c r="A11933" s="6">
        <v>11931.0</v>
      </c>
      <c r="B11933" s="17">
        <f t="array" ref="B11933">SUM(1-'Sparkling Model'!D$2:D$38^A11933)</f>
        <v>36.99060992</v>
      </c>
      <c r="C11933" s="8">
        <f t="array" ref="C11933">PRODUCT(1-'Sparkling Model'!D$2:D$38^A11933)</f>
        <v>0.9906407991</v>
      </c>
    </row>
    <row r="11934">
      <c r="A11934" s="6">
        <v>11932.0</v>
      </c>
      <c r="B11934" s="17">
        <f t="array" ref="B11934">SUM(1-'Sparkling Model'!D$2:D$38^A11934)</f>
        <v>36.99061459</v>
      </c>
      <c r="C11934" s="8">
        <f t="array" ref="C11934">PRODUCT(1-'Sparkling Model'!D$2:D$38^A11934)</f>
        <v>0.9906454388</v>
      </c>
    </row>
    <row r="11935">
      <c r="A11935" s="6">
        <v>11933.0</v>
      </c>
      <c r="B11935" s="17">
        <f t="array" ref="B11935">SUM(1-'Sparkling Model'!D$2:D$38^A11935)</f>
        <v>36.99061926</v>
      </c>
      <c r="C11935" s="8">
        <f t="array" ref="C11935">PRODUCT(1-'Sparkling Model'!D$2:D$38^A11935)</f>
        <v>0.9906500763</v>
      </c>
    </row>
    <row r="11936">
      <c r="A11936" s="6">
        <v>11934.0</v>
      </c>
      <c r="B11936" s="17">
        <f t="array" ref="B11936">SUM(1-'Sparkling Model'!D$2:D$38^A11936)</f>
        <v>36.99062392</v>
      </c>
      <c r="C11936" s="8">
        <f t="array" ref="C11936">PRODUCT(1-'Sparkling Model'!D$2:D$38^A11936)</f>
        <v>0.9906547114</v>
      </c>
    </row>
    <row r="11937">
      <c r="A11937" s="6">
        <v>11935.0</v>
      </c>
      <c r="B11937" s="17">
        <f t="array" ref="B11937">SUM(1-'Sparkling Model'!D$2:D$38^A11937)</f>
        <v>36.99062859</v>
      </c>
      <c r="C11937" s="8">
        <f t="array" ref="C11937">PRODUCT(1-'Sparkling Model'!D$2:D$38^A11937)</f>
        <v>0.9906593443</v>
      </c>
    </row>
    <row r="11938">
      <c r="A11938" s="6">
        <v>11936.0</v>
      </c>
      <c r="B11938" s="17">
        <f t="array" ref="B11938">SUM(1-'Sparkling Model'!D$2:D$38^A11938)</f>
        <v>36.99063325</v>
      </c>
      <c r="C11938" s="8">
        <f t="array" ref="C11938">PRODUCT(1-'Sparkling Model'!D$2:D$38^A11938)</f>
        <v>0.9906639748</v>
      </c>
    </row>
    <row r="11939">
      <c r="A11939" s="6">
        <v>11937.0</v>
      </c>
      <c r="B11939" s="17">
        <f t="array" ref="B11939">SUM(1-'Sparkling Model'!D$2:D$38^A11939)</f>
        <v>36.99063791</v>
      </c>
      <c r="C11939" s="8">
        <f t="array" ref="C11939">PRODUCT(1-'Sparkling Model'!D$2:D$38^A11939)</f>
        <v>0.990668603</v>
      </c>
    </row>
    <row r="11940">
      <c r="A11940" s="6">
        <v>11938.0</v>
      </c>
      <c r="B11940" s="17">
        <f t="array" ref="B11940">SUM(1-'Sparkling Model'!D$2:D$38^A11940)</f>
        <v>36.99064256</v>
      </c>
      <c r="C11940" s="8">
        <f t="array" ref="C11940">PRODUCT(1-'Sparkling Model'!D$2:D$38^A11940)</f>
        <v>0.990673229</v>
      </c>
    </row>
    <row r="11941">
      <c r="A11941" s="6">
        <v>11939.0</v>
      </c>
      <c r="B11941" s="17">
        <f t="array" ref="B11941">SUM(1-'Sparkling Model'!D$2:D$38^A11941)</f>
        <v>36.99064722</v>
      </c>
      <c r="C11941" s="8">
        <f t="array" ref="C11941">PRODUCT(1-'Sparkling Model'!D$2:D$38^A11941)</f>
        <v>0.9906778526</v>
      </c>
    </row>
    <row r="11942">
      <c r="A11942" s="6">
        <v>11940.0</v>
      </c>
      <c r="B11942" s="17">
        <f t="array" ref="B11942">SUM(1-'Sparkling Model'!D$2:D$38^A11942)</f>
        <v>36.99065187</v>
      </c>
      <c r="C11942" s="8">
        <f t="array" ref="C11942">PRODUCT(1-'Sparkling Model'!D$2:D$38^A11942)</f>
        <v>0.9906824739</v>
      </c>
    </row>
    <row r="11943">
      <c r="A11943" s="6">
        <v>11941.0</v>
      </c>
      <c r="B11943" s="17">
        <f t="array" ref="B11943">SUM(1-'Sparkling Model'!D$2:D$38^A11943)</f>
        <v>36.99065652</v>
      </c>
      <c r="C11943" s="8">
        <f t="array" ref="C11943">PRODUCT(1-'Sparkling Model'!D$2:D$38^A11943)</f>
        <v>0.990687093</v>
      </c>
    </row>
    <row r="11944">
      <c r="A11944" s="6">
        <v>11942.0</v>
      </c>
      <c r="B11944" s="17">
        <f t="array" ref="B11944">SUM(1-'Sparkling Model'!D$2:D$38^A11944)</f>
        <v>36.99066117</v>
      </c>
      <c r="C11944" s="8">
        <f t="array" ref="C11944">PRODUCT(1-'Sparkling Model'!D$2:D$38^A11944)</f>
        <v>0.9906917097</v>
      </c>
    </row>
    <row r="11945">
      <c r="A11945" s="6">
        <v>11943.0</v>
      </c>
      <c r="B11945" s="17">
        <f t="array" ref="B11945">SUM(1-'Sparkling Model'!D$2:D$38^A11945)</f>
        <v>36.99066581</v>
      </c>
      <c r="C11945" s="8">
        <f t="array" ref="C11945">PRODUCT(1-'Sparkling Model'!D$2:D$38^A11945)</f>
        <v>0.9906963241</v>
      </c>
    </row>
    <row r="11946">
      <c r="A11946" s="6">
        <v>11944.0</v>
      </c>
      <c r="B11946" s="17">
        <f t="array" ref="B11946">SUM(1-'Sparkling Model'!D$2:D$38^A11946)</f>
        <v>36.99067045</v>
      </c>
      <c r="C11946" s="8">
        <f t="array" ref="C11946">PRODUCT(1-'Sparkling Model'!D$2:D$38^A11946)</f>
        <v>0.9907009363</v>
      </c>
    </row>
    <row r="11947">
      <c r="A11947" s="6">
        <v>11945.0</v>
      </c>
      <c r="B11947" s="17">
        <f t="array" ref="B11947">SUM(1-'Sparkling Model'!D$2:D$38^A11947)</f>
        <v>36.99067509</v>
      </c>
      <c r="C11947" s="8">
        <f t="array" ref="C11947">PRODUCT(1-'Sparkling Model'!D$2:D$38^A11947)</f>
        <v>0.9907055461</v>
      </c>
    </row>
    <row r="11948">
      <c r="A11948" s="6">
        <v>11946.0</v>
      </c>
      <c r="B11948" s="17">
        <f t="array" ref="B11948">SUM(1-'Sparkling Model'!D$2:D$38^A11948)</f>
        <v>36.99067973</v>
      </c>
      <c r="C11948" s="8">
        <f t="array" ref="C11948">PRODUCT(1-'Sparkling Model'!D$2:D$38^A11948)</f>
        <v>0.9907101537</v>
      </c>
    </row>
    <row r="11949">
      <c r="A11949" s="6">
        <v>11947.0</v>
      </c>
      <c r="B11949" s="17">
        <f t="array" ref="B11949">SUM(1-'Sparkling Model'!D$2:D$38^A11949)</f>
        <v>36.99068437</v>
      </c>
      <c r="C11949" s="8">
        <f t="array" ref="C11949">PRODUCT(1-'Sparkling Model'!D$2:D$38^A11949)</f>
        <v>0.990714759</v>
      </c>
    </row>
    <row r="11950">
      <c r="A11950" s="6">
        <v>11948.0</v>
      </c>
      <c r="B11950" s="17">
        <f t="array" ref="B11950">SUM(1-'Sparkling Model'!D$2:D$38^A11950)</f>
        <v>36.990689</v>
      </c>
      <c r="C11950" s="8">
        <f t="array" ref="C11950">PRODUCT(1-'Sparkling Model'!D$2:D$38^A11950)</f>
        <v>0.990719362</v>
      </c>
    </row>
    <row r="11951">
      <c r="A11951" s="6">
        <v>11949.0</v>
      </c>
      <c r="B11951" s="17">
        <f t="array" ref="B11951">SUM(1-'Sparkling Model'!D$2:D$38^A11951)</f>
        <v>36.99069363</v>
      </c>
      <c r="C11951" s="8">
        <f t="array" ref="C11951">PRODUCT(1-'Sparkling Model'!D$2:D$38^A11951)</f>
        <v>0.9907239626</v>
      </c>
    </row>
    <row r="11952">
      <c r="A11952" s="6">
        <v>11950.0</v>
      </c>
      <c r="B11952" s="17">
        <f t="array" ref="B11952">SUM(1-'Sparkling Model'!D$2:D$38^A11952)</f>
        <v>36.99069826</v>
      </c>
      <c r="C11952" s="8">
        <f t="array" ref="C11952">PRODUCT(1-'Sparkling Model'!D$2:D$38^A11952)</f>
        <v>0.990728561</v>
      </c>
    </row>
    <row r="11953">
      <c r="A11953" s="6">
        <v>11951.0</v>
      </c>
      <c r="B11953" s="17">
        <f t="array" ref="B11953">SUM(1-'Sparkling Model'!D$2:D$38^A11953)</f>
        <v>36.99070289</v>
      </c>
      <c r="C11953" s="8">
        <f t="array" ref="C11953">PRODUCT(1-'Sparkling Model'!D$2:D$38^A11953)</f>
        <v>0.9907331572</v>
      </c>
    </row>
    <row r="11954">
      <c r="A11954" s="6">
        <v>11952.0</v>
      </c>
      <c r="B11954" s="17">
        <f t="array" ref="B11954">SUM(1-'Sparkling Model'!D$2:D$38^A11954)</f>
        <v>36.99070751</v>
      </c>
      <c r="C11954" s="8">
        <f t="array" ref="C11954">PRODUCT(1-'Sparkling Model'!D$2:D$38^A11954)</f>
        <v>0.990737751</v>
      </c>
    </row>
    <row r="11955">
      <c r="A11955" s="6">
        <v>11953.0</v>
      </c>
      <c r="B11955" s="17">
        <f t="array" ref="B11955">SUM(1-'Sparkling Model'!D$2:D$38^A11955)</f>
        <v>36.99071213</v>
      </c>
      <c r="C11955" s="8">
        <f t="array" ref="C11955">PRODUCT(1-'Sparkling Model'!D$2:D$38^A11955)</f>
        <v>0.9907423425</v>
      </c>
    </row>
    <row r="11956">
      <c r="A11956" s="6">
        <v>11954.0</v>
      </c>
      <c r="B11956" s="17">
        <f t="array" ref="B11956">SUM(1-'Sparkling Model'!D$2:D$38^A11956)</f>
        <v>36.99071675</v>
      </c>
      <c r="C11956" s="8">
        <f t="array" ref="C11956">PRODUCT(1-'Sparkling Model'!D$2:D$38^A11956)</f>
        <v>0.9907469318</v>
      </c>
    </row>
    <row r="11957">
      <c r="A11957" s="6">
        <v>11955.0</v>
      </c>
      <c r="B11957" s="17">
        <f t="array" ref="B11957">SUM(1-'Sparkling Model'!D$2:D$38^A11957)</f>
        <v>36.99072137</v>
      </c>
      <c r="C11957" s="8">
        <f t="array" ref="C11957">PRODUCT(1-'Sparkling Model'!D$2:D$38^A11957)</f>
        <v>0.9907515188</v>
      </c>
    </row>
    <row r="11958">
      <c r="A11958" s="6">
        <v>11956.0</v>
      </c>
      <c r="B11958" s="17">
        <f t="array" ref="B11958">SUM(1-'Sparkling Model'!D$2:D$38^A11958)</f>
        <v>36.99072598</v>
      </c>
      <c r="C11958" s="8">
        <f t="array" ref="C11958">PRODUCT(1-'Sparkling Model'!D$2:D$38^A11958)</f>
        <v>0.9907561035</v>
      </c>
    </row>
    <row r="11959">
      <c r="A11959" s="6">
        <v>11957.0</v>
      </c>
      <c r="B11959" s="17">
        <f t="array" ref="B11959">SUM(1-'Sparkling Model'!D$2:D$38^A11959)</f>
        <v>36.9907306</v>
      </c>
      <c r="C11959" s="8">
        <f t="array" ref="C11959">PRODUCT(1-'Sparkling Model'!D$2:D$38^A11959)</f>
        <v>0.9907606859</v>
      </c>
    </row>
    <row r="11960">
      <c r="A11960" s="6">
        <v>11958.0</v>
      </c>
      <c r="B11960" s="17">
        <f t="array" ref="B11960">SUM(1-'Sparkling Model'!D$2:D$38^A11960)</f>
        <v>36.99073521</v>
      </c>
      <c r="C11960" s="8">
        <f t="array" ref="C11960">PRODUCT(1-'Sparkling Model'!D$2:D$38^A11960)</f>
        <v>0.990765266</v>
      </c>
    </row>
    <row r="11961">
      <c r="A11961" s="6">
        <v>11959.0</v>
      </c>
      <c r="B11961" s="17">
        <f t="array" ref="B11961">SUM(1-'Sparkling Model'!D$2:D$38^A11961)</f>
        <v>36.99073982</v>
      </c>
      <c r="C11961" s="8">
        <f t="array" ref="C11961">PRODUCT(1-'Sparkling Model'!D$2:D$38^A11961)</f>
        <v>0.9907698439</v>
      </c>
    </row>
    <row r="11962">
      <c r="A11962" s="6">
        <v>11960.0</v>
      </c>
      <c r="B11962" s="17">
        <f t="array" ref="B11962">SUM(1-'Sparkling Model'!D$2:D$38^A11962)</f>
        <v>36.99074442</v>
      </c>
      <c r="C11962" s="8">
        <f t="array" ref="C11962">PRODUCT(1-'Sparkling Model'!D$2:D$38^A11962)</f>
        <v>0.9907744195</v>
      </c>
    </row>
    <row r="11963">
      <c r="A11963" s="6">
        <v>11961.0</v>
      </c>
      <c r="B11963" s="17">
        <f t="array" ref="B11963">SUM(1-'Sparkling Model'!D$2:D$38^A11963)</f>
        <v>36.99074902</v>
      </c>
      <c r="C11963" s="8">
        <f t="array" ref="C11963">PRODUCT(1-'Sparkling Model'!D$2:D$38^A11963)</f>
        <v>0.9907789928</v>
      </c>
    </row>
    <row r="11964">
      <c r="A11964" s="6">
        <v>11962.0</v>
      </c>
      <c r="B11964" s="17">
        <f t="array" ref="B11964">SUM(1-'Sparkling Model'!D$2:D$38^A11964)</f>
        <v>36.99075363</v>
      </c>
      <c r="C11964" s="8">
        <f t="array" ref="C11964">PRODUCT(1-'Sparkling Model'!D$2:D$38^A11964)</f>
        <v>0.9907835639</v>
      </c>
    </row>
    <row r="11965">
      <c r="A11965" s="6">
        <v>11963.0</v>
      </c>
      <c r="B11965" s="17">
        <f t="array" ref="B11965">SUM(1-'Sparkling Model'!D$2:D$38^A11965)</f>
        <v>36.99075822</v>
      </c>
      <c r="C11965" s="8">
        <f t="array" ref="C11965">PRODUCT(1-'Sparkling Model'!D$2:D$38^A11965)</f>
        <v>0.9907881326</v>
      </c>
    </row>
    <row r="11966">
      <c r="A11966" s="6">
        <v>11964.0</v>
      </c>
      <c r="B11966" s="17">
        <f t="array" ref="B11966">SUM(1-'Sparkling Model'!D$2:D$38^A11966)</f>
        <v>36.99076282</v>
      </c>
      <c r="C11966" s="8">
        <f t="array" ref="C11966">PRODUCT(1-'Sparkling Model'!D$2:D$38^A11966)</f>
        <v>0.9907926991</v>
      </c>
    </row>
    <row r="11967">
      <c r="A11967" s="6">
        <v>11965.0</v>
      </c>
      <c r="B11967" s="17">
        <f t="array" ref="B11967">SUM(1-'Sparkling Model'!D$2:D$38^A11967)</f>
        <v>36.99076741</v>
      </c>
      <c r="C11967" s="8">
        <f t="array" ref="C11967">PRODUCT(1-'Sparkling Model'!D$2:D$38^A11967)</f>
        <v>0.9907972633</v>
      </c>
    </row>
    <row r="11968">
      <c r="A11968" s="6">
        <v>11966.0</v>
      </c>
      <c r="B11968" s="17">
        <f t="array" ref="B11968">SUM(1-'Sparkling Model'!D$2:D$38^A11968)</f>
        <v>36.99077201</v>
      </c>
      <c r="C11968" s="8">
        <f t="array" ref="C11968">PRODUCT(1-'Sparkling Model'!D$2:D$38^A11968)</f>
        <v>0.9908018253</v>
      </c>
    </row>
    <row r="11969">
      <c r="A11969" s="6">
        <v>11967.0</v>
      </c>
      <c r="B11969" s="17">
        <f t="array" ref="B11969">SUM(1-'Sparkling Model'!D$2:D$38^A11969)</f>
        <v>36.9907766</v>
      </c>
      <c r="C11969" s="8">
        <f t="array" ref="C11969">PRODUCT(1-'Sparkling Model'!D$2:D$38^A11969)</f>
        <v>0.990806385</v>
      </c>
    </row>
    <row r="11970">
      <c r="A11970" s="6">
        <v>11968.0</v>
      </c>
      <c r="B11970" s="17">
        <f t="array" ref="B11970">SUM(1-'Sparkling Model'!D$2:D$38^A11970)</f>
        <v>36.99078118</v>
      </c>
      <c r="C11970" s="8">
        <f t="array" ref="C11970">PRODUCT(1-'Sparkling Model'!D$2:D$38^A11970)</f>
        <v>0.9908109424</v>
      </c>
    </row>
    <row r="11971">
      <c r="A11971" s="6">
        <v>11969.0</v>
      </c>
      <c r="B11971" s="17">
        <f t="array" ref="B11971">SUM(1-'Sparkling Model'!D$2:D$38^A11971)</f>
        <v>36.99078577</v>
      </c>
      <c r="C11971" s="8">
        <f t="array" ref="C11971">PRODUCT(1-'Sparkling Model'!D$2:D$38^A11971)</f>
        <v>0.9908154975</v>
      </c>
    </row>
    <row r="11972">
      <c r="A11972" s="6">
        <v>11970.0</v>
      </c>
      <c r="B11972" s="17">
        <f t="array" ref="B11972">SUM(1-'Sparkling Model'!D$2:D$38^A11972)</f>
        <v>36.99079035</v>
      </c>
      <c r="C11972" s="8">
        <f t="array" ref="C11972">PRODUCT(1-'Sparkling Model'!D$2:D$38^A11972)</f>
        <v>0.9908200504</v>
      </c>
    </row>
    <row r="11973">
      <c r="A11973" s="6">
        <v>11971.0</v>
      </c>
      <c r="B11973" s="17">
        <f t="array" ref="B11973">SUM(1-'Sparkling Model'!D$2:D$38^A11973)</f>
        <v>36.99079493</v>
      </c>
      <c r="C11973" s="8">
        <f t="array" ref="C11973">PRODUCT(1-'Sparkling Model'!D$2:D$38^A11973)</f>
        <v>0.9908246011</v>
      </c>
    </row>
    <row r="11974">
      <c r="A11974" s="6">
        <v>11972.0</v>
      </c>
      <c r="B11974" s="17">
        <f t="array" ref="B11974">SUM(1-'Sparkling Model'!D$2:D$38^A11974)</f>
        <v>36.99079951</v>
      </c>
      <c r="C11974" s="8">
        <f t="array" ref="C11974">PRODUCT(1-'Sparkling Model'!D$2:D$38^A11974)</f>
        <v>0.9908291494</v>
      </c>
    </row>
    <row r="11975">
      <c r="A11975" s="6">
        <v>11973.0</v>
      </c>
      <c r="B11975" s="17">
        <f t="array" ref="B11975">SUM(1-'Sparkling Model'!D$2:D$38^A11975)</f>
        <v>36.99080408</v>
      </c>
      <c r="C11975" s="8">
        <f t="array" ref="C11975">PRODUCT(1-'Sparkling Model'!D$2:D$38^A11975)</f>
        <v>0.9908336955</v>
      </c>
    </row>
    <row r="11976">
      <c r="A11976" s="6">
        <v>11974.0</v>
      </c>
      <c r="B11976" s="17">
        <f t="array" ref="B11976">SUM(1-'Sparkling Model'!D$2:D$38^A11976)</f>
        <v>36.99080866</v>
      </c>
      <c r="C11976" s="8">
        <f t="array" ref="C11976">PRODUCT(1-'Sparkling Model'!D$2:D$38^A11976)</f>
        <v>0.9908382394</v>
      </c>
    </row>
    <row r="11977">
      <c r="A11977" s="6">
        <v>11975.0</v>
      </c>
      <c r="B11977" s="17">
        <f t="array" ref="B11977">SUM(1-'Sparkling Model'!D$2:D$38^A11977)</f>
        <v>36.99081323</v>
      </c>
      <c r="C11977" s="8">
        <f t="array" ref="C11977">PRODUCT(1-'Sparkling Model'!D$2:D$38^A11977)</f>
        <v>0.9908427809</v>
      </c>
    </row>
    <row r="11978">
      <c r="A11978" s="6">
        <v>11976.0</v>
      </c>
      <c r="B11978" s="17">
        <f t="array" ref="B11978">SUM(1-'Sparkling Model'!D$2:D$38^A11978)</f>
        <v>36.9908178</v>
      </c>
      <c r="C11978" s="8">
        <f t="array" ref="C11978">PRODUCT(1-'Sparkling Model'!D$2:D$38^A11978)</f>
        <v>0.9908473203</v>
      </c>
    </row>
    <row r="11979">
      <c r="A11979" s="6">
        <v>11977.0</v>
      </c>
      <c r="B11979" s="17">
        <f t="array" ref="B11979">SUM(1-'Sparkling Model'!D$2:D$38^A11979)</f>
        <v>36.99082236</v>
      </c>
      <c r="C11979" s="8">
        <f t="array" ref="C11979">PRODUCT(1-'Sparkling Model'!D$2:D$38^A11979)</f>
        <v>0.9908518573</v>
      </c>
    </row>
    <row r="11980">
      <c r="A11980" s="6">
        <v>11978.0</v>
      </c>
      <c r="B11980" s="17">
        <f t="array" ref="B11980">SUM(1-'Sparkling Model'!D$2:D$38^A11980)</f>
        <v>36.99082693</v>
      </c>
      <c r="C11980" s="8">
        <f t="array" ref="C11980">PRODUCT(1-'Sparkling Model'!D$2:D$38^A11980)</f>
        <v>0.9908563921</v>
      </c>
    </row>
    <row r="11981">
      <c r="A11981" s="6">
        <v>11979.0</v>
      </c>
      <c r="B11981" s="17">
        <f t="array" ref="B11981">SUM(1-'Sparkling Model'!D$2:D$38^A11981)</f>
        <v>36.99083149</v>
      </c>
      <c r="C11981" s="8">
        <f t="array" ref="C11981">PRODUCT(1-'Sparkling Model'!D$2:D$38^A11981)</f>
        <v>0.9908609247</v>
      </c>
    </row>
    <row r="11982">
      <c r="A11982" s="6">
        <v>11980.0</v>
      </c>
      <c r="B11982" s="17">
        <f t="array" ref="B11982">SUM(1-'Sparkling Model'!D$2:D$38^A11982)</f>
        <v>36.99083605</v>
      </c>
      <c r="C11982" s="8">
        <f t="array" ref="C11982">PRODUCT(1-'Sparkling Model'!D$2:D$38^A11982)</f>
        <v>0.990865455</v>
      </c>
    </row>
    <row r="11983">
      <c r="A11983" s="6">
        <v>11981.0</v>
      </c>
      <c r="B11983" s="17">
        <f t="array" ref="B11983">SUM(1-'Sparkling Model'!D$2:D$38^A11983)</f>
        <v>36.99084061</v>
      </c>
      <c r="C11983" s="8">
        <f t="array" ref="C11983">PRODUCT(1-'Sparkling Model'!D$2:D$38^A11983)</f>
        <v>0.990869983</v>
      </c>
    </row>
    <row r="11984">
      <c r="A11984" s="6">
        <v>11982.0</v>
      </c>
      <c r="B11984" s="17">
        <f t="array" ref="B11984">SUM(1-'Sparkling Model'!D$2:D$38^A11984)</f>
        <v>36.99084516</v>
      </c>
      <c r="C11984" s="8">
        <f t="array" ref="C11984">PRODUCT(1-'Sparkling Model'!D$2:D$38^A11984)</f>
        <v>0.9908745088</v>
      </c>
    </row>
    <row r="11985">
      <c r="A11985" s="6">
        <v>11983.0</v>
      </c>
      <c r="B11985" s="17">
        <f t="array" ref="B11985">SUM(1-'Sparkling Model'!D$2:D$38^A11985)</f>
        <v>36.99084972</v>
      </c>
      <c r="C11985" s="8">
        <f t="array" ref="C11985">PRODUCT(1-'Sparkling Model'!D$2:D$38^A11985)</f>
        <v>0.9908790324</v>
      </c>
    </row>
    <row r="11986">
      <c r="A11986" s="6">
        <v>11984.0</v>
      </c>
      <c r="B11986" s="17">
        <f t="array" ref="B11986">SUM(1-'Sparkling Model'!D$2:D$38^A11986)</f>
        <v>36.99085427</v>
      </c>
      <c r="C11986" s="8">
        <f t="array" ref="C11986">PRODUCT(1-'Sparkling Model'!D$2:D$38^A11986)</f>
        <v>0.9908835537</v>
      </c>
    </row>
    <row r="11987">
      <c r="A11987" s="6">
        <v>11985.0</v>
      </c>
      <c r="B11987" s="17">
        <f t="array" ref="B11987">SUM(1-'Sparkling Model'!D$2:D$38^A11987)</f>
        <v>36.99085882</v>
      </c>
      <c r="C11987" s="8">
        <f t="array" ref="C11987">PRODUCT(1-'Sparkling Model'!D$2:D$38^A11987)</f>
        <v>0.9908880727</v>
      </c>
    </row>
    <row r="11988">
      <c r="A11988" s="6">
        <v>11986.0</v>
      </c>
      <c r="B11988" s="17">
        <f t="array" ref="B11988">SUM(1-'Sparkling Model'!D$2:D$38^A11988)</f>
        <v>36.99086336</v>
      </c>
      <c r="C11988" s="8">
        <f t="array" ref="C11988">PRODUCT(1-'Sparkling Model'!D$2:D$38^A11988)</f>
        <v>0.9908925895</v>
      </c>
    </row>
    <row r="11989">
      <c r="A11989" s="6">
        <v>11987.0</v>
      </c>
      <c r="B11989" s="17">
        <f t="array" ref="B11989">SUM(1-'Sparkling Model'!D$2:D$38^A11989)</f>
        <v>36.99086791</v>
      </c>
      <c r="C11989" s="8">
        <f t="array" ref="C11989">PRODUCT(1-'Sparkling Model'!D$2:D$38^A11989)</f>
        <v>0.9908971041</v>
      </c>
    </row>
    <row r="11990">
      <c r="A11990" s="6">
        <v>11988.0</v>
      </c>
      <c r="B11990" s="17">
        <f t="array" ref="B11990">SUM(1-'Sparkling Model'!D$2:D$38^A11990)</f>
        <v>36.99087245</v>
      </c>
      <c r="C11990" s="8">
        <f t="array" ref="C11990">PRODUCT(1-'Sparkling Model'!D$2:D$38^A11990)</f>
        <v>0.9909016164</v>
      </c>
    </row>
    <row r="11991">
      <c r="A11991" s="6">
        <v>11989.0</v>
      </c>
      <c r="B11991" s="17">
        <f t="array" ref="B11991">SUM(1-'Sparkling Model'!D$2:D$38^A11991)</f>
        <v>36.99087699</v>
      </c>
      <c r="C11991" s="8">
        <f t="array" ref="C11991">PRODUCT(1-'Sparkling Model'!D$2:D$38^A11991)</f>
        <v>0.9909061264</v>
      </c>
    </row>
    <row r="11992">
      <c r="A11992" s="6">
        <v>11990.0</v>
      </c>
      <c r="B11992" s="17">
        <f t="array" ref="B11992">SUM(1-'Sparkling Model'!D$2:D$38^A11992)</f>
        <v>36.99088152</v>
      </c>
      <c r="C11992" s="8">
        <f t="array" ref="C11992">PRODUCT(1-'Sparkling Model'!D$2:D$38^A11992)</f>
        <v>0.9909106343</v>
      </c>
    </row>
    <row r="11993">
      <c r="A11993" s="6">
        <v>11991.0</v>
      </c>
      <c r="B11993" s="17">
        <f t="array" ref="B11993">SUM(1-'Sparkling Model'!D$2:D$38^A11993)</f>
        <v>36.99088606</v>
      </c>
      <c r="C11993" s="8">
        <f t="array" ref="C11993">PRODUCT(1-'Sparkling Model'!D$2:D$38^A11993)</f>
        <v>0.9909151399</v>
      </c>
    </row>
    <row r="11994">
      <c r="A11994" s="6">
        <v>11992.0</v>
      </c>
      <c r="B11994" s="17">
        <f t="array" ref="B11994">SUM(1-'Sparkling Model'!D$2:D$38^A11994)</f>
        <v>36.99089059</v>
      </c>
      <c r="C11994" s="8">
        <f t="array" ref="C11994">PRODUCT(1-'Sparkling Model'!D$2:D$38^A11994)</f>
        <v>0.9909196432</v>
      </c>
    </row>
    <row r="11995">
      <c r="A11995" s="6">
        <v>11993.0</v>
      </c>
      <c r="B11995" s="17">
        <f t="array" ref="B11995">SUM(1-'Sparkling Model'!D$2:D$38^A11995)</f>
        <v>36.99089512</v>
      </c>
      <c r="C11995" s="8">
        <f t="array" ref="C11995">PRODUCT(1-'Sparkling Model'!D$2:D$38^A11995)</f>
        <v>0.9909241443</v>
      </c>
    </row>
    <row r="11996">
      <c r="A11996" s="6">
        <v>11994.0</v>
      </c>
      <c r="B11996" s="17">
        <f t="array" ref="B11996">SUM(1-'Sparkling Model'!D$2:D$38^A11996)</f>
        <v>36.99089965</v>
      </c>
      <c r="C11996" s="8">
        <f t="array" ref="C11996">PRODUCT(1-'Sparkling Model'!D$2:D$38^A11996)</f>
        <v>0.9909286432</v>
      </c>
    </row>
    <row r="11997">
      <c r="A11997" s="6">
        <v>11995.0</v>
      </c>
      <c r="B11997" s="17">
        <f t="array" ref="B11997">SUM(1-'Sparkling Model'!D$2:D$38^A11997)</f>
        <v>36.99090417</v>
      </c>
      <c r="C11997" s="8">
        <f t="array" ref="C11997">PRODUCT(1-'Sparkling Model'!D$2:D$38^A11997)</f>
        <v>0.9909331398</v>
      </c>
    </row>
    <row r="11998">
      <c r="A11998" s="6">
        <v>11996.0</v>
      </c>
      <c r="B11998" s="17">
        <f t="array" ref="B11998">SUM(1-'Sparkling Model'!D$2:D$38^A11998)</f>
        <v>36.9909087</v>
      </c>
      <c r="C11998" s="8">
        <f t="array" ref="C11998">PRODUCT(1-'Sparkling Model'!D$2:D$38^A11998)</f>
        <v>0.9909376342</v>
      </c>
    </row>
    <row r="11999">
      <c r="A11999" s="6">
        <v>11997.0</v>
      </c>
      <c r="B11999" s="17">
        <f t="array" ref="B11999">SUM(1-'Sparkling Model'!D$2:D$38^A11999)</f>
        <v>36.99091322</v>
      </c>
      <c r="C11999" s="8">
        <f t="array" ref="C11999">PRODUCT(1-'Sparkling Model'!D$2:D$38^A11999)</f>
        <v>0.9909421263</v>
      </c>
    </row>
    <row r="12000">
      <c r="A12000" s="6">
        <v>11998.0</v>
      </c>
      <c r="B12000" s="17">
        <f t="array" ref="B12000">SUM(1-'Sparkling Model'!D$2:D$38^A12000)</f>
        <v>36.99091774</v>
      </c>
      <c r="C12000" s="8">
        <f t="array" ref="C12000">PRODUCT(1-'Sparkling Model'!D$2:D$38^A12000)</f>
        <v>0.9909466163</v>
      </c>
    </row>
    <row r="12001">
      <c r="A12001" s="6">
        <v>11999.0</v>
      </c>
      <c r="B12001" s="17">
        <f t="array" ref="B12001">SUM(1-'Sparkling Model'!D$2:D$38^A12001)</f>
        <v>36.99092225</v>
      </c>
      <c r="C12001" s="8">
        <f t="array" ref="C12001">PRODUCT(1-'Sparkling Model'!D$2:D$38^A12001)</f>
        <v>0.990951104</v>
      </c>
    </row>
    <row r="12002">
      <c r="A12002" s="6">
        <v>12000.0</v>
      </c>
      <c r="B12002" s="17">
        <f t="array" ref="B12002">SUM(1-'Sparkling Model'!D$2:D$38^A12002)</f>
        <v>36.99092677</v>
      </c>
      <c r="C12002" s="8">
        <f t="array" ref="C12002">PRODUCT(1-'Sparkling Model'!D$2:D$38^A12002)</f>
        <v>0.9909555894</v>
      </c>
    </row>
    <row r="12003">
      <c r="A12003" s="6">
        <v>12001.0</v>
      </c>
      <c r="B12003" s="17">
        <f t="array" ref="B12003">SUM(1-'Sparkling Model'!D$2:D$38^A12003)</f>
        <v>36.99093128</v>
      </c>
      <c r="C12003" s="8">
        <f t="array" ref="C12003">PRODUCT(1-'Sparkling Model'!D$2:D$38^A12003)</f>
        <v>0.9909600726</v>
      </c>
    </row>
    <row r="12004">
      <c r="A12004" s="6">
        <v>12002.0</v>
      </c>
      <c r="B12004" s="17">
        <f t="array" ref="B12004">SUM(1-'Sparkling Model'!D$2:D$38^A12004)</f>
        <v>36.99093579</v>
      </c>
      <c r="C12004" s="8">
        <f t="array" ref="C12004">PRODUCT(1-'Sparkling Model'!D$2:D$38^A12004)</f>
        <v>0.9909645537</v>
      </c>
    </row>
    <row r="12005">
      <c r="A12005" s="6">
        <v>12003.0</v>
      </c>
      <c r="B12005" s="17">
        <f t="array" ref="B12005">SUM(1-'Sparkling Model'!D$2:D$38^A12005)</f>
        <v>36.9909403</v>
      </c>
      <c r="C12005" s="8">
        <f t="array" ref="C12005">PRODUCT(1-'Sparkling Model'!D$2:D$38^A12005)</f>
        <v>0.9909690324</v>
      </c>
    </row>
    <row r="12006">
      <c r="A12006" s="6">
        <v>12004.0</v>
      </c>
      <c r="B12006" s="17">
        <f t="array" ref="B12006">SUM(1-'Sparkling Model'!D$2:D$38^A12006)</f>
        <v>36.9909448</v>
      </c>
      <c r="C12006" s="8">
        <f t="array" ref="C12006">PRODUCT(1-'Sparkling Model'!D$2:D$38^A12006)</f>
        <v>0.990973509</v>
      </c>
    </row>
    <row r="12007">
      <c r="A12007" s="6">
        <v>12005.0</v>
      </c>
      <c r="B12007" s="17">
        <f t="array" ref="B12007">SUM(1-'Sparkling Model'!D$2:D$38^A12007)</f>
        <v>36.99094931</v>
      </c>
      <c r="C12007" s="8">
        <f t="array" ref="C12007">PRODUCT(1-'Sparkling Model'!D$2:D$38^A12007)</f>
        <v>0.9909779833</v>
      </c>
    </row>
    <row r="12008">
      <c r="A12008" s="6">
        <v>12006.0</v>
      </c>
      <c r="B12008" s="17">
        <f t="array" ref="B12008">SUM(1-'Sparkling Model'!D$2:D$38^A12008)</f>
        <v>36.99095381</v>
      </c>
      <c r="C12008" s="8">
        <f t="array" ref="C12008">PRODUCT(1-'Sparkling Model'!D$2:D$38^A12008)</f>
        <v>0.9909824554</v>
      </c>
    </row>
    <row r="12009">
      <c r="A12009" s="6">
        <v>12007.0</v>
      </c>
      <c r="B12009" s="17">
        <f t="array" ref="B12009">SUM(1-'Sparkling Model'!D$2:D$38^A12009)</f>
        <v>36.99095831</v>
      </c>
      <c r="C12009" s="8">
        <f t="array" ref="C12009">PRODUCT(1-'Sparkling Model'!D$2:D$38^A12009)</f>
        <v>0.9909869253</v>
      </c>
    </row>
    <row r="12010">
      <c r="A12010" s="6">
        <v>12008.0</v>
      </c>
      <c r="B12010" s="17">
        <f t="array" ref="B12010">SUM(1-'Sparkling Model'!D$2:D$38^A12010)</f>
        <v>36.9909628</v>
      </c>
      <c r="C12010" s="8">
        <f t="array" ref="C12010">PRODUCT(1-'Sparkling Model'!D$2:D$38^A12010)</f>
        <v>0.9909913929</v>
      </c>
    </row>
    <row r="12011">
      <c r="A12011" s="6">
        <v>12009.0</v>
      </c>
      <c r="B12011" s="17">
        <f t="array" ref="B12011">SUM(1-'Sparkling Model'!D$2:D$38^A12011)</f>
        <v>36.9909673</v>
      </c>
      <c r="C12011" s="8">
        <f t="array" ref="C12011">PRODUCT(1-'Sparkling Model'!D$2:D$38^A12011)</f>
        <v>0.9909958583</v>
      </c>
    </row>
    <row r="12012">
      <c r="A12012" s="6">
        <v>12010.0</v>
      </c>
      <c r="B12012" s="17">
        <f t="array" ref="B12012">SUM(1-'Sparkling Model'!D$2:D$38^A12012)</f>
        <v>36.99097179</v>
      </c>
      <c r="C12012" s="8">
        <f t="array" ref="C12012">PRODUCT(1-'Sparkling Model'!D$2:D$38^A12012)</f>
        <v>0.9910003215</v>
      </c>
    </row>
    <row r="12013">
      <c r="A12013" s="6">
        <v>12011.0</v>
      </c>
      <c r="B12013" s="17">
        <f t="array" ref="B12013">SUM(1-'Sparkling Model'!D$2:D$38^A12013)</f>
        <v>36.99097628</v>
      </c>
      <c r="C12013" s="8">
        <f t="array" ref="C12013">PRODUCT(1-'Sparkling Model'!D$2:D$38^A12013)</f>
        <v>0.9910047825</v>
      </c>
    </row>
    <row r="12014">
      <c r="A12014" s="6">
        <v>12012.0</v>
      </c>
      <c r="B12014" s="17">
        <f t="array" ref="B12014">SUM(1-'Sparkling Model'!D$2:D$38^A12014)</f>
        <v>36.99098076</v>
      </c>
      <c r="C12014" s="8">
        <f t="array" ref="C12014">PRODUCT(1-'Sparkling Model'!D$2:D$38^A12014)</f>
        <v>0.9910092413</v>
      </c>
    </row>
    <row r="12015">
      <c r="A12015" s="6">
        <v>12013.0</v>
      </c>
      <c r="B12015" s="17">
        <f t="array" ref="B12015">SUM(1-'Sparkling Model'!D$2:D$38^A12015)</f>
        <v>36.99098525</v>
      </c>
      <c r="C12015" s="8">
        <f t="array" ref="C12015">PRODUCT(1-'Sparkling Model'!D$2:D$38^A12015)</f>
        <v>0.9910136979</v>
      </c>
    </row>
    <row r="12016">
      <c r="A12016" s="6">
        <v>12014.0</v>
      </c>
      <c r="B12016" s="17">
        <f t="array" ref="B12016">SUM(1-'Sparkling Model'!D$2:D$38^A12016)</f>
        <v>36.99098973</v>
      </c>
      <c r="C12016" s="8">
        <f t="array" ref="C12016">PRODUCT(1-'Sparkling Model'!D$2:D$38^A12016)</f>
        <v>0.9910181522</v>
      </c>
    </row>
    <row r="12017">
      <c r="A12017" s="6">
        <v>12015.0</v>
      </c>
      <c r="B12017" s="17">
        <f t="array" ref="B12017">SUM(1-'Sparkling Model'!D$2:D$38^A12017)</f>
        <v>36.99099421</v>
      </c>
      <c r="C12017" s="8">
        <f t="array" ref="C12017">PRODUCT(1-'Sparkling Model'!D$2:D$38^A12017)</f>
        <v>0.9910226043</v>
      </c>
    </row>
    <row r="12018">
      <c r="A12018" s="6">
        <v>12016.0</v>
      </c>
      <c r="B12018" s="17">
        <f t="array" ref="B12018">SUM(1-'Sparkling Model'!D$2:D$38^A12018)</f>
        <v>36.99099869</v>
      </c>
      <c r="C12018" s="8">
        <f t="array" ref="C12018">PRODUCT(1-'Sparkling Model'!D$2:D$38^A12018)</f>
        <v>0.9910270542</v>
      </c>
    </row>
    <row r="12019">
      <c r="A12019" s="6">
        <v>12017.0</v>
      </c>
      <c r="B12019" s="17">
        <f t="array" ref="B12019">SUM(1-'Sparkling Model'!D$2:D$38^A12019)</f>
        <v>36.99100317</v>
      </c>
      <c r="C12019" s="8">
        <f t="array" ref="C12019">PRODUCT(1-'Sparkling Model'!D$2:D$38^A12019)</f>
        <v>0.9910315019</v>
      </c>
    </row>
    <row r="12020">
      <c r="A12020" s="6">
        <v>12018.0</v>
      </c>
      <c r="B12020" s="17">
        <f t="array" ref="B12020">SUM(1-'Sparkling Model'!D$2:D$38^A12020)</f>
        <v>36.99100764</v>
      </c>
      <c r="C12020" s="8">
        <f t="array" ref="C12020">PRODUCT(1-'Sparkling Model'!D$2:D$38^A12020)</f>
        <v>0.9910359474</v>
      </c>
    </row>
    <row r="12021">
      <c r="A12021" s="6">
        <v>12019.0</v>
      </c>
      <c r="B12021" s="17">
        <f t="array" ref="B12021">SUM(1-'Sparkling Model'!D$2:D$38^A12021)</f>
        <v>36.99101211</v>
      </c>
      <c r="C12021" s="8">
        <f t="array" ref="C12021">PRODUCT(1-'Sparkling Model'!D$2:D$38^A12021)</f>
        <v>0.9910403907</v>
      </c>
    </row>
    <row r="12022">
      <c r="A12022" s="6">
        <v>12020.0</v>
      </c>
      <c r="B12022" s="17">
        <f t="array" ref="B12022">SUM(1-'Sparkling Model'!D$2:D$38^A12022)</f>
        <v>36.99101658</v>
      </c>
      <c r="C12022" s="8">
        <f t="array" ref="C12022">PRODUCT(1-'Sparkling Model'!D$2:D$38^A12022)</f>
        <v>0.9910448317</v>
      </c>
    </row>
    <row r="12023">
      <c r="A12023" s="6">
        <v>12021.0</v>
      </c>
      <c r="B12023" s="17">
        <f t="array" ref="B12023">SUM(1-'Sparkling Model'!D$2:D$38^A12023)</f>
        <v>36.99102105</v>
      </c>
      <c r="C12023" s="8">
        <f t="array" ref="C12023">PRODUCT(1-'Sparkling Model'!D$2:D$38^A12023)</f>
        <v>0.9910492706</v>
      </c>
    </row>
    <row r="12024">
      <c r="A12024" s="6">
        <v>12022.0</v>
      </c>
      <c r="B12024" s="17">
        <f t="array" ref="B12024">SUM(1-'Sparkling Model'!D$2:D$38^A12024)</f>
        <v>36.99102551</v>
      </c>
      <c r="C12024" s="8">
        <f t="array" ref="C12024">PRODUCT(1-'Sparkling Model'!D$2:D$38^A12024)</f>
        <v>0.9910537073</v>
      </c>
    </row>
    <row r="12025">
      <c r="A12025" s="6">
        <v>12023.0</v>
      </c>
      <c r="B12025" s="17">
        <f t="array" ref="B12025">SUM(1-'Sparkling Model'!D$2:D$38^A12025)</f>
        <v>36.99102998</v>
      </c>
      <c r="C12025" s="8">
        <f t="array" ref="C12025">PRODUCT(1-'Sparkling Model'!D$2:D$38^A12025)</f>
        <v>0.9910581417</v>
      </c>
    </row>
    <row r="12026">
      <c r="A12026" s="6">
        <v>12024.0</v>
      </c>
      <c r="B12026" s="17">
        <f t="array" ref="B12026">SUM(1-'Sparkling Model'!D$2:D$38^A12026)</f>
        <v>36.99103444</v>
      </c>
      <c r="C12026" s="8">
        <f t="array" ref="C12026">PRODUCT(1-'Sparkling Model'!D$2:D$38^A12026)</f>
        <v>0.9910625739</v>
      </c>
    </row>
    <row r="12027">
      <c r="A12027" s="6">
        <v>12025.0</v>
      </c>
      <c r="B12027" s="17">
        <f t="array" ref="B12027">SUM(1-'Sparkling Model'!D$2:D$38^A12027)</f>
        <v>36.99103889</v>
      </c>
      <c r="C12027" s="8">
        <f t="array" ref="C12027">PRODUCT(1-'Sparkling Model'!D$2:D$38^A12027)</f>
        <v>0.991067004</v>
      </c>
    </row>
    <row r="12028">
      <c r="A12028" s="6">
        <v>12026.0</v>
      </c>
      <c r="B12028" s="17">
        <f t="array" ref="B12028">SUM(1-'Sparkling Model'!D$2:D$38^A12028)</f>
        <v>36.99104335</v>
      </c>
      <c r="C12028" s="8">
        <f t="array" ref="C12028">PRODUCT(1-'Sparkling Model'!D$2:D$38^A12028)</f>
        <v>0.9910714318</v>
      </c>
    </row>
    <row r="12029">
      <c r="A12029" s="6">
        <v>12027.0</v>
      </c>
      <c r="B12029" s="17">
        <f t="array" ref="B12029">SUM(1-'Sparkling Model'!D$2:D$38^A12029)</f>
        <v>36.9910478</v>
      </c>
      <c r="C12029" s="8">
        <f t="array" ref="C12029">PRODUCT(1-'Sparkling Model'!D$2:D$38^A12029)</f>
        <v>0.9910758574</v>
      </c>
    </row>
    <row r="12030">
      <c r="A12030" s="6">
        <v>12028.0</v>
      </c>
      <c r="B12030" s="17">
        <f t="array" ref="B12030">SUM(1-'Sparkling Model'!D$2:D$38^A12030)</f>
        <v>36.99105226</v>
      </c>
      <c r="C12030" s="8">
        <f t="array" ref="C12030">PRODUCT(1-'Sparkling Model'!D$2:D$38^A12030)</f>
        <v>0.9910802809</v>
      </c>
    </row>
    <row r="12031">
      <c r="A12031" s="6">
        <v>12029.0</v>
      </c>
      <c r="B12031" s="17">
        <f t="array" ref="B12031">SUM(1-'Sparkling Model'!D$2:D$38^A12031)</f>
        <v>36.9910567</v>
      </c>
      <c r="C12031" s="8">
        <f t="array" ref="C12031">PRODUCT(1-'Sparkling Model'!D$2:D$38^A12031)</f>
        <v>0.9910847021</v>
      </c>
    </row>
    <row r="12032">
      <c r="A12032" s="6">
        <v>12030.0</v>
      </c>
      <c r="B12032" s="17">
        <f t="array" ref="B12032">SUM(1-'Sparkling Model'!D$2:D$38^A12032)</f>
        <v>36.99106115</v>
      </c>
      <c r="C12032" s="8">
        <f t="array" ref="C12032">PRODUCT(1-'Sparkling Model'!D$2:D$38^A12032)</f>
        <v>0.9910891211</v>
      </c>
    </row>
    <row r="12033">
      <c r="A12033" s="6">
        <v>12031.0</v>
      </c>
      <c r="B12033" s="17">
        <f t="array" ref="B12033">SUM(1-'Sparkling Model'!D$2:D$38^A12033)</f>
        <v>36.9910656</v>
      </c>
      <c r="C12033" s="8">
        <f t="array" ref="C12033">PRODUCT(1-'Sparkling Model'!D$2:D$38^A12033)</f>
        <v>0.991093538</v>
      </c>
    </row>
    <row r="12034">
      <c r="A12034" s="6">
        <v>12032.0</v>
      </c>
      <c r="B12034" s="17">
        <f t="array" ref="B12034">SUM(1-'Sparkling Model'!D$2:D$38^A12034)</f>
        <v>36.99107004</v>
      </c>
      <c r="C12034" s="8">
        <f t="array" ref="C12034">PRODUCT(1-'Sparkling Model'!D$2:D$38^A12034)</f>
        <v>0.9910979526</v>
      </c>
    </row>
    <row r="12035">
      <c r="A12035" s="6">
        <v>12033.0</v>
      </c>
      <c r="B12035" s="17">
        <f t="array" ref="B12035">SUM(1-'Sparkling Model'!D$2:D$38^A12035)</f>
        <v>36.99107448</v>
      </c>
      <c r="C12035" s="8">
        <f t="array" ref="C12035">PRODUCT(1-'Sparkling Model'!D$2:D$38^A12035)</f>
        <v>0.9911023651</v>
      </c>
    </row>
    <row r="12036">
      <c r="A12036" s="6">
        <v>12034.0</v>
      </c>
      <c r="B12036" s="17">
        <f t="array" ref="B12036">SUM(1-'Sparkling Model'!D$2:D$38^A12036)</f>
        <v>36.99107892</v>
      </c>
      <c r="C12036" s="8">
        <f t="array" ref="C12036">PRODUCT(1-'Sparkling Model'!D$2:D$38^A12036)</f>
        <v>0.9911067753</v>
      </c>
    </row>
    <row r="12037">
      <c r="A12037" s="6">
        <v>12035.0</v>
      </c>
      <c r="B12037" s="17">
        <f t="array" ref="B12037">SUM(1-'Sparkling Model'!D$2:D$38^A12037)</f>
        <v>36.99108335</v>
      </c>
      <c r="C12037" s="8">
        <f t="array" ref="C12037">PRODUCT(1-'Sparkling Model'!D$2:D$38^A12037)</f>
        <v>0.9911111834</v>
      </c>
    </row>
    <row r="12038">
      <c r="A12038" s="6">
        <v>12036.0</v>
      </c>
      <c r="B12038" s="17">
        <f t="array" ref="B12038">SUM(1-'Sparkling Model'!D$2:D$38^A12038)</f>
        <v>36.99108779</v>
      </c>
      <c r="C12038" s="8">
        <f t="array" ref="C12038">PRODUCT(1-'Sparkling Model'!D$2:D$38^A12038)</f>
        <v>0.9911155892</v>
      </c>
    </row>
    <row r="12039">
      <c r="A12039" s="6">
        <v>12037.0</v>
      </c>
      <c r="B12039" s="17">
        <f t="array" ref="B12039">SUM(1-'Sparkling Model'!D$2:D$38^A12039)</f>
        <v>36.99109222</v>
      </c>
      <c r="C12039" s="8">
        <f t="array" ref="C12039">PRODUCT(1-'Sparkling Model'!D$2:D$38^A12039)</f>
        <v>0.9911199929</v>
      </c>
    </row>
    <row r="12040">
      <c r="A12040" s="6">
        <v>12038.0</v>
      </c>
      <c r="B12040" s="17">
        <f t="array" ref="B12040">SUM(1-'Sparkling Model'!D$2:D$38^A12040)</f>
        <v>36.99109665</v>
      </c>
      <c r="C12040" s="8">
        <f t="array" ref="C12040">PRODUCT(1-'Sparkling Model'!D$2:D$38^A12040)</f>
        <v>0.9911243944</v>
      </c>
    </row>
    <row r="12041">
      <c r="A12041" s="6">
        <v>12039.0</v>
      </c>
      <c r="B12041" s="17">
        <f t="array" ref="B12041">SUM(1-'Sparkling Model'!D$2:D$38^A12041)</f>
        <v>36.99110108</v>
      </c>
      <c r="C12041" s="8">
        <f t="array" ref="C12041">PRODUCT(1-'Sparkling Model'!D$2:D$38^A12041)</f>
        <v>0.9911287937</v>
      </c>
    </row>
    <row r="12042">
      <c r="A12042" s="6">
        <v>12040.0</v>
      </c>
      <c r="B12042" s="17">
        <f t="array" ref="B12042">SUM(1-'Sparkling Model'!D$2:D$38^A12042)</f>
        <v>36.9911055</v>
      </c>
      <c r="C12042" s="8">
        <f t="array" ref="C12042">PRODUCT(1-'Sparkling Model'!D$2:D$38^A12042)</f>
        <v>0.9911331908</v>
      </c>
    </row>
    <row r="12043">
      <c r="A12043" s="6">
        <v>12041.0</v>
      </c>
      <c r="B12043" s="17">
        <f t="array" ref="B12043">SUM(1-'Sparkling Model'!D$2:D$38^A12043)</f>
        <v>36.99110992</v>
      </c>
      <c r="C12043" s="8">
        <f t="array" ref="C12043">PRODUCT(1-'Sparkling Model'!D$2:D$38^A12043)</f>
        <v>0.9911375858</v>
      </c>
    </row>
    <row r="12044">
      <c r="A12044" s="6">
        <v>12042.0</v>
      </c>
      <c r="B12044" s="17">
        <f t="array" ref="B12044">SUM(1-'Sparkling Model'!D$2:D$38^A12044)</f>
        <v>36.99111434</v>
      </c>
      <c r="C12044" s="8">
        <f t="array" ref="C12044">PRODUCT(1-'Sparkling Model'!D$2:D$38^A12044)</f>
        <v>0.9911419785</v>
      </c>
    </row>
    <row r="12045">
      <c r="A12045" s="6">
        <v>12043.0</v>
      </c>
      <c r="B12045" s="17">
        <f t="array" ref="B12045">SUM(1-'Sparkling Model'!D$2:D$38^A12045)</f>
        <v>36.99111876</v>
      </c>
      <c r="C12045" s="8">
        <f t="array" ref="C12045">PRODUCT(1-'Sparkling Model'!D$2:D$38^A12045)</f>
        <v>0.9911463691</v>
      </c>
    </row>
    <row r="12046">
      <c r="A12046" s="6">
        <v>12044.0</v>
      </c>
      <c r="B12046" s="17">
        <f t="array" ref="B12046">SUM(1-'Sparkling Model'!D$2:D$38^A12046)</f>
        <v>36.99112318</v>
      </c>
      <c r="C12046" s="8">
        <f t="array" ref="C12046">PRODUCT(1-'Sparkling Model'!D$2:D$38^A12046)</f>
        <v>0.9911507574</v>
      </c>
    </row>
    <row r="12047">
      <c r="A12047" s="6">
        <v>12045.0</v>
      </c>
      <c r="B12047" s="17">
        <f t="array" ref="B12047">SUM(1-'Sparkling Model'!D$2:D$38^A12047)</f>
        <v>36.99112759</v>
      </c>
      <c r="C12047" s="8">
        <f t="array" ref="C12047">PRODUCT(1-'Sparkling Model'!D$2:D$38^A12047)</f>
        <v>0.9911551436</v>
      </c>
    </row>
    <row r="12048">
      <c r="A12048" s="6">
        <v>12046.0</v>
      </c>
      <c r="B12048" s="17">
        <f t="array" ref="B12048">SUM(1-'Sparkling Model'!D$2:D$38^A12048)</f>
        <v>36.991132</v>
      </c>
      <c r="C12048" s="8">
        <f t="array" ref="C12048">PRODUCT(1-'Sparkling Model'!D$2:D$38^A12048)</f>
        <v>0.9911595276</v>
      </c>
    </row>
    <row r="12049">
      <c r="A12049" s="6">
        <v>12047.0</v>
      </c>
      <c r="B12049" s="17">
        <f t="array" ref="B12049">SUM(1-'Sparkling Model'!D$2:D$38^A12049)</f>
        <v>36.99113641</v>
      </c>
      <c r="C12049" s="8">
        <f t="array" ref="C12049">PRODUCT(1-'Sparkling Model'!D$2:D$38^A12049)</f>
        <v>0.9911639095</v>
      </c>
    </row>
    <row r="12050">
      <c r="A12050" s="6">
        <v>12048.0</v>
      </c>
      <c r="B12050" s="17">
        <f t="array" ref="B12050">SUM(1-'Sparkling Model'!D$2:D$38^A12050)</f>
        <v>36.99114082</v>
      </c>
      <c r="C12050" s="8">
        <f t="array" ref="C12050">PRODUCT(1-'Sparkling Model'!D$2:D$38^A12050)</f>
        <v>0.9911682891</v>
      </c>
    </row>
    <row r="12051">
      <c r="A12051" s="6">
        <v>12049.0</v>
      </c>
      <c r="B12051" s="17">
        <f t="array" ref="B12051">SUM(1-'Sparkling Model'!D$2:D$38^A12051)</f>
        <v>36.99114522</v>
      </c>
      <c r="C12051" s="8">
        <f t="array" ref="C12051">PRODUCT(1-'Sparkling Model'!D$2:D$38^A12051)</f>
        <v>0.9911726666</v>
      </c>
    </row>
    <row r="12052">
      <c r="A12052" s="6">
        <v>12050.0</v>
      </c>
      <c r="B12052" s="17">
        <f t="array" ref="B12052">SUM(1-'Sparkling Model'!D$2:D$38^A12052)</f>
        <v>36.99114963</v>
      </c>
      <c r="C12052" s="8">
        <f t="array" ref="C12052">PRODUCT(1-'Sparkling Model'!D$2:D$38^A12052)</f>
        <v>0.9911770419</v>
      </c>
    </row>
    <row r="12053">
      <c r="A12053" s="6">
        <v>12051.0</v>
      </c>
      <c r="B12053" s="17">
        <f t="array" ref="B12053">SUM(1-'Sparkling Model'!D$2:D$38^A12053)</f>
        <v>36.99115403</v>
      </c>
      <c r="C12053" s="8">
        <f t="array" ref="C12053">PRODUCT(1-'Sparkling Model'!D$2:D$38^A12053)</f>
        <v>0.991181415</v>
      </c>
    </row>
    <row r="12054">
      <c r="A12054" s="6">
        <v>12052.0</v>
      </c>
      <c r="B12054" s="17">
        <f t="array" ref="B12054">SUM(1-'Sparkling Model'!D$2:D$38^A12054)</f>
        <v>36.99115843</v>
      </c>
      <c r="C12054" s="8">
        <f t="array" ref="C12054">PRODUCT(1-'Sparkling Model'!D$2:D$38^A12054)</f>
        <v>0.991185786</v>
      </c>
    </row>
    <row r="12055">
      <c r="A12055" s="6">
        <v>12053.0</v>
      </c>
      <c r="B12055" s="17">
        <f t="array" ref="B12055">SUM(1-'Sparkling Model'!D$2:D$38^A12055)</f>
        <v>36.99116282</v>
      </c>
      <c r="C12055" s="8">
        <f t="array" ref="C12055">PRODUCT(1-'Sparkling Model'!D$2:D$38^A12055)</f>
        <v>0.9911901547</v>
      </c>
    </row>
    <row r="12056">
      <c r="A12056" s="6">
        <v>12054.0</v>
      </c>
      <c r="B12056" s="17">
        <f t="array" ref="B12056">SUM(1-'Sparkling Model'!D$2:D$38^A12056)</f>
        <v>36.99116722</v>
      </c>
      <c r="C12056" s="8">
        <f t="array" ref="C12056">PRODUCT(1-'Sparkling Model'!D$2:D$38^A12056)</f>
        <v>0.9911945213</v>
      </c>
    </row>
    <row r="12057">
      <c r="A12057" s="6">
        <v>12055.0</v>
      </c>
      <c r="B12057" s="17">
        <f t="array" ref="B12057">SUM(1-'Sparkling Model'!D$2:D$38^A12057)</f>
        <v>36.99117161</v>
      </c>
      <c r="C12057" s="8">
        <f t="array" ref="C12057">PRODUCT(1-'Sparkling Model'!D$2:D$38^A12057)</f>
        <v>0.9911988858</v>
      </c>
    </row>
    <row r="12058">
      <c r="A12058" s="6">
        <v>12056.0</v>
      </c>
      <c r="B12058" s="17">
        <f t="array" ref="B12058">SUM(1-'Sparkling Model'!D$2:D$38^A12058)</f>
        <v>36.991176</v>
      </c>
      <c r="C12058" s="8">
        <f t="array" ref="C12058">PRODUCT(1-'Sparkling Model'!D$2:D$38^A12058)</f>
        <v>0.991203248</v>
      </c>
    </row>
    <row r="12059">
      <c r="A12059" s="6">
        <v>12057.0</v>
      </c>
      <c r="B12059" s="17">
        <f t="array" ref="B12059">SUM(1-'Sparkling Model'!D$2:D$38^A12059)</f>
        <v>36.99118038</v>
      </c>
      <c r="C12059" s="8">
        <f t="array" ref="C12059">PRODUCT(1-'Sparkling Model'!D$2:D$38^A12059)</f>
        <v>0.9912076081</v>
      </c>
    </row>
    <row r="12060">
      <c r="A12060" s="6">
        <v>12058.0</v>
      </c>
      <c r="B12060" s="17">
        <f t="array" ref="B12060">SUM(1-'Sparkling Model'!D$2:D$38^A12060)</f>
        <v>36.99118477</v>
      </c>
      <c r="C12060" s="8">
        <f t="array" ref="C12060">PRODUCT(1-'Sparkling Model'!D$2:D$38^A12060)</f>
        <v>0.9912119661</v>
      </c>
    </row>
    <row r="12061">
      <c r="A12061" s="6">
        <v>12059.0</v>
      </c>
      <c r="B12061" s="17">
        <f t="array" ref="B12061">SUM(1-'Sparkling Model'!D$2:D$38^A12061)</f>
        <v>36.99118915</v>
      </c>
      <c r="C12061" s="8">
        <f t="array" ref="C12061">PRODUCT(1-'Sparkling Model'!D$2:D$38^A12061)</f>
        <v>0.9912163218</v>
      </c>
    </row>
    <row r="12062">
      <c r="A12062" s="6">
        <v>12060.0</v>
      </c>
      <c r="B12062" s="17">
        <f t="array" ref="B12062">SUM(1-'Sparkling Model'!D$2:D$38^A12062)</f>
        <v>36.99119353</v>
      </c>
      <c r="C12062" s="8">
        <f t="array" ref="C12062">PRODUCT(1-'Sparkling Model'!D$2:D$38^A12062)</f>
        <v>0.9912206754</v>
      </c>
    </row>
    <row r="12063">
      <c r="A12063" s="6">
        <v>12061.0</v>
      </c>
      <c r="B12063" s="17">
        <f t="array" ref="B12063">SUM(1-'Sparkling Model'!D$2:D$38^A12063)</f>
        <v>36.99119791</v>
      </c>
      <c r="C12063" s="8">
        <f t="array" ref="C12063">PRODUCT(1-'Sparkling Model'!D$2:D$38^A12063)</f>
        <v>0.9912250268</v>
      </c>
    </row>
    <row r="12064">
      <c r="A12064" s="6">
        <v>12062.0</v>
      </c>
      <c r="B12064" s="17">
        <f t="array" ref="B12064">SUM(1-'Sparkling Model'!D$2:D$38^A12064)</f>
        <v>36.99120229</v>
      </c>
      <c r="C12064" s="8">
        <f t="array" ref="C12064">PRODUCT(1-'Sparkling Model'!D$2:D$38^A12064)</f>
        <v>0.9912293761</v>
      </c>
    </row>
    <row r="12065">
      <c r="A12065" s="6">
        <v>12063.0</v>
      </c>
      <c r="B12065" s="17">
        <f t="array" ref="B12065">SUM(1-'Sparkling Model'!D$2:D$38^A12065)</f>
        <v>36.99120666</v>
      </c>
      <c r="C12065" s="8">
        <f t="array" ref="C12065">PRODUCT(1-'Sparkling Model'!D$2:D$38^A12065)</f>
        <v>0.9912337232</v>
      </c>
    </row>
    <row r="12066">
      <c r="A12066" s="6">
        <v>12064.0</v>
      </c>
      <c r="B12066" s="17">
        <f t="array" ref="B12066">SUM(1-'Sparkling Model'!D$2:D$38^A12066)</f>
        <v>36.99121103</v>
      </c>
      <c r="C12066" s="8">
        <f t="array" ref="C12066">PRODUCT(1-'Sparkling Model'!D$2:D$38^A12066)</f>
        <v>0.9912380682</v>
      </c>
    </row>
    <row r="12067">
      <c r="A12067" s="6">
        <v>12065.0</v>
      </c>
      <c r="B12067" s="17">
        <f t="array" ref="B12067">SUM(1-'Sparkling Model'!D$2:D$38^A12067)</f>
        <v>36.9912154</v>
      </c>
      <c r="C12067" s="8">
        <f t="array" ref="C12067">PRODUCT(1-'Sparkling Model'!D$2:D$38^A12067)</f>
        <v>0.9912424109</v>
      </c>
    </row>
    <row r="12068">
      <c r="A12068" s="6">
        <v>12066.0</v>
      </c>
      <c r="B12068" s="17">
        <f t="array" ref="B12068">SUM(1-'Sparkling Model'!D$2:D$38^A12068)</f>
        <v>36.99121977</v>
      </c>
      <c r="C12068" s="8">
        <f t="array" ref="C12068">PRODUCT(1-'Sparkling Model'!D$2:D$38^A12068)</f>
        <v>0.9912467516</v>
      </c>
    </row>
    <row r="12069">
      <c r="A12069" s="6">
        <v>12067.0</v>
      </c>
      <c r="B12069" s="17">
        <f t="array" ref="B12069">SUM(1-'Sparkling Model'!D$2:D$38^A12069)</f>
        <v>36.99122414</v>
      </c>
      <c r="C12069" s="8">
        <f t="array" ref="C12069">PRODUCT(1-'Sparkling Model'!D$2:D$38^A12069)</f>
        <v>0.99125109</v>
      </c>
    </row>
    <row r="12070">
      <c r="A12070" s="6">
        <v>12068.0</v>
      </c>
      <c r="B12070" s="17">
        <f t="array" ref="B12070">SUM(1-'Sparkling Model'!D$2:D$38^A12070)</f>
        <v>36.9912285</v>
      </c>
      <c r="C12070" s="8">
        <f t="array" ref="C12070">PRODUCT(1-'Sparkling Model'!D$2:D$38^A12070)</f>
        <v>0.9912554263</v>
      </c>
    </row>
    <row r="12071">
      <c r="A12071" s="6">
        <v>12069.0</v>
      </c>
      <c r="B12071" s="17">
        <f t="array" ref="B12071">SUM(1-'Sparkling Model'!D$2:D$38^A12071)</f>
        <v>36.99123286</v>
      </c>
      <c r="C12071" s="8">
        <f t="array" ref="C12071">PRODUCT(1-'Sparkling Model'!D$2:D$38^A12071)</f>
        <v>0.9912597605</v>
      </c>
    </row>
    <row r="12072">
      <c r="A12072" s="6">
        <v>12070.0</v>
      </c>
      <c r="B12072" s="17">
        <f t="array" ref="B12072">SUM(1-'Sparkling Model'!D$2:D$38^A12072)</f>
        <v>36.99123722</v>
      </c>
      <c r="C12072" s="8">
        <f t="array" ref="C12072">PRODUCT(1-'Sparkling Model'!D$2:D$38^A12072)</f>
        <v>0.9912640925</v>
      </c>
    </row>
    <row r="12073">
      <c r="A12073" s="6">
        <v>12071.0</v>
      </c>
      <c r="B12073" s="17">
        <f t="array" ref="B12073">SUM(1-'Sparkling Model'!D$2:D$38^A12073)</f>
        <v>36.99124158</v>
      </c>
      <c r="C12073" s="8">
        <f t="array" ref="C12073">PRODUCT(1-'Sparkling Model'!D$2:D$38^A12073)</f>
        <v>0.9912684223</v>
      </c>
    </row>
    <row r="12074">
      <c r="A12074" s="6">
        <v>12072.0</v>
      </c>
      <c r="B12074" s="17">
        <f t="array" ref="B12074">SUM(1-'Sparkling Model'!D$2:D$38^A12074)</f>
        <v>36.99124593</v>
      </c>
      <c r="C12074" s="8">
        <f t="array" ref="C12074">PRODUCT(1-'Sparkling Model'!D$2:D$38^A12074)</f>
        <v>0.99127275</v>
      </c>
    </row>
    <row r="12075">
      <c r="A12075" s="6">
        <v>12073.0</v>
      </c>
      <c r="B12075" s="17">
        <f t="array" ref="B12075">SUM(1-'Sparkling Model'!D$2:D$38^A12075)</f>
        <v>36.99125028</v>
      </c>
      <c r="C12075" s="8">
        <f t="array" ref="C12075">PRODUCT(1-'Sparkling Model'!D$2:D$38^A12075)</f>
        <v>0.9912770756</v>
      </c>
    </row>
    <row r="12076">
      <c r="A12076" s="6">
        <v>12074.0</v>
      </c>
      <c r="B12076" s="17">
        <f t="array" ref="B12076">SUM(1-'Sparkling Model'!D$2:D$38^A12076)</f>
        <v>36.99125463</v>
      </c>
      <c r="C12076" s="8">
        <f t="array" ref="C12076">PRODUCT(1-'Sparkling Model'!D$2:D$38^A12076)</f>
        <v>0.991281399</v>
      </c>
    </row>
    <row r="12077">
      <c r="A12077" s="6">
        <v>12075.0</v>
      </c>
      <c r="B12077" s="17">
        <f t="array" ref="B12077">SUM(1-'Sparkling Model'!D$2:D$38^A12077)</f>
        <v>36.99125898</v>
      </c>
      <c r="C12077" s="8">
        <f t="array" ref="C12077">PRODUCT(1-'Sparkling Model'!D$2:D$38^A12077)</f>
        <v>0.9912857202</v>
      </c>
    </row>
    <row r="12078">
      <c r="A12078" s="6">
        <v>12076.0</v>
      </c>
      <c r="B12078" s="17">
        <f t="array" ref="B12078">SUM(1-'Sparkling Model'!D$2:D$38^A12078)</f>
        <v>36.99126333</v>
      </c>
      <c r="C12078" s="8">
        <f t="array" ref="C12078">PRODUCT(1-'Sparkling Model'!D$2:D$38^A12078)</f>
        <v>0.9912900393</v>
      </c>
    </row>
    <row r="12079">
      <c r="A12079" s="6">
        <v>12077.0</v>
      </c>
      <c r="B12079" s="17">
        <f t="array" ref="B12079">SUM(1-'Sparkling Model'!D$2:D$38^A12079)</f>
        <v>36.99126767</v>
      </c>
      <c r="C12079" s="8">
        <f t="array" ref="C12079">PRODUCT(1-'Sparkling Model'!D$2:D$38^A12079)</f>
        <v>0.9912943562</v>
      </c>
    </row>
    <row r="12080">
      <c r="A12080" s="6">
        <v>12078.0</v>
      </c>
      <c r="B12080" s="17">
        <f t="array" ref="B12080">SUM(1-'Sparkling Model'!D$2:D$38^A12080)</f>
        <v>36.99127201</v>
      </c>
      <c r="C12080" s="8">
        <f t="array" ref="C12080">PRODUCT(1-'Sparkling Model'!D$2:D$38^A12080)</f>
        <v>0.991298671</v>
      </c>
    </row>
    <row r="12081">
      <c r="A12081" s="6">
        <v>12079.0</v>
      </c>
      <c r="B12081" s="17">
        <f t="array" ref="B12081">SUM(1-'Sparkling Model'!D$2:D$38^A12081)</f>
        <v>36.99127635</v>
      </c>
      <c r="C12081" s="8">
        <f t="array" ref="C12081">PRODUCT(1-'Sparkling Model'!D$2:D$38^A12081)</f>
        <v>0.9913029837</v>
      </c>
    </row>
    <row r="12082">
      <c r="A12082" s="6">
        <v>12080.0</v>
      </c>
      <c r="B12082" s="17">
        <f t="array" ref="B12082">SUM(1-'Sparkling Model'!D$2:D$38^A12082)</f>
        <v>36.99128069</v>
      </c>
      <c r="C12082" s="8">
        <f t="array" ref="C12082">PRODUCT(1-'Sparkling Model'!D$2:D$38^A12082)</f>
        <v>0.9913072942</v>
      </c>
    </row>
    <row r="12083">
      <c r="A12083" s="6">
        <v>12081.0</v>
      </c>
      <c r="B12083" s="17">
        <f t="array" ref="B12083">SUM(1-'Sparkling Model'!D$2:D$38^A12083)</f>
        <v>36.99128502</v>
      </c>
      <c r="C12083" s="8">
        <f t="array" ref="C12083">PRODUCT(1-'Sparkling Model'!D$2:D$38^A12083)</f>
        <v>0.9913116026</v>
      </c>
    </row>
    <row r="12084">
      <c r="A12084" s="6">
        <v>12082.0</v>
      </c>
      <c r="B12084" s="17">
        <f t="array" ref="B12084">SUM(1-'Sparkling Model'!D$2:D$38^A12084)</f>
        <v>36.99128936</v>
      </c>
      <c r="C12084" s="8">
        <f t="array" ref="C12084">PRODUCT(1-'Sparkling Model'!D$2:D$38^A12084)</f>
        <v>0.9913159088</v>
      </c>
    </row>
    <row r="12085">
      <c r="A12085" s="6">
        <v>12083.0</v>
      </c>
      <c r="B12085" s="17">
        <f t="array" ref="B12085">SUM(1-'Sparkling Model'!D$2:D$38^A12085)</f>
        <v>36.99129369</v>
      </c>
      <c r="C12085" s="8">
        <f t="array" ref="C12085">PRODUCT(1-'Sparkling Model'!D$2:D$38^A12085)</f>
        <v>0.9913202129</v>
      </c>
    </row>
    <row r="12086">
      <c r="A12086" s="6">
        <v>12084.0</v>
      </c>
      <c r="B12086" s="17">
        <f t="array" ref="B12086">SUM(1-'Sparkling Model'!D$2:D$38^A12086)</f>
        <v>36.99129802</v>
      </c>
      <c r="C12086" s="8">
        <f t="array" ref="C12086">PRODUCT(1-'Sparkling Model'!D$2:D$38^A12086)</f>
        <v>0.9913245148</v>
      </c>
    </row>
    <row r="12087">
      <c r="A12087" s="6">
        <v>12085.0</v>
      </c>
      <c r="B12087" s="17">
        <f t="array" ref="B12087">SUM(1-'Sparkling Model'!D$2:D$38^A12087)</f>
        <v>36.99130234</v>
      </c>
      <c r="C12087" s="8">
        <f t="array" ref="C12087">PRODUCT(1-'Sparkling Model'!D$2:D$38^A12087)</f>
        <v>0.9913288146</v>
      </c>
    </row>
    <row r="12088">
      <c r="A12088" s="6">
        <v>12086.0</v>
      </c>
      <c r="B12088" s="17">
        <f t="array" ref="B12088">SUM(1-'Sparkling Model'!D$2:D$38^A12088)</f>
        <v>36.99130667</v>
      </c>
      <c r="C12088" s="8">
        <f t="array" ref="C12088">PRODUCT(1-'Sparkling Model'!D$2:D$38^A12088)</f>
        <v>0.9913331123</v>
      </c>
    </row>
    <row r="12089">
      <c r="A12089" s="6">
        <v>12087.0</v>
      </c>
      <c r="B12089" s="17">
        <f t="array" ref="B12089">SUM(1-'Sparkling Model'!D$2:D$38^A12089)</f>
        <v>36.99131099</v>
      </c>
      <c r="C12089" s="8">
        <f t="array" ref="C12089">PRODUCT(1-'Sparkling Model'!D$2:D$38^A12089)</f>
        <v>0.9913374078</v>
      </c>
    </row>
    <row r="12090">
      <c r="A12090" s="6">
        <v>12088.0</v>
      </c>
      <c r="B12090" s="17">
        <f t="array" ref="B12090">SUM(1-'Sparkling Model'!D$2:D$38^A12090)</f>
        <v>36.99131531</v>
      </c>
      <c r="C12090" s="8">
        <f t="array" ref="C12090">PRODUCT(1-'Sparkling Model'!D$2:D$38^A12090)</f>
        <v>0.9913417012</v>
      </c>
    </row>
    <row r="12091">
      <c r="A12091" s="6">
        <v>12089.0</v>
      </c>
      <c r="B12091" s="17">
        <f t="array" ref="B12091">SUM(1-'Sparkling Model'!D$2:D$38^A12091)</f>
        <v>36.99131963</v>
      </c>
      <c r="C12091" s="8">
        <f t="array" ref="C12091">PRODUCT(1-'Sparkling Model'!D$2:D$38^A12091)</f>
        <v>0.9913459925</v>
      </c>
    </row>
    <row r="12092">
      <c r="A12092" s="6">
        <v>12090.0</v>
      </c>
      <c r="B12092" s="17">
        <f t="array" ref="B12092">SUM(1-'Sparkling Model'!D$2:D$38^A12092)</f>
        <v>36.99132394</v>
      </c>
      <c r="C12092" s="8">
        <f t="array" ref="C12092">PRODUCT(1-'Sparkling Model'!D$2:D$38^A12092)</f>
        <v>0.9913502816</v>
      </c>
    </row>
    <row r="12093">
      <c r="A12093" s="6">
        <v>12091.0</v>
      </c>
      <c r="B12093" s="17">
        <f t="array" ref="B12093">SUM(1-'Sparkling Model'!D$2:D$38^A12093)</f>
        <v>36.99132826</v>
      </c>
      <c r="C12093" s="8">
        <f t="array" ref="C12093">PRODUCT(1-'Sparkling Model'!D$2:D$38^A12093)</f>
        <v>0.9913545686</v>
      </c>
    </row>
    <row r="12094">
      <c r="A12094" s="6">
        <v>12092.0</v>
      </c>
      <c r="B12094" s="17">
        <f t="array" ref="B12094">SUM(1-'Sparkling Model'!D$2:D$38^A12094)</f>
        <v>36.99133257</v>
      </c>
      <c r="C12094" s="8">
        <f t="array" ref="C12094">PRODUCT(1-'Sparkling Model'!D$2:D$38^A12094)</f>
        <v>0.9913588535</v>
      </c>
    </row>
    <row r="12095">
      <c r="A12095" s="6">
        <v>12093.0</v>
      </c>
      <c r="B12095" s="17">
        <f t="array" ref="B12095">SUM(1-'Sparkling Model'!D$2:D$38^A12095)</f>
        <v>36.99133688</v>
      </c>
      <c r="C12095" s="8">
        <f t="array" ref="C12095">PRODUCT(1-'Sparkling Model'!D$2:D$38^A12095)</f>
        <v>0.9913631362</v>
      </c>
    </row>
    <row r="12096">
      <c r="A12096" s="6">
        <v>12094.0</v>
      </c>
      <c r="B12096" s="17">
        <f t="array" ref="B12096">SUM(1-'Sparkling Model'!D$2:D$38^A12096)</f>
        <v>36.99134118</v>
      </c>
      <c r="C12096" s="8">
        <f t="array" ref="C12096">PRODUCT(1-'Sparkling Model'!D$2:D$38^A12096)</f>
        <v>0.9913674168</v>
      </c>
    </row>
    <row r="12097">
      <c r="A12097" s="6">
        <v>12095.0</v>
      </c>
      <c r="B12097" s="17">
        <f t="array" ref="B12097">SUM(1-'Sparkling Model'!D$2:D$38^A12097)</f>
        <v>36.99134549</v>
      </c>
      <c r="C12097" s="8">
        <f t="array" ref="C12097">PRODUCT(1-'Sparkling Model'!D$2:D$38^A12097)</f>
        <v>0.9913716953</v>
      </c>
    </row>
    <row r="12098">
      <c r="A12098" s="6">
        <v>12096.0</v>
      </c>
      <c r="B12098" s="17">
        <f t="array" ref="B12098">SUM(1-'Sparkling Model'!D$2:D$38^A12098)</f>
        <v>36.99134979</v>
      </c>
      <c r="C12098" s="8">
        <f t="array" ref="C12098">PRODUCT(1-'Sparkling Model'!D$2:D$38^A12098)</f>
        <v>0.9913759716</v>
      </c>
    </row>
    <row r="12099">
      <c r="A12099" s="6">
        <v>12097.0</v>
      </c>
      <c r="B12099" s="17">
        <f t="array" ref="B12099">SUM(1-'Sparkling Model'!D$2:D$38^A12099)</f>
        <v>36.99135409</v>
      </c>
      <c r="C12099" s="8">
        <f t="array" ref="C12099">PRODUCT(1-'Sparkling Model'!D$2:D$38^A12099)</f>
        <v>0.9913802458</v>
      </c>
    </row>
    <row r="12100">
      <c r="A12100" s="6">
        <v>12098.0</v>
      </c>
      <c r="B12100" s="17">
        <f t="array" ref="B12100">SUM(1-'Sparkling Model'!D$2:D$38^A12100)</f>
        <v>36.99135839</v>
      </c>
      <c r="C12100" s="8">
        <f t="array" ref="C12100">PRODUCT(1-'Sparkling Model'!D$2:D$38^A12100)</f>
        <v>0.9913845179</v>
      </c>
    </row>
    <row r="12101">
      <c r="A12101" s="6">
        <v>12099.0</v>
      </c>
      <c r="B12101" s="17">
        <f t="array" ref="B12101">SUM(1-'Sparkling Model'!D$2:D$38^A12101)</f>
        <v>36.99136268</v>
      </c>
      <c r="C12101" s="8">
        <f t="array" ref="C12101">PRODUCT(1-'Sparkling Model'!D$2:D$38^A12101)</f>
        <v>0.9913887879</v>
      </c>
    </row>
    <row r="12102">
      <c r="A12102" s="6">
        <v>12100.0</v>
      </c>
      <c r="B12102" s="17">
        <f t="array" ref="B12102">SUM(1-'Sparkling Model'!D$2:D$38^A12102)</f>
        <v>36.99136698</v>
      </c>
      <c r="C12102" s="8">
        <f t="array" ref="C12102">PRODUCT(1-'Sparkling Model'!D$2:D$38^A12102)</f>
        <v>0.9913930558</v>
      </c>
    </row>
    <row r="12103">
      <c r="A12103" s="6">
        <v>12101.0</v>
      </c>
      <c r="B12103" s="17">
        <f t="array" ref="B12103">SUM(1-'Sparkling Model'!D$2:D$38^A12103)</f>
        <v>36.99137127</v>
      </c>
      <c r="C12103" s="8">
        <f t="array" ref="C12103">PRODUCT(1-'Sparkling Model'!D$2:D$38^A12103)</f>
        <v>0.9913973215</v>
      </c>
    </row>
    <row r="12104">
      <c r="A12104" s="6">
        <v>12102.0</v>
      </c>
      <c r="B12104" s="17">
        <f t="array" ref="B12104">SUM(1-'Sparkling Model'!D$2:D$38^A12104)</f>
        <v>36.99137556</v>
      </c>
      <c r="C12104" s="8">
        <f t="array" ref="C12104">PRODUCT(1-'Sparkling Model'!D$2:D$38^A12104)</f>
        <v>0.9914015851</v>
      </c>
    </row>
    <row r="12105">
      <c r="A12105" s="6">
        <v>12103.0</v>
      </c>
      <c r="B12105" s="17">
        <f t="array" ref="B12105">SUM(1-'Sparkling Model'!D$2:D$38^A12105)</f>
        <v>36.99137985</v>
      </c>
      <c r="C12105" s="8">
        <f t="array" ref="C12105">PRODUCT(1-'Sparkling Model'!D$2:D$38^A12105)</f>
        <v>0.9914058466</v>
      </c>
    </row>
    <row r="12106">
      <c r="A12106" s="6">
        <v>12104.0</v>
      </c>
      <c r="B12106" s="17">
        <f t="array" ref="B12106">SUM(1-'Sparkling Model'!D$2:D$38^A12106)</f>
        <v>36.99138413</v>
      </c>
      <c r="C12106" s="8">
        <f t="array" ref="C12106">PRODUCT(1-'Sparkling Model'!D$2:D$38^A12106)</f>
        <v>0.991410106</v>
      </c>
    </row>
    <row r="12107">
      <c r="A12107" s="6">
        <v>12105.0</v>
      </c>
      <c r="B12107" s="17">
        <f t="array" ref="B12107">SUM(1-'Sparkling Model'!D$2:D$38^A12107)</f>
        <v>36.99138842</v>
      </c>
      <c r="C12107" s="8">
        <f t="array" ref="C12107">PRODUCT(1-'Sparkling Model'!D$2:D$38^A12107)</f>
        <v>0.9914143632</v>
      </c>
    </row>
    <row r="12108">
      <c r="A12108" s="6">
        <v>12106.0</v>
      </c>
      <c r="B12108" s="17">
        <f t="array" ref="B12108">SUM(1-'Sparkling Model'!D$2:D$38^A12108)</f>
        <v>36.9913927</v>
      </c>
      <c r="C12108" s="8">
        <f t="array" ref="C12108">PRODUCT(1-'Sparkling Model'!D$2:D$38^A12108)</f>
        <v>0.9914186184</v>
      </c>
    </row>
    <row r="12109">
      <c r="A12109" s="6">
        <v>12107.0</v>
      </c>
      <c r="B12109" s="17">
        <f t="array" ref="B12109">SUM(1-'Sparkling Model'!D$2:D$38^A12109)</f>
        <v>36.99139698</v>
      </c>
      <c r="C12109" s="8">
        <f t="array" ref="C12109">PRODUCT(1-'Sparkling Model'!D$2:D$38^A12109)</f>
        <v>0.9914228714</v>
      </c>
    </row>
    <row r="12110">
      <c r="A12110" s="6">
        <v>12108.0</v>
      </c>
      <c r="B12110" s="17">
        <f t="array" ref="B12110">SUM(1-'Sparkling Model'!D$2:D$38^A12110)</f>
        <v>36.99140125</v>
      </c>
      <c r="C12110" s="8">
        <f t="array" ref="C12110">PRODUCT(1-'Sparkling Model'!D$2:D$38^A12110)</f>
        <v>0.9914271223</v>
      </c>
    </row>
    <row r="12111">
      <c r="A12111" s="6">
        <v>12109.0</v>
      </c>
      <c r="B12111" s="17">
        <f t="array" ref="B12111">SUM(1-'Sparkling Model'!D$2:D$38^A12111)</f>
        <v>36.99140553</v>
      </c>
      <c r="C12111" s="8">
        <f t="array" ref="C12111">PRODUCT(1-'Sparkling Model'!D$2:D$38^A12111)</f>
        <v>0.9914313711</v>
      </c>
    </row>
    <row r="12112">
      <c r="A12112" s="6">
        <v>12110.0</v>
      </c>
      <c r="B12112" s="17">
        <f t="array" ref="B12112">SUM(1-'Sparkling Model'!D$2:D$38^A12112)</f>
        <v>36.9914098</v>
      </c>
      <c r="C12112" s="8">
        <f t="array" ref="C12112">PRODUCT(1-'Sparkling Model'!D$2:D$38^A12112)</f>
        <v>0.9914356178</v>
      </c>
    </row>
    <row r="12113">
      <c r="A12113" s="6">
        <v>12111.0</v>
      </c>
      <c r="B12113" s="17">
        <f t="array" ref="B12113">SUM(1-'Sparkling Model'!D$2:D$38^A12113)</f>
        <v>36.99141407</v>
      </c>
      <c r="C12113" s="8">
        <f t="array" ref="C12113">PRODUCT(1-'Sparkling Model'!D$2:D$38^A12113)</f>
        <v>0.9914398623</v>
      </c>
    </row>
    <row r="12114">
      <c r="A12114" s="6">
        <v>12112.0</v>
      </c>
      <c r="B12114" s="17">
        <f t="array" ref="B12114">SUM(1-'Sparkling Model'!D$2:D$38^A12114)</f>
        <v>36.99141834</v>
      </c>
      <c r="C12114" s="8">
        <f t="array" ref="C12114">PRODUCT(1-'Sparkling Model'!D$2:D$38^A12114)</f>
        <v>0.9914441048</v>
      </c>
    </row>
    <row r="12115">
      <c r="A12115" s="6">
        <v>12113.0</v>
      </c>
      <c r="B12115" s="17">
        <f t="array" ref="B12115">SUM(1-'Sparkling Model'!D$2:D$38^A12115)</f>
        <v>36.9914226</v>
      </c>
      <c r="C12115" s="8">
        <f t="array" ref="C12115">PRODUCT(1-'Sparkling Model'!D$2:D$38^A12115)</f>
        <v>0.9914483451</v>
      </c>
    </row>
    <row r="12116">
      <c r="A12116" s="6">
        <v>12114.0</v>
      </c>
      <c r="B12116" s="17">
        <f t="array" ref="B12116">SUM(1-'Sparkling Model'!D$2:D$38^A12116)</f>
        <v>36.99142687</v>
      </c>
      <c r="C12116" s="8">
        <f t="array" ref="C12116">PRODUCT(1-'Sparkling Model'!D$2:D$38^A12116)</f>
        <v>0.9914525834</v>
      </c>
    </row>
    <row r="12117">
      <c r="A12117" s="6">
        <v>12115.0</v>
      </c>
      <c r="B12117" s="17">
        <f t="array" ref="B12117">SUM(1-'Sparkling Model'!D$2:D$38^A12117)</f>
        <v>36.99143113</v>
      </c>
      <c r="C12117" s="8">
        <f t="array" ref="C12117">PRODUCT(1-'Sparkling Model'!D$2:D$38^A12117)</f>
        <v>0.9914568195</v>
      </c>
    </row>
    <row r="12118">
      <c r="A12118" s="6">
        <v>12116.0</v>
      </c>
      <c r="B12118" s="17">
        <f t="array" ref="B12118">SUM(1-'Sparkling Model'!D$2:D$38^A12118)</f>
        <v>36.99143539</v>
      </c>
      <c r="C12118" s="8">
        <f t="array" ref="C12118">PRODUCT(1-'Sparkling Model'!D$2:D$38^A12118)</f>
        <v>0.9914610536</v>
      </c>
    </row>
    <row r="12119">
      <c r="A12119" s="6">
        <v>12117.0</v>
      </c>
      <c r="B12119" s="17">
        <f t="array" ref="B12119">SUM(1-'Sparkling Model'!D$2:D$38^A12119)</f>
        <v>36.99143965</v>
      </c>
      <c r="C12119" s="8">
        <f t="array" ref="C12119">PRODUCT(1-'Sparkling Model'!D$2:D$38^A12119)</f>
        <v>0.9914652855</v>
      </c>
    </row>
    <row r="12120">
      <c r="A12120" s="6">
        <v>12118.0</v>
      </c>
      <c r="B12120" s="17">
        <f t="array" ref="B12120">SUM(1-'Sparkling Model'!D$2:D$38^A12120)</f>
        <v>36.9914439</v>
      </c>
      <c r="C12120" s="8">
        <f t="array" ref="C12120">PRODUCT(1-'Sparkling Model'!D$2:D$38^A12120)</f>
        <v>0.9914695153</v>
      </c>
    </row>
    <row r="12121">
      <c r="A12121" s="6">
        <v>12119.0</v>
      </c>
      <c r="B12121" s="17">
        <f t="array" ref="B12121">SUM(1-'Sparkling Model'!D$2:D$38^A12121)</f>
        <v>36.99144816</v>
      </c>
      <c r="C12121" s="8">
        <f t="array" ref="C12121">PRODUCT(1-'Sparkling Model'!D$2:D$38^A12121)</f>
        <v>0.991473743</v>
      </c>
    </row>
    <row r="12122">
      <c r="A12122" s="6">
        <v>12120.0</v>
      </c>
      <c r="B12122" s="17">
        <f t="array" ref="B12122">SUM(1-'Sparkling Model'!D$2:D$38^A12122)</f>
        <v>36.99145241</v>
      </c>
      <c r="C12122" s="8">
        <f t="array" ref="C12122">PRODUCT(1-'Sparkling Model'!D$2:D$38^A12122)</f>
        <v>0.9914779686</v>
      </c>
    </row>
    <row r="12123">
      <c r="A12123" s="6">
        <v>12121.0</v>
      </c>
      <c r="B12123" s="17">
        <f t="array" ref="B12123">SUM(1-'Sparkling Model'!D$2:D$38^A12123)</f>
        <v>36.99145666</v>
      </c>
      <c r="C12123" s="8">
        <f t="array" ref="C12123">PRODUCT(1-'Sparkling Model'!D$2:D$38^A12123)</f>
        <v>0.9914821921</v>
      </c>
    </row>
    <row r="12124">
      <c r="A12124" s="6">
        <v>12122.0</v>
      </c>
      <c r="B12124" s="17">
        <f t="array" ref="B12124">SUM(1-'Sparkling Model'!D$2:D$38^A12124)</f>
        <v>36.9914609</v>
      </c>
      <c r="C12124" s="8">
        <f t="array" ref="C12124">PRODUCT(1-'Sparkling Model'!D$2:D$38^A12124)</f>
        <v>0.9914864136</v>
      </c>
    </row>
    <row r="12125">
      <c r="A12125" s="6">
        <v>12123.0</v>
      </c>
      <c r="B12125" s="17">
        <f t="array" ref="B12125">SUM(1-'Sparkling Model'!D$2:D$38^A12125)</f>
        <v>36.99146515</v>
      </c>
      <c r="C12125" s="8">
        <f t="array" ref="C12125">PRODUCT(1-'Sparkling Model'!D$2:D$38^A12125)</f>
        <v>0.9914906329</v>
      </c>
    </row>
    <row r="12126">
      <c r="A12126" s="6">
        <v>12124.0</v>
      </c>
      <c r="B12126" s="17">
        <f t="array" ref="B12126">SUM(1-'Sparkling Model'!D$2:D$38^A12126)</f>
        <v>36.99146939</v>
      </c>
      <c r="C12126" s="8">
        <f t="array" ref="C12126">PRODUCT(1-'Sparkling Model'!D$2:D$38^A12126)</f>
        <v>0.9914948501</v>
      </c>
    </row>
    <row r="12127">
      <c r="A12127" s="6">
        <v>12125.0</v>
      </c>
      <c r="B12127" s="17">
        <f t="array" ref="B12127">SUM(1-'Sparkling Model'!D$2:D$38^A12127)</f>
        <v>36.99147363</v>
      </c>
      <c r="C12127" s="8">
        <f t="array" ref="C12127">PRODUCT(1-'Sparkling Model'!D$2:D$38^A12127)</f>
        <v>0.9914990652</v>
      </c>
    </row>
    <row r="12128">
      <c r="A12128" s="6">
        <v>12126.0</v>
      </c>
      <c r="B12128" s="17">
        <f t="array" ref="B12128">SUM(1-'Sparkling Model'!D$2:D$38^A12128)</f>
        <v>36.99147787</v>
      </c>
      <c r="C12128" s="8">
        <f t="array" ref="C12128">PRODUCT(1-'Sparkling Model'!D$2:D$38^A12128)</f>
        <v>0.9915032783</v>
      </c>
    </row>
    <row r="12129">
      <c r="A12129" s="6">
        <v>12127.0</v>
      </c>
      <c r="B12129" s="17">
        <f t="array" ref="B12129">SUM(1-'Sparkling Model'!D$2:D$38^A12129)</f>
        <v>36.99148211</v>
      </c>
      <c r="C12129" s="8">
        <f t="array" ref="C12129">PRODUCT(1-'Sparkling Model'!D$2:D$38^A12129)</f>
        <v>0.9915074892</v>
      </c>
    </row>
    <row r="12130">
      <c r="A12130" s="6">
        <v>12128.0</v>
      </c>
      <c r="B12130" s="17">
        <f t="array" ref="B12130">SUM(1-'Sparkling Model'!D$2:D$38^A12130)</f>
        <v>36.99148634</v>
      </c>
      <c r="C12130" s="8">
        <f t="array" ref="C12130">PRODUCT(1-'Sparkling Model'!D$2:D$38^A12130)</f>
        <v>0.991511698</v>
      </c>
    </row>
    <row r="12131">
      <c r="A12131" s="6">
        <v>12129.0</v>
      </c>
      <c r="B12131" s="17">
        <f t="array" ref="B12131">SUM(1-'Sparkling Model'!D$2:D$38^A12131)</f>
        <v>36.99149057</v>
      </c>
      <c r="C12131" s="8">
        <f t="array" ref="C12131">PRODUCT(1-'Sparkling Model'!D$2:D$38^A12131)</f>
        <v>0.9915159048</v>
      </c>
    </row>
    <row r="12132">
      <c r="A12132" s="6">
        <v>12130.0</v>
      </c>
      <c r="B12132" s="17">
        <f t="array" ref="B12132">SUM(1-'Sparkling Model'!D$2:D$38^A12132)</f>
        <v>36.9914948</v>
      </c>
      <c r="C12132" s="8">
        <f t="array" ref="C12132">PRODUCT(1-'Sparkling Model'!D$2:D$38^A12132)</f>
        <v>0.9915201094</v>
      </c>
    </row>
    <row r="12133">
      <c r="A12133" s="6">
        <v>12131.0</v>
      </c>
      <c r="B12133" s="17">
        <f t="array" ref="B12133">SUM(1-'Sparkling Model'!D$2:D$38^A12133)</f>
        <v>36.99149903</v>
      </c>
      <c r="C12133" s="8">
        <f t="array" ref="C12133">PRODUCT(1-'Sparkling Model'!D$2:D$38^A12133)</f>
        <v>0.991524312</v>
      </c>
    </row>
    <row r="12134">
      <c r="A12134" s="6">
        <v>12132.0</v>
      </c>
      <c r="B12134" s="17">
        <f t="array" ref="B12134">SUM(1-'Sparkling Model'!D$2:D$38^A12134)</f>
        <v>36.99150326</v>
      </c>
      <c r="C12134" s="8">
        <f t="array" ref="C12134">PRODUCT(1-'Sparkling Model'!D$2:D$38^A12134)</f>
        <v>0.9915285125</v>
      </c>
    </row>
    <row r="12135">
      <c r="A12135" s="6">
        <v>12133.0</v>
      </c>
      <c r="B12135" s="17">
        <f t="array" ref="B12135">SUM(1-'Sparkling Model'!D$2:D$38^A12135)</f>
        <v>36.99150748</v>
      </c>
      <c r="C12135" s="8">
        <f t="array" ref="C12135">PRODUCT(1-'Sparkling Model'!D$2:D$38^A12135)</f>
        <v>0.9915327109</v>
      </c>
    </row>
    <row r="12136">
      <c r="A12136" s="6">
        <v>12134.0</v>
      </c>
      <c r="B12136" s="17">
        <f t="array" ref="B12136">SUM(1-'Sparkling Model'!D$2:D$38^A12136)</f>
        <v>36.9915117</v>
      </c>
      <c r="C12136" s="8">
        <f t="array" ref="C12136">PRODUCT(1-'Sparkling Model'!D$2:D$38^A12136)</f>
        <v>0.9915369072</v>
      </c>
    </row>
    <row r="12137">
      <c r="A12137" s="6">
        <v>12135.0</v>
      </c>
      <c r="B12137" s="17">
        <f t="array" ref="B12137">SUM(1-'Sparkling Model'!D$2:D$38^A12137)</f>
        <v>36.99151592</v>
      </c>
      <c r="C12137" s="8">
        <f t="array" ref="C12137">PRODUCT(1-'Sparkling Model'!D$2:D$38^A12137)</f>
        <v>0.9915411014</v>
      </c>
    </row>
    <row r="12138">
      <c r="A12138" s="6">
        <v>12136.0</v>
      </c>
      <c r="B12138" s="17">
        <f t="array" ref="B12138">SUM(1-'Sparkling Model'!D$2:D$38^A12138)</f>
        <v>36.99152014</v>
      </c>
      <c r="C12138" s="8">
        <f t="array" ref="C12138">PRODUCT(1-'Sparkling Model'!D$2:D$38^A12138)</f>
        <v>0.9915452935</v>
      </c>
    </row>
    <row r="12139">
      <c r="A12139" s="6">
        <v>12137.0</v>
      </c>
      <c r="B12139" s="17">
        <f t="array" ref="B12139">SUM(1-'Sparkling Model'!D$2:D$38^A12139)</f>
        <v>36.99152435</v>
      </c>
      <c r="C12139" s="8">
        <f t="array" ref="C12139">PRODUCT(1-'Sparkling Model'!D$2:D$38^A12139)</f>
        <v>0.9915494836</v>
      </c>
    </row>
    <row r="12140">
      <c r="A12140" s="6">
        <v>12138.0</v>
      </c>
      <c r="B12140" s="17">
        <f t="array" ref="B12140">SUM(1-'Sparkling Model'!D$2:D$38^A12140)</f>
        <v>36.99152857</v>
      </c>
      <c r="C12140" s="8">
        <f t="array" ref="C12140">PRODUCT(1-'Sparkling Model'!D$2:D$38^A12140)</f>
        <v>0.9915536715</v>
      </c>
    </row>
    <row r="12141">
      <c r="A12141" s="6">
        <v>12139.0</v>
      </c>
      <c r="B12141" s="17">
        <f t="array" ref="B12141">SUM(1-'Sparkling Model'!D$2:D$38^A12141)</f>
        <v>36.99153278</v>
      </c>
      <c r="C12141" s="8">
        <f t="array" ref="C12141">PRODUCT(1-'Sparkling Model'!D$2:D$38^A12141)</f>
        <v>0.9915578574</v>
      </c>
    </row>
    <row r="12142">
      <c r="A12142" s="6">
        <v>12140.0</v>
      </c>
      <c r="B12142" s="17">
        <f t="array" ref="B12142">SUM(1-'Sparkling Model'!D$2:D$38^A12142)</f>
        <v>36.99153699</v>
      </c>
      <c r="C12142" s="8">
        <f t="array" ref="C12142">PRODUCT(1-'Sparkling Model'!D$2:D$38^A12142)</f>
        <v>0.9915620412</v>
      </c>
    </row>
    <row r="12143">
      <c r="A12143" s="6">
        <v>12141.0</v>
      </c>
      <c r="B12143" s="17">
        <f t="array" ref="B12143">SUM(1-'Sparkling Model'!D$2:D$38^A12143)</f>
        <v>36.99154119</v>
      </c>
      <c r="C12143" s="8">
        <f t="array" ref="C12143">PRODUCT(1-'Sparkling Model'!D$2:D$38^A12143)</f>
        <v>0.9915662229</v>
      </c>
    </row>
    <row r="12144">
      <c r="A12144" s="6">
        <v>12142.0</v>
      </c>
      <c r="B12144" s="17">
        <f t="array" ref="B12144">SUM(1-'Sparkling Model'!D$2:D$38^A12144)</f>
        <v>36.9915454</v>
      </c>
      <c r="C12144" s="8">
        <f t="array" ref="C12144">PRODUCT(1-'Sparkling Model'!D$2:D$38^A12144)</f>
        <v>0.9915704026</v>
      </c>
    </row>
    <row r="12145">
      <c r="A12145" s="6">
        <v>12143.0</v>
      </c>
      <c r="B12145" s="17">
        <f t="array" ref="B12145">SUM(1-'Sparkling Model'!D$2:D$38^A12145)</f>
        <v>36.9915496</v>
      </c>
      <c r="C12145" s="8">
        <f t="array" ref="C12145">PRODUCT(1-'Sparkling Model'!D$2:D$38^A12145)</f>
        <v>0.9915745801</v>
      </c>
    </row>
    <row r="12146">
      <c r="A12146" s="6">
        <v>12144.0</v>
      </c>
      <c r="B12146" s="17">
        <f t="array" ref="B12146">SUM(1-'Sparkling Model'!D$2:D$38^A12146)</f>
        <v>36.9915538</v>
      </c>
      <c r="C12146" s="8">
        <f t="array" ref="C12146">PRODUCT(1-'Sparkling Model'!D$2:D$38^A12146)</f>
        <v>0.9915787556</v>
      </c>
    </row>
    <row r="12147">
      <c r="A12147" s="6">
        <v>12145.0</v>
      </c>
      <c r="B12147" s="17">
        <f t="array" ref="B12147">SUM(1-'Sparkling Model'!D$2:D$38^A12147)</f>
        <v>36.991558</v>
      </c>
      <c r="C12147" s="8">
        <f t="array" ref="C12147">PRODUCT(1-'Sparkling Model'!D$2:D$38^A12147)</f>
        <v>0.991582929</v>
      </c>
    </row>
    <row r="12148">
      <c r="A12148" s="6">
        <v>12146.0</v>
      </c>
      <c r="B12148" s="17">
        <f t="array" ref="B12148">SUM(1-'Sparkling Model'!D$2:D$38^A12148)</f>
        <v>36.9915622</v>
      </c>
      <c r="C12148" s="8">
        <f t="array" ref="C12148">PRODUCT(1-'Sparkling Model'!D$2:D$38^A12148)</f>
        <v>0.9915871004</v>
      </c>
    </row>
    <row r="12149">
      <c r="A12149" s="6">
        <v>12147.0</v>
      </c>
      <c r="B12149" s="17">
        <f t="array" ref="B12149">SUM(1-'Sparkling Model'!D$2:D$38^A12149)</f>
        <v>36.99156639</v>
      </c>
      <c r="C12149" s="8">
        <f t="array" ref="C12149">PRODUCT(1-'Sparkling Model'!D$2:D$38^A12149)</f>
        <v>0.9915912696</v>
      </c>
    </row>
    <row r="12150">
      <c r="A12150" s="6">
        <v>12148.0</v>
      </c>
      <c r="B12150" s="17">
        <f t="array" ref="B12150">SUM(1-'Sparkling Model'!D$2:D$38^A12150)</f>
        <v>36.99157058</v>
      </c>
      <c r="C12150" s="8">
        <f t="array" ref="C12150">PRODUCT(1-'Sparkling Model'!D$2:D$38^A12150)</f>
        <v>0.9915954368</v>
      </c>
    </row>
    <row r="12151">
      <c r="A12151" s="6">
        <v>12149.0</v>
      </c>
      <c r="B12151" s="17">
        <f t="array" ref="B12151">SUM(1-'Sparkling Model'!D$2:D$38^A12151)</f>
        <v>36.99157477</v>
      </c>
      <c r="C12151" s="8">
        <f t="array" ref="C12151">PRODUCT(1-'Sparkling Model'!D$2:D$38^A12151)</f>
        <v>0.991599602</v>
      </c>
    </row>
    <row r="12152">
      <c r="A12152" s="6">
        <v>12150.0</v>
      </c>
      <c r="B12152" s="17">
        <f t="array" ref="B12152">SUM(1-'Sparkling Model'!D$2:D$38^A12152)</f>
        <v>36.99157896</v>
      </c>
      <c r="C12152" s="8">
        <f t="array" ref="C12152">PRODUCT(1-'Sparkling Model'!D$2:D$38^A12152)</f>
        <v>0.991603765</v>
      </c>
    </row>
    <row r="12153">
      <c r="A12153" s="6">
        <v>12151.0</v>
      </c>
      <c r="B12153" s="17">
        <f t="array" ref="B12153">SUM(1-'Sparkling Model'!D$2:D$38^A12153)</f>
        <v>36.99158315</v>
      </c>
      <c r="C12153" s="8">
        <f t="array" ref="C12153">PRODUCT(1-'Sparkling Model'!D$2:D$38^A12153)</f>
        <v>0.991607926</v>
      </c>
    </row>
    <row r="12154">
      <c r="A12154" s="6">
        <v>12152.0</v>
      </c>
      <c r="B12154" s="17">
        <f t="array" ref="B12154">SUM(1-'Sparkling Model'!D$2:D$38^A12154)</f>
        <v>36.99158733</v>
      </c>
      <c r="C12154" s="8">
        <f t="array" ref="C12154">PRODUCT(1-'Sparkling Model'!D$2:D$38^A12154)</f>
        <v>0.9916120849</v>
      </c>
    </row>
    <row r="12155">
      <c r="A12155" s="6">
        <v>12153.0</v>
      </c>
      <c r="B12155" s="17">
        <f t="array" ref="B12155">SUM(1-'Sparkling Model'!D$2:D$38^A12155)</f>
        <v>36.99159151</v>
      </c>
      <c r="C12155" s="8">
        <f t="array" ref="C12155">PRODUCT(1-'Sparkling Model'!D$2:D$38^A12155)</f>
        <v>0.9916162417</v>
      </c>
    </row>
    <row r="12156">
      <c r="A12156" s="6">
        <v>12154.0</v>
      </c>
      <c r="B12156" s="17">
        <f t="array" ref="B12156">SUM(1-'Sparkling Model'!D$2:D$38^A12156)</f>
        <v>36.99159569</v>
      </c>
      <c r="C12156" s="8">
        <f t="array" ref="C12156">PRODUCT(1-'Sparkling Model'!D$2:D$38^A12156)</f>
        <v>0.9916203965</v>
      </c>
    </row>
    <row r="12157">
      <c r="A12157" s="6">
        <v>12155.0</v>
      </c>
      <c r="B12157" s="17">
        <f t="array" ref="B12157">SUM(1-'Sparkling Model'!D$2:D$38^A12157)</f>
        <v>36.99159987</v>
      </c>
      <c r="C12157" s="8">
        <f t="array" ref="C12157">PRODUCT(1-'Sparkling Model'!D$2:D$38^A12157)</f>
        <v>0.9916245492</v>
      </c>
    </row>
    <row r="12158">
      <c r="A12158" s="6">
        <v>12156.0</v>
      </c>
      <c r="B12158" s="17">
        <f t="array" ref="B12158">SUM(1-'Sparkling Model'!D$2:D$38^A12158)</f>
        <v>36.99160404</v>
      </c>
      <c r="C12158" s="8">
        <f t="array" ref="C12158">PRODUCT(1-'Sparkling Model'!D$2:D$38^A12158)</f>
        <v>0.9916286999</v>
      </c>
    </row>
    <row r="12159">
      <c r="A12159" s="6">
        <v>12157.0</v>
      </c>
      <c r="B12159" s="17">
        <f t="array" ref="B12159">SUM(1-'Sparkling Model'!D$2:D$38^A12159)</f>
        <v>36.99160822</v>
      </c>
      <c r="C12159" s="8">
        <f t="array" ref="C12159">PRODUCT(1-'Sparkling Model'!D$2:D$38^A12159)</f>
        <v>0.9916328485</v>
      </c>
    </row>
    <row r="12160">
      <c r="A12160" s="6">
        <v>12158.0</v>
      </c>
      <c r="B12160" s="17">
        <f t="array" ref="B12160">SUM(1-'Sparkling Model'!D$2:D$38^A12160)</f>
        <v>36.99161239</v>
      </c>
      <c r="C12160" s="8">
        <f t="array" ref="C12160">PRODUCT(1-'Sparkling Model'!D$2:D$38^A12160)</f>
        <v>0.991636995</v>
      </c>
    </row>
    <row r="12161">
      <c r="A12161" s="6">
        <v>12159.0</v>
      </c>
      <c r="B12161" s="17">
        <f t="array" ref="B12161">SUM(1-'Sparkling Model'!D$2:D$38^A12161)</f>
        <v>36.99161656</v>
      </c>
      <c r="C12161" s="8">
        <f t="array" ref="C12161">PRODUCT(1-'Sparkling Model'!D$2:D$38^A12161)</f>
        <v>0.9916411394</v>
      </c>
    </row>
    <row r="12162">
      <c r="A12162" s="6">
        <v>12160.0</v>
      </c>
      <c r="B12162" s="17">
        <f t="array" ref="B12162">SUM(1-'Sparkling Model'!D$2:D$38^A12162)</f>
        <v>36.99162072</v>
      </c>
      <c r="C12162" s="8">
        <f t="array" ref="C12162">PRODUCT(1-'Sparkling Model'!D$2:D$38^A12162)</f>
        <v>0.9916452818</v>
      </c>
    </row>
    <row r="12163">
      <c r="A12163" s="6">
        <v>12161.0</v>
      </c>
      <c r="B12163" s="17">
        <f t="array" ref="B12163">SUM(1-'Sparkling Model'!D$2:D$38^A12163)</f>
        <v>36.99162489</v>
      </c>
      <c r="C12163" s="8">
        <f t="array" ref="C12163">PRODUCT(1-'Sparkling Model'!D$2:D$38^A12163)</f>
        <v>0.9916494222</v>
      </c>
    </row>
    <row r="12164">
      <c r="A12164" s="6">
        <v>12162.0</v>
      </c>
      <c r="B12164" s="17">
        <f t="array" ref="B12164">SUM(1-'Sparkling Model'!D$2:D$38^A12164)</f>
        <v>36.99162905</v>
      </c>
      <c r="C12164" s="8">
        <f t="array" ref="C12164">PRODUCT(1-'Sparkling Model'!D$2:D$38^A12164)</f>
        <v>0.9916535605</v>
      </c>
    </row>
    <row r="12165">
      <c r="A12165" s="6">
        <v>12163.0</v>
      </c>
      <c r="B12165" s="17">
        <f t="array" ref="B12165">SUM(1-'Sparkling Model'!D$2:D$38^A12165)</f>
        <v>36.99163321</v>
      </c>
      <c r="C12165" s="8">
        <f t="array" ref="C12165">PRODUCT(1-'Sparkling Model'!D$2:D$38^A12165)</f>
        <v>0.9916576967</v>
      </c>
    </row>
    <row r="12166">
      <c r="A12166" s="6">
        <v>12164.0</v>
      </c>
      <c r="B12166" s="17">
        <f t="array" ref="B12166">SUM(1-'Sparkling Model'!D$2:D$38^A12166)</f>
        <v>36.99163737</v>
      </c>
      <c r="C12166" s="8">
        <f t="array" ref="C12166">PRODUCT(1-'Sparkling Model'!D$2:D$38^A12166)</f>
        <v>0.9916618309</v>
      </c>
    </row>
    <row r="12167">
      <c r="A12167" s="6">
        <v>12165.0</v>
      </c>
      <c r="B12167" s="17">
        <f t="array" ref="B12167">SUM(1-'Sparkling Model'!D$2:D$38^A12167)</f>
        <v>36.99164153</v>
      </c>
      <c r="C12167" s="8">
        <f t="array" ref="C12167">PRODUCT(1-'Sparkling Model'!D$2:D$38^A12167)</f>
        <v>0.991665963</v>
      </c>
    </row>
    <row r="12168">
      <c r="A12168" s="6">
        <v>12166.0</v>
      </c>
      <c r="B12168" s="17">
        <f t="array" ref="B12168">SUM(1-'Sparkling Model'!D$2:D$38^A12168)</f>
        <v>36.99164568</v>
      </c>
      <c r="C12168" s="8">
        <f t="array" ref="C12168">PRODUCT(1-'Sparkling Model'!D$2:D$38^A12168)</f>
        <v>0.991670093</v>
      </c>
    </row>
    <row r="12169">
      <c r="A12169" s="6">
        <v>12167.0</v>
      </c>
      <c r="B12169" s="17">
        <f t="array" ref="B12169">SUM(1-'Sparkling Model'!D$2:D$38^A12169)</f>
        <v>36.99164983</v>
      </c>
      <c r="C12169" s="8">
        <f t="array" ref="C12169">PRODUCT(1-'Sparkling Model'!D$2:D$38^A12169)</f>
        <v>0.991674221</v>
      </c>
    </row>
    <row r="12170">
      <c r="A12170" s="6">
        <v>12168.0</v>
      </c>
      <c r="B12170" s="17">
        <f t="array" ref="B12170">SUM(1-'Sparkling Model'!D$2:D$38^A12170)</f>
        <v>36.99165398</v>
      </c>
      <c r="C12170" s="8">
        <f t="array" ref="C12170">PRODUCT(1-'Sparkling Model'!D$2:D$38^A12170)</f>
        <v>0.991678347</v>
      </c>
    </row>
    <row r="12171">
      <c r="A12171" s="6">
        <v>12169.0</v>
      </c>
      <c r="B12171" s="17">
        <f t="array" ref="B12171">SUM(1-'Sparkling Model'!D$2:D$38^A12171)</f>
        <v>36.99165813</v>
      </c>
      <c r="C12171" s="8">
        <f t="array" ref="C12171">PRODUCT(1-'Sparkling Model'!D$2:D$38^A12171)</f>
        <v>0.9916824709</v>
      </c>
    </row>
    <row r="12172">
      <c r="A12172" s="6">
        <v>12170.0</v>
      </c>
      <c r="B12172" s="17">
        <f t="array" ref="B12172">SUM(1-'Sparkling Model'!D$2:D$38^A12172)</f>
        <v>36.99166228</v>
      </c>
      <c r="C12172" s="8">
        <f t="array" ref="C12172">PRODUCT(1-'Sparkling Model'!D$2:D$38^A12172)</f>
        <v>0.9916865928</v>
      </c>
    </row>
    <row r="12173">
      <c r="A12173" s="6">
        <v>12171.0</v>
      </c>
      <c r="B12173" s="17">
        <f t="array" ref="B12173">SUM(1-'Sparkling Model'!D$2:D$38^A12173)</f>
        <v>36.99166642</v>
      </c>
      <c r="C12173" s="8">
        <f t="array" ref="C12173">PRODUCT(1-'Sparkling Model'!D$2:D$38^A12173)</f>
        <v>0.9916907126</v>
      </c>
    </row>
    <row r="12174">
      <c r="A12174" s="6">
        <v>12172.0</v>
      </c>
      <c r="B12174" s="17">
        <f t="array" ref="B12174">SUM(1-'Sparkling Model'!D$2:D$38^A12174)</f>
        <v>36.99167056</v>
      </c>
      <c r="C12174" s="8">
        <f t="array" ref="C12174">PRODUCT(1-'Sparkling Model'!D$2:D$38^A12174)</f>
        <v>0.9916948303</v>
      </c>
    </row>
    <row r="12175">
      <c r="A12175" s="6">
        <v>12173.0</v>
      </c>
      <c r="B12175" s="17">
        <f t="array" ref="B12175">SUM(1-'Sparkling Model'!D$2:D$38^A12175)</f>
        <v>36.9916747</v>
      </c>
      <c r="C12175" s="8">
        <f t="array" ref="C12175">PRODUCT(1-'Sparkling Model'!D$2:D$38^A12175)</f>
        <v>0.991698946</v>
      </c>
    </row>
    <row r="12176">
      <c r="A12176" s="6">
        <v>12174.0</v>
      </c>
      <c r="B12176" s="17">
        <f t="array" ref="B12176">SUM(1-'Sparkling Model'!D$2:D$38^A12176)</f>
        <v>36.99167884</v>
      </c>
      <c r="C12176" s="8">
        <f t="array" ref="C12176">PRODUCT(1-'Sparkling Model'!D$2:D$38^A12176)</f>
        <v>0.9917030597</v>
      </c>
    </row>
    <row r="12177">
      <c r="A12177" s="6">
        <v>12175.0</v>
      </c>
      <c r="B12177" s="17">
        <f t="array" ref="B12177">SUM(1-'Sparkling Model'!D$2:D$38^A12177)</f>
        <v>36.99168298</v>
      </c>
      <c r="C12177" s="8">
        <f t="array" ref="C12177">PRODUCT(1-'Sparkling Model'!D$2:D$38^A12177)</f>
        <v>0.9917071713</v>
      </c>
    </row>
    <row r="12178">
      <c r="A12178" s="6">
        <v>12176.0</v>
      </c>
      <c r="B12178" s="17">
        <f t="array" ref="B12178">SUM(1-'Sparkling Model'!D$2:D$38^A12178)</f>
        <v>36.99168711</v>
      </c>
      <c r="C12178" s="8">
        <f t="array" ref="C12178">PRODUCT(1-'Sparkling Model'!D$2:D$38^A12178)</f>
        <v>0.9917112809</v>
      </c>
    </row>
    <row r="12179">
      <c r="A12179" s="6">
        <v>12177.0</v>
      </c>
      <c r="B12179" s="17">
        <f t="array" ref="B12179">SUM(1-'Sparkling Model'!D$2:D$38^A12179)</f>
        <v>36.99169124</v>
      </c>
      <c r="C12179" s="8">
        <f t="array" ref="C12179">PRODUCT(1-'Sparkling Model'!D$2:D$38^A12179)</f>
        <v>0.9917153884</v>
      </c>
    </row>
    <row r="12180">
      <c r="A12180" s="6">
        <v>12178.0</v>
      </c>
      <c r="B12180" s="17">
        <f t="array" ref="B12180">SUM(1-'Sparkling Model'!D$2:D$38^A12180)</f>
        <v>36.99169537</v>
      </c>
      <c r="C12180" s="8">
        <f t="array" ref="C12180">PRODUCT(1-'Sparkling Model'!D$2:D$38^A12180)</f>
        <v>0.9917194939</v>
      </c>
    </row>
    <row r="12181">
      <c r="A12181" s="6">
        <v>12179.0</v>
      </c>
      <c r="B12181" s="17">
        <f t="array" ref="B12181">SUM(1-'Sparkling Model'!D$2:D$38^A12181)</f>
        <v>36.9916995</v>
      </c>
      <c r="C12181" s="8">
        <f t="array" ref="C12181">PRODUCT(1-'Sparkling Model'!D$2:D$38^A12181)</f>
        <v>0.9917235974</v>
      </c>
    </row>
    <row r="12182">
      <c r="A12182" s="6">
        <v>12180.0</v>
      </c>
      <c r="B12182" s="17">
        <f t="array" ref="B12182">SUM(1-'Sparkling Model'!D$2:D$38^A12182)</f>
        <v>36.99170363</v>
      </c>
      <c r="C12182" s="8">
        <f t="array" ref="C12182">PRODUCT(1-'Sparkling Model'!D$2:D$38^A12182)</f>
        <v>0.9917276988</v>
      </c>
    </row>
    <row r="12183">
      <c r="A12183" s="6">
        <v>12181.0</v>
      </c>
      <c r="B12183" s="17">
        <f t="array" ref="B12183">SUM(1-'Sparkling Model'!D$2:D$38^A12183)</f>
        <v>36.99170775</v>
      </c>
      <c r="C12183" s="8">
        <f t="array" ref="C12183">PRODUCT(1-'Sparkling Model'!D$2:D$38^A12183)</f>
        <v>0.9917317982</v>
      </c>
    </row>
    <row r="12184">
      <c r="A12184" s="6">
        <v>12182.0</v>
      </c>
      <c r="B12184" s="17">
        <f t="array" ref="B12184">SUM(1-'Sparkling Model'!D$2:D$38^A12184)</f>
        <v>36.99171187</v>
      </c>
      <c r="C12184" s="8">
        <f t="array" ref="C12184">PRODUCT(1-'Sparkling Model'!D$2:D$38^A12184)</f>
        <v>0.9917358955</v>
      </c>
    </row>
    <row r="12185">
      <c r="A12185" s="6">
        <v>12183.0</v>
      </c>
      <c r="B12185" s="17">
        <f t="array" ref="B12185">SUM(1-'Sparkling Model'!D$2:D$38^A12185)</f>
        <v>36.99171599</v>
      </c>
      <c r="C12185" s="8">
        <f t="array" ref="C12185">PRODUCT(1-'Sparkling Model'!D$2:D$38^A12185)</f>
        <v>0.9917399908</v>
      </c>
    </row>
    <row r="12186">
      <c r="A12186" s="6">
        <v>12184.0</v>
      </c>
      <c r="B12186" s="17">
        <f t="array" ref="B12186">SUM(1-'Sparkling Model'!D$2:D$38^A12186)</f>
        <v>36.99172011</v>
      </c>
      <c r="C12186" s="8">
        <f t="array" ref="C12186">PRODUCT(1-'Sparkling Model'!D$2:D$38^A12186)</f>
        <v>0.9917440841</v>
      </c>
    </row>
    <row r="12187">
      <c r="A12187" s="6">
        <v>12185.0</v>
      </c>
      <c r="B12187" s="17">
        <f t="array" ref="B12187">SUM(1-'Sparkling Model'!D$2:D$38^A12187)</f>
        <v>36.99172422</v>
      </c>
      <c r="C12187" s="8">
        <f t="array" ref="C12187">PRODUCT(1-'Sparkling Model'!D$2:D$38^A12187)</f>
        <v>0.9917481753</v>
      </c>
    </row>
    <row r="12188">
      <c r="A12188" s="6">
        <v>12186.0</v>
      </c>
      <c r="B12188" s="17">
        <f t="array" ref="B12188">SUM(1-'Sparkling Model'!D$2:D$38^A12188)</f>
        <v>36.99172834</v>
      </c>
      <c r="C12188" s="8">
        <f t="array" ref="C12188">PRODUCT(1-'Sparkling Model'!D$2:D$38^A12188)</f>
        <v>0.9917522645</v>
      </c>
    </row>
    <row r="12189">
      <c r="A12189" s="6">
        <v>12187.0</v>
      </c>
      <c r="B12189" s="17">
        <f t="array" ref="B12189">SUM(1-'Sparkling Model'!D$2:D$38^A12189)</f>
        <v>36.99173245</v>
      </c>
      <c r="C12189" s="8">
        <f t="array" ref="C12189">PRODUCT(1-'Sparkling Model'!D$2:D$38^A12189)</f>
        <v>0.9917563516</v>
      </c>
    </row>
    <row r="12190">
      <c r="A12190" s="6">
        <v>12188.0</v>
      </c>
      <c r="B12190" s="17">
        <f t="array" ref="B12190">SUM(1-'Sparkling Model'!D$2:D$38^A12190)</f>
        <v>36.99173656</v>
      </c>
      <c r="C12190" s="8">
        <f t="array" ref="C12190">PRODUCT(1-'Sparkling Model'!D$2:D$38^A12190)</f>
        <v>0.9917604368</v>
      </c>
    </row>
    <row r="12191">
      <c r="A12191" s="6">
        <v>12189.0</v>
      </c>
      <c r="B12191" s="17">
        <f t="array" ref="B12191">SUM(1-'Sparkling Model'!D$2:D$38^A12191)</f>
        <v>36.99174066</v>
      </c>
      <c r="C12191" s="8">
        <f t="array" ref="C12191">PRODUCT(1-'Sparkling Model'!D$2:D$38^A12191)</f>
        <v>0.9917645199</v>
      </c>
    </row>
    <row r="12192">
      <c r="A12192" s="6">
        <v>12190.0</v>
      </c>
      <c r="B12192" s="17">
        <f t="array" ref="B12192">SUM(1-'Sparkling Model'!D$2:D$38^A12192)</f>
        <v>36.99174477</v>
      </c>
      <c r="C12192" s="8">
        <f t="array" ref="C12192">PRODUCT(1-'Sparkling Model'!D$2:D$38^A12192)</f>
        <v>0.9917686009</v>
      </c>
    </row>
    <row r="12193">
      <c r="A12193" s="6">
        <v>12191.0</v>
      </c>
      <c r="B12193" s="17">
        <f t="array" ref="B12193">SUM(1-'Sparkling Model'!D$2:D$38^A12193)</f>
        <v>36.99174887</v>
      </c>
      <c r="C12193" s="8">
        <f t="array" ref="C12193">PRODUCT(1-'Sparkling Model'!D$2:D$38^A12193)</f>
        <v>0.99177268</v>
      </c>
    </row>
    <row r="12194">
      <c r="A12194" s="6">
        <v>12192.0</v>
      </c>
      <c r="B12194" s="17">
        <f t="array" ref="B12194">SUM(1-'Sparkling Model'!D$2:D$38^A12194)</f>
        <v>36.99175297</v>
      </c>
      <c r="C12194" s="8">
        <f t="array" ref="C12194">PRODUCT(1-'Sparkling Model'!D$2:D$38^A12194)</f>
        <v>0.991776757</v>
      </c>
    </row>
    <row r="12195">
      <c r="A12195" s="6">
        <v>12193.0</v>
      </c>
      <c r="B12195" s="17">
        <f t="array" ref="B12195">SUM(1-'Sparkling Model'!D$2:D$38^A12195)</f>
        <v>36.99175707</v>
      </c>
      <c r="C12195" s="8">
        <f t="array" ref="C12195">PRODUCT(1-'Sparkling Model'!D$2:D$38^A12195)</f>
        <v>0.991780832</v>
      </c>
    </row>
    <row r="12196">
      <c r="A12196" s="6">
        <v>12194.0</v>
      </c>
      <c r="B12196" s="17">
        <f t="array" ref="B12196">SUM(1-'Sparkling Model'!D$2:D$38^A12196)</f>
        <v>36.99176117</v>
      </c>
      <c r="C12196" s="8">
        <f t="array" ref="C12196">PRODUCT(1-'Sparkling Model'!D$2:D$38^A12196)</f>
        <v>0.9917849049</v>
      </c>
    </row>
    <row r="12197">
      <c r="A12197" s="6">
        <v>12195.0</v>
      </c>
      <c r="B12197" s="17">
        <f t="array" ref="B12197">SUM(1-'Sparkling Model'!D$2:D$38^A12197)</f>
        <v>36.99176526</v>
      </c>
      <c r="C12197" s="8">
        <f t="array" ref="C12197">PRODUCT(1-'Sparkling Model'!D$2:D$38^A12197)</f>
        <v>0.9917889759</v>
      </c>
    </row>
    <row r="12198">
      <c r="A12198" s="6">
        <v>12196.0</v>
      </c>
      <c r="B12198" s="17">
        <f t="array" ref="B12198">SUM(1-'Sparkling Model'!D$2:D$38^A12198)</f>
        <v>36.99176935</v>
      </c>
      <c r="C12198" s="8">
        <f t="array" ref="C12198">PRODUCT(1-'Sparkling Model'!D$2:D$38^A12198)</f>
        <v>0.9917930448</v>
      </c>
    </row>
    <row r="12199">
      <c r="A12199" s="6">
        <v>12197.0</v>
      </c>
      <c r="B12199" s="17">
        <f t="array" ref="B12199">SUM(1-'Sparkling Model'!D$2:D$38^A12199)</f>
        <v>36.99177344</v>
      </c>
      <c r="C12199" s="8">
        <f t="array" ref="C12199">PRODUCT(1-'Sparkling Model'!D$2:D$38^A12199)</f>
        <v>0.9917971117</v>
      </c>
    </row>
    <row r="12200">
      <c r="A12200" s="6">
        <v>12198.0</v>
      </c>
      <c r="B12200" s="17">
        <f t="array" ref="B12200">SUM(1-'Sparkling Model'!D$2:D$38^A12200)</f>
        <v>36.99177753</v>
      </c>
      <c r="C12200" s="8">
        <f t="array" ref="C12200">PRODUCT(1-'Sparkling Model'!D$2:D$38^A12200)</f>
        <v>0.9918011765</v>
      </c>
    </row>
    <row r="12201">
      <c r="A12201" s="6">
        <v>12199.0</v>
      </c>
      <c r="B12201" s="17">
        <f t="array" ref="B12201">SUM(1-'Sparkling Model'!D$2:D$38^A12201)</f>
        <v>36.99178162</v>
      </c>
      <c r="C12201" s="8">
        <f t="array" ref="C12201">PRODUCT(1-'Sparkling Model'!D$2:D$38^A12201)</f>
        <v>0.9918052394</v>
      </c>
    </row>
    <row r="12202">
      <c r="A12202" s="6">
        <v>12200.0</v>
      </c>
      <c r="B12202" s="17">
        <f t="array" ref="B12202">SUM(1-'Sparkling Model'!D$2:D$38^A12202)</f>
        <v>36.9917857</v>
      </c>
      <c r="C12202" s="8">
        <f t="array" ref="C12202">PRODUCT(1-'Sparkling Model'!D$2:D$38^A12202)</f>
        <v>0.9918093002</v>
      </c>
    </row>
    <row r="12203">
      <c r="A12203" s="6">
        <v>12201.0</v>
      </c>
      <c r="B12203" s="17">
        <f t="array" ref="B12203">SUM(1-'Sparkling Model'!D$2:D$38^A12203)</f>
        <v>36.99178979</v>
      </c>
      <c r="C12203" s="8">
        <f t="array" ref="C12203">PRODUCT(1-'Sparkling Model'!D$2:D$38^A12203)</f>
        <v>0.991813359</v>
      </c>
    </row>
    <row r="12204">
      <c r="A12204" s="6">
        <v>12202.0</v>
      </c>
      <c r="B12204" s="17">
        <f t="array" ref="B12204">SUM(1-'Sparkling Model'!D$2:D$38^A12204)</f>
        <v>36.99179387</v>
      </c>
      <c r="C12204" s="8">
        <f t="array" ref="C12204">PRODUCT(1-'Sparkling Model'!D$2:D$38^A12204)</f>
        <v>0.9918174158</v>
      </c>
    </row>
    <row r="12205">
      <c r="A12205" s="6">
        <v>12203.0</v>
      </c>
      <c r="B12205" s="17">
        <f t="array" ref="B12205">SUM(1-'Sparkling Model'!D$2:D$38^A12205)</f>
        <v>36.99179795</v>
      </c>
      <c r="C12205" s="8">
        <f t="array" ref="C12205">PRODUCT(1-'Sparkling Model'!D$2:D$38^A12205)</f>
        <v>0.9918214706</v>
      </c>
    </row>
    <row r="12206">
      <c r="A12206" s="6">
        <v>12204.0</v>
      </c>
      <c r="B12206" s="17">
        <f t="array" ref="B12206">SUM(1-'Sparkling Model'!D$2:D$38^A12206)</f>
        <v>36.99180202</v>
      </c>
      <c r="C12206" s="8">
        <f t="array" ref="C12206">PRODUCT(1-'Sparkling Model'!D$2:D$38^A12206)</f>
        <v>0.9918255234</v>
      </c>
    </row>
    <row r="12207">
      <c r="A12207" s="6">
        <v>12205.0</v>
      </c>
      <c r="B12207" s="17">
        <f t="array" ref="B12207">SUM(1-'Sparkling Model'!D$2:D$38^A12207)</f>
        <v>36.9918061</v>
      </c>
      <c r="C12207" s="8">
        <f t="array" ref="C12207">PRODUCT(1-'Sparkling Model'!D$2:D$38^A12207)</f>
        <v>0.9918295741</v>
      </c>
    </row>
    <row r="12208">
      <c r="A12208" s="6">
        <v>12206.0</v>
      </c>
      <c r="B12208" s="17">
        <f t="array" ref="B12208">SUM(1-'Sparkling Model'!D$2:D$38^A12208)</f>
        <v>36.99181017</v>
      </c>
      <c r="C12208" s="8">
        <f t="array" ref="C12208">PRODUCT(1-'Sparkling Model'!D$2:D$38^A12208)</f>
        <v>0.9918336228</v>
      </c>
    </row>
    <row r="12209">
      <c r="A12209" s="6">
        <v>12207.0</v>
      </c>
      <c r="B12209" s="17">
        <f t="array" ref="B12209">SUM(1-'Sparkling Model'!D$2:D$38^A12209)</f>
        <v>36.99181424</v>
      </c>
      <c r="C12209" s="8">
        <f t="array" ref="C12209">PRODUCT(1-'Sparkling Model'!D$2:D$38^A12209)</f>
        <v>0.9918376696</v>
      </c>
    </row>
    <row r="12210">
      <c r="A12210" s="6">
        <v>12208.0</v>
      </c>
      <c r="B12210" s="17">
        <f t="array" ref="B12210">SUM(1-'Sparkling Model'!D$2:D$38^A12210)</f>
        <v>36.99181831</v>
      </c>
      <c r="C12210" s="8">
        <f t="array" ref="C12210">PRODUCT(1-'Sparkling Model'!D$2:D$38^A12210)</f>
        <v>0.9918417143</v>
      </c>
    </row>
    <row r="12211">
      <c r="A12211" s="6">
        <v>12209.0</v>
      </c>
      <c r="B12211" s="17">
        <f t="array" ref="B12211">SUM(1-'Sparkling Model'!D$2:D$38^A12211)</f>
        <v>36.99182237</v>
      </c>
      <c r="C12211" s="8">
        <f t="array" ref="C12211">PRODUCT(1-'Sparkling Model'!D$2:D$38^A12211)</f>
        <v>0.991845757</v>
      </c>
    </row>
    <row r="12212">
      <c r="A12212" s="6">
        <v>12210.0</v>
      </c>
      <c r="B12212" s="17">
        <f t="array" ref="B12212">SUM(1-'Sparkling Model'!D$2:D$38^A12212)</f>
        <v>36.99182644</v>
      </c>
      <c r="C12212" s="8">
        <f t="array" ref="C12212">PRODUCT(1-'Sparkling Model'!D$2:D$38^A12212)</f>
        <v>0.9918497976</v>
      </c>
    </row>
    <row r="12213">
      <c r="A12213" s="6">
        <v>12211.0</v>
      </c>
      <c r="B12213" s="17">
        <f t="array" ref="B12213">SUM(1-'Sparkling Model'!D$2:D$38^A12213)</f>
        <v>36.9918305</v>
      </c>
      <c r="C12213" s="8">
        <f t="array" ref="C12213">PRODUCT(1-'Sparkling Model'!D$2:D$38^A12213)</f>
        <v>0.9918538363</v>
      </c>
    </row>
    <row r="12214">
      <c r="A12214" s="6">
        <v>12212.0</v>
      </c>
      <c r="B12214" s="17">
        <f t="array" ref="B12214">SUM(1-'Sparkling Model'!D$2:D$38^A12214)</f>
        <v>36.99183456</v>
      </c>
      <c r="C12214" s="8">
        <f t="array" ref="C12214">PRODUCT(1-'Sparkling Model'!D$2:D$38^A12214)</f>
        <v>0.991857873</v>
      </c>
    </row>
    <row r="12215">
      <c r="A12215" s="6">
        <v>12213.0</v>
      </c>
      <c r="B12215" s="17">
        <f t="array" ref="B12215">SUM(1-'Sparkling Model'!D$2:D$38^A12215)</f>
        <v>36.99183862</v>
      </c>
      <c r="C12215" s="8">
        <f t="array" ref="C12215">PRODUCT(1-'Sparkling Model'!D$2:D$38^A12215)</f>
        <v>0.9918619077</v>
      </c>
    </row>
    <row r="12216">
      <c r="A12216" s="6">
        <v>12214.0</v>
      </c>
      <c r="B12216" s="17">
        <f t="array" ref="B12216">SUM(1-'Sparkling Model'!D$2:D$38^A12216)</f>
        <v>36.99184267</v>
      </c>
      <c r="C12216" s="8">
        <f t="array" ref="C12216">PRODUCT(1-'Sparkling Model'!D$2:D$38^A12216)</f>
        <v>0.9918659403</v>
      </c>
    </row>
    <row r="12217">
      <c r="A12217" s="6">
        <v>12215.0</v>
      </c>
      <c r="B12217" s="17">
        <f t="array" ref="B12217">SUM(1-'Sparkling Model'!D$2:D$38^A12217)</f>
        <v>36.99184673</v>
      </c>
      <c r="C12217" s="8">
        <f t="array" ref="C12217">PRODUCT(1-'Sparkling Model'!D$2:D$38^A12217)</f>
        <v>0.991869971</v>
      </c>
    </row>
    <row r="12218">
      <c r="A12218" s="6">
        <v>12216.0</v>
      </c>
      <c r="B12218" s="17">
        <f t="array" ref="B12218">SUM(1-'Sparkling Model'!D$2:D$38^A12218)</f>
        <v>36.99185078</v>
      </c>
      <c r="C12218" s="8">
        <f t="array" ref="C12218">PRODUCT(1-'Sparkling Model'!D$2:D$38^A12218)</f>
        <v>0.9918739996</v>
      </c>
    </row>
    <row r="12219">
      <c r="A12219" s="6">
        <v>12217.0</v>
      </c>
      <c r="B12219" s="17">
        <f t="array" ref="B12219">SUM(1-'Sparkling Model'!D$2:D$38^A12219)</f>
        <v>36.99185483</v>
      </c>
      <c r="C12219" s="8">
        <f t="array" ref="C12219">PRODUCT(1-'Sparkling Model'!D$2:D$38^A12219)</f>
        <v>0.9918780263</v>
      </c>
    </row>
    <row r="12220">
      <c r="A12220" s="6">
        <v>12218.0</v>
      </c>
      <c r="B12220" s="17">
        <f t="array" ref="B12220">SUM(1-'Sparkling Model'!D$2:D$38^A12220)</f>
        <v>36.99185888</v>
      </c>
      <c r="C12220" s="8">
        <f t="array" ref="C12220">PRODUCT(1-'Sparkling Model'!D$2:D$38^A12220)</f>
        <v>0.9918820509</v>
      </c>
    </row>
    <row r="12221">
      <c r="A12221" s="6">
        <v>12219.0</v>
      </c>
      <c r="B12221" s="17">
        <f t="array" ref="B12221">SUM(1-'Sparkling Model'!D$2:D$38^A12221)</f>
        <v>36.99186292</v>
      </c>
      <c r="C12221" s="8">
        <f t="array" ref="C12221">PRODUCT(1-'Sparkling Model'!D$2:D$38^A12221)</f>
        <v>0.9918860736</v>
      </c>
    </row>
    <row r="12222">
      <c r="A12222" s="6">
        <v>12220.0</v>
      </c>
      <c r="B12222" s="17">
        <f t="array" ref="B12222">SUM(1-'Sparkling Model'!D$2:D$38^A12222)</f>
        <v>36.99186697</v>
      </c>
      <c r="C12222" s="8">
        <f t="array" ref="C12222">PRODUCT(1-'Sparkling Model'!D$2:D$38^A12222)</f>
        <v>0.9918900942</v>
      </c>
    </row>
    <row r="12223">
      <c r="A12223" s="6">
        <v>12221.0</v>
      </c>
      <c r="B12223" s="17">
        <f t="array" ref="B12223">SUM(1-'Sparkling Model'!D$2:D$38^A12223)</f>
        <v>36.99187101</v>
      </c>
      <c r="C12223" s="8">
        <f t="array" ref="C12223">PRODUCT(1-'Sparkling Model'!D$2:D$38^A12223)</f>
        <v>0.9918941129</v>
      </c>
    </row>
    <row r="12224">
      <c r="A12224" s="6">
        <v>12222.0</v>
      </c>
      <c r="B12224" s="17">
        <f t="array" ref="B12224">SUM(1-'Sparkling Model'!D$2:D$38^A12224)</f>
        <v>36.99187505</v>
      </c>
      <c r="C12224" s="8">
        <f t="array" ref="C12224">PRODUCT(1-'Sparkling Model'!D$2:D$38^A12224)</f>
        <v>0.9918981295</v>
      </c>
    </row>
    <row r="12225">
      <c r="A12225" s="6">
        <v>12223.0</v>
      </c>
      <c r="B12225" s="17">
        <f t="array" ref="B12225">SUM(1-'Sparkling Model'!D$2:D$38^A12225)</f>
        <v>36.99187908</v>
      </c>
      <c r="C12225" s="8">
        <f t="array" ref="C12225">PRODUCT(1-'Sparkling Model'!D$2:D$38^A12225)</f>
        <v>0.9919021442</v>
      </c>
    </row>
    <row r="12226">
      <c r="A12226" s="6">
        <v>12224.0</v>
      </c>
      <c r="B12226" s="17">
        <f t="array" ref="B12226">SUM(1-'Sparkling Model'!D$2:D$38^A12226)</f>
        <v>36.99188312</v>
      </c>
      <c r="C12226" s="8">
        <f t="array" ref="C12226">PRODUCT(1-'Sparkling Model'!D$2:D$38^A12226)</f>
        <v>0.9919061568</v>
      </c>
    </row>
    <row r="12227">
      <c r="A12227" s="6">
        <v>12225.0</v>
      </c>
      <c r="B12227" s="17">
        <f t="array" ref="B12227">SUM(1-'Sparkling Model'!D$2:D$38^A12227)</f>
        <v>36.99188715</v>
      </c>
      <c r="C12227" s="8">
        <f t="array" ref="C12227">PRODUCT(1-'Sparkling Model'!D$2:D$38^A12227)</f>
        <v>0.9919101675</v>
      </c>
    </row>
    <row r="12228">
      <c r="A12228" s="6">
        <v>12226.0</v>
      </c>
      <c r="B12228" s="17">
        <f t="array" ref="B12228">SUM(1-'Sparkling Model'!D$2:D$38^A12228)</f>
        <v>36.99189119</v>
      </c>
      <c r="C12228" s="8">
        <f t="array" ref="C12228">PRODUCT(1-'Sparkling Model'!D$2:D$38^A12228)</f>
        <v>0.9919141762</v>
      </c>
    </row>
    <row r="12229">
      <c r="A12229" s="6">
        <v>12227.0</v>
      </c>
      <c r="B12229" s="17">
        <f t="array" ref="B12229">SUM(1-'Sparkling Model'!D$2:D$38^A12229)</f>
        <v>36.99189522</v>
      </c>
      <c r="C12229" s="8">
        <f t="array" ref="C12229">PRODUCT(1-'Sparkling Model'!D$2:D$38^A12229)</f>
        <v>0.9919181829</v>
      </c>
    </row>
    <row r="12230">
      <c r="A12230" s="6">
        <v>12228.0</v>
      </c>
      <c r="B12230" s="17">
        <f t="array" ref="B12230">SUM(1-'Sparkling Model'!D$2:D$38^A12230)</f>
        <v>36.99189924</v>
      </c>
      <c r="C12230" s="8">
        <f t="array" ref="C12230">PRODUCT(1-'Sparkling Model'!D$2:D$38^A12230)</f>
        <v>0.9919221875</v>
      </c>
    </row>
    <row r="12231">
      <c r="A12231" s="6">
        <v>12229.0</v>
      </c>
      <c r="B12231" s="17">
        <f t="array" ref="B12231">SUM(1-'Sparkling Model'!D$2:D$38^A12231)</f>
        <v>36.99190327</v>
      </c>
      <c r="C12231" s="8">
        <f t="array" ref="C12231">PRODUCT(1-'Sparkling Model'!D$2:D$38^A12231)</f>
        <v>0.9919261902</v>
      </c>
    </row>
    <row r="12232">
      <c r="A12232" s="6">
        <v>12230.0</v>
      </c>
      <c r="B12232" s="17">
        <f t="array" ref="B12232">SUM(1-'Sparkling Model'!D$2:D$38^A12232)</f>
        <v>36.99190729</v>
      </c>
      <c r="C12232" s="8">
        <f t="array" ref="C12232">PRODUCT(1-'Sparkling Model'!D$2:D$38^A12232)</f>
        <v>0.9919301909</v>
      </c>
    </row>
    <row r="12233">
      <c r="A12233" s="6">
        <v>12231.0</v>
      </c>
      <c r="B12233" s="17">
        <f t="array" ref="B12233">SUM(1-'Sparkling Model'!D$2:D$38^A12233)</f>
        <v>36.99191131</v>
      </c>
      <c r="C12233" s="8">
        <f t="array" ref="C12233">PRODUCT(1-'Sparkling Model'!D$2:D$38^A12233)</f>
        <v>0.9919341897</v>
      </c>
    </row>
    <row r="12234">
      <c r="A12234" s="6">
        <v>12232.0</v>
      </c>
      <c r="B12234" s="17">
        <f t="array" ref="B12234">SUM(1-'Sparkling Model'!D$2:D$38^A12234)</f>
        <v>36.99191533</v>
      </c>
      <c r="C12234" s="8">
        <f t="array" ref="C12234">PRODUCT(1-'Sparkling Model'!D$2:D$38^A12234)</f>
        <v>0.9919381864</v>
      </c>
    </row>
    <row r="12235">
      <c r="A12235" s="6">
        <v>12233.0</v>
      </c>
      <c r="B12235" s="17">
        <f t="array" ref="B12235">SUM(1-'Sparkling Model'!D$2:D$38^A12235)</f>
        <v>36.99191935</v>
      </c>
      <c r="C12235" s="8">
        <f t="array" ref="C12235">PRODUCT(1-'Sparkling Model'!D$2:D$38^A12235)</f>
        <v>0.9919421811</v>
      </c>
    </row>
    <row r="12236">
      <c r="A12236" s="6">
        <v>12234.0</v>
      </c>
      <c r="B12236" s="17">
        <f t="array" ref="B12236">SUM(1-'Sparkling Model'!D$2:D$38^A12236)</f>
        <v>36.99192337</v>
      </c>
      <c r="C12236" s="8">
        <f t="array" ref="C12236">PRODUCT(1-'Sparkling Model'!D$2:D$38^A12236)</f>
        <v>0.9919461739</v>
      </c>
    </row>
    <row r="12237">
      <c r="A12237" s="6">
        <v>12235.0</v>
      </c>
      <c r="B12237" s="17">
        <f t="array" ref="B12237">SUM(1-'Sparkling Model'!D$2:D$38^A12237)</f>
        <v>36.99192738</v>
      </c>
      <c r="C12237" s="8">
        <f t="array" ref="C12237">PRODUCT(1-'Sparkling Model'!D$2:D$38^A12237)</f>
        <v>0.9919501647</v>
      </c>
    </row>
    <row r="12238">
      <c r="A12238" s="6">
        <v>12236.0</v>
      </c>
      <c r="B12238" s="17">
        <f t="array" ref="B12238">SUM(1-'Sparkling Model'!D$2:D$38^A12238)</f>
        <v>36.99193139</v>
      </c>
      <c r="C12238" s="8">
        <f t="array" ref="C12238">PRODUCT(1-'Sparkling Model'!D$2:D$38^A12238)</f>
        <v>0.9919541535</v>
      </c>
    </row>
    <row r="12239">
      <c r="A12239" s="6">
        <v>12237.0</v>
      </c>
      <c r="B12239" s="17">
        <f t="array" ref="B12239">SUM(1-'Sparkling Model'!D$2:D$38^A12239)</f>
        <v>36.9919354</v>
      </c>
      <c r="C12239" s="8">
        <f t="array" ref="C12239">PRODUCT(1-'Sparkling Model'!D$2:D$38^A12239)</f>
        <v>0.9919581403</v>
      </c>
    </row>
    <row r="12240">
      <c r="A12240" s="6">
        <v>12238.0</v>
      </c>
      <c r="B12240" s="17">
        <f t="array" ref="B12240">SUM(1-'Sparkling Model'!D$2:D$38^A12240)</f>
        <v>36.99193941</v>
      </c>
      <c r="C12240" s="8">
        <f t="array" ref="C12240">PRODUCT(1-'Sparkling Model'!D$2:D$38^A12240)</f>
        <v>0.9919621251</v>
      </c>
    </row>
    <row r="12241">
      <c r="A12241" s="6">
        <v>12239.0</v>
      </c>
      <c r="B12241" s="17">
        <f t="array" ref="B12241">SUM(1-'Sparkling Model'!D$2:D$38^A12241)</f>
        <v>36.99194341</v>
      </c>
      <c r="C12241" s="8">
        <f t="array" ref="C12241">PRODUCT(1-'Sparkling Model'!D$2:D$38^A12241)</f>
        <v>0.991966108</v>
      </c>
    </row>
    <row r="12242">
      <c r="A12242" s="6">
        <v>12240.0</v>
      </c>
      <c r="B12242" s="17">
        <f t="array" ref="B12242">SUM(1-'Sparkling Model'!D$2:D$38^A12242)</f>
        <v>36.99194742</v>
      </c>
      <c r="C12242" s="8">
        <f t="array" ref="C12242">PRODUCT(1-'Sparkling Model'!D$2:D$38^A12242)</f>
        <v>0.9919700888</v>
      </c>
    </row>
    <row r="12243">
      <c r="A12243" s="6">
        <v>12241.0</v>
      </c>
      <c r="B12243" s="17">
        <f t="array" ref="B12243">SUM(1-'Sparkling Model'!D$2:D$38^A12243)</f>
        <v>36.99195142</v>
      </c>
      <c r="C12243" s="8">
        <f t="array" ref="C12243">PRODUCT(1-'Sparkling Model'!D$2:D$38^A12243)</f>
        <v>0.9919740677</v>
      </c>
    </row>
    <row r="12244">
      <c r="A12244" s="6">
        <v>12242.0</v>
      </c>
      <c r="B12244" s="17">
        <f t="array" ref="B12244">SUM(1-'Sparkling Model'!D$2:D$38^A12244)</f>
        <v>36.99195542</v>
      </c>
      <c r="C12244" s="8">
        <f t="array" ref="C12244">PRODUCT(1-'Sparkling Model'!D$2:D$38^A12244)</f>
        <v>0.9919780446</v>
      </c>
    </row>
    <row r="12245">
      <c r="A12245" s="6">
        <v>12243.0</v>
      </c>
      <c r="B12245" s="17">
        <f t="array" ref="B12245">SUM(1-'Sparkling Model'!D$2:D$38^A12245)</f>
        <v>36.99195942</v>
      </c>
      <c r="C12245" s="8">
        <f t="array" ref="C12245">PRODUCT(1-'Sparkling Model'!D$2:D$38^A12245)</f>
        <v>0.9919820195</v>
      </c>
    </row>
    <row r="12246">
      <c r="A12246" s="6">
        <v>12244.0</v>
      </c>
      <c r="B12246" s="17">
        <f t="array" ref="B12246">SUM(1-'Sparkling Model'!D$2:D$38^A12246)</f>
        <v>36.99196341</v>
      </c>
      <c r="C12246" s="8">
        <f t="array" ref="C12246">PRODUCT(1-'Sparkling Model'!D$2:D$38^A12246)</f>
        <v>0.9919859925</v>
      </c>
    </row>
    <row r="12247">
      <c r="A12247" s="6">
        <v>12245.0</v>
      </c>
      <c r="B12247" s="17">
        <f t="array" ref="B12247">SUM(1-'Sparkling Model'!D$2:D$38^A12247)</f>
        <v>36.99196741</v>
      </c>
      <c r="C12247" s="8">
        <f t="array" ref="C12247">PRODUCT(1-'Sparkling Model'!D$2:D$38^A12247)</f>
        <v>0.9919899635</v>
      </c>
    </row>
    <row r="12248">
      <c r="A12248" s="6">
        <v>12246.0</v>
      </c>
      <c r="B12248" s="17">
        <f t="array" ref="B12248">SUM(1-'Sparkling Model'!D$2:D$38^A12248)</f>
        <v>36.9919714</v>
      </c>
      <c r="C12248" s="8">
        <f t="array" ref="C12248">PRODUCT(1-'Sparkling Model'!D$2:D$38^A12248)</f>
        <v>0.9919939325</v>
      </c>
    </row>
    <row r="12249">
      <c r="A12249" s="6">
        <v>12247.0</v>
      </c>
      <c r="B12249" s="17">
        <f t="array" ref="B12249">SUM(1-'Sparkling Model'!D$2:D$38^A12249)</f>
        <v>36.99197539</v>
      </c>
      <c r="C12249" s="8">
        <f t="array" ref="C12249">PRODUCT(1-'Sparkling Model'!D$2:D$38^A12249)</f>
        <v>0.9919978995</v>
      </c>
    </row>
    <row r="12250">
      <c r="A12250" s="6">
        <v>12248.0</v>
      </c>
      <c r="B12250" s="17">
        <f t="array" ref="B12250">SUM(1-'Sparkling Model'!D$2:D$38^A12250)</f>
        <v>36.99197937</v>
      </c>
      <c r="C12250" s="8">
        <f t="array" ref="C12250">PRODUCT(1-'Sparkling Model'!D$2:D$38^A12250)</f>
        <v>0.9920018646</v>
      </c>
    </row>
    <row r="12251">
      <c r="A12251" s="6">
        <v>12249.0</v>
      </c>
      <c r="B12251" s="17">
        <f t="array" ref="B12251">SUM(1-'Sparkling Model'!D$2:D$38^A12251)</f>
        <v>36.99198336</v>
      </c>
      <c r="C12251" s="8">
        <f t="array" ref="C12251">PRODUCT(1-'Sparkling Model'!D$2:D$38^A12251)</f>
        <v>0.9920058277</v>
      </c>
    </row>
    <row r="12252">
      <c r="A12252" s="6">
        <v>12250.0</v>
      </c>
      <c r="B12252" s="17">
        <f t="array" ref="B12252">SUM(1-'Sparkling Model'!D$2:D$38^A12252)</f>
        <v>36.99198734</v>
      </c>
      <c r="C12252" s="8">
        <f t="array" ref="C12252">PRODUCT(1-'Sparkling Model'!D$2:D$38^A12252)</f>
        <v>0.9920097888</v>
      </c>
    </row>
    <row r="12253">
      <c r="A12253" s="6">
        <v>12251.0</v>
      </c>
      <c r="B12253" s="17">
        <f t="array" ref="B12253">SUM(1-'Sparkling Model'!D$2:D$38^A12253)</f>
        <v>36.99199133</v>
      </c>
      <c r="C12253" s="8">
        <f t="array" ref="C12253">PRODUCT(1-'Sparkling Model'!D$2:D$38^A12253)</f>
        <v>0.992013748</v>
      </c>
    </row>
    <row r="12254">
      <c r="A12254" s="6">
        <v>12252.0</v>
      </c>
      <c r="B12254" s="17">
        <f t="array" ref="B12254">SUM(1-'Sparkling Model'!D$2:D$38^A12254)</f>
        <v>36.9919953</v>
      </c>
      <c r="C12254" s="8">
        <f t="array" ref="C12254">PRODUCT(1-'Sparkling Model'!D$2:D$38^A12254)</f>
        <v>0.9920177052</v>
      </c>
    </row>
    <row r="12255">
      <c r="A12255" s="6">
        <v>12253.0</v>
      </c>
      <c r="B12255" s="17">
        <f t="array" ref="B12255">SUM(1-'Sparkling Model'!D$2:D$38^A12255)</f>
        <v>36.99199928</v>
      </c>
      <c r="C12255" s="8">
        <f t="array" ref="C12255">PRODUCT(1-'Sparkling Model'!D$2:D$38^A12255)</f>
        <v>0.9920216604</v>
      </c>
    </row>
    <row r="12256">
      <c r="A12256" s="6">
        <v>12254.0</v>
      </c>
      <c r="B12256" s="17">
        <f t="array" ref="B12256">SUM(1-'Sparkling Model'!D$2:D$38^A12256)</f>
        <v>36.99200326</v>
      </c>
      <c r="C12256" s="8">
        <f t="array" ref="C12256">PRODUCT(1-'Sparkling Model'!D$2:D$38^A12256)</f>
        <v>0.9920256136</v>
      </c>
    </row>
    <row r="12257">
      <c r="A12257" s="6">
        <v>12255.0</v>
      </c>
      <c r="B12257" s="17">
        <f t="array" ref="B12257">SUM(1-'Sparkling Model'!D$2:D$38^A12257)</f>
        <v>36.99200723</v>
      </c>
      <c r="C12257" s="8">
        <f t="array" ref="C12257">PRODUCT(1-'Sparkling Model'!D$2:D$38^A12257)</f>
        <v>0.9920295649</v>
      </c>
    </row>
    <row r="12258">
      <c r="A12258" s="6">
        <v>12256.0</v>
      </c>
      <c r="B12258" s="17">
        <f t="array" ref="B12258">SUM(1-'Sparkling Model'!D$2:D$38^A12258)</f>
        <v>36.9920112</v>
      </c>
      <c r="C12258" s="8">
        <f t="array" ref="C12258">PRODUCT(1-'Sparkling Model'!D$2:D$38^A12258)</f>
        <v>0.9920335143</v>
      </c>
    </row>
    <row r="12259">
      <c r="A12259" s="6">
        <v>12257.0</v>
      </c>
      <c r="B12259" s="17">
        <f t="array" ref="B12259">SUM(1-'Sparkling Model'!D$2:D$38^A12259)</f>
        <v>36.99201517</v>
      </c>
      <c r="C12259" s="8">
        <f t="array" ref="C12259">PRODUCT(1-'Sparkling Model'!D$2:D$38^A12259)</f>
        <v>0.9920374616</v>
      </c>
    </row>
    <row r="12260">
      <c r="A12260" s="6">
        <v>12258.0</v>
      </c>
      <c r="B12260" s="17">
        <f t="array" ref="B12260">SUM(1-'Sparkling Model'!D$2:D$38^A12260)</f>
        <v>36.99201914</v>
      </c>
      <c r="C12260" s="8">
        <f t="array" ref="C12260">PRODUCT(1-'Sparkling Model'!D$2:D$38^A12260)</f>
        <v>0.992041407</v>
      </c>
    </row>
    <row r="12261">
      <c r="A12261" s="6">
        <v>12259.0</v>
      </c>
      <c r="B12261" s="17">
        <f t="array" ref="B12261">SUM(1-'Sparkling Model'!D$2:D$38^A12261)</f>
        <v>36.99202311</v>
      </c>
      <c r="C12261" s="8">
        <f t="array" ref="C12261">PRODUCT(1-'Sparkling Model'!D$2:D$38^A12261)</f>
        <v>0.9920453505</v>
      </c>
    </row>
    <row r="12262">
      <c r="A12262" s="6">
        <v>12260.0</v>
      </c>
      <c r="B12262" s="17">
        <f t="array" ref="B12262">SUM(1-'Sparkling Model'!D$2:D$38^A12262)</f>
        <v>36.99202707</v>
      </c>
      <c r="C12262" s="8">
        <f t="array" ref="C12262">PRODUCT(1-'Sparkling Model'!D$2:D$38^A12262)</f>
        <v>0.9920492919</v>
      </c>
    </row>
    <row r="12263">
      <c r="A12263" s="6">
        <v>12261.0</v>
      </c>
      <c r="B12263" s="17">
        <f t="array" ref="B12263">SUM(1-'Sparkling Model'!D$2:D$38^A12263)</f>
        <v>36.99203103</v>
      </c>
      <c r="C12263" s="8">
        <f t="array" ref="C12263">PRODUCT(1-'Sparkling Model'!D$2:D$38^A12263)</f>
        <v>0.9920532315</v>
      </c>
    </row>
    <row r="12264">
      <c r="A12264" s="6">
        <v>12262.0</v>
      </c>
      <c r="B12264" s="17">
        <f t="array" ref="B12264">SUM(1-'Sparkling Model'!D$2:D$38^A12264)</f>
        <v>36.99203499</v>
      </c>
      <c r="C12264" s="8">
        <f t="array" ref="C12264">PRODUCT(1-'Sparkling Model'!D$2:D$38^A12264)</f>
        <v>0.992057169</v>
      </c>
    </row>
    <row r="12265">
      <c r="A12265" s="6">
        <v>12263.0</v>
      </c>
      <c r="B12265" s="17">
        <f t="array" ref="B12265">SUM(1-'Sparkling Model'!D$2:D$38^A12265)</f>
        <v>36.99203895</v>
      </c>
      <c r="C12265" s="8">
        <f t="array" ref="C12265">PRODUCT(1-'Sparkling Model'!D$2:D$38^A12265)</f>
        <v>0.9920611046</v>
      </c>
    </row>
    <row r="12266">
      <c r="A12266" s="6">
        <v>12264.0</v>
      </c>
      <c r="B12266" s="17">
        <f t="array" ref="B12266">SUM(1-'Sparkling Model'!D$2:D$38^A12266)</f>
        <v>36.9920429</v>
      </c>
      <c r="C12266" s="8">
        <f t="array" ref="C12266">PRODUCT(1-'Sparkling Model'!D$2:D$38^A12266)</f>
        <v>0.9920650383</v>
      </c>
    </row>
    <row r="12267">
      <c r="A12267" s="6">
        <v>12265.0</v>
      </c>
      <c r="B12267" s="17">
        <f t="array" ref="B12267">SUM(1-'Sparkling Model'!D$2:D$38^A12267)</f>
        <v>36.99204686</v>
      </c>
      <c r="C12267" s="8">
        <f t="array" ref="C12267">PRODUCT(1-'Sparkling Model'!D$2:D$38^A12267)</f>
        <v>0.99206897</v>
      </c>
    </row>
    <row r="12268">
      <c r="A12268" s="6">
        <v>12266.0</v>
      </c>
      <c r="B12268" s="17">
        <f t="array" ref="B12268">SUM(1-'Sparkling Model'!D$2:D$38^A12268)</f>
        <v>36.99205081</v>
      </c>
      <c r="C12268" s="8">
        <f t="array" ref="C12268">PRODUCT(1-'Sparkling Model'!D$2:D$38^A12268)</f>
        <v>0.9920728997</v>
      </c>
    </row>
    <row r="12269">
      <c r="A12269" s="6">
        <v>12267.0</v>
      </c>
      <c r="B12269" s="17">
        <f t="array" ref="B12269">SUM(1-'Sparkling Model'!D$2:D$38^A12269)</f>
        <v>36.99205476</v>
      </c>
      <c r="C12269" s="8">
        <f t="array" ref="C12269">PRODUCT(1-'Sparkling Model'!D$2:D$38^A12269)</f>
        <v>0.9920768275</v>
      </c>
    </row>
    <row r="12270">
      <c r="A12270" s="6">
        <v>12268.0</v>
      </c>
      <c r="B12270" s="17">
        <f t="array" ref="B12270">SUM(1-'Sparkling Model'!D$2:D$38^A12270)</f>
        <v>36.99205871</v>
      </c>
      <c r="C12270" s="8">
        <f t="array" ref="C12270">PRODUCT(1-'Sparkling Model'!D$2:D$38^A12270)</f>
        <v>0.9920807533</v>
      </c>
    </row>
    <row r="12271">
      <c r="A12271" s="6">
        <v>12269.0</v>
      </c>
      <c r="B12271" s="17">
        <f t="array" ref="B12271">SUM(1-'Sparkling Model'!D$2:D$38^A12271)</f>
        <v>36.99206265</v>
      </c>
      <c r="C12271" s="8">
        <f t="array" ref="C12271">PRODUCT(1-'Sparkling Model'!D$2:D$38^A12271)</f>
        <v>0.9920846772</v>
      </c>
    </row>
    <row r="12272">
      <c r="A12272" s="6">
        <v>12270.0</v>
      </c>
      <c r="B12272" s="17">
        <f t="array" ref="B12272">SUM(1-'Sparkling Model'!D$2:D$38^A12272)</f>
        <v>36.9920666</v>
      </c>
      <c r="C12272" s="8">
        <f t="array" ref="C12272">PRODUCT(1-'Sparkling Model'!D$2:D$38^A12272)</f>
        <v>0.9920885991</v>
      </c>
    </row>
    <row r="12273">
      <c r="A12273" s="6">
        <v>12271.0</v>
      </c>
      <c r="B12273" s="17">
        <f t="array" ref="B12273">SUM(1-'Sparkling Model'!D$2:D$38^A12273)</f>
        <v>36.99207054</v>
      </c>
      <c r="C12273" s="8">
        <f t="array" ref="C12273">PRODUCT(1-'Sparkling Model'!D$2:D$38^A12273)</f>
        <v>0.9920925191</v>
      </c>
    </row>
    <row r="12274">
      <c r="A12274" s="6">
        <v>12272.0</v>
      </c>
      <c r="B12274" s="17">
        <f t="array" ref="B12274">SUM(1-'Sparkling Model'!D$2:D$38^A12274)</f>
        <v>36.99207448</v>
      </c>
      <c r="C12274" s="8">
        <f t="array" ref="C12274">PRODUCT(1-'Sparkling Model'!D$2:D$38^A12274)</f>
        <v>0.9920964372</v>
      </c>
    </row>
    <row r="12275">
      <c r="A12275" s="6">
        <v>12273.0</v>
      </c>
      <c r="B12275" s="17">
        <f t="array" ref="B12275">SUM(1-'Sparkling Model'!D$2:D$38^A12275)</f>
        <v>36.99207842</v>
      </c>
      <c r="C12275" s="8">
        <f t="array" ref="C12275">PRODUCT(1-'Sparkling Model'!D$2:D$38^A12275)</f>
        <v>0.9921003533</v>
      </c>
    </row>
    <row r="12276">
      <c r="A12276" s="6">
        <v>12274.0</v>
      </c>
      <c r="B12276" s="17">
        <f t="array" ref="B12276">SUM(1-'Sparkling Model'!D$2:D$38^A12276)</f>
        <v>36.99208235</v>
      </c>
      <c r="C12276" s="8">
        <f t="array" ref="C12276">PRODUCT(1-'Sparkling Model'!D$2:D$38^A12276)</f>
        <v>0.9921042674</v>
      </c>
    </row>
    <row r="12277">
      <c r="A12277" s="6">
        <v>12275.0</v>
      </c>
      <c r="B12277" s="17">
        <f t="array" ref="B12277">SUM(1-'Sparkling Model'!D$2:D$38^A12277)</f>
        <v>36.99208629</v>
      </c>
      <c r="C12277" s="8">
        <f t="array" ref="C12277">PRODUCT(1-'Sparkling Model'!D$2:D$38^A12277)</f>
        <v>0.9921081796</v>
      </c>
    </row>
    <row r="12278">
      <c r="A12278" s="6">
        <v>12276.0</v>
      </c>
      <c r="B12278" s="17">
        <f t="array" ref="B12278">SUM(1-'Sparkling Model'!D$2:D$38^A12278)</f>
        <v>36.99209022</v>
      </c>
      <c r="C12278" s="8">
        <f t="array" ref="C12278">PRODUCT(1-'Sparkling Model'!D$2:D$38^A12278)</f>
        <v>0.9921120898</v>
      </c>
    </row>
    <row r="12279">
      <c r="A12279" s="6">
        <v>12277.0</v>
      </c>
      <c r="B12279" s="17">
        <f t="array" ref="B12279">SUM(1-'Sparkling Model'!D$2:D$38^A12279)</f>
        <v>36.99209415</v>
      </c>
      <c r="C12279" s="8">
        <f t="array" ref="C12279">PRODUCT(1-'Sparkling Model'!D$2:D$38^A12279)</f>
        <v>0.9921159982</v>
      </c>
    </row>
    <row r="12280">
      <c r="A12280" s="6">
        <v>12278.0</v>
      </c>
      <c r="B12280" s="17">
        <f t="array" ref="B12280">SUM(1-'Sparkling Model'!D$2:D$38^A12280)</f>
        <v>36.99209808</v>
      </c>
      <c r="C12280" s="8">
        <f t="array" ref="C12280">PRODUCT(1-'Sparkling Model'!D$2:D$38^A12280)</f>
        <v>0.9921199045</v>
      </c>
    </row>
    <row r="12281">
      <c r="A12281" s="6">
        <v>12279.0</v>
      </c>
      <c r="B12281" s="17">
        <f t="array" ref="B12281">SUM(1-'Sparkling Model'!D$2:D$38^A12281)</f>
        <v>36.992102</v>
      </c>
      <c r="C12281" s="8">
        <f t="array" ref="C12281">PRODUCT(1-'Sparkling Model'!D$2:D$38^A12281)</f>
        <v>0.9921238089</v>
      </c>
    </row>
    <row r="12282">
      <c r="A12282" s="6">
        <v>12280.0</v>
      </c>
      <c r="B12282" s="17">
        <f t="array" ref="B12282">SUM(1-'Sparkling Model'!D$2:D$38^A12282)</f>
        <v>36.99210593</v>
      </c>
      <c r="C12282" s="8">
        <f t="array" ref="C12282">PRODUCT(1-'Sparkling Model'!D$2:D$38^A12282)</f>
        <v>0.9921277114</v>
      </c>
    </row>
    <row r="12283">
      <c r="A12283" s="6">
        <v>12281.0</v>
      </c>
      <c r="B12283" s="17">
        <f t="array" ref="B12283">SUM(1-'Sparkling Model'!D$2:D$38^A12283)</f>
        <v>36.99210985</v>
      </c>
      <c r="C12283" s="8">
        <f t="array" ref="C12283">PRODUCT(1-'Sparkling Model'!D$2:D$38^A12283)</f>
        <v>0.992131612</v>
      </c>
    </row>
    <row r="12284">
      <c r="A12284" s="6">
        <v>12282.0</v>
      </c>
      <c r="B12284" s="17">
        <f t="array" ref="B12284">SUM(1-'Sparkling Model'!D$2:D$38^A12284)</f>
        <v>36.99211377</v>
      </c>
      <c r="C12284" s="8">
        <f t="array" ref="C12284">PRODUCT(1-'Sparkling Model'!D$2:D$38^A12284)</f>
        <v>0.9921355106</v>
      </c>
    </row>
    <row r="12285">
      <c r="A12285" s="6">
        <v>12283.0</v>
      </c>
      <c r="B12285" s="17">
        <f t="array" ref="B12285">SUM(1-'Sparkling Model'!D$2:D$38^A12285)</f>
        <v>36.99211769</v>
      </c>
      <c r="C12285" s="8">
        <f t="array" ref="C12285">PRODUCT(1-'Sparkling Model'!D$2:D$38^A12285)</f>
        <v>0.9921394072</v>
      </c>
    </row>
    <row r="12286">
      <c r="A12286" s="6">
        <v>12284.0</v>
      </c>
      <c r="B12286" s="17">
        <f t="array" ref="B12286">SUM(1-'Sparkling Model'!D$2:D$38^A12286)</f>
        <v>36.99212161</v>
      </c>
      <c r="C12286" s="8">
        <f t="array" ref="C12286">PRODUCT(1-'Sparkling Model'!D$2:D$38^A12286)</f>
        <v>0.992143302</v>
      </c>
    </row>
    <row r="12287">
      <c r="A12287" s="6">
        <v>12285.0</v>
      </c>
      <c r="B12287" s="17">
        <f t="array" ref="B12287">SUM(1-'Sparkling Model'!D$2:D$38^A12287)</f>
        <v>36.99212552</v>
      </c>
      <c r="C12287" s="8">
        <f t="array" ref="C12287">PRODUCT(1-'Sparkling Model'!D$2:D$38^A12287)</f>
        <v>0.9921471948</v>
      </c>
    </row>
    <row r="12288">
      <c r="A12288" s="6">
        <v>12286.0</v>
      </c>
      <c r="B12288" s="17">
        <f t="array" ref="B12288">SUM(1-'Sparkling Model'!D$2:D$38^A12288)</f>
        <v>36.99212943</v>
      </c>
      <c r="C12288" s="8">
        <f t="array" ref="C12288">PRODUCT(1-'Sparkling Model'!D$2:D$38^A12288)</f>
        <v>0.9921510856</v>
      </c>
    </row>
    <row r="12289">
      <c r="A12289" s="6">
        <v>12287.0</v>
      </c>
      <c r="B12289" s="17">
        <f t="array" ref="B12289">SUM(1-'Sparkling Model'!D$2:D$38^A12289)</f>
        <v>36.99213334</v>
      </c>
      <c r="C12289" s="8">
        <f t="array" ref="C12289">PRODUCT(1-'Sparkling Model'!D$2:D$38^A12289)</f>
        <v>0.9921549746</v>
      </c>
    </row>
    <row r="12290">
      <c r="A12290" s="6">
        <v>12288.0</v>
      </c>
      <c r="B12290" s="17">
        <f t="array" ref="B12290">SUM(1-'Sparkling Model'!D$2:D$38^A12290)</f>
        <v>36.99213725</v>
      </c>
      <c r="C12290" s="8">
        <f t="array" ref="C12290">PRODUCT(1-'Sparkling Model'!D$2:D$38^A12290)</f>
        <v>0.9921588616</v>
      </c>
    </row>
    <row r="12291">
      <c r="A12291" s="6">
        <v>12289.0</v>
      </c>
      <c r="B12291" s="17">
        <f t="array" ref="B12291">SUM(1-'Sparkling Model'!D$2:D$38^A12291)</f>
        <v>36.99214116</v>
      </c>
      <c r="C12291" s="8">
        <f t="array" ref="C12291">PRODUCT(1-'Sparkling Model'!D$2:D$38^A12291)</f>
        <v>0.9921627466</v>
      </c>
    </row>
    <row r="12292">
      <c r="A12292" s="6">
        <v>12290.0</v>
      </c>
      <c r="B12292" s="17">
        <f t="array" ref="B12292">SUM(1-'Sparkling Model'!D$2:D$38^A12292)</f>
        <v>36.99214506</v>
      </c>
      <c r="C12292" s="8">
        <f t="array" ref="C12292">PRODUCT(1-'Sparkling Model'!D$2:D$38^A12292)</f>
        <v>0.9921666298</v>
      </c>
    </row>
    <row r="12293">
      <c r="A12293" s="6">
        <v>12291.0</v>
      </c>
      <c r="B12293" s="17">
        <f t="array" ref="B12293">SUM(1-'Sparkling Model'!D$2:D$38^A12293)</f>
        <v>36.99214897</v>
      </c>
      <c r="C12293" s="8">
        <f t="array" ref="C12293">PRODUCT(1-'Sparkling Model'!D$2:D$38^A12293)</f>
        <v>0.992170511</v>
      </c>
    </row>
    <row r="12294">
      <c r="A12294" s="6">
        <v>12292.0</v>
      </c>
      <c r="B12294" s="17">
        <f t="array" ref="B12294">SUM(1-'Sparkling Model'!D$2:D$38^A12294)</f>
        <v>36.99215287</v>
      </c>
      <c r="C12294" s="8">
        <f t="array" ref="C12294">PRODUCT(1-'Sparkling Model'!D$2:D$38^A12294)</f>
        <v>0.9921743902</v>
      </c>
    </row>
    <row r="12295">
      <c r="A12295" s="6">
        <v>12293.0</v>
      </c>
      <c r="B12295" s="17">
        <f t="array" ref="B12295">SUM(1-'Sparkling Model'!D$2:D$38^A12295)</f>
        <v>36.99215677</v>
      </c>
      <c r="C12295" s="8">
        <f t="array" ref="C12295">PRODUCT(1-'Sparkling Model'!D$2:D$38^A12295)</f>
        <v>0.9921782676</v>
      </c>
    </row>
    <row r="12296">
      <c r="A12296" s="6">
        <v>12294.0</v>
      </c>
      <c r="B12296" s="17">
        <f t="array" ref="B12296">SUM(1-'Sparkling Model'!D$2:D$38^A12296)</f>
        <v>36.99216066</v>
      </c>
      <c r="C12296" s="8">
        <f t="array" ref="C12296">PRODUCT(1-'Sparkling Model'!D$2:D$38^A12296)</f>
        <v>0.992182143</v>
      </c>
    </row>
    <row r="12297">
      <c r="A12297" s="6">
        <v>12295.0</v>
      </c>
      <c r="B12297" s="17">
        <f t="array" ref="B12297">SUM(1-'Sparkling Model'!D$2:D$38^A12297)</f>
        <v>36.99216456</v>
      </c>
      <c r="C12297" s="8">
        <f t="array" ref="C12297">PRODUCT(1-'Sparkling Model'!D$2:D$38^A12297)</f>
        <v>0.9921860165</v>
      </c>
    </row>
    <row r="12298">
      <c r="A12298" s="6">
        <v>12296.0</v>
      </c>
      <c r="B12298" s="17">
        <f t="array" ref="B12298">SUM(1-'Sparkling Model'!D$2:D$38^A12298)</f>
        <v>36.99216845</v>
      </c>
      <c r="C12298" s="8">
        <f t="array" ref="C12298">PRODUCT(1-'Sparkling Model'!D$2:D$38^A12298)</f>
        <v>0.992189888</v>
      </c>
    </row>
    <row r="12299">
      <c r="A12299" s="6">
        <v>12297.0</v>
      </c>
      <c r="B12299" s="17">
        <f t="array" ref="B12299">SUM(1-'Sparkling Model'!D$2:D$38^A12299)</f>
        <v>36.99217234</v>
      </c>
      <c r="C12299" s="8">
        <f t="array" ref="C12299">PRODUCT(1-'Sparkling Model'!D$2:D$38^A12299)</f>
        <v>0.9921937577</v>
      </c>
    </row>
    <row r="12300">
      <c r="A12300" s="6">
        <v>12298.0</v>
      </c>
      <c r="B12300" s="17">
        <f t="array" ref="B12300">SUM(1-'Sparkling Model'!D$2:D$38^A12300)</f>
        <v>36.99217623</v>
      </c>
      <c r="C12300" s="8">
        <f t="array" ref="C12300">PRODUCT(1-'Sparkling Model'!D$2:D$38^A12300)</f>
        <v>0.9921976254</v>
      </c>
    </row>
    <row r="12301">
      <c r="A12301" s="6">
        <v>12299.0</v>
      </c>
      <c r="B12301" s="17">
        <f t="array" ref="B12301">SUM(1-'Sparkling Model'!D$2:D$38^A12301)</f>
        <v>36.99218012</v>
      </c>
      <c r="C12301" s="8">
        <f t="array" ref="C12301">PRODUCT(1-'Sparkling Model'!D$2:D$38^A12301)</f>
        <v>0.9922014912</v>
      </c>
    </row>
    <row r="12302">
      <c r="A12302" s="6">
        <v>12300.0</v>
      </c>
      <c r="B12302" s="17">
        <f t="array" ref="B12302">SUM(1-'Sparkling Model'!D$2:D$38^A12302)</f>
        <v>36.992184</v>
      </c>
      <c r="C12302" s="8">
        <f t="array" ref="C12302">PRODUCT(1-'Sparkling Model'!D$2:D$38^A12302)</f>
        <v>0.9922053551</v>
      </c>
    </row>
    <row r="12303">
      <c r="A12303" s="6">
        <v>12301.0</v>
      </c>
      <c r="B12303" s="17">
        <f t="array" ref="B12303">SUM(1-'Sparkling Model'!D$2:D$38^A12303)</f>
        <v>36.99218789</v>
      </c>
      <c r="C12303" s="8">
        <f t="array" ref="C12303">PRODUCT(1-'Sparkling Model'!D$2:D$38^A12303)</f>
        <v>0.992209217</v>
      </c>
    </row>
    <row r="12304">
      <c r="A12304" s="6">
        <v>12302.0</v>
      </c>
      <c r="B12304" s="17">
        <f t="array" ref="B12304">SUM(1-'Sparkling Model'!D$2:D$38^A12304)</f>
        <v>36.99219177</v>
      </c>
      <c r="C12304" s="8">
        <f t="array" ref="C12304">PRODUCT(1-'Sparkling Model'!D$2:D$38^A12304)</f>
        <v>0.9922130771</v>
      </c>
    </row>
    <row r="12305">
      <c r="A12305" s="6">
        <v>12303.0</v>
      </c>
      <c r="B12305" s="17">
        <f t="array" ref="B12305">SUM(1-'Sparkling Model'!D$2:D$38^A12305)</f>
        <v>36.99219565</v>
      </c>
      <c r="C12305" s="8">
        <f t="array" ref="C12305">PRODUCT(1-'Sparkling Model'!D$2:D$38^A12305)</f>
        <v>0.9922169352</v>
      </c>
    </row>
    <row r="12306">
      <c r="A12306" s="6">
        <v>12304.0</v>
      </c>
      <c r="B12306" s="17">
        <f t="array" ref="B12306">SUM(1-'Sparkling Model'!D$2:D$38^A12306)</f>
        <v>36.99219953</v>
      </c>
      <c r="C12306" s="8">
        <f t="array" ref="C12306">PRODUCT(1-'Sparkling Model'!D$2:D$38^A12306)</f>
        <v>0.9922207914</v>
      </c>
    </row>
    <row r="12307">
      <c r="A12307" s="6">
        <v>12305.0</v>
      </c>
      <c r="B12307" s="17">
        <f t="array" ref="B12307">SUM(1-'Sparkling Model'!D$2:D$38^A12307)</f>
        <v>36.9922034</v>
      </c>
      <c r="C12307" s="8">
        <f t="array" ref="C12307">PRODUCT(1-'Sparkling Model'!D$2:D$38^A12307)</f>
        <v>0.9922246457</v>
      </c>
    </row>
    <row r="12308">
      <c r="A12308" s="6">
        <v>12306.0</v>
      </c>
      <c r="B12308" s="17">
        <f t="array" ref="B12308">SUM(1-'Sparkling Model'!D$2:D$38^A12308)</f>
        <v>36.99220727</v>
      </c>
      <c r="C12308" s="8">
        <f t="array" ref="C12308">PRODUCT(1-'Sparkling Model'!D$2:D$38^A12308)</f>
        <v>0.992228498</v>
      </c>
    </row>
    <row r="12309">
      <c r="A12309" s="6">
        <v>12307.0</v>
      </c>
      <c r="B12309" s="17">
        <f t="array" ref="B12309">SUM(1-'Sparkling Model'!D$2:D$38^A12309)</f>
        <v>36.99221115</v>
      </c>
      <c r="C12309" s="8">
        <f t="array" ref="C12309">PRODUCT(1-'Sparkling Model'!D$2:D$38^A12309)</f>
        <v>0.9922323485</v>
      </c>
    </row>
    <row r="12310">
      <c r="A12310" s="6">
        <v>12308.0</v>
      </c>
      <c r="B12310" s="17">
        <f t="array" ref="B12310">SUM(1-'Sparkling Model'!D$2:D$38^A12310)</f>
        <v>36.99221502</v>
      </c>
      <c r="C12310" s="8">
        <f t="array" ref="C12310">PRODUCT(1-'Sparkling Model'!D$2:D$38^A12310)</f>
        <v>0.992236197</v>
      </c>
    </row>
    <row r="12311">
      <c r="A12311" s="6">
        <v>12309.0</v>
      </c>
      <c r="B12311" s="17">
        <f t="array" ref="B12311">SUM(1-'Sparkling Model'!D$2:D$38^A12311)</f>
        <v>36.99221888</v>
      </c>
      <c r="C12311" s="8">
        <f t="array" ref="C12311">PRODUCT(1-'Sparkling Model'!D$2:D$38^A12311)</f>
        <v>0.9922400437</v>
      </c>
    </row>
    <row r="12312">
      <c r="A12312" s="6">
        <v>12310.0</v>
      </c>
      <c r="B12312" s="17">
        <f t="array" ref="B12312">SUM(1-'Sparkling Model'!D$2:D$38^A12312)</f>
        <v>36.99222275</v>
      </c>
      <c r="C12312" s="8">
        <f t="array" ref="C12312">PRODUCT(1-'Sparkling Model'!D$2:D$38^A12312)</f>
        <v>0.9922438884</v>
      </c>
    </row>
    <row r="12313">
      <c r="A12313" s="6">
        <v>12311.0</v>
      </c>
      <c r="B12313" s="17">
        <f t="array" ref="B12313">SUM(1-'Sparkling Model'!D$2:D$38^A12313)</f>
        <v>36.99222661</v>
      </c>
      <c r="C12313" s="8">
        <f t="array" ref="C12313">PRODUCT(1-'Sparkling Model'!D$2:D$38^A12313)</f>
        <v>0.9922477312</v>
      </c>
    </row>
    <row r="12314">
      <c r="A12314" s="6">
        <v>12312.0</v>
      </c>
      <c r="B12314" s="17">
        <f t="array" ref="B12314">SUM(1-'Sparkling Model'!D$2:D$38^A12314)</f>
        <v>36.99223048</v>
      </c>
      <c r="C12314" s="8">
        <f t="array" ref="C12314">PRODUCT(1-'Sparkling Model'!D$2:D$38^A12314)</f>
        <v>0.9922515721</v>
      </c>
    </row>
    <row r="12315">
      <c r="A12315" s="6">
        <v>12313.0</v>
      </c>
      <c r="B12315" s="17">
        <f t="array" ref="B12315">SUM(1-'Sparkling Model'!D$2:D$38^A12315)</f>
        <v>36.99223434</v>
      </c>
      <c r="C12315" s="8">
        <f t="array" ref="C12315">PRODUCT(1-'Sparkling Model'!D$2:D$38^A12315)</f>
        <v>0.9922554111</v>
      </c>
    </row>
    <row r="12316">
      <c r="A12316" s="6">
        <v>12314.0</v>
      </c>
      <c r="B12316" s="17">
        <f t="array" ref="B12316">SUM(1-'Sparkling Model'!D$2:D$38^A12316)</f>
        <v>36.99223819</v>
      </c>
      <c r="C12316" s="8">
        <f t="array" ref="C12316">PRODUCT(1-'Sparkling Model'!D$2:D$38^A12316)</f>
        <v>0.9922592481</v>
      </c>
    </row>
    <row r="12317">
      <c r="A12317" s="6">
        <v>12315.0</v>
      </c>
      <c r="B12317" s="17">
        <f t="array" ref="B12317">SUM(1-'Sparkling Model'!D$2:D$38^A12317)</f>
        <v>36.99224205</v>
      </c>
      <c r="C12317" s="8">
        <f t="array" ref="C12317">PRODUCT(1-'Sparkling Model'!D$2:D$38^A12317)</f>
        <v>0.9922630833</v>
      </c>
    </row>
    <row r="12318">
      <c r="A12318" s="6">
        <v>12316.0</v>
      </c>
      <c r="B12318" s="17">
        <f t="array" ref="B12318">SUM(1-'Sparkling Model'!D$2:D$38^A12318)</f>
        <v>36.9922459</v>
      </c>
      <c r="C12318" s="8">
        <f t="array" ref="C12318">PRODUCT(1-'Sparkling Model'!D$2:D$38^A12318)</f>
        <v>0.9922669166</v>
      </c>
    </row>
    <row r="12319">
      <c r="A12319" s="6">
        <v>12317.0</v>
      </c>
      <c r="B12319" s="17">
        <f t="array" ref="B12319">SUM(1-'Sparkling Model'!D$2:D$38^A12319)</f>
        <v>36.99224976</v>
      </c>
      <c r="C12319" s="8">
        <f t="array" ref="C12319">PRODUCT(1-'Sparkling Model'!D$2:D$38^A12319)</f>
        <v>0.9922707479</v>
      </c>
    </row>
    <row r="12320">
      <c r="A12320" s="6">
        <v>12318.0</v>
      </c>
      <c r="B12320" s="17">
        <f t="array" ref="B12320">SUM(1-'Sparkling Model'!D$2:D$38^A12320)</f>
        <v>36.99225361</v>
      </c>
      <c r="C12320" s="8">
        <f t="array" ref="C12320">PRODUCT(1-'Sparkling Model'!D$2:D$38^A12320)</f>
        <v>0.9922745774</v>
      </c>
    </row>
    <row r="12321">
      <c r="A12321" s="6">
        <v>12319.0</v>
      </c>
      <c r="B12321" s="17">
        <f t="array" ref="B12321">SUM(1-'Sparkling Model'!D$2:D$38^A12321)</f>
        <v>36.99225746</v>
      </c>
      <c r="C12321" s="8">
        <f t="array" ref="C12321">PRODUCT(1-'Sparkling Model'!D$2:D$38^A12321)</f>
        <v>0.9922784049</v>
      </c>
    </row>
    <row r="12322">
      <c r="A12322" s="6">
        <v>12320.0</v>
      </c>
      <c r="B12322" s="17">
        <f t="array" ref="B12322">SUM(1-'Sparkling Model'!D$2:D$38^A12322)</f>
        <v>36.9922613</v>
      </c>
      <c r="C12322" s="8">
        <f t="array" ref="C12322">PRODUCT(1-'Sparkling Model'!D$2:D$38^A12322)</f>
        <v>0.9922822306</v>
      </c>
    </row>
    <row r="12323">
      <c r="A12323" s="6">
        <v>12321.0</v>
      </c>
      <c r="B12323" s="17">
        <f t="array" ref="B12323">SUM(1-'Sparkling Model'!D$2:D$38^A12323)</f>
        <v>36.99226515</v>
      </c>
      <c r="C12323" s="8">
        <f t="array" ref="C12323">PRODUCT(1-'Sparkling Model'!D$2:D$38^A12323)</f>
        <v>0.9922860543</v>
      </c>
    </row>
    <row r="12324">
      <c r="A12324" s="6">
        <v>12322.0</v>
      </c>
      <c r="B12324" s="17">
        <f t="array" ref="B12324">SUM(1-'Sparkling Model'!D$2:D$38^A12324)</f>
        <v>36.99226899</v>
      </c>
      <c r="C12324" s="8">
        <f t="array" ref="C12324">PRODUCT(1-'Sparkling Model'!D$2:D$38^A12324)</f>
        <v>0.9922898762</v>
      </c>
    </row>
    <row r="12325">
      <c r="A12325" s="6">
        <v>12323.0</v>
      </c>
      <c r="B12325" s="17">
        <f t="array" ref="B12325">SUM(1-'Sparkling Model'!D$2:D$38^A12325)</f>
        <v>36.99227283</v>
      </c>
      <c r="C12325" s="8">
        <f t="array" ref="C12325">PRODUCT(1-'Sparkling Model'!D$2:D$38^A12325)</f>
        <v>0.9922936961</v>
      </c>
    </row>
    <row r="12326">
      <c r="A12326" s="6">
        <v>12324.0</v>
      </c>
      <c r="B12326" s="17">
        <f t="array" ref="B12326">SUM(1-'Sparkling Model'!D$2:D$38^A12326)</f>
        <v>36.99227667</v>
      </c>
      <c r="C12326" s="8">
        <f t="array" ref="C12326">PRODUCT(1-'Sparkling Model'!D$2:D$38^A12326)</f>
        <v>0.9922975142</v>
      </c>
    </row>
    <row r="12327">
      <c r="A12327" s="6">
        <v>12325.0</v>
      </c>
      <c r="B12327" s="17">
        <f t="array" ref="B12327">SUM(1-'Sparkling Model'!D$2:D$38^A12327)</f>
        <v>36.99228051</v>
      </c>
      <c r="C12327" s="8">
        <f t="array" ref="C12327">PRODUCT(1-'Sparkling Model'!D$2:D$38^A12327)</f>
        <v>0.9923013303</v>
      </c>
    </row>
    <row r="12328">
      <c r="A12328" s="6">
        <v>12326.0</v>
      </c>
      <c r="B12328" s="17">
        <f t="array" ref="B12328">SUM(1-'Sparkling Model'!D$2:D$38^A12328)</f>
        <v>36.99228434</v>
      </c>
      <c r="C12328" s="8">
        <f t="array" ref="C12328">PRODUCT(1-'Sparkling Model'!D$2:D$38^A12328)</f>
        <v>0.9923051446</v>
      </c>
    </row>
    <row r="12329">
      <c r="A12329" s="6">
        <v>12327.0</v>
      </c>
      <c r="B12329" s="17">
        <f t="array" ref="B12329">SUM(1-'Sparkling Model'!D$2:D$38^A12329)</f>
        <v>36.99228817</v>
      </c>
      <c r="C12329" s="8">
        <f t="array" ref="C12329">PRODUCT(1-'Sparkling Model'!D$2:D$38^A12329)</f>
        <v>0.9923089569</v>
      </c>
    </row>
    <row r="12330">
      <c r="A12330" s="6">
        <v>12328.0</v>
      </c>
      <c r="B12330" s="17">
        <f t="array" ref="B12330">SUM(1-'Sparkling Model'!D$2:D$38^A12330)</f>
        <v>36.99229201</v>
      </c>
      <c r="C12330" s="8">
        <f t="array" ref="C12330">PRODUCT(1-'Sparkling Model'!D$2:D$38^A12330)</f>
        <v>0.9923127674</v>
      </c>
    </row>
    <row r="12331">
      <c r="A12331" s="6">
        <v>12329.0</v>
      </c>
      <c r="B12331" s="17">
        <f t="array" ref="B12331">SUM(1-'Sparkling Model'!D$2:D$38^A12331)</f>
        <v>36.99229583</v>
      </c>
      <c r="C12331" s="8">
        <f t="array" ref="C12331">PRODUCT(1-'Sparkling Model'!D$2:D$38^A12331)</f>
        <v>0.992316576</v>
      </c>
    </row>
    <row r="12332">
      <c r="A12332" s="6">
        <v>12330.0</v>
      </c>
      <c r="B12332" s="17">
        <f t="array" ref="B12332">SUM(1-'Sparkling Model'!D$2:D$38^A12332)</f>
        <v>36.99229966</v>
      </c>
      <c r="C12332" s="8">
        <f t="array" ref="C12332">PRODUCT(1-'Sparkling Model'!D$2:D$38^A12332)</f>
        <v>0.9923203827</v>
      </c>
    </row>
    <row r="12333">
      <c r="A12333" s="6">
        <v>12331.0</v>
      </c>
      <c r="B12333" s="17">
        <f t="array" ref="B12333">SUM(1-'Sparkling Model'!D$2:D$38^A12333)</f>
        <v>36.99230349</v>
      </c>
      <c r="C12333" s="8">
        <f t="array" ref="C12333">PRODUCT(1-'Sparkling Model'!D$2:D$38^A12333)</f>
        <v>0.9923241874</v>
      </c>
    </row>
    <row r="12334">
      <c r="A12334" s="6">
        <v>12332.0</v>
      </c>
      <c r="B12334" s="17">
        <f t="array" ref="B12334">SUM(1-'Sparkling Model'!D$2:D$38^A12334)</f>
        <v>36.99230731</v>
      </c>
      <c r="C12334" s="8">
        <f t="array" ref="C12334">PRODUCT(1-'Sparkling Model'!D$2:D$38^A12334)</f>
        <v>0.9923279903</v>
      </c>
    </row>
    <row r="12335">
      <c r="A12335" s="6">
        <v>12333.0</v>
      </c>
      <c r="B12335" s="17">
        <f t="array" ref="B12335">SUM(1-'Sparkling Model'!D$2:D$38^A12335)</f>
        <v>36.99231113</v>
      </c>
      <c r="C12335" s="8">
        <f t="array" ref="C12335">PRODUCT(1-'Sparkling Model'!D$2:D$38^A12335)</f>
        <v>0.9923317913</v>
      </c>
    </row>
    <row r="12336">
      <c r="A12336" s="6">
        <v>12334.0</v>
      </c>
      <c r="B12336" s="17">
        <f t="array" ref="B12336">SUM(1-'Sparkling Model'!D$2:D$38^A12336)</f>
        <v>36.99231495</v>
      </c>
      <c r="C12336" s="8">
        <f t="array" ref="C12336">PRODUCT(1-'Sparkling Model'!D$2:D$38^A12336)</f>
        <v>0.9923355905</v>
      </c>
    </row>
    <row r="12337">
      <c r="A12337" s="6">
        <v>12335.0</v>
      </c>
      <c r="B12337" s="17">
        <f t="array" ref="B12337">SUM(1-'Sparkling Model'!D$2:D$38^A12337)</f>
        <v>36.99231877</v>
      </c>
      <c r="C12337" s="8">
        <f t="array" ref="C12337">PRODUCT(1-'Sparkling Model'!D$2:D$38^A12337)</f>
        <v>0.9923393877</v>
      </c>
    </row>
    <row r="12338">
      <c r="A12338" s="6">
        <v>12336.0</v>
      </c>
      <c r="B12338" s="17">
        <f t="array" ref="B12338">SUM(1-'Sparkling Model'!D$2:D$38^A12338)</f>
        <v>36.99232259</v>
      </c>
      <c r="C12338" s="8">
        <f t="array" ref="C12338">PRODUCT(1-'Sparkling Model'!D$2:D$38^A12338)</f>
        <v>0.992343183</v>
      </c>
    </row>
    <row r="12339">
      <c r="A12339" s="6">
        <v>12337.0</v>
      </c>
      <c r="B12339" s="17">
        <f t="array" ref="B12339">SUM(1-'Sparkling Model'!D$2:D$38^A12339)</f>
        <v>36.9923264</v>
      </c>
      <c r="C12339" s="8">
        <f t="array" ref="C12339">PRODUCT(1-'Sparkling Model'!D$2:D$38^A12339)</f>
        <v>0.9923469765</v>
      </c>
    </row>
    <row r="12340">
      <c r="A12340" s="6">
        <v>12338.0</v>
      </c>
      <c r="B12340" s="17">
        <f t="array" ref="B12340">SUM(1-'Sparkling Model'!D$2:D$38^A12340)</f>
        <v>36.99233021</v>
      </c>
      <c r="C12340" s="8">
        <f t="array" ref="C12340">PRODUCT(1-'Sparkling Model'!D$2:D$38^A12340)</f>
        <v>0.9923507681</v>
      </c>
    </row>
    <row r="12341">
      <c r="A12341" s="6">
        <v>12339.0</v>
      </c>
      <c r="B12341" s="17">
        <f t="array" ref="B12341">SUM(1-'Sparkling Model'!D$2:D$38^A12341)</f>
        <v>36.99233402</v>
      </c>
      <c r="C12341" s="8">
        <f t="array" ref="C12341">PRODUCT(1-'Sparkling Model'!D$2:D$38^A12341)</f>
        <v>0.9923545577</v>
      </c>
    </row>
    <row r="12342">
      <c r="A12342" s="6">
        <v>12340.0</v>
      </c>
      <c r="B12342" s="17">
        <f t="array" ref="B12342">SUM(1-'Sparkling Model'!D$2:D$38^A12342)</f>
        <v>36.99233783</v>
      </c>
      <c r="C12342" s="8">
        <f t="array" ref="C12342">PRODUCT(1-'Sparkling Model'!D$2:D$38^A12342)</f>
        <v>0.9923583455</v>
      </c>
    </row>
    <row r="12343">
      <c r="A12343" s="6">
        <v>12341.0</v>
      </c>
      <c r="B12343" s="17">
        <f t="array" ref="B12343">SUM(1-'Sparkling Model'!D$2:D$38^A12343)</f>
        <v>36.99234164</v>
      </c>
      <c r="C12343" s="8">
        <f t="array" ref="C12343">PRODUCT(1-'Sparkling Model'!D$2:D$38^A12343)</f>
        <v>0.9923621315</v>
      </c>
    </row>
    <row r="12344">
      <c r="A12344" s="6">
        <v>12342.0</v>
      </c>
      <c r="B12344" s="17">
        <f t="array" ref="B12344">SUM(1-'Sparkling Model'!D$2:D$38^A12344)</f>
        <v>36.99234544</v>
      </c>
      <c r="C12344" s="8">
        <f t="array" ref="C12344">PRODUCT(1-'Sparkling Model'!D$2:D$38^A12344)</f>
        <v>0.9923659155</v>
      </c>
    </row>
    <row r="12345">
      <c r="A12345" s="6">
        <v>12343.0</v>
      </c>
      <c r="B12345" s="17">
        <f t="array" ref="B12345">SUM(1-'Sparkling Model'!D$2:D$38^A12345)</f>
        <v>36.99234924</v>
      </c>
      <c r="C12345" s="8">
        <f t="array" ref="C12345">PRODUCT(1-'Sparkling Model'!D$2:D$38^A12345)</f>
        <v>0.9923696977</v>
      </c>
    </row>
    <row r="12346">
      <c r="A12346" s="6">
        <v>12344.0</v>
      </c>
      <c r="B12346" s="17">
        <f t="array" ref="B12346">SUM(1-'Sparkling Model'!D$2:D$38^A12346)</f>
        <v>36.99235305</v>
      </c>
      <c r="C12346" s="8">
        <f t="array" ref="C12346">PRODUCT(1-'Sparkling Model'!D$2:D$38^A12346)</f>
        <v>0.9923734779</v>
      </c>
    </row>
    <row r="12347">
      <c r="A12347" s="6">
        <v>12345.0</v>
      </c>
      <c r="B12347" s="17">
        <f t="array" ref="B12347">SUM(1-'Sparkling Model'!D$2:D$38^A12347)</f>
        <v>36.99235684</v>
      </c>
      <c r="C12347" s="8">
        <f t="array" ref="C12347">PRODUCT(1-'Sparkling Model'!D$2:D$38^A12347)</f>
        <v>0.9923772563</v>
      </c>
    </row>
    <row r="12348">
      <c r="A12348" s="6">
        <v>12346.0</v>
      </c>
      <c r="B12348" s="17">
        <f t="array" ref="B12348">SUM(1-'Sparkling Model'!D$2:D$38^A12348)</f>
        <v>36.99236064</v>
      </c>
      <c r="C12348" s="8">
        <f t="array" ref="C12348">PRODUCT(1-'Sparkling Model'!D$2:D$38^A12348)</f>
        <v>0.9923810329</v>
      </c>
    </row>
    <row r="12349">
      <c r="A12349" s="6">
        <v>12347.0</v>
      </c>
      <c r="B12349" s="17">
        <f t="array" ref="B12349">SUM(1-'Sparkling Model'!D$2:D$38^A12349)</f>
        <v>36.99236444</v>
      </c>
      <c r="C12349" s="8">
        <f t="array" ref="C12349">PRODUCT(1-'Sparkling Model'!D$2:D$38^A12349)</f>
        <v>0.9923848075</v>
      </c>
    </row>
    <row r="12350">
      <c r="A12350" s="6">
        <v>12348.0</v>
      </c>
      <c r="B12350" s="17">
        <f t="array" ref="B12350">SUM(1-'Sparkling Model'!D$2:D$38^A12350)</f>
        <v>36.99236823</v>
      </c>
      <c r="C12350" s="8">
        <f t="array" ref="C12350">PRODUCT(1-'Sparkling Model'!D$2:D$38^A12350)</f>
        <v>0.9923885803</v>
      </c>
    </row>
    <row r="12351">
      <c r="A12351" s="6">
        <v>12349.0</v>
      </c>
      <c r="B12351" s="17">
        <f t="array" ref="B12351">SUM(1-'Sparkling Model'!D$2:D$38^A12351)</f>
        <v>36.99237202</v>
      </c>
      <c r="C12351" s="8">
        <f t="array" ref="C12351">PRODUCT(1-'Sparkling Model'!D$2:D$38^A12351)</f>
        <v>0.9923923512</v>
      </c>
    </row>
    <row r="12352">
      <c r="A12352" s="6">
        <v>12350.0</v>
      </c>
      <c r="B12352" s="17">
        <f t="array" ref="B12352">SUM(1-'Sparkling Model'!D$2:D$38^A12352)</f>
        <v>36.99237581</v>
      </c>
      <c r="C12352" s="8">
        <f t="array" ref="C12352">PRODUCT(1-'Sparkling Model'!D$2:D$38^A12352)</f>
        <v>0.9923961202</v>
      </c>
    </row>
    <row r="12353">
      <c r="A12353" s="6">
        <v>12351.0</v>
      </c>
      <c r="B12353" s="17">
        <f t="array" ref="B12353">SUM(1-'Sparkling Model'!D$2:D$38^A12353)</f>
        <v>36.9923796</v>
      </c>
      <c r="C12353" s="8">
        <f t="array" ref="C12353">PRODUCT(1-'Sparkling Model'!D$2:D$38^A12353)</f>
        <v>0.9923998873</v>
      </c>
    </row>
    <row r="12354">
      <c r="A12354" s="6">
        <v>12352.0</v>
      </c>
      <c r="B12354" s="17">
        <f t="array" ref="B12354">SUM(1-'Sparkling Model'!D$2:D$38^A12354)</f>
        <v>36.99238338</v>
      </c>
      <c r="C12354" s="8">
        <f t="array" ref="C12354">PRODUCT(1-'Sparkling Model'!D$2:D$38^A12354)</f>
        <v>0.9924036526</v>
      </c>
    </row>
    <row r="12355">
      <c r="A12355" s="6">
        <v>12353.0</v>
      </c>
      <c r="B12355" s="17">
        <f t="array" ref="B12355">SUM(1-'Sparkling Model'!D$2:D$38^A12355)</f>
        <v>36.99238717</v>
      </c>
      <c r="C12355" s="8">
        <f t="array" ref="C12355">PRODUCT(1-'Sparkling Model'!D$2:D$38^A12355)</f>
        <v>0.992407416</v>
      </c>
    </row>
    <row r="12356">
      <c r="A12356" s="6">
        <v>12354.0</v>
      </c>
      <c r="B12356" s="17">
        <f t="array" ref="B12356">SUM(1-'Sparkling Model'!D$2:D$38^A12356)</f>
        <v>36.99239095</v>
      </c>
      <c r="C12356" s="8">
        <f t="array" ref="C12356">PRODUCT(1-'Sparkling Model'!D$2:D$38^A12356)</f>
        <v>0.9924111776</v>
      </c>
    </row>
    <row r="12357">
      <c r="A12357" s="6">
        <v>12355.0</v>
      </c>
      <c r="B12357" s="17">
        <f t="array" ref="B12357">SUM(1-'Sparkling Model'!D$2:D$38^A12357)</f>
        <v>36.99239473</v>
      </c>
      <c r="C12357" s="8">
        <f t="array" ref="C12357">PRODUCT(1-'Sparkling Model'!D$2:D$38^A12357)</f>
        <v>0.9924149372</v>
      </c>
    </row>
    <row r="12358">
      <c r="A12358" s="6">
        <v>12356.0</v>
      </c>
      <c r="B12358" s="17">
        <f t="array" ref="B12358">SUM(1-'Sparkling Model'!D$2:D$38^A12358)</f>
        <v>36.99239851</v>
      </c>
      <c r="C12358" s="8">
        <f t="array" ref="C12358">PRODUCT(1-'Sparkling Model'!D$2:D$38^A12358)</f>
        <v>0.992418695</v>
      </c>
    </row>
    <row r="12359">
      <c r="A12359" s="6">
        <v>12357.0</v>
      </c>
      <c r="B12359" s="17">
        <f t="array" ref="B12359">SUM(1-'Sparkling Model'!D$2:D$38^A12359)</f>
        <v>36.99240228</v>
      </c>
      <c r="C12359" s="8">
        <f t="array" ref="C12359">PRODUCT(1-'Sparkling Model'!D$2:D$38^A12359)</f>
        <v>0.9924224509</v>
      </c>
    </row>
    <row r="12360">
      <c r="A12360" s="6">
        <v>12358.0</v>
      </c>
      <c r="B12360" s="17">
        <f t="array" ref="B12360">SUM(1-'Sparkling Model'!D$2:D$38^A12360)</f>
        <v>36.99240606</v>
      </c>
      <c r="C12360" s="8">
        <f t="array" ref="C12360">PRODUCT(1-'Sparkling Model'!D$2:D$38^A12360)</f>
        <v>0.992426205</v>
      </c>
    </row>
    <row r="12361">
      <c r="A12361" s="6">
        <v>12359.0</v>
      </c>
      <c r="B12361" s="17">
        <f t="array" ref="B12361">SUM(1-'Sparkling Model'!D$2:D$38^A12361)</f>
        <v>36.99240983</v>
      </c>
      <c r="C12361" s="8">
        <f t="array" ref="C12361">PRODUCT(1-'Sparkling Model'!D$2:D$38^A12361)</f>
        <v>0.9924299572</v>
      </c>
    </row>
    <row r="12362">
      <c r="A12362" s="6">
        <v>12360.0</v>
      </c>
      <c r="B12362" s="17">
        <f t="array" ref="B12362">SUM(1-'Sparkling Model'!D$2:D$38^A12362)</f>
        <v>36.9924136</v>
      </c>
      <c r="C12362" s="8">
        <f t="array" ref="C12362">PRODUCT(1-'Sparkling Model'!D$2:D$38^A12362)</f>
        <v>0.9924337075</v>
      </c>
    </row>
    <row r="12363">
      <c r="A12363" s="6">
        <v>12361.0</v>
      </c>
      <c r="B12363" s="17">
        <f t="array" ref="B12363">SUM(1-'Sparkling Model'!D$2:D$38^A12363)</f>
        <v>36.99241737</v>
      </c>
      <c r="C12363" s="8">
        <f t="array" ref="C12363">PRODUCT(1-'Sparkling Model'!D$2:D$38^A12363)</f>
        <v>0.992437456</v>
      </c>
    </row>
    <row r="12364">
      <c r="A12364" s="6">
        <v>12362.0</v>
      </c>
      <c r="B12364" s="17">
        <f t="array" ref="B12364">SUM(1-'Sparkling Model'!D$2:D$38^A12364)</f>
        <v>36.99242113</v>
      </c>
      <c r="C12364" s="8">
        <f t="array" ref="C12364">PRODUCT(1-'Sparkling Model'!D$2:D$38^A12364)</f>
        <v>0.9924412026</v>
      </c>
    </row>
    <row r="12365">
      <c r="A12365" s="6">
        <v>12363.0</v>
      </c>
      <c r="B12365" s="17">
        <f t="array" ref="B12365">SUM(1-'Sparkling Model'!D$2:D$38^A12365)</f>
        <v>36.9924249</v>
      </c>
      <c r="C12365" s="8">
        <f t="array" ref="C12365">PRODUCT(1-'Sparkling Model'!D$2:D$38^A12365)</f>
        <v>0.9924449474</v>
      </c>
    </row>
    <row r="12366">
      <c r="A12366" s="6">
        <v>12364.0</v>
      </c>
      <c r="B12366" s="17">
        <f t="array" ref="B12366">SUM(1-'Sparkling Model'!D$2:D$38^A12366)</f>
        <v>36.99242866</v>
      </c>
      <c r="C12366" s="8">
        <f t="array" ref="C12366">PRODUCT(1-'Sparkling Model'!D$2:D$38^A12366)</f>
        <v>0.9924486902</v>
      </c>
    </row>
    <row r="12367">
      <c r="A12367" s="6">
        <v>12365.0</v>
      </c>
      <c r="B12367" s="17">
        <f t="array" ref="B12367">SUM(1-'Sparkling Model'!D$2:D$38^A12367)</f>
        <v>36.99243242</v>
      </c>
      <c r="C12367" s="8">
        <f t="array" ref="C12367">PRODUCT(1-'Sparkling Model'!D$2:D$38^A12367)</f>
        <v>0.9924524313</v>
      </c>
    </row>
    <row r="12368">
      <c r="A12368" s="6">
        <v>12366.0</v>
      </c>
      <c r="B12368" s="17">
        <f t="array" ref="B12368">SUM(1-'Sparkling Model'!D$2:D$38^A12368)</f>
        <v>36.99243618</v>
      </c>
      <c r="C12368" s="8">
        <f t="array" ref="C12368">PRODUCT(1-'Sparkling Model'!D$2:D$38^A12368)</f>
        <v>0.9924561704</v>
      </c>
    </row>
    <row r="12369">
      <c r="A12369" s="6">
        <v>12367.0</v>
      </c>
      <c r="B12369" s="17">
        <f t="array" ref="B12369">SUM(1-'Sparkling Model'!D$2:D$38^A12369)</f>
        <v>36.99243994</v>
      </c>
      <c r="C12369" s="8">
        <f t="array" ref="C12369">PRODUCT(1-'Sparkling Model'!D$2:D$38^A12369)</f>
        <v>0.9924599077</v>
      </c>
    </row>
    <row r="12370">
      <c r="A12370" s="6">
        <v>12368.0</v>
      </c>
      <c r="B12370" s="17">
        <f t="array" ref="B12370">SUM(1-'Sparkling Model'!D$2:D$38^A12370)</f>
        <v>36.99244369</v>
      </c>
      <c r="C12370" s="8">
        <f t="array" ref="C12370">PRODUCT(1-'Sparkling Model'!D$2:D$38^A12370)</f>
        <v>0.9924636432</v>
      </c>
    </row>
    <row r="12371">
      <c r="A12371" s="6">
        <v>12369.0</v>
      </c>
      <c r="B12371" s="17">
        <f t="array" ref="B12371">SUM(1-'Sparkling Model'!D$2:D$38^A12371)</f>
        <v>36.99244745</v>
      </c>
      <c r="C12371" s="8">
        <f t="array" ref="C12371">PRODUCT(1-'Sparkling Model'!D$2:D$38^A12371)</f>
        <v>0.9924673768</v>
      </c>
    </row>
    <row r="12372">
      <c r="A12372" s="6">
        <v>12370.0</v>
      </c>
      <c r="B12372" s="17">
        <f t="array" ref="B12372">SUM(1-'Sparkling Model'!D$2:D$38^A12372)</f>
        <v>36.9924512</v>
      </c>
      <c r="C12372" s="8">
        <f t="array" ref="C12372">PRODUCT(1-'Sparkling Model'!D$2:D$38^A12372)</f>
        <v>0.9924711085</v>
      </c>
    </row>
    <row r="12373">
      <c r="A12373" s="6">
        <v>12371.0</v>
      </c>
      <c r="B12373" s="17">
        <f t="array" ref="B12373">SUM(1-'Sparkling Model'!D$2:D$38^A12373)</f>
        <v>36.99245495</v>
      </c>
      <c r="C12373" s="8">
        <f t="array" ref="C12373">PRODUCT(1-'Sparkling Model'!D$2:D$38^A12373)</f>
        <v>0.9924748384</v>
      </c>
    </row>
    <row r="12374">
      <c r="A12374" s="6">
        <v>12372.0</v>
      </c>
      <c r="B12374" s="17">
        <f t="array" ref="B12374">SUM(1-'Sparkling Model'!D$2:D$38^A12374)</f>
        <v>36.9924587</v>
      </c>
      <c r="C12374" s="8">
        <f t="array" ref="C12374">PRODUCT(1-'Sparkling Model'!D$2:D$38^A12374)</f>
        <v>0.9924785664</v>
      </c>
    </row>
    <row r="12375">
      <c r="A12375" s="6">
        <v>12373.0</v>
      </c>
      <c r="B12375" s="17">
        <f t="array" ref="B12375">SUM(1-'Sparkling Model'!D$2:D$38^A12375)</f>
        <v>36.99246244</v>
      </c>
      <c r="C12375" s="8">
        <f t="array" ref="C12375">PRODUCT(1-'Sparkling Model'!D$2:D$38^A12375)</f>
        <v>0.9924822926</v>
      </c>
    </row>
    <row r="12376">
      <c r="A12376" s="6">
        <v>12374.0</v>
      </c>
      <c r="B12376" s="17">
        <f t="array" ref="B12376">SUM(1-'Sparkling Model'!D$2:D$38^A12376)</f>
        <v>36.99246619</v>
      </c>
      <c r="C12376" s="8">
        <f t="array" ref="C12376">PRODUCT(1-'Sparkling Model'!D$2:D$38^A12376)</f>
        <v>0.9924860169</v>
      </c>
    </row>
    <row r="12377">
      <c r="A12377" s="6">
        <v>12375.0</v>
      </c>
      <c r="B12377" s="17">
        <f t="array" ref="B12377">SUM(1-'Sparkling Model'!D$2:D$38^A12377)</f>
        <v>36.99246993</v>
      </c>
      <c r="C12377" s="8">
        <f t="array" ref="C12377">PRODUCT(1-'Sparkling Model'!D$2:D$38^A12377)</f>
        <v>0.9924897394</v>
      </c>
    </row>
    <row r="12378">
      <c r="A12378" s="6">
        <v>12376.0</v>
      </c>
      <c r="B12378" s="17">
        <f t="array" ref="B12378">SUM(1-'Sparkling Model'!D$2:D$38^A12378)</f>
        <v>36.99247367</v>
      </c>
      <c r="C12378" s="8">
        <f t="array" ref="C12378">PRODUCT(1-'Sparkling Model'!D$2:D$38^A12378)</f>
        <v>0.99249346</v>
      </c>
    </row>
    <row r="12379">
      <c r="A12379" s="6">
        <v>12377.0</v>
      </c>
      <c r="B12379" s="17">
        <f t="array" ref="B12379">SUM(1-'Sparkling Model'!D$2:D$38^A12379)</f>
        <v>36.99247741</v>
      </c>
      <c r="C12379" s="8">
        <f t="array" ref="C12379">PRODUCT(1-'Sparkling Model'!D$2:D$38^A12379)</f>
        <v>0.9924971788</v>
      </c>
    </row>
    <row r="12380">
      <c r="A12380" s="6">
        <v>12378.0</v>
      </c>
      <c r="B12380" s="17">
        <f t="array" ref="B12380">SUM(1-'Sparkling Model'!D$2:D$38^A12380)</f>
        <v>36.99248115</v>
      </c>
      <c r="C12380" s="8">
        <f t="array" ref="C12380">PRODUCT(1-'Sparkling Model'!D$2:D$38^A12380)</f>
        <v>0.9925008957</v>
      </c>
    </row>
    <row r="12381">
      <c r="A12381" s="6">
        <v>12379.0</v>
      </c>
      <c r="B12381" s="17">
        <f t="array" ref="B12381">SUM(1-'Sparkling Model'!D$2:D$38^A12381)</f>
        <v>36.99248488</v>
      </c>
      <c r="C12381" s="8">
        <f t="array" ref="C12381">PRODUCT(1-'Sparkling Model'!D$2:D$38^A12381)</f>
        <v>0.9925046108</v>
      </c>
    </row>
    <row r="12382">
      <c r="A12382" s="6">
        <v>12380.0</v>
      </c>
      <c r="B12382" s="17">
        <f t="array" ref="B12382">SUM(1-'Sparkling Model'!D$2:D$38^A12382)</f>
        <v>36.99248861</v>
      </c>
      <c r="C12382" s="8">
        <f t="array" ref="C12382">PRODUCT(1-'Sparkling Model'!D$2:D$38^A12382)</f>
        <v>0.992508324</v>
      </c>
    </row>
    <row r="12383">
      <c r="A12383" s="6">
        <v>12381.0</v>
      </c>
      <c r="B12383" s="17">
        <f t="array" ref="B12383">SUM(1-'Sparkling Model'!D$2:D$38^A12383)</f>
        <v>36.99249234</v>
      </c>
      <c r="C12383" s="8">
        <f t="array" ref="C12383">PRODUCT(1-'Sparkling Model'!D$2:D$38^A12383)</f>
        <v>0.9925120354</v>
      </c>
    </row>
    <row r="12384">
      <c r="A12384" s="6">
        <v>12382.0</v>
      </c>
      <c r="B12384" s="17">
        <f t="array" ref="B12384">SUM(1-'Sparkling Model'!D$2:D$38^A12384)</f>
        <v>36.99249607</v>
      </c>
      <c r="C12384" s="8">
        <f t="array" ref="C12384">PRODUCT(1-'Sparkling Model'!D$2:D$38^A12384)</f>
        <v>0.9925157449</v>
      </c>
    </row>
    <row r="12385">
      <c r="A12385" s="6">
        <v>12383.0</v>
      </c>
      <c r="B12385" s="17">
        <f t="array" ref="B12385">SUM(1-'Sparkling Model'!D$2:D$38^A12385)</f>
        <v>36.9924998</v>
      </c>
      <c r="C12385" s="8">
        <f t="array" ref="C12385">PRODUCT(1-'Sparkling Model'!D$2:D$38^A12385)</f>
        <v>0.9925194526</v>
      </c>
    </row>
    <row r="12386">
      <c r="A12386" s="6">
        <v>12384.0</v>
      </c>
      <c r="B12386" s="17">
        <f t="array" ref="B12386">SUM(1-'Sparkling Model'!D$2:D$38^A12386)</f>
        <v>36.99250353</v>
      </c>
      <c r="C12386" s="8">
        <f t="array" ref="C12386">PRODUCT(1-'Sparkling Model'!D$2:D$38^A12386)</f>
        <v>0.9925231585</v>
      </c>
    </row>
    <row r="12387">
      <c r="A12387" s="6">
        <v>12385.0</v>
      </c>
      <c r="B12387" s="17">
        <f t="array" ref="B12387">SUM(1-'Sparkling Model'!D$2:D$38^A12387)</f>
        <v>36.99250725</v>
      </c>
      <c r="C12387" s="8">
        <f t="array" ref="C12387">PRODUCT(1-'Sparkling Model'!D$2:D$38^A12387)</f>
        <v>0.9925268625</v>
      </c>
    </row>
    <row r="12388">
      <c r="A12388" s="6">
        <v>12386.0</v>
      </c>
      <c r="B12388" s="17">
        <f t="array" ref="B12388">SUM(1-'Sparkling Model'!D$2:D$38^A12388)</f>
        <v>36.99251097</v>
      </c>
      <c r="C12388" s="8">
        <f t="array" ref="C12388">PRODUCT(1-'Sparkling Model'!D$2:D$38^A12388)</f>
        <v>0.9925305647</v>
      </c>
    </row>
    <row r="12389">
      <c r="A12389" s="6">
        <v>12387.0</v>
      </c>
      <c r="B12389" s="17">
        <f t="array" ref="B12389">SUM(1-'Sparkling Model'!D$2:D$38^A12389)</f>
        <v>36.99251469</v>
      </c>
      <c r="C12389" s="8">
        <f t="array" ref="C12389">PRODUCT(1-'Sparkling Model'!D$2:D$38^A12389)</f>
        <v>0.992534265</v>
      </c>
    </row>
    <row r="12390">
      <c r="A12390" s="6">
        <v>12388.0</v>
      </c>
      <c r="B12390" s="17">
        <f t="array" ref="B12390">SUM(1-'Sparkling Model'!D$2:D$38^A12390)</f>
        <v>36.99251841</v>
      </c>
      <c r="C12390" s="8">
        <f t="array" ref="C12390">PRODUCT(1-'Sparkling Model'!D$2:D$38^A12390)</f>
        <v>0.9925379635</v>
      </c>
    </row>
    <row r="12391">
      <c r="A12391" s="6">
        <v>12389.0</v>
      </c>
      <c r="B12391" s="17">
        <f t="array" ref="B12391">SUM(1-'Sparkling Model'!D$2:D$38^A12391)</f>
        <v>36.99252213</v>
      </c>
      <c r="C12391" s="8">
        <f t="array" ref="C12391">PRODUCT(1-'Sparkling Model'!D$2:D$38^A12391)</f>
        <v>0.9925416602</v>
      </c>
    </row>
    <row r="12392">
      <c r="A12392" s="6">
        <v>12390.0</v>
      </c>
      <c r="B12392" s="17">
        <f t="array" ref="B12392">SUM(1-'Sparkling Model'!D$2:D$38^A12392)</f>
        <v>36.99252584</v>
      </c>
      <c r="C12392" s="8">
        <f t="array" ref="C12392">PRODUCT(1-'Sparkling Model'!D$2:D$38^A12392)</f>
        <v>0.992545355</v>
      </c>
    </row>
    <row r="12393">
      <c r="A12393" s="6">
        <v>12391.0</v>
      </c>
      <c r="B12393" s="17">
        <f t="array" ref="B12393">SUM(1-'Sparkling Model'!D$2:D$38^A12393)</f>
        <v>36.99252955</v>
      </c>
      <c r="C12393" s="8">
        <f t="array" ref="C12393">PRODUCT(1-'Sparkling Model'!D$2:D$38^A12393)</f>
        <v>0.992549048</v>
      </c>
    </row>
    <row r="12394">
      <c r="A12394" s="6">
        <v>12392.0</v>
      </c>
      <c r="B12394" s="17">
        <f t="array" ref="B12394">SUM(1-'Sparkling Model'!D$2:D$38^A12394)</f>
        <v>36.99253326</v>
      </c>
      <c r="C12394" s="8">
        <f t="array" ref="C12394">PRODUCT(1-'Sparkling Model'!D$2:D$38^A12394)</f>
        <v>0.9925527391</v>
      </c>
    </row>
    <row r="12395">
      <c r="A12395" s="6">
        <v>12393.0</v>
      </c>
      <c r="B12395" s="17">
        <f t="array" ref="B12395">SUM(1-'Sparkling Model'!D$2:D$38^A12395)</f>
        <v>36.99253697</v>
      </c>
      <c r="C12395" s="8">
        <f t="array" ref="C12395">PRODUCT(1-'Sparkling Model'!D$2:D$38^A12395)</f>
        <v>0.9925564285</v>
      </c>
    </row>
    <row r="12396">
      <c r="A12396" s="6">
        <v>12394.0</v>
      </c>
      <c r="B12396" s="17">
        <f t="array" ref="B12396">SUM(1-'Sparkling Model'!D$2:D$38^A12396)</f>
        <v>36.99254068</v>
      </c>
      <c r="C12396" s="8">
        <f t="array" ref="C12396">PRODUCT(1-'Sparkling Model'!D$2:D$38^A12396)</f>
        <v>0.9925601159</v>
      </c>
    </row>
    <row r="12397">
      <c r="A12397" s="6">
        <v>12395.0</v>
      </c>
      <c r="B12397" s="17">
        <f t="array" ref="B12397">SUM(1-'Sparkling Model'!D$2:D$38^A12397)</f>
        <v>36.99254438</v>
      </c>
      <c r="C12397" s="8">
        <f t="array" ref="C12397">PRODUCT(1-'Sparkling Model'!D$2:D$38^A12397)</f>
        <v>0.9925638016</v>
      </c>
    </row>
    <row r="12398">
      <c r="A12398" s="6">
        <v>12396.0</v>
      </c>
      <c r="B12398" s="17">
        <f t="array" ref="B12398">SUM(1-'Sparkling Model'!D$2:D$38^A12398)</f>
        <v>36.99254809</v>
      </c>
      <c r="C12398" s="8">
        <f t="array" ref="C12398">PRODUCT(1-'Sparkling Model'!D$2:D$38^A12398)</f>
        <v>0.9925674854</v>
      </c>
    </row>
    <row r="12399">
      <c r="A12399" s="6">
        <v>12397.0</v>
      </c>
      <c r="B12399" s="17">
        <f t="array" ref="B12399">SUM(1-'Sparkling Model'!D$2:D$38^A12399)</f>
        <v>36.99255179</v>
      </c>
      <c r="C12399" s="8">
        <f t="array" ref="C12399">PRODUCT(1-'Sparkling Model'!D$2:D$38^A12399)</f>
        <v>0.9925711674</v>
      </c>
    </row>
    <row r="12400">
      <c r="A12400" s="6">
        <v>12398.0</v>
      </c>
      <c r="B12400" s="17">
        <f t="array" ref="B12400">SUM(1-'Sparkling Model'!D$2:D$38^A12400)</f>
        <v>36.99255549</v>
      </c>
      <c r="C12400" s="8">
        <f t="array" ref="C12400">PRODUCT(1-'Sparkling Model'!D$2:D$38^A12400)</f>
        <v>0.9925748475</v>
      </c>
    </row>
    <row r="12401">
      <c r="A12401" s="6">
        <v>12399.0</v>
      </c>
      <c r="B12401" s="17">
        <f t="array" ref="B12401">SUM(1-'Sparkling Model'!D$2:D$38^A12401)</f>
        <v>36.99255919</v>
      </c>
      <c r="C12401" s="8">
        <f t="array" ref="C12401">PRODUCT(1-'Sparkling Model'!D$2:D$38^A12401)</f>
        <v>0.9925785259</v>
      </c>
    </row>
    <row r="12402">
      <c r="A12402" s="6">
        <v>12400.0</v>
      </c>
      <c r="B12402" s="17">
        <f t="array" ref="B12402">SUM(1-'Sparkling Model'!D$2:D$38^A12402)</f>
        <v>36.99256288</v>
      </c>
      <c r="C12402" s="8">
        <f t="array" ref="C12402">PRODUCT(1-'Sparkling Model'!D$2:D$38^A12402)</f>
        <v>0.9925822024</v>
      </c>
    </row>
    <row r="12403">
      <c r="A12403" s="6">
        <v>12401.0</v>
      </c>
      <c r="B12403" s="17">
        <f t="array" ref="B12403">SUM(1-'Sparkling Model'!D$2:D$38^A12403)</f>
        <v>36.99256658</v>
      </c>
      <c r="C12403" s="8">
        <f t="array" ref="C12403">PRODUCT(1-'Sparkling Model'!D$2:D$38^A12403)</f>
        <v>0.9925858771</v>
      </c>
    </row>
    <row r="12404">
      <c r="A12404" s="6">
        <v>12402.0</v>
      </c>
      <c r="B12404" s="17">
        <f t="array" ref="B12404">SUM(1-'Sparkling Model'!D$2:D$38^A12404)</f>
        <v>36.99257027</v>
      </c>
      <c r="C12404" s="8">
        <f t="array" ref="C12404">PRODUCT(1-'Sparkling Model'!D$2:D$38^A12404)</f>
        <v>0.9925895499</v>
      </c>
    </row>
    <row r="12405">
      <c r="A12405" s="6">
        <v>12403.0</v>
      </c>
      <c r="B12405" s="17">
        <f t="array" ref="B12405">SUM(1-'Sparkling Model'!D$2:D$38^A12405)</f>
        <v>36.99257396</v>
      </c>
      <c r="C12405" s="8">
        <f t="array" ref="C12405">PRODUCT(1-'Sparkling Model'!D$2:D$38^A12405)</f>
        <v>0.9925932209</v>
      </c>
    </row>
    <row r="12406">
      <c r="A12406" s="6">
        <v>12404.0</v>
      </c>
      <c r="B12406" s="17">
        <f t="array" ref="B12406">SUM(1-'Sparkling Model'!D$2:D$38^A12406)</f>
        <v>36.99257765</v>
      </c>
      <c r="C12406" s="8">
        <f t="array" ref="C12406">PRODUCT(1-'Sparkling Model'!D$2:D$38^A12406)</f>
        <v>0.9925968901</v>
      </c>
    </row>
    <row r="12407">
      <c r="A12407" s="6">
        <v>12405.0</v>
      </c>
      <c r="B12407" s="17">
        <f t="array" ref="B12407">SUM(1-'Sparkling Model'!D$2:D$38^A12407)</f>
        <v>36.99258133</v>
      </c>
      <c r="C12407" s="8">
        <f t="array" ref="C12407">PRODUCT(1-'Sparkling Model'!D$2:D$38^A12407)</f>
        <v>0.9926005575</v>
      </c>
    </row>
    <row r="12408">
      <c r="A12408" s="6">
        <v>12406.0</v>
      </c>
      <c r="B12408" s="17">
        <f t="array" ref="B12408">SUM(1-'Sparkling Model'!D$2:D$38^A12408)</f>
        <v>36.99258502</v>
      </c>
      <c r="C12408" s="8">
        <f t="array" ref="C12408">PRODUCT(1-'Sparkling Model'!D$2:D$38^A12408)</f>
        <v>0.9926042231</v>
      </c>
    </row>
    <row r="12409">
      <c r="A12409" s="6">
        <v>12407.0</v>
      </c>
      <c r="B12409" s="17">
        <f t="array" ref="B12409">SUM(1-'Sparkling Model'!D$2:D$38^A12409)</f>
        <v>36.9925887</v>
      </c>
      <c r="C12409" s="8">
        <f t="array" ref="C12409">PRODUCT(1-'Sparkling Model'!D$2:D$38^A12409)</f>
        <v>0.9926078868</v>
      </c>
    </row>
    <row r="12410">
      <c r="A12410" s="6">
        <v>12408.0</v>
      </c>
      <c r="B12410" s="17">
        <f t="array" ref="B12410">SUM(1-'Sparkling Model'!D$2:D$38^A12410)</f>
        <v>36.99259238</v>
      </c>
      <c r="C12410" s="8">
        <f t="array" ref="C12410">PRODUCT(1-'Sparkling Model'!D$2:D$38^A12410)</f>
        <v>0.9926115487</v>
      </c>
    </row>
    <row r="12411">
      <c r="A12411" s="6">
        <v>12409.0</v>
      </c>
      <c r="B12411" s="17">
        <f t="array" ref="B12411">SUM(1-'Sparkling Model'!D$2:D$38^A12411)</f>
        <v>36.99259606</v>
      </c>
      <c r="C12411" s="8">
        <f t="array" ref="C12411">PRODUCT(1-'Sparkling Model'!D$2:D$38^A12411)</f>
        <v>0.9926152088</v>
      </c>
    </row>
    <row r="12412">
      <c r="A12412" s="6">
        <v>12410.0</v>
      </c>
      <c r="B12412" s="17">
        <f t="array" ref="B12412">SUM(1-'Sparkling Model'!D$2:D$38^A12412)</f>
        <v>36.99259974</v>
      </c>
      <c r="C12412" s="8">
        <f t="array" ref="C12412">PRODUCT(1-'Sparkling Model'!D$2:D$38^A12412)</f>
        <v>0.9926188671</v>
      </c>
    </row>
    <row r="12413">
      <c r="A12413" s="6">
        <v>12411.0</v>
      </c>
      <c r="B12413" s="17">
        <f t="array" ref="B12413">SUM(1-'Sparkling Model'!D$2:D$38^A12413)</f>
        <v>36.99260341</v>
      </c>
      <c r="C12413" s="8">
        <f t="array" ref="C12413">PRODUCT(1-'Sparkling Model'!D$2:D$38^A12413)</f>
        <v>0.9926225235</v>
      </c>
    </row>
    <row r="12414">
      <c r="A12414" s="6">
        <v>12412.0</v>
      </c>
      <c r="B12414" s="17">
        <f t="array" ref="B12414">SUM(1-'Sparkling Model'!D$2:D$38^A12414)</f>
        <v>36.99260709</v>
      </c>
      <c r="C12414" s="8">
        <f t="array" ref="C12414">PRODUCT(1-'Sparkling Model'!D$2:D$38^A12414)</f>
        <v>0.9926261782</v>
      </c>
    </row>
    <row r="12415">
      <c r="A12415" s="6">
        <v>12413.0</v>
      </c>
      <c r="B12415" s="17">
        <f t="array" ref="B12415">SUM(1-'Sparkling Model'!D$2:D$38^A12415)</f>
        <v>36.99261076</v>
      </c>
      <c r="C12415" s="8">
        <f t="array" ref="C12415">PRODUCT(1-'Sparkling Model'!D$2:D$38^A12415)</f>
        <v>0.992629831</v>
      </c>
    </row>
    <row r="12416">
      <c r="A12416" s="6">
        <v>12414.0</v>
      </c>
      <c r="B12416" s="17">
        <f t="array" ref="B12416">SUM(1-'Sparkling Model'!D$2:D$38^A12416)</f>
        <v>36.99261443</v>
      </c>
      <c r="C12416" s="8">
        <f t="array" ref="C12416">PRODUCT(1-'Sparkling Model'!D$2:D$38^A12416)</f>
        <v>0.992633482</v>
      </c>
    </row>
    <row r="12417">
      <c r="A12417" s="6">
        <v>12415.0</v>
      </c>
      <c r="B12417" s="17">
        <f t="array" ref="B12417">SUM(1-'Sparkling Model'!D$2:D$38^A12417)</f>
        <v>36.9926181</v>
      </c>
      <c r="C12417" s="8">
        <f t="array" ref="C12417">PRODUCT(1-'Sparkling Model'!D$2:D$38^A12417)</f>
        <v>0.9926371312</v>
      </c>
    </row>
    <row r="12418">
      <c r="A12418" s="6">
        <v>12416.0</v>
      </c>
      <c r="B12418" s="17">
        <f t="array" ref="B12418">SUM(1-'Sparkling Model'!D$2:D$38^A12418)</f>
        <v>36.99262176</v>
      </c>
      <c r="C12418" s="8">
        <f t="array" ref="C12418">PRODUCT(1-'Sparkling Model'!D$2:D$38^A12418)</f>
        <v>0.9926407786</v>
      </c>
    </row>
    <row r="12419">
      <c r="A12419" s="6">
        <v>12417.0</v>
      </c>
      <c r="B12419" s="17">
        <f t="array" ref="B12419">SUM(1-'Sparkling Model'!D$2:D$38^A12419)</f>
        <v>36.99262543</v>
      </c>
      <c r="C12419" s="8">
        <f t="array" ref="C12419">PRODUCT(1-'Sparkling Model'!D$2:D$38^A12419)</f>
        <v>0.9926444241</v>
      </c>
    </row>
    <row r="12420">
      <c r="A12420" s="6">
        <v>12418.0</v>
      </c>
      <c r="B12420" s="17">
        <f t="array" ref="B12420">SUM(1-'Sparkling Model'!D$2:D$38^A12420)</f>
        <v>36.99262909</v>
      </c>
      <c r="C12420" s="8">
        <f t="array" ref="C12420">PRODUCT(1-'Sparkling Model'!D$2:D$38^A12420)</f>
        <v>0.9926480679</v>
      </c>
    </row>
    <row r="12421">
      <c r="A12421" s="6">
        <v>12419.0</v>
      </c>
      <c r="B12421" s="17">
        <f t="array" ref="B12421">SUM(1-'Sparkling Model'!D$2:D$38^A12421)</f>
        <v>36.99263275</v>
      </c>
      <c r="C12421" s="8">
        <f t="array" ref="C12421">PRODUCT(1-'Sparkling Model'!D$2:D$38^A12421)</f>
        <v>0.9926517098</v>
      </c>
    </row>
    <row r="12422">
      <c r="A12422" s="6">
        <v>12420.0</v>
      </c>
      <c r="B12422" s="17">
        <f t="array" ref="B12422">SUM(1-'Sparkling Model'!D$2:D$38^A12422)</f>
        <v>36.99263641</v>
      </c>
      <c r="C12422" s="8">
        <f t="array" ref="C12422">PRODUCT(1-'Sparkling Model'!D$2:D$38^A12422)</f>
        <v>0.99265535</v>
      </c>
    </row>
    <row r="12423">
      <c r="A12423" s="6">
        <v>12421.0</v>
      </c>
      <c r="B12423" s="17">
        <f t="array" ref="B12423">SUM(1-'Sparkling Model'!D$2:D$38^A12423)</f>
        <v>36.99264007</v>
      </c>
      <c r="C12423" s="8">
        <f t="array" ref="C12423">PRODUCT(1-'Sparkling Model'!D$2:D$38^A12423)</f>
        <v>0.9926589883</v>
      </c>
    </row>
    <row r="12424">
      <c r="A12424" s="6">
        <v>12422.0</v>
      </c>
      <c r="B12424" s="17">
        <f t="array" ref="B12424">SUM(1-'Sparkling Model'!D$2:D$38^A12424)</f>
        <v>36.99264372</v>
      </c>
      <c r="C12424" s="8">
        <f t="array" ref="C12424">PRODUCT(1-'Sparkling Model'!D$2:D$38^A12424)</f>
        <v>0.9926626248</v>
      </c>
    </row>
    <row r="12425">
      <c r="A12425" s="6">
        <v>12423.0</v>
      </c>
      <c r="B12425" s="17">
        <f t="array" ref="B12425">SUM(1-'Sparkling Model'!D$2:D$38^A12425)</f>
        <v>36.99264738</v>
      </c>
      <c r="C12425" s="8">
        <f t="array" ref="C12425">PRODUCT(1-'Sparkling Model'!D$2:D$38^A12425)</f>
        <v>0.9926662595</v>
      </c>
    </row>
    <row r="12426">
      <c r="A12426" s="6">
        <v>12424.0</v>
      </c>
      <c r="B12426" s="17">
        <f t="array" ref="B12426">SUM(1-'Sparkling Model'!D$2:D$38^A12426)</f>
        <v>36.99265103</v>
      </c>
      <c r="C12426" s="8">
        <f t="array" ref="C12426">PRODUCT(1-'Sparkling Model'!D$2:D$38^A12426)</f>
        <v>0.9926698924</v>
      </c>
    </row>
    <row r="12427">
      <c r="A12427" s="6">
        <v>12425.0</v>
      </c>
      <c r="B12427" s="17">
        <f t="array" ref="B12427">SUM(1-'Sparkling Model'!D$2:D$38^A12427)</f>
        <v>36.99265468</v>
      </c>
      <c r="C12427" s="8">
        <f t="array" ref="C12427">PRODUCT(1-'Sparkling Model'!D$2:D$38^A12427)</f>
        <v>0.9926735235</v>
      </c>
    </row>
    <row r="12428">
      <c r="A12428" s="6">
        <v>12426.0</v>
      </c>
      <c r="B12428" s="17">
        <f t="array" ref="B12428">SUM(1-'Sparkling Model'!D$2:D$38^A12428)</f>
        <v>36.99265833</v>
      </c>
      <c r="C12428" s="8">
        <f t="array" ref="C12428">PRODUCT(1-'Sparkling Model'!D$2:D$38^A12428)</f>
        <v>0.9926771528</v>
      </c>
    </row>
    <row r="12429">
      <c r="A12429" s="6">
        <v>12427.0</v>
      </c>
      <c r="B12429" s="17">
        <f t="array" ref="B12429">SUM(1-'Sparkling Model'!D$2:D$38^A12429)</f>
        <v>36.99266197</v>
      </c>
      <c r="C12429" s="8">
        <f t="array" ref="C12429">PRODUCT(1-'Sparkling Model'!D$2:D$38^A12429)</f>
        <v>0.9926807803</v>
      </c>
    </row>
    <row r="12430">
      <c r="A12430" s="6">
        <v>12428.0</v>
      </c>
      <c r="B12430" s="17">
        <f t="array" ref="B12430">SUM(1-'Sparkling Model'!D$2:D$38^A12430)</f>
        <v>36.99266562</v>
      </c>
      <c r="C12430" s="8">
        <f t="array" ref="C12430">PRODUCT(1-'Sparkling Model'!D$2:D$38^A12430)</f>
        <v>0.992684406</v>
      </c>
    </row>
    <row r="12431">
      <c r="A12431" s="6">
        <v>12429.0</v>
      </c>
      <c r="B12431" s="17">
        <f t="array" ref="B12431">SUM(1-'Sparkling Model'!D$2:D$38^A12431)</f>
        <v>36.99266926</v>
      </c>
      <c r="C12431" s="8">
        <f t="array" ref="C12431">PRODUCT(1-'Sparkling Model'!D$2:D$38^A12431)</f>
        <v>0.9926880299</v>
      </c>
    </row>
    <row r="12432">
      <c r="A12432" s="6">
        <v>12430.0</v>
      </c>
      <c r="B12432" s="17">
        <f t="array" ref="B12432">SUM(1-'Sparkling Model'!D$2:D$38^A12432)</f>
        <v>36.9926729</v>
      </c>
      <c r="C12432" s="8">
        <f t="array" ref="C12432">PRODUCT(1-'Sparkling Model'!D$2:D$38^A12432)</f>
        <v>0.992691652</v>
      </c>
    </row>
    <row r="12433">
      <c r="A12433" s="6">
        <v>12431.0</v>
      </c>
      <c r="B12433" s="17">
        <f t="array" ref="B12433">SUM(1-'Sparkling Model'!D$2:D$38^A12433)</f>
        <v>36.99267654</v>
      </c>
      <c r="C12433" s="8">
        <f t="array" ref="C12433">PRODUCT(1-'Sparkling Model'!D$2:D$38^A12433)</f>
        <v>0.9926952723</v>
      </c>
    </row>
    <row r="12434">
      <c r="A12434" s="6">
        <v>12432.0</v>
      </c>
      <c r="B12434" s="17">
        <f t="array" ref="B12434">SUM(1-'Sparkling Model'!D$2:D$38^A12434)</f>
        <v>36.99268018</v>
      </c>
      <c r="C12434" s="8">
        <f t="array" ref="C12434">PRODUCT(1-'Sparkling Model'!D$2:D$38^A12434)</f>
        <v>0.9926988907</v>
      </c>
    </row>
    <row r="12435">
      <c r="A12435" s="6">
        <v>12433.0</v>
      </c>
      <c r="B12435" s="17">
        <f t="array" ref="B12435">SUM(1-'Sparkling Model'!D$2:D$38^A12435)</f>
        <v>36.99268381</v>
      </c>
      <c r="C12435" s="8">
        <f t="array" ref="C12435">PRODUCT(1-'Sparkling Model'!D$2:D$38^A12435)</f>
        <v>0.9927025074</v>
      </c>
    </row>
    <row r="12436">
      <c r="A12436" s="6">
        <v>12434.0</v>
      </c>
      <c r="B12436" s="17">
        <f t="array" ref="B12436">SUM(1-'Sparkling Model'!D$2:D$38^A12436)</f>
        <v>36.99268745</v>
      </c>
      <c r="C12436" s="8">
        <f t="array" ref="C12436">PRODUCT(1-'Sparkling Model'!D$2:D$38^A12436)</f>
        <v>0.9927061223</v>
      </c>
    </row>
    <row r="12437">
      <c r="A12437" s="6">
        <v>12435.0</v>
      </c>
      <c r="B12437" s="17">
        <f t="array" ref="B12437">SUM(1-'Sparkling Model'!D$2:D$38^A12437)</f>
        <v>36.99269108</v>
      </c>
      <c r="C12437" s="8">
        <f t="array" ref="C12437">PRODUCT(1-'Sparkling Model'!D$2:D$38^A12437)</f>
        <v>0.9927097354</v>
      </c>
    </row>
    <row r="12438">
      <c r="A12438" s="6">
        <v>12436.0</v>
      </c>
      <c r="B12438" s="17">
        <f t="array" ref="B12438">SUM(1-'Sparkling Model'!D$2:D$38^A12438)</f>
        <v>36.99269471</v>
      </c>
      <c r="C12438" s="8">
        <f t="array" ref="C12438">PRODUCT(1-'Sparkling Model'!D$2:D$38^A12438)</f>
        <v>0.9927133467</v>
      </c>
    </row>
    <row r="12439">
      <c r="A12439" s="6">
        <v>12437.0</v>
      </c>
      <c r="B12439" s="17">
        <f t="array" ref="B12439">SUM(1-'Sparkling Model'!D$2:D$38^A12439)</f>
        <v>36.99269834</v>
      </c>
      <c r="C12439" s="8">
        <f t="array" ref="C12439">PRODUCT(1-'Sparkling Model'!D$2:D$38^A12439)</f>
        <v>0.9927169562</v>
      </c>
    </row>
    <row r="12440">
      <c r="A12440" s="6">
        <v>12438.0</v>
      </c>
      <c r="B12440" s="17">
        <f t="array" ref="B12440">SUM(1-'Sparkling Model'!D$2:D$38^A12440)</f>
        <v>36.99270196</v>
      </c>
      <c r="C12440" s="8">
        <f t="array" ref="C12440">PRODUCT(1-'Sparkling Model'!D$2:D$38^A12440)</f>
        <v>0.9927205639</v>
      </c>
    </row>
    <row r="12441">
      <c r="A12441" s="6">
        <v>12439.0</v>
      </c>
      <c r="B12441" s="17">
        <f t="array" ref="B12441">SUM(1-'Sparkling Model'!D$2:D$38^A12441)</f>
        <v>36.99270559</v>
      </c>
      <c r="C12441" s="8">
        <f t="array" ref="C12441">PRODUCT(1-'Sparkling Model'!D$2:D$38^A12441)</f>
        <v>0.9927241699</v>
      </c>
    </row>
    <row r="12442">
      <c r="A12442" s="6">
        <v>12440.0</v>
      </c>
      <c r="B12442" s="17">
        <f t="array" ref="B12442">SUM(1-'Sparkling Model'!D$2:D$38^A12442)</f>
        <v>36.99270921</v>
      </c>
      <c r="C12442" s="8">
        <f t="array" ref="C12442">PRODUCT(1-'Sparkling Model'!D$2:D$38^A12442)</f>
        <v>0.992727774</v>
      </c>
    </row>
    <row r="12443">
      <c r="A12443" s="6">
        <v>12441.0</v>
      </c>
      <c r="B12443" s="17">
        <f t="array" ref="B12443">SUM(1-'Sparkling Model'!D$2:D$38^A12443)</f>
        <v>36.99271283</v>
      </c>
      <c r="C12443" s="8">
        <f t="array" ref="C12443">PRODUCT(1-'Sparkling Model'!D$2:D$38^A12443)</f>
        <v>0.9927313763</v>
      </c>
    </row>
    <row r="12444">
      <c r="A12444" s="6">
        <v>12442.0</v>
      </c>
      <c r="B12444" s="17">
        <f t="array" ref="B12444">SUM(1-'Sparkling Model'!D$2:D$38^A12444)</f>
        <v>36.99271645</v>
      </c>
      <c r="C12444" s="8">
        <f t="array" ref="C12444">PRODUCT(1-'Sparkling Model'!D$2:D$38^A12444)</f>
        <v>0.9927349769</v>
      </c>
    </row>
    <row r="12445">
      <c r="A12445" s="6">
        <v>12443.0</v>
      </c>
      <c r="B12445" s="17">
        <f t="array" ref="B12445">SUM(1-'Sparkling Model'!D$2:D$38^A12445)</f>
        <v>36.99272007</v>
      </c>
      <c r="C12445" s="8">
        <f t="array" ref="C12445">PRODUCT(1-'Sparkling Model'!D$2:D$38^A12445)</f>
        <v>0.9927385756</v>
      </c>
    </row>
    <row r="12446">
      <c r="A12446" s="6">
        <v>12444.0</v>
      </c>
      <c r="B12446" s="17">
        <f t="array" ref="B12446">SUM(1-'Sparkling Model'!D$2:D$38^A12446)</f>
        <v>36.99272368</v>
      </c>
      <c r="C12446" s="8">
        <f t="array" ref="C12446">PRODUCT(1-'Sparkling Model'!D$2:D$38^A12446)</f>
        <v>0.9927421726</v>
      </c>
    </row>
    <row r="12447">
      <c r="A12447" s="6">
        <v>12445.0</v>
      </c>
      <c r="B12447" s="17">
        <f t="array" ref="B12447">SUM(1-'Sparkling Model'!D$2:D$38^A12447)</f>
        <v>36.9927273</v>
      </c>
      <c r="C12447" s="8">
        <f t="array" ref="C12447">PRODUCT(1-'Sparkling Model'!D$2:D$38^A12447)</f>
        <v>0.9927457678</v>
      </c>
    </row>
    <row r="12448">
      <c r="A12448" s="6">
        <v>12446.0</v>
      </c>
      <c r="B12448" s="17">
        <f t="array" ref="B12448">SUM(1-'Sparkling Model'!D$2:D$38^A12448)</f>
        <v>36.99273091</v>
      </c>
      <c r="C12448" s="8">
        <f t="array" ref="C12448">PRODUCT(1-'Sparkling Model'!D$2:D$38^A12448)</f>
        <v>0.9927493612</v>
      </c>
    </row>
    <row r="12449">
      <c r="A12449" s="6">
        <v>12447.0</v>
      </c>
      <c r="B12449" s="17">
        <f t="array" ref="B12449">SUM(1-'Sparkling Model'!D$2:D$38^A12449)</f>
        <v>36.99273452</v>
      </c>
      <c r="C12449" s="8">
        <f t="array" ref="C12449">PRODUCT(1-'Sparkling Model'!D$2:D$38^A12449)</f>
        <v>0.9927529528</v>
      </c>
    </row>
    <row r="12450">
      <c r="A12450" s="6">
        <v>12448.0</v>
      </c>
      <c r="B12450" s="17">
        <f t="array" ref="B12450">SUM(1-'Sparkling Model'!D$2:D$38^A12450)</f>
        <v>36.99273813</v>
      </c>
      <c r="C12450" s="8">
        <f t="array" ref="C12450">PRODUCT(1-'Sparkling Model'!D$2:D$38^A12450)</f>
        <v>0.9927565426</v>
      </c>
    </row>
    <row r="12451">
      <c r="A12451" s="6">
        <v>12449.0</v>
      </c>
      <c r="B12451" s="17">
        <f t="array" ref="B12451">SUM(1-'Sparkling Model'!D$2:D$38^A12451)</f>
        <v>36.99274173</v>
      </c>
      <c r="C12451" s="8">
        <f t="array" ref="C12451">PRODUCT(1-'Sparkling Model'!D$2:D$38^A12451)</f>
        <v>0.9927601307</v>
      </c>
    </row>
    <row r="12452">
      <c r="A12452" s="6">
        <v>12450.0</v>
      </c>
      <c r="B12452" s="17">
        <f t="array" ref="B12452">SUM(1-'Sparkling Model'!D$2:D$38^A12452)</f>
        <v>36.99274534</v>
      </c>
      <c r="C12452" s="8">
        <f t="array" ref="C12452">PRODUCT(1-'Sparkling Model'!D$2:D$38^A12452)</f>
        <v>0.9927637169</v>
      </c>
    </row>
    <row r="12453">
      <c r="A12453" s="6">
        <v>12451.0</v>
      </c>
      <c r="B12453" s="17">
        <f t="array" ref="B12453">SUM(1-'Sparkling Model'!D$2:D$38^A12453)</f>
        <v>36.99274894</v>
      </c>
      <c r="C12453" s="8">
        <f t="array" ref="C12453">PRODUCT(1-'Sparkling Model'!D$2:D$38^A12453)</f>
        <v>0.9927673014</v>
      </c>
    </row>
    <row r="12454">
      <c r="A12454" s="6">
        <v>12452.0</v>
      </c>
      <c r="B12454" s="17">
        <f t="array" ref="B12454">SUM(1-'Sparkling Model'!D$2:D$38^A12454)</f>
        <v>36.99275254</v>
      </c>
      <c r="C12454" s="8">
        <f t="array" ref="C12454">PRODUCT(1-'Sparkling Model'!D$2:D$38^A12454)</f>
        <v>0.9927708841</v>
      </c>
    </row>
    <row r="12455">
      <c r="A12455" s="6">
        <v>12453.0</v>
      </c>
      <c r="B12455" s="17">
        <f t="array" ref="B12455">SUM(1-'Sparkling Model'!D$2:D$38^A12455)</f>
        <v>36.99275614</v>
      </c>
      <c r="C12455" s="8">
        <f t="array" ref="C12455">PRODUCT(1-'Sparkling Model'!D$2:D$38^A12455)</f>
        <v>0.992774465</v>
      </c>
    </row>
    <row r="12456">
      <c r="A12456" s="6">
        <v>12454.0</v>
      </c>
      <c r="B12456" s="17">
        <f t="array" ref="B12456">SUM(1-'Sparkling Model'!D$2:D$38^A12456)</f>
        <v>36.99275974</v>
      </c>
      <c r="C12456" s="8">
        <f t="array" ref="C12456">PRODUCT(1-'Sparkling Model'!D$2:D$38^A12456)</f>
        <v>0.9927780442</v>
      </c>
    </row>
    <row r="12457">
      <c r="A12457" s="6">
        <v>12455.0</v>
      </c>
      <c r="B12457" s="17">
        <f t="array" ref="B12457">SUM(1-'Sparkling Model'!D$2:D$38^A12457)</f>
        <v>36.99276333</v>
      </c>
      <c r="C12457" s="8">
        <f t="array" ref="C12457">PRODUCT(1-'Sparkling Model'!D$2:D$38^A12457)</f>
        <v>0.9927816215</v>
      </c>
    </row>
    <row r="12458">
      <c r="A12458" s="6">
        <v>12456.0</v>
      </c>
      <c r="B12458" s="17">
        <f t="array" ref="B12458">SUM(1-'Sparkling Model'!D$2:D$38^A12458)</f>
        <v>36.99276693</v>
      </c>
      <c r="C12458" s="8">
        <f t="array" ref="C12458">PRODUCT(1-'Sparkling Model'!D$2:D$38^A12458)</f>
        <v>0.9927851971</v>
      </c>
    </row>
    <row r="12459">
      <c r="A12459" s="6">
        <v>12457.0</v>
      </c>
      <c r="B12459" s="17">
        <f t="array" ref="B12459">SUM(1-'Sparkling Model'!D$2:D$38^A12459)</f>
        <v>36.99277052</v>
      </c>
      <c r="C12459" s="8">
        <f t="array" ref="C12459">PRODUCT(1-'Sparkling Model'!D$2:D$38^A12459)</f>
        <v>0.9927887709</v>
      </c>
    </row>
    <row r="12460">
      <c r="A12460" s="6">
        <v>12458.0</v>
      </c>
      <c r="B12460" s="17">
        <f t="array" ref="B12460">SUM(1-'Sparkling Model'!D$2:D$38^A12460)</f>
        <v>36.99277411</v>
      </c>
      <c r="C12460" s="8">
        <f t="array" ref="C12460">PRODUCT(1-'Sparkling Model'!D$2:D$38^A12460)</f>
        <v>0.9927923429</v>
      </c>
    </row>
    <row r="12461">
      <c r="A12461" s="6">
        <v>12459.0</v>
      </c>
      <c r="B12461" s="17">
        <f t="array" ref="B12461">SUM(1-'Sparkling Model'!D$2:D$38^A12461)</f>
        <v>36.9927777</v>
      </c>
      <c r="C12461" s="8">
        <f t="array" ref="C12461">PRODUCT(1-'Sparkling Model'!D$2:D$38^A12461)</f>
        <v>0.9927959132</v>
      </c>
    </row>
    <row r="12462">
      <c r="A12462" s="6">
        <v>12460.0</v>
      </c>
      <c r="B12462" s="17">
        <f t="array" ref="B12462">SUM(1-'Sparkling Model'!D$2:D$38^A12462)</f>
        <v>36.99278129</v>
      </c>
      <c r="C12462" s="8">
        <f t="array" ref="C12462">PRODUCT(1-'Sparkling Model'!D$2:D$38^A12462)</f>
        <v>0.9927994817</v>
      </c>
    </row>
    <row r="12463">
      <c r="A12463" s="6">
        <v>12461.0</v>
      </c>
      <c r="B12463" s="17">
        <f t="array" ref="B12463">SUM(1-'Sparkling Model'!D$2:D$38^A12463)</f>
        <v>36.99278487</v>
      </c>
      <c r="C12463" s="8">
        <f t="array" ref="C12463">PRODUCT(1-'Sparkling Model'!D$2:D$38^A12463)</f>
        <v>0.9928030484</v>
      </c>
    </row>
    <row r="12464">
      <c r="A12464" s="6">
        <v>12462.0</v>
      </c>
      <c r="B12464" s="17">
        <f t="array" ref="B12464">SUM(1-'Sparkling Model'!D$2:D$38^A12464)</f>
        <v>36.99278845</v>
      </c>
      <c r="C12464" s="8">
        <f t="array" ref="C12464">PRODUCT(1-'Sparkling Model'!D$2:D$38^A12464)</f>
        <v>0.9928066133</v>
      </c>
    </row>
    <row r="12465">
      <c r="A12465" s="6">
        <v>12463.0</v>
      </c>
      <c r="B12465" s="17">
        <f t="array" ref="B12465">SUM(1-'Sparkling Model'!D$2:D$38^A12465)</f>
        <v>36.99279203</v>
      </c>
      <c r="C12465" s="8">
        <f t="array" ref="C12465">PRODUCT(1-'Sparkling Model'!D$2:D$38^A12465)</f>
        <v>0.9928101765</v>
      </c>
    </row>
    <row r="12466">
      <c r="A12466" s="6">
        <v>12464.0</v>
      </c>
      <c r="B12466" s="17">
        <f t="array" ref="B12466">SUM(1-'Sparkling Model'!D$2:D$38^A12466)</f>
        <v>36.99279561</v>
      </c>
      <c r="C12466" s="8">
        <f t="array" ref="C12466">PRODUCT(1-'Sparkling Model'!D$2:D$38^A12466)</f>
        <v>0.9928137379</v>
      </c>
    </row>
    <row r="12467">
      <c r="A12467" s="6">
        <v>12465.0</v>
      </c>
      <c r="B12467" s="17">
        <f t="array" ref="B12467">SUM(1-'Sparkling Model'!D$2:D$38^A12467)</f>
        <v>36.99279919</v>
      </c>
      <c r="C12467" s="8">
        <f t="array" ref="C12467">PRODUCT(1-'Sparkling Model'!D$2:D$38^A12467)</f>
        <v>0.9928172975</v>
      </c>
    </row>
    <row r="12468">
      <c r="A12468" s="6">
        <v>12466.0</v>
      </c>
      <c r="B12468" s="17">
        <f t="array" ref="B12468">SUM(1-'Sparkling Model'!D$2:D$38^A12468)</f>
        <v>36.99280277</v>
      </c>
      <c r="C12468" s="8">
        <f t="array" ref="C12468">PRODUCT(1-'Sparkling Model'!D$2:D$38^A12468)</f>
        <v>0.9928208553</v>
      </c>
    </row>
    <row r="12469">
      <c r="A12469" s="6">
        <v>12467.0</v>
      </c>
      <c r="B12469" s="17">
        <f t="array" ref="B12469">SUM(1-'Sparkling Model'!D$2:D$38^A12469)</f>
        <v>36.99280634</v>
      </c>
      <c r="C12469" s="8">
        <f t="array" ref="C12469">PRODUCT(1-'Sparkling Model'!D$2:D$38^A12469)</f>
        <v>0.9928244114</v>
      </c>
    </row>
    <row r="12470">
      <c r="A12470" s="6">
        <v>12468.0</v>
      </c>
      <c r="B12470" s="17">
        <f t="array" ref="B12470">SUM(1-'Sparkling Model'!D$2:D$38^A12470)</f>
        <v>36.99280991</v>
      </c>
      <c r="C12470" s="8">
        <f t="array" ref="C12470">PRODUCT(1-'Sparkling Model'!D$2:D$38^A12470)</f>
        <v>0.9928279658</v>
      </c>
    </row>
    <row r="12471">
      <c r="A12471" s="6">
        <v>12469.0</v>
      </c>
      <c r="B12471" s="17">
        <f t="array" ref="B12471">SUM(1-'Sparkling Model'!D$2:D$38^A12471)</f>
        <v>36.99281348</v>
      </c>
      <c r="C12471" s="8">
        <f t="array" ref="C12471">PRODUCT(1-'Sparkling Model'!D$2:D$38^A12471)</f>
        <v>0.9928315183</v>
      </c>
    </row>
    <row r="12472">
      <c r="A12472" s="6">
        <v>12470.0</v>
      </c>
      <c r="B12472" s="17">
        <f t="array" ref="B12472">SUM(1-'Sparkling Model'!D$2:D$38^A12472)</f>
        <v>36.99281705</v>
      </c>
      <c r="C12472" s="8">
        <f t="array" ref="C12472">PRODUCT(1-'Sparkling Model'!D$2:D$38^A12472)</f>
        <v>0.9928350691</v>
      </c>
    </row>
    <row r="12473">
      <c r="A12473" s="6">
        <v>12471.0</v>
      </c>
      <c r="B12473" s="17">
        <f t="array" ref="B12473">SUM(1-'Sparkling Model'!D$2:D$38^A12473)</f>
        <v>36.99282062</v>
      </c>
      <c r="C12473" s="8">
        <f t="array" ref="C12473">PRODUCT(1-'Sparkling Model'!D$2:D$38^A12473)</f>
        <v>0.9928386181</v>
      </c>
    </row>
    <row r="12474">
      <c r="A12474" s="6">
        <v>12472.0</v>
      </c>
      <c r="B12474" s="17">
        <f t="array" ref="B12474">SUM(1-'Sparkling Model'!D$2:D$38^A12474)</f>
        <v>36.99282419</v>
      </c>
      <c r="C12474" s="8">
        <f t="array" ref="C12474">PRODUCT(1-'Sparkling Model'!D$2:D$38^A12474)</f>
        <v>0.9928421654</v>
      </c>
    </row>
    <row r="12475">
      <c r="A12475" s="6">
        <v>12473.0</v>
      </c>
      <c r="B12475" s="17">
        <f t="array" ref="B12475">SUM(1-'Sparkling Model'!D$2:D$38^A12475)</f>
        <v>36.99282775</v>
      </c>
      <c r="C12475" s="8">
        <f t="array" ref="C12475">PRODUCT(1-'Sparkling Model'!D$2:D$38^A12475)</f>
        <v>0.9928457109</v>
      </c>
    </row>
    <row r="12476">
      <c r="A12476" s="6">
        <v>12474.0</v>
      </c>
      <c r="B12476" s="17">
        <f t="array" ref="B12476">SUM(1-'Sparkling Model'!D$2:D$38^A12476)</f>
        <v>36.99283131</v>
      </c>
      <c r="C12476" s="8">
        <f t="array" ref="C12476">PRODUCT(1-'Sparkling Model'!D$2:D$38^A12476)</f>
        <v>0.9928492546</v>
      </c>
    </row>
    <row r="12477">
      <c r="A12477" s="6">
        <v>12475.0</v>
      </c>
      <c r="B12477" s="17">
        <f t="array" ref="B12477">SUM(1-'Sparkling Model'!D$2:D$38^A12477)</f>
        <v>36.99283487</v>
      </c>
      <c r="C12477" s="8">
        <f t="array" ref="C12477">PRODUCT(1-'Sparkling Model'!D$2:D$38^A12477)</f>
        <v>0.9928527966</v>
      </c>
    </row>
    <row r="12478">
      <c r="A12478" s="6">
        <v>12476.0</v>
      </c>
      <c r="B12478" s="17">
        <f t="array" ref="B12478">SUM(1-'Sparkling Model'!D$2:D$38^A12478)</f>
        <v>36.99283843</v>
      </c>
      <c r="C12478" s="8">
        <f t="array" ref="C12478">PRODUCT(1-'Sparkling Model'!D$2:D$38^A12478)</f>
        <v>0.9928563368</v>
      </c>
    </row>
    <row r="12479">
      <c r="A12479" s="6">
        <v>12477.0</v>
      </c>
      <c r="B12479" s="17">
        <f t="array" ref="B12479">SUM(1-'Sparkling Model'!D$2:D$38^A12479)</f>
        <v>36.99284199</v>
      </c>
      <c r="C12479" s="8">
        <f t="array" ref="C12479">PRODUCT(1-'Sparkling Model'!D$2:D$38^A12479)</f>
        <v>0.9928598753</v>
      </c>
    </row>
    <row r="12480">
      <c r="A12480" s="6">
        <v>12478.0</v>
      </c>
      <c r="B12480" s="17">
        <f t="array" ref="B12480">SUM(1-'Sparkling Model'!D$2:D$38^A12480)</f>
        <v>36.99284554</v>
      </c>
      <c r="C12480" s="8">
        <f t="array" ref="C12480">PRODUCT(1-'Sparkling Model'!D$2:D$38^A12480)</f>
        <v>0.992863412</v>
      </c>
    </row>
    <row r="12481">
      <c r="A12481" s="6">
        <v>12479.0</v>
      </c>
      <c r="B12481" s="17">
        <f t="array" ref="B12481">SUM(1-'Sparkling Model'!D$2:D$38^A12481)</f>
        <v>36.99284909</v>
      </c>
      <c r="C12481" s="8">
        <f t="array" ref="C12481">PRODUCT(1-'Sparkling Model'!D$2:D$38^A12481)</f>
        <v>0.9928669469</v>
      </c>
    </row>
    <row r="12482">
      <c r="A12482" s="6">
        <v>12480.0</v>
      </c>
      <c r="B12482" s="17">
        <f t="array" ref="B12482">SUM(1-'Sparkling Model'!D$2:D$38^A12482)</f>
        <v>36.99285264</v>
      </c>
      <c r="C12482" s="8">
        <f t="array" ref="C12482">PRODUCT(1-'Sparkling Model'!D$2:D$38^A12482)</f>
        <v>0.9928704801</v>
      </c>
    </row>
    <row r="12483">
      <c r="A12483" s="6">
        <v>12481.0</v>
      </c>
      <c r="B12483" s="17">
        <f t="array" ref="B12483">SUM(1-'Sparkling Model'!D$2:D$38^A12483)</f>
        <v>36.99285619</v>
      </c>
      <c r="C12483" s="8">
        <f t="array" ref="C12483">PRODUCT(1-'Sparkling Model'!D$2:D$38^A12483)</f>
        <v>0.9928740115</v>
      </c>
    </row>
    <row r="12484">
      <c r="A12484" s="6">
        <v>12482.0</v>
      </c>
      <c r="B12484" s="17">
        <f t="array" ref="B12484">SUM(1-'Sparkling Model'!D$2:D$38^A12484)</f>
        <v>36.99285974</v>
      </c>
      <c r="C12484" s="8">
        <f t="array" ref="C12484">PRODUCT(1-'Sparkling Model'!D$2:D$38^A12484)</f>
        <v>0.9928775412</v>
      </c>
    </row>
    <row r="12485">
      <c r="A12485" s="6">
        <v>12483.0</v>
      </c>
      <c r="B12485" s="17">
        <f t="array" ref="B12485">SUM(1-'Sparkling Model'!D$2:D$38^A12485)</f>
        <v>36.99286329</v>
      </c>
      <c r="C12485" s="8">
        <f t="array" ref="C12485">PRODUCT(1-'Sparkling Model'!D$2:D$38^A12485)</f>
        <v>0.9928810691</v>
      </c>
    </row>
    <row r="12486">
      <c r="A12486" s="6">
        <v>12484.0</v>
      </c>
      <c r="B12486" s="17">
        <f t="array" ref="B12486">SUM(1-'Sparkling Model'!D$2:D$38^A12486)</f>
        <v>36.99286683</v>
      </c>
      <c r="C12486" s="8">
        <f t="array" ref="C12486">PRODUCT(1-'Sparkling Model'!D$2:D$38^A12486)</f>
        <v>0.9928845953</v>
      </c>
    </row>
    <row r="12487">
      <c r="A12487" s="6">
        <v>12485.0</v>
      </c>
      <c r="B12487" s="17">
        <f t="array" ref="B12487">SUM(1-'Sparkling Model'!D$2:D$38^A12487)</f>
        <v>36.99287037</v>
      </c>
      <c r="C12487" s="8">
        <f t="array" ref="C12487">PRODUCT(1-'Sparkling Model'!D$2:D$38^A12487)</f>
        <v>0.9928881197</v>
      </c>
    </row>
    <row r="12488">
      <c r="A12488" s="6">
        <v>12486.0</v>
      </c>
      <c r="B12488" s="17">
        <f t="array" ref="B12488">SUM(1-'Sparkling Model'!D$2:D$38^A12488)</f>
        <v>36.99287391</v>
      </c>
      <c r="C12488" s="8">
        <f t="array" ref="C12488">PRODUCT(1-'Sparkling Model'!D$2:D$38^A12488)</f>
        <v>0.9928916424</v>
      </c>
    </row>
    <row r="12489">
      <c r="A12489" s="6">
        <v>12487.0</v>
      </c>
      <c r="B12489" s="17">
        <f t="array" ref="B12489">SUM(1-'Sparkling Model'!D$2:D$38^A12489)</f>
        <v>36.99287745</v>
      </c>
      <c r="C12489" s="8">
        <f t="array" ref="C12489">PRODUCT(1-'Sparkling Model'!D$2:D$38^A12489)</f>
        <v>0.9928951633</v>
      </c>
    </row>
    <row r="12490">
      <c r="A12490" s="6">
        <v>12488.0</v>
      </c>
      <c r="B12490" s="17">
        <f t="array" ref="B12490">SUM(1-'Sparkling Model'!D$2:D$38^A12490)</f>
        <v>36.99288099</v>
      </c>
      <c r="C12490" s="8">
        <f t="array" ref="C12490">PRODUCT(1-'Sparkling Model'!D$2:D$38^A12490)</f>
        <v>0.9928986824</v>
      </c>
    </row>
    <row r="12491">
      <c r="A12491" s="6">
        <v>12489.0</v>
      </c>
      <c r="B12491" s="17">
        <f t="array" ref="B12491">SUM(1-'Sparkling Model'!D$2:D$38^A12491)</f>
        <v>36.99288452</v>
      </c>
      <c r="C12491" s="8">
        <f t="array" ref="C12491">PRODUCT(1-'Sparkling Model'!D$2:D$38^A12491)</f>
        <v>0.9929021999</v>
      </c>
    </row>
    <row r="12492">
      <c r="A12492" s="6">
        <v>12490.0</v>
      </c>
      <c r="B12492" s="17">
        <f t="array" ref="B12492">SUM(1-'Sparkling Model'!D$2:D$38^A12492)</f>
        <v>36.99288806</v>
      </c>
      <c r="C12492" s="8">
        <f t="array" ref="C12492">PRODUCT(1-'Sparkling Model'!D$2:D$38^A12492)</f>
        <v>0.9929057155</v>
      </c>
    </row>
    <row r="12493">
      <c r="A12493" s="6">
        <v>12491.0</v>
      </c>
      <c r="B12493" s="17">
        <f t="array" ref="B12493">SUM(1-'Sparkling Model'!D$2:D$38^A12493)</f>
        <v>36.99289159</v>
      </c>
      <c r="C12493" s="8">
        <f t="array" ref="C12493">PRODUCT(1-'Sparkling Model'!D$2:D$38^A12493)</f>
        <v>0.9929092295</v>
      </c>
    </row>
    <row r="12494">
      <c r="A12494" s="6">
        <v>12492.0</v>
      </c>
      <c r="B12494" s="17">
        <f t="array" ref="B12494">SUM(1-'Sparkling Model'!D$2:D$38^A12494)</f>
        <v>36.99289512</v>
      </c>
      <c r="C12494" s="8">
        <f t="array" ref="C12494">PRODUCT(1-'Sparkling Model'!D$2:D$38^A12494)</f>
        <v>0.9929127416</v>
      </c>
    </row>
    <row r="12495">
      <c r="A12495" s="6">
        <v>12493.0</v>
      </c>
      <c r="B12495" s="17">
        <f t="array" ref="B12495">SUM(1-'Sparkling Model'!D$2:D$38^A12495)</f>
        <v>36.99289865</v>
      </c>
      <c r="C12495" s="8">
        <f t="array" ref="C12495">PRODUCT(1-'Sparkling Model'!D$2:D$38^A12495)</f>
        <v>0.9929162521</v>
      </c>
    </row>
    <row r="12496">
      <c r="A12496" s="6">
        <v>12494.0</v>
      </c>
      <c r="B12496" s="17">
        <f t="array" ref="B12496">SUM(1-'Sparkling Model'!D$2:D$38^A12496)</f>
        <v>36.99290217</v>
      </c>
      <c r="C12496" s="8">
        <f t="array" ref="C12496">PRODUCT(1-'Sparkling Model'!D$2:D$38^A12496)</f>
        <v>0.9929197608</v>
      </c>
    </row>
    <row r="12497">
      <c r="A12497" s="6">
        <v>12495.0</v>
      </c>
      <c r="B12497" s="17">
        <f t="array" ref="B12497">SUM(1-'Sparkling Model'!D$2:D$38^A12497)</f>
        <v>36.9929057</v>
      </c>
      <c r="C12497" s="8">
        <f t="array" ref="C12497">PRODUCT(1-'Sparkling Model'!D$2:D$38^A12497)</f>
        <v>0.9929232677</v>
      </c>
    </row>
    <row r="12498">
      <c r="A12498" s="6">
        <v>12496.0</v>
      </c>
      <c r="B12498" s="17">
        <f t="array" ref="B12498">SUM(1-'Sparkling Model'!D$2:D$38^A12498)</f>
        <v>36.99290922</v>
      </c>
      <c r="C12498" s="8">
        <f t="array" ref="C12498">PRODUCT(1-'Sparkling Model'!D$2:D$38^A12498)</f>
        <v>0.9929267729</v>
      </c>
    </row>
    <row r="12499">
      <c r="A12499" s="6">
        <v>12497.0</v>
      </c>
      <c r="B12499" s="17">
        <f t="array" ref="B12499">SUM(1-'Sparkling Model'!D$2:D$38^A12499)</f>
        <v>36.99291274</v>
      </c>
      <c r="C12499" s="8">
        <f t="array" ref="C12499">PRODUCT(1-'Sparkling Model'!D$2:D$38^A12499)</f>
        <v>0.9929302764</v>
      </c>
    </row>
    <row r="12500">
      <c r="A12500" s="6">
        <v>12498.0</v>
      </c>
      <c r="B12500" s="17">
        <f t="array" ref="B12500">SUM(1-'Sparkling Model'!D$2:D$38^A12500)</f>
        <v>36.99291626</v>
      </c>
      <c r="C12500" s="8">
        <f t="array" ref="C12500">PRODUCT(1-'Sparkling Model'!D$2:D$38^A12500)</f>
        <v>0.9929337781</v>
      </c>
    </row>
    <row r="12501">
      <c r="A12501" s="6">
        <v>12499.0</v>
      </c>
      <c r="B12501" s="17">
        <f t="array" ref="B12501">SUM(1-'Sparkling Model'!D$2:D$38^A12501)</f>
        <v>36.99291978</v>
      </c>
      <c r="C12501" s="8">
        <f t="array" ref="C12501">PRODUCT(1-'Sparkling Model'!D$2:D$38^A12501)</f>
        <v>0.9929372781</v>
      </c>
    </row>
    <row r="12502">
      <c r="A12502" s="6">
        <v>12500.0</v>
      </c>
      <c r="B12502" s="17">
        <f t="array" ref="B12502">SUM(1-'Sparkling Model'!D$2:D$38^A12502)</f>
        <v>36.99292329</v>
      </c>
      <c r="C12502" s="8">
        <f t="array" ref="C12502">PRODUCT(1-'Sparkling Model'!D$2:D$38^A12502)</f>
        <v>0.9929407763</v>
      </c>
    </row>
    <row r="12503">
      <c r="A12503" s="6">
        <v>12501.0</v>
      </c>
      <c r="B12503" s="17">
        <f t="array" ref="B12503">SUM(1-'Sparkling Model'!D$2:D$38^A12503)</f>
        <v>36.99292681</v>
      </c>
      <c r="C12503" s="8">
        <f t="array" ref="C12503">PRODUCT(1-'Sparkling Model'!D$2:D$38^A12503)</f>
        <v>0.9929442728</v>
      </c>
    </row>
    <row r="12504">
      <c r="A12504" s="6">
        <v>12502.0</v>
      </c>
      <c r="B12504" s="17">
        <f t="array" ref="B12504">SUM(1-'Sparkling Model'!D$2:D$38^A12504)</f>
        <v>36.99293032</v>
      </c>
      <c r="C12504" s="8">
        <f t="array" ref="C12504">PRODUCT(1-'Sparkling Model'!D$2:D$38^A12504)</f>
        <v>0.9929477676</v>
      </c>
    </row>
    <row r="12505">
      <c r="A12505" s="6">
        <v>12503.0</v>
      </c>
      <c r="B12505" s="17">
        <f t="array" ref="B12505">SUM(1-'Sparkling Model'!D$2:D$38^A12505)</f>
        <v>36.99293383</v>
      </c>
      <c r="C12505" s="8">
        <f t="array" ref="C12505">PRODUCT(1-'Sparkling Model'!D$2:D$38^A12505)</f>
        <v>0.9929512606</v>
      </c>
    </row>
    <row r="12506">
      <c r="A12506" s="6">
        <v>12504.0</v>
      </c>
      <c r="B12506" s="17">
        <f t="array" ref="B12506">SUM(1-'Sparkling Model'!D$2:D$38^A12506)</f>
        <v>36.99293734</v>
      </c>
      <c r="C12506" s="8">
        <f t="array" ref="C12506">PRODUCT(1-'Sparkling Model'!D$2:D$38^A12506)</f>
        <v>0.9929547519</v>
      </c>
    </row>
    <row r="12507">
      <c r="A12507" s="6">
        <v>12505.0</v>
      </c>
      <c r="B12507" s="17">
        <f t="array" ref="B12507">SUM(1-'Sparkling Model'!D$2:D$38^A12507)</f>
        <v>36.99294084</v>
      </c>
      <c r="C12507" s="8">
        <f t="array" ref="C12507">PRODUCT(1-'Sparkling Model'!D$2:D$38^A12507)</f>
        <v>0.9929582414</v>
      </c>
    </row>
    <row r="12508">
      <c r="A12508" s="6">
        <v>12506.0</v>
      </c>
      <c r="B12508" s="17">
        <f t="array" ref="B12508">SUM(1-'Sparkling Model'!D$2:D$38^A12508)</f>
        <v>36.99294435</v>
      </c>
      <c r="C12508" s="8">
        <f t="array" ref="C12508">PRODUCT(1-'Sparkling Model'!D$2:D$38^A12508)</f>
        <v>0.9929617293</v>
      </c>
    </row>
    <row r="12509">
      <c r="A12509" s="6">
        <v>12507.0</v>
      </c>
      <c r="B12509" s="17">
        <f t="array" ref="B12509">SUM(1-'Sparkling Model'!D$2:D$38^A12509)</f>
        <v>36.99294785</v>
      </c>
      <c r="C12509" s="8">
        <f t="array" ref="C12509">PRODUCT(1-'Sparkling Model'!D$2:D$38^A12509)</f>
        <v>0.9929652154</v>
      </c>
    </row>
    <row r="12510">
      <c r="A12510" s="6">
        <v>12508.0</v>
      </c>
      <c r="B12510" s="17">
        <f t="array" ref="B12510">SUM(1-'Sparkling Model'!D$2:D$38^A12510)</f>
        <v>36.99295136</v>
      </c>
      <c r="C12510" s="8">
        <f t="array" ref="C12510">PRODUCT(1-'Sparkling Model'!D$2:D$38^A12510)</f>
        <v>0.9929686997</v>
      </c>
    </row>
    <row r="12511">
      <c r="A12511" s="6">
        <v>12509.0</v>
      </c>
      <c r="B12511" s="17">
        <f t="array" ref="B12511">SUM(1-'Sparkling Model'!D$2:D$38^A12511)</f>
        <v>36.99295486</v>
      </c>
      <c r="C12511" s="8">
        <f t="array" ref="C12511">PRODUCT(1-'Sparkling Model'!D$2:D$38^A12511)</f>
        <v>0.9929721823</v>
      </c>
    </row>
    <row r="12512">
      <c r="A12512" s="6">
        <v>12510.0</v>
      </c>
      <c r="B12512" s="17">
        <f t="array" ref="B12512">SUM(1-'Sparkling Model'!D$2:D$38^A12512)</f>
        <v>36.99295835</v>
      </c>
      <c r="C12512" s="8">
        <f t="array" ref="C12512">PRODUCT(1-'Sparkling Model'!D$2:D$38^A12512)</f>
        <v>0.9929756632</v>
      </c>
    </row>
    <row r="12513">
      <c r="A12513" s="6">
        <v>12511.0</v>
      </c>
      <c r="B12513" s="17">
        <f t="array" ref="B12513">SUM(1-'Sparkling Model'!D$2:D$38^A12513)</f>
        <v>36.99296185</v>
      </c>
      <c r="C12513" s="8">
        <f t="array" ref="C12513">PRODUCT(1-'Sparkling Model'!D$2:D$38^A12513)</f>
        <v>0.9929791424</v>
      </c>
    </row>
    <row r="12514">
      <c r="A12514" s="6">
        <v>12512.0</v>
      </c>
      <c r="B12514" s="17">
        <f t="array" ref="B12514">SUM(1-'Sparkling Model'!D$2:D$38^A12514)</f>
        <v>36.99296534</v>
      </c>
      <c r="C12514" s="8">
        <f t="array" ref="C12514">PRODUCT(1-'Sparkling Model'!D$2:D$38^A12514)</f>
        <v>0.9929826199</v>
      </c>
    </row>
    <row r="12515">
      <c r="A12515" s="6">
        <v>12513.0</v>
      </c>
      <c r="B12515" s="17">
        <f t="array" ref="B12515">SUM(1-'Sparkling Model'!D$2:D$38^A12515)</f>
        <v>36.99296884</v>
      </c>
      <c r="C12515" s="8">
        <f t="array" ref="C12515">PRODUCT(1-'Sparkling Model'!D$2:D$38^A12515)</f>
        <v>0.9929860956</v>
      </c>
    </row>
    <row r="12516">
      <c r="A12516" s="6">
        <v>12514.0</v>
      </c>
      <c r="B12516" s="17">
        <f t="array" ref="B12516">SUM(1-'Sparkling Model'!D$2:D$38^A12516)</f>
        <v>36.99297233</v>
      </c>
      <c r="C12516" s="8">
        <f t="array" ref="C12516">PRODUCT(1-'Sparkling Model'!D$2:D$38^A12516)</f>
        <v>0.9929895696</v>
      </c>
    </row>
    <row r="12517">
      <c r="A12517" s="6">
        <v>12515.0</v>
      </c>
      <c r="B12517" s="17">
        <f t="array" ref="B12517">SUM(1-'Sparkling Model'!D$2:D$38^A12517)</f>
        <v>36.99297582</v>
      </c>
      <c r="C12517" s="8">
        <f t="array" ref="C12517">PRODUCT(1-'Sparkling Model'!D$2:D$38^A12517)</f>
        <v>0.9929930418</v>
      </c>
    </row>
    <row r="12518">
      <c r="A12518" s="6">
        <v>12516.0</v>
      </c>
      <c r="B12518" s="17">
        <f t="array" ref="B12518">SUM(1-'Sparkling Model'!D$2:D$38^A12518)</f>
        <v>36.99297931</v>
      </c>
      <c r="C12518" s="8">
        <f t="array" ref="C12518">PRODUCT(1-'Sparkling Model'!D$2:D$38^A12518)</f>
        <v>0.9929965123</v>
      </c>
    </row>
    <row r="12519">
      <c r="A12519" s="6">
        <v>12517.0</v>
      </c>
      <c r="B12519" s="17">
        <f t="array" ref="B12519">SUM(1-'Sparkling Model'!D$2:D$38^A12519)</f>
        <v>36.99298279</v>
      </c>
      <c r="C12519" s="8">
        <f t="array" ref="C12519">PRODUCT(1-'Sparkling Model'!D$2:D$38^A12519)</f>
        <v>0.9929999812</v>
      </c>
    </row>
    <row r="12520">
      <c r="A12520" s="6">
        <v>12518.0</v>
      </c>
      <c r="B12520" s="17">
        <f t="array" ref="B12520">SUM(1-'Sparkling Model'!D$2:D$38^A12520)</f>
        <v>36.99298628</v>
      </c>
      <c r="C12520" s="8">
        <f t="array" ref="C12520">PRODUCT(1-'Sparkling Model'!D$2:D$38^A12520)</f>
        <v>0.9930034482</v>
      </c>
    </row>
    <row r="12521">
      <c r="A12521" s="6">
        <v>12519.0</v>
      </c>
      <c r="B12521" s="17">
        <f t="array" ref="B12521">SUM(1-'Sparkling Model'!D$2:D$38^A12521)</f>
        <v>36.99298976</v>
      </c>
      <c r="C12521" s="8">
        <f t="array" ref="C12521">PRODUCT(1-'Sparkling Model'!D$2:D$38^A12521)</f>
        <v>0.9930069136</v>
      </c>
    </row>
    <row r="12522">
      <c r="A12522" s="6">
        <v>12520.0</v>
      </c>
      <c r="B12522" s="17">
        <f t="array" ref="B12522">SUM(1-'Sparkling Model'!D$2:D$38^A12522)</f>
        <v>36.99299324</v>
      </c>
      <c r="C12522" s="8">
        <f t="array" ref="C12522">PRODUCT(1-'Sparkling Model'!D$2:D$38^A12522)</f>
        <v>0.9930103773</v>
      </c>
    </row>
    <row r="12523">
      <c r="A12523" s="6">
        <v>12521.0</v>
      </c>
      <c r="B12523" s="17">
        <f t="array" ref="B12523">SUM(1-'Sparkling Model'!D$2:D$38^A12523)</f>
        <v>36.99299672</v>
      </c>
      <c r="C12523" s="8">
        <f t="array" ref="C12523">PRODUCT(1-'Sparkling Model'!D$2:D$38^A12523)</f>
        <v>0.9930138392</v>
      </c>
    </row>
    <row r="12524">
      <c r="A12524" s="6">
        <v>12522.0</v>
      </c>
      <c r="B12524" s="17">
        <f t="array" ref="B12524">SUM(1-'Sparkling Model'!D$2:D$38^A12524)</f>
        <v>36.9930002</v>
      </c>
      <c r="C12524" s="8">
        <f t="array" ref="C12524">PRODUCT(1-'Sparkling Model'!D$2:D$38^A12524)</f>
        <v>0.9930172994</v>
      </c>
    </row>
    <row r="12525">
      <c r="A12525" s="6">
        <v>12523.0</v>
      </c>
      <c r="B12525" s="17">
        <f t="array" ref="B12525">SUM(1-'Sparkling Model'!D$2:D$38^A12525)</f>
        <v>36.99300367</v>
      </c>
      <c r="C12525" s="8">
        <f t="array" ref="C12525">PRODUCT(1-'Sparkling Model'!D$2:D$38^A12525)</f>
        <v>0.9930207579</v>
      </c>
    </row>
    <row r="12526">
      <c r="A12526" s="6">
        <v>12524.0</v>
      </c>
      <c r="B12526" s="17">
        <f t="array" ref="B12526">SUM(1-'Sparkling Model'!D$2:D$38^A12526)</f>
        <v>36.99300715</v>
      </c>
      <c r="C12526" s="8">
        <f t="array" ref="C12526">PRODUCT(1-'Sparkling Model'!D$2:D$38^A12526)</f>
        <v>0.9930242146</v>
      </c>
    </row>
    <row r="12527">
      <c r="A12527" s="6">
        <v>12525.0</v>
      </c>
      <c r="B12527" s="17">
        <f t="array" ref="B12527">SUM(1-'Sparkling Model'!D$2:D$38^A12527)</f>
        <v>36.99301062</v>
      </c>
      <c r="C12527" s="8">
        <f t="array" ref="C12527">PRODUCT(1-'Sparkling Model'!D$2:D$38^A12527)</f>
        <v>0.9930276697</v>
      </c>
    </row>
    <row r="12528">
      <c r="A12528" s="6">
        <v>12526.0</v>
      </c>
      <c r="B12528" s="17">
        <f t="array" ref="B12528">SUM(1-'Sparkling Model'!D$2:D$38^A12528)</f>
        <v>36.99301409</v>
      </c>
      <c r="C12528" s="8">
        <f t="array" ref="C12528">PRODUCT(1-'Sparkling Model'!D$2:D$38^A12528)</f>
        <v>0.993031123</v>
      </c>
    </row>
    <row r="12529">
      <c r="A12529" s="6">
        <v>12527.0</v>
      </c>
      <c r="B12529" s="17">
        <f t="array" ref="B12529">SUM(1-'Sparkling Model'!D$2:D$38^A12529)</f>
        <v>36.99301756</v>
      </c>
      <c r="C12529" s="8">
        <f t="array" ref="C12529">PRODUCT(1-'Sparkling Model'!D$2:D$38^A12529)</f>
        <v>0.9930345746</v>
      </c>
    </row>
    <row r="12530">
      <c r="A12530" s="6">
        <v>12528.0</v>
      </c>
      <c r="B12530" s="17">
        <f t="array" ref="B12530">SUM(1-'Sparkling Model'!D$2:D$38^A12530)</f>
        <v>36.99302102</v>
      </c>
      <c r="C12530" s="8">
        <f t="array" ref="C12530">PRODUCT(1-'Sparkling Model'!D$2:D$38^A12530)</f>
        <v>0.9930380245</v>
      </c>
    </row>
    <row r="12531">
      <c r="A12531" s="6">
        <v>12529.0</v>
      </c>
      <c r="B12531" s="17">
        <f t="array" ref="B12531">SUM(1-'Sparkling Model'!D$2:D$38^A12531)</f>
        <v>36.99302449</v>
      </c>
      <c r="C12531" s="8">
        <f t="array" ref="C12531">PRODUCT(1-'Sparkling Model'!D$2:D$38^A12531)</f>
        <v>0.9930414727</v>
      </c>
    </row>
    <row r="12532">
      <c r="A12532" s="6">
        <v>12530.0</v>
      </c>
      <c r="B12532" s="17">
        <f t="array" ref="B12532">SUM(1-'Sparkling Model'!D$2:D$38^A12532)</f>
        <v>36.99302795</v>
      </c>
      <c r="C12532" s="8">
        <f t="array" ref="C12532">PRODUCT(1-'Sparkling Model'!D$2:D$38^A12532)</f>
        <v>0.9930449192</v>
      </c>
    </row>
    <row r="12533">
      <c r="A12533" s="6">
        <v>12531.0</v>
      </c>
      <c r="B12533" s="17">
        <f t="array" ref="B12533">SUM(1-'Sparkling Model'!D$2:D$38^A12533)</f>
        <v>36.99303141</v>
      </c>
      <c r="C12533" s="8">
        <f t="array" ref="C12533">PRODUCT(1-'Sparkling Model'!D$2:D$38^A12533)</f>
        <v>0.9930483639</v>
      </c>
    </row>
    <row r="12534">
      <c r="A12534" s="6">
        <v>12532.0</v>
      </c>
      <c r="B12534" s="17">
        <f t="array" ref="B12534">SUM(1-'Sparkling Model'!D$2:D$38^A12534)</f>
        <v>36.99303487</v>
      </c>
      <c r="C12534" s="8">
        <f t="array" ref="C12534">PRODUCT(1-'Sparkling Model'!D$2:D$38^A12534)</f>
        <v>0.993051807</v>
      </c>
    </row>
    <row r="12535">
      <c r="A12535" s="6">
        <v>12533.0</v>
      </c>
      <c r="B12535" s="17">
        <f t="array" ref="B12535">SUM(1-'Sparkling Model'!D$2:D$38^A12535)</f>
        <v>36.99303833</v>
      </c>
      <c r="C12535" s="8">
        <f t="array" ref="C12535">PRODUCT(1-'Sparkling Model'!D$2:D$38^A12535)</f>
        <v>0.9930552483</v>
      </c>
    </row>
    <row r="12536">
      <c r="A12536" s="6">
        <v>12534.0</v>
      </c>
      <c r="B12536" s="17">
        <f t="array" ref="B12536">SUM(1-'Sparkling Model'!D$2:D$38^A12536)</f>
        <v>36.99304179</v>
      </c>
      <c r="C12536" s="8">
        <f t="array" ref="C12536">PRODUCT(1-'Sparkling Model'!D$2:D$38^A12536)</f>
        <v>0.9930586879</v>
      </c>
    </row>
    <row r="12537">
      <c r="A12537" s="6">
        <v>12535.0</v>
      </c>
      <c r="B12537" s="17">
        <f t="array" ref="B12537">SUM(1-'Sparkling Model'!D$2:D$38^A12537)</f>
        <v>36.99304524</v>
      </c>
      <c r="C12537" s="8">
        <f t="array" ref="C12537">PRODUCT(1-'Sparkling Model'!D$2:D$38^A12537)</f>
        <v>0.9930621259</v>
      </c>
    </row>
    <row r="12538">
      <c r="A12538" s="6">
        <v>12536.0</v>
      </c>
      <c r="B12538" s="17">
        <f t="array" ref="B12538">SUM(1-'Sparkling Model'!D$2:D$38^A12538)</f>
        <v>36.9930487</v>
      </c>
      <c r="C12538" s="8">
        <f t="array" ref="C12538">PRODUCT(1-'Sparkling Model'!D$2:D$38^A12538)</f>
        <v>0.9930655621</v>
      </c>
    </row>
    <row r="12539">
      <c r="A12539" s="6">
        <v>12537.0</v>
      </c>
      <c r="B12539" s="17">
        <f t="array" ref="B12539">SUM(1-'Sparkling Model'!D$2:D$38^A12539)</f>
        <v>36.99305215</v>
      </c>
      <c r="C12539" s="8">
        <f t="array" ref="C12539">PRODUCT(1-'Sparkling Model'!D$2:D$38^A12539)</f>
        <v>0.9930689966</v>
      </c>
    </row>
    <row r="12540">
      <c r="A12540" s="6">
        <v>12538.0</v>
      </c>
      <c r="B12540" s="17">
        <f t="array" ref="B12540">SUM(1-'Sparkling Model'!D$2:D$38^A12540)</f>
        <v>36.9930556</v>
      </c>
      <c r="C12540" s="8">
        <f t="array" ref="C12540">PRODUCT(1-'Sparkling Model'!D$2:D$38^A12540)</f>
        <v>0.9930724294</v>
      </c>
    </row>
    <row r="12541">
      <c r="A12541" s="6">
        <v>12539.0</v>
      </c>
      <c r="B12541" s="17">
        <f t="array" ref="B12541">SUM(1-'Sparkling Model'!D$2:D$38^A12541)</f>
        <v>36.99305904</v>
      </c>
      <c r="C12541" s="8">
        <f t="array" ref="C12541">PRODUCT(1-'Sparkling Model'!D$2:D$38^A12541)</f>
        <v>0.9930758605</v>
      </c>
    </row>
    <row r="12542">
      <c r="A12542" s="6">
        <v>12540.0</v>
      </c>
      <c r="B12542" s="17">
        <f t="array" ref="B12542">SUM(1-'Sparkling Model'!D$2:D$38^A12542)</f>
        <v>36.99306249</v>
      </c>
      <c r="C12542" s="8">
        <f t="array" ref="C12542">PRODUCT(1-'Sparkling Model'!D$2:D$38^A12542)</f>
        <v>0.9930792899</v>
      </c>
    </row>
    <row r="12543">
      <c r="A12543" s="6">
        <v>12541.0</v>
      </c>
      <c r="B12543" s="17">
        <f t="array" ref="B12543">SUM(1-'Sparkling Model'!D$2:D$38^A12543)</f>
        <v>36.99306594</v>
      </c>
      <c r="C12543" s="8">
        <f t="array" ref="C12543">PRODUCT(1-'Sparkling Model'!D$2:D$38^A12543)</f>
        <v>0.9930827175</v>
      </c>
    </row>
    <row r="12544">
      <c r="A12544" s="6">
        <v>12542.0</v>
      </c>
      <c r="B12544" s="17">
        <f t="array" ref="B12544">SUM(1-'Sparkling Model'!D$2:D$38^A12544)</f>
        <v>36.99306938</v>
      </c>
      <c r="C12544" s="8">
        <f t="array" ref="C12544">PRODUCT(1-'Sparkling Model'!D$2:D$38^A12544)</f>
        <v>0.9930861435</v>
      </c>
    </row>
    <row r="12545">
      <c r="A12545" s="6">
        <v>12543.0</v>
      </c>
      <c r="B12545" s="17">
        <f t="array" ref="B12545">SUM(1-'Sparkling Model'!D$2:D$38^A12545)</f>
        <v>36.99307282</v>
      </c>
      <c r="C12545" s="8">
        <f t="array" ref="C12545">PRODUCT(1-'Sparkling Model'!D$2:D$38^A12545)</f>
        <v>0.9930895678</v>
      </c>
    </row>
    <row r="12546">
      <c r="A12546" s="6">
        <v>12544.0</v>
      </c>
      <c r="B12546" s="17">
        <f t="array" ref="B12546">SUM(1-'Sparkling Model'!D$2:D$38^A12546)</f>
        <v>36.99307626</v>
      </c>
      <c r="C12546" s="8">
        <f t="array" ref="C12546">PRODUCT(1-'Sparkling Model'!D$2:D$38^A12546)</f>
        <v>0.9930929904</v>
      </c>
    </row>
    <row r="12547">
      <c r="A12547" s="6">
        <v>12545.0</v>
      </c>
      <c r="B12547" s="17">
        <f t="array" ref="B12547">SUM(1-'Sparkling Model'!D$2:D$38^A12547)</f>
        <v>36.9930797</v>
      </c>
      <c r="C12547" s="8">
        <f t="array" ref="C12547">PRODUCT(1-'Sparkling Model'!D$2:D$38^A12547)</f>
        <v>0.9930964112</v>
      </c>
    </row>
    <row r="12548">
      <c r="A12548" s="6">
        <v>12546.0</v>
      </c>
      <c r="B12548" s="17">
        <f t="array" ref="B12548">SUM(1-'Sparkling Model'!D$2:D$38^A12548)</f>
        <v>36.99308313</v>
      </c>
      <c r="C12548" s="8">
        <f t="array" ref="C12548">PRODUCT(1-'Sparkling Model'!D$2:D$38^A12548)</f>
        <v>0.9930998304</v>
      </c>
    </row>
    <row r="12549">
      <c r="A12549" s="6">
        <v>12547.0</v>
      </c>
      <c r="B12549" s="17">
        <f t="array" ref="B12549">SUM(1-'Sparkling Model'!D$2:D$38^A12549)</f>
        <v>36.99308657</v>
      </c>
      <c r="C12549" s="8">
        <f t="array" ref="C12549">PRODUCT(1-'Sparkling Model'!D$2:D$38^A12549)</f>
        <v>0.9931032479</v>
      </c>
    </row>
    <row r="12550">
      <c r="A12550" s="6">
        <v>12548.0</v>
      </c>
      <c r="B12550" s="17">
        <f t="array" ref="B12550">SUM(1-'Sparkling Model'!D$2:D$38^A12550)</f>
        <v>36.99309</v>
      </c>
      <c r="C12550" s="8">
        <f t="array" ref="C12550">PRODUCT(1-'Sparkling Model'!D$2:D$38^A12550)</f>
        <v>0.9931066637</v>
      </c>
    </row>
    <row r="12551">
      <c r="A12551" s="6">
        <v>12549.0</v>
      </c>
      <c r="B12551" s="17">
        <f t="array" ref="B12551">SUM(1-'Sparkling Model'!D$2:D$38^A12551)</f>
        <v>36.99309343</v>
      </c>
      <c r="C12551" s="8">
        <f t="array" ref="C12551">PRODUCT(1-'Sparkling Model'!D$2:D$38^A12551)</f>
        <v>0.9931100778</v>
      </c>
    </row>
    <row r="12552">
      <c r="A12552" s="6">
        <v>12550.0</v>
      </c>
      <c r="B12552" s="17">
        <f t="array" ref="B12552">SUM(1-'Sparkling Model'!D$2:D$38^A12552)</f>
        <v>36.99309686</v>
      </c>
      <c r="C12552" s="8">
        <f t="array" ref="C12552">PRODUCT(1-'Sparkling Model'!D$2:D$38^A12552)</f>
        <v>0.9931134902</v>
      </c>
    </row>
    <row r="12553">
      <c r="A12553" s="6">
        <v>12551.0</v>
      </c>
      <c r="B12553" s="17">
        <f t="array" ref="B12553">SUM(1-'Sparkling Model'!D$2:D$38^A12553)</f>
        <v>36.99310029</v>
      </c>
      <c r="C12553" s="8">
        <f t="array" ref="C12553">PRODUCT(1-'Sparkling Model'!D$2:D$38^A12553)</f>
        <v>0.9931169008</v>
      </c>
    </row>
    <row r="12554">
      <c r="A12554" s="6">
        <v>12552.0</v>
      </c>
      <c r="B12554" s="17">
        <f t="array" ref="B12554">SUM(1-'Sparkling Model'!D$2:D$38^A12554)</f>
        <v>36.99310371</v>
      </c>
      <c r="C12554" s="8">
        <f t="array" ref="C12554">PRODUCT(1-'Sparkling Model'!D$2:D$38^A12554)</f>
        <v>0.9931203098</v>
      </c>
    </row>
    <row r="12555">
      <c r="A12555" s="6">
        <v>12553.0</v>
      </c>
      <c r="B12555" s="17">
        <f t="array" ref="B12555">SUM(1-'Sparkling Model'!D$2:D$38^A12555)</f>
        <v>36.99310713</v>
      </c>
      <c r="C12555" s="8">
        <f t="array" ref="C12555">PRODUCT(1-'Sparkling Model'!D$2:D$38^A12555)</f>
        <v>0.9931237172</v>
      </c>
    </row>
    <row r="12556">
      <c r="A12556" s="6">
        <v>12554.0</v>
      </c>
      <c r="B12556" s="17">
        <f t="array" ref="B12556">SUM(1-'Sparkling Model'!D$2:D$38^A12556)</f>
        <v>36.99311056</v>
      </c>
      <c r="C12556" s="8">
        <f t="array" ref="C12556">PRODUCT(1-'Sparkling Model'!D$2:D$38^A12556)</f>
        <v>0.9931271228</v>
      </c>
    </row>
    <row r="12557">
      <c r="A12557" s="6">
        <v>12555.0</v>
      </c>
      <c r="B12557" s="17">
        <f t="array" ref="B12557">SUM(1-'Sparkling Model'!D$2:D$38^A12557)</f>
        <v>36.99311398</v>
      </c>
      <c r="C12557" s="8">
        <f t="array" ref="C12557">PRODUCT(1-'Sparkling Model'!D$2:D$38^A12557)</f>
        <v>0.9931305267</v>
      </c>
    </row>
    <row r="12558">
      <c r="A12558" s="6">
        <v>12556.0</v>
      </c>
      <c r="B12558" s="17">
        <f t="array" ref="B12558">SUM(1-'Sparkling Model'!D$2:D$38^A12558)</f>
        <v>36.9931174</v>
      </c>
      <c r="C12558" s="8">
        <f t="array" ref="C12558">PRODUCT(1-'Sparkling Model'!D$2:D$38^A12558)</f>
        <v>0.9931339289</v>
      </c>
    </row>
    <row r="12559">
      <c r="A12559" s="6">
        <v>12557.0</v>
      </c>
      <c r="B12559" s="17">
        <f t="array" ref="B12559">SUM(1-'Sparkling Model'!D$2:D$38^A12559)</f>
        <v>36.99312081</v>
      </c>
      <c r="C12559" s="8">
        <f t="array" ref="C12559">PRODUCT(1-'Sparkling Model'!D$2:D$38^A12559)</f>
        <v>0.9931373294</v>
      </c>
    </row>
    <row r="12560">
      <c r="A12560" s="6">
        <v>12558.0</v>
      </c>
      <c r="B12560" s="17">
        <f t="array" ref="B12560">SUM(1-'Sparkling Model'!D$2:D$38^A12560)</f>
        <v>36.99312423</v>
      </c>
      <c r="C12560" s="8">
        <f t="array" ref="C12560">PRODUCT(1-'Sparkling Model'!D$2:D$38^A12560)</f>
        <v>0.9931407283</v>
      </c>
    </row>
    <row r="12561">
      <c r="A12561" s="6">
        <v>12559.0</v>
      </c>
      <c r="B12561" s="17">
        <f t="array" ref="B12561">SUM(1-'Sparkling Model'!D$2:D$38^A12561)</f>
        <v>36.99312764</v>
      </c>
      <c r="C12561" s="8">
        <f t="array" ref="C12561">PRODUCT(1-'Sparkling Model'!D$2:D$38^A12561)</f>
        <v>0.9931441255</v>
      </c>
    </row>
    <row r="12562">
      <c r="A12562" s="6">
        <v>12560.0</v>
      </c>
      <c r="B12562" s="17">
        <f t="array" ref="B12562">SUM(1-'Sparkling Model'!D$2:D$38^A12562)</f>
        <v>36.99313105</v>
      </c>
      <c r="C12562" s="8">
        <f t="array" ref="C12562">PRODUCT(1-'Sparkling Model'!D$2:D$38^A12562)</f>
        <v>0.9931475209</v>
      </c>
    </row>
    <row r="12563">
      <c r="A12563" s="6">
        <v>12561.0</v>
      </c>
      <c r="B12563" s="17">
        <f t="array" ref="B12563">SUM(1-'Sparkling Model'!D$2:D$38^A12563)</f>
        <v>36.99313446</v>
      </c>
      <c r="C12563" s="8">
        <f t="array" ref="C12563">PRODUCT(1-'Sparkling Model'!D$2:D$38^A12563)</f>
        <v>0.9931509147</v>
      </c>
    </row>
    <row r="12564">
      <c r="A12564" s="6">
        <v>12562.0</v>
      </c>
      <c r="B12564" s="17">
        <f t="array" ref="B12564">SUM(1-'Sparkling Model'!D$2:D$38^A12564)</f>
        <v>36.99313787</v>
      </c>
      <c r="C12564" s="8">
        <f t="array" ref="C12564">PRODUCT(1-'Sparkling Model'!D$2:D$38^A12564)</f>
        <v>0.9931543068</v>
      </c>
    </row>
    <row r="12565">
      <c r="A12565" s="6">
        <v>12563.0</v>
      </c>
      <c r="B12565" s="17">
        <f t="array" ref="B12565">SUM(1-'Sparkling Model'!D$2:D$38^A12565)</f>
        <v>36.99314128</v>
      </c>
      <c r="C12565" s="8">
        <f t="array" ref="C12565">PRODUCT(1-'Sparkling Model'!D$2:D$38^A12565)</f>
        <v>0.9931576972</v>
      </c>
    </row>
    <row r="12566">
      <c r="A12566" s="6">
        <v>12564.0</v>
      </c>
      <c r="B12566" s="17">
        <f t="array" ref="B12566">SUM(1-'Sparkling Model'!D$2:D$38^A12566)</f>
        <v>36.99314468</v>
      </c>
      <c r="C12566" s="8">
        <f t="array" ref="C12566">PRODUCT(1-'Sparkling Model'!D$2:D$38^A12566)</f>
        <v>0.993161086</v>
      </c>
    </row>
    <row r="12567">
      <c r="A12567" s="6">
        <v>12565.0</v>
      </c>
      <c r="B12567" s="17">
        <f t="array" ref="B12567">SUM(1-'Sparkling Model'!D$2:D$38^A12567)</f>
        <v>36.99314809</v>
      </c>
      <c r="C12567" s="8">
        <f t="array" ref="C12567">PRODUCT(1-'Sparkling Model'!D$2:D$38^A12567)</f>
        <v>0.993164473</v>
      </c>
    </row>
    <row r="12568">
      <c r="A12568" s="6">
        <v>12566.0</v>
      </c>
      <c r="B12568" s="17">
        <f t="array" ref="B12568">SUM(1-'Sparkling Model'!D$2:D$38^A12568)</f>
        <v>36.99315149</v>
      </c>
      <c r="C12568" s="8">
        <f t="array" ref="C12568">PRODUCT(1-'Sparkling Model'!D$2:D$38^A12568)</f>
        <v>0.9931678584</v>
      </c>
    </row>
    <row r="12569">
      <c r="A12569" s="6">
        <v>12567.0</v>
      </c>
      <c r="B12569" s="17">
        <f t="array" ref="B12569">SUM(1-'Sparkling Model'!D$2:D$38^A12569)</f>
        <v>36.99315489</v>
      </c>
      <c r="C12569" s="8">
        <f t="array" ref="C12569">PRODUCT(1-'Sparkling Model'!D$2:D$38^A12569)</f>
        <v>0.993171242</v>
      </c>
    </row>
    <row r="12570">
      <c r="A12570" s="6">
        <v>12568.0</v>
      </c>
      <c r="B12570" s="17">
        <f t="array" ref="B12570">SUM(1-'Sparkling Model'!D$2:D$38^A12570)</f>
        <v>36.99315829</v>
      </c>
      <c r="C12570" s="8">
        <f t="array" ref="C12570">PRODUCT(1-'Sparkling Model'!D$2:D$38^A12570)</f>
        <v>0.993174624</v>
      </c>
    </row>
    <row r="12571">
      <c r="A12571" s="6">
        <v>12569.0</v>
      </c>
      <c r="B12571" s="17">
        <f t="array" ref="B12571">SUM(1-'Sparkling Model'!D$2:D$38^A12571)</f>
        <v>36.99316169</v>
      </c>
      <c r="C12571" s="8">
        <f t="array" ref="C12571">PRODUCT(1-'Sparkling Model'!D$2:D$38^A12571)</f>
        <v>0.9931780044</v>
      </c>
    </row>
    <row r="12572">
      <c r="A12572" s="6">
        <v>12570.0</v>
      </c>
      <c r="B12572" s="17">
        <f t="array" ref="B12572">SUM(1-'Sparkling Model'!D$2:D$38^A12572)</f>
        <v>36.99316508</v>
      </c>
      <c r="C12572" s="8">
        <f t="array" ref="C12572">PRODUCT(1-'Sparkling Model'!D$2:D$38^A12572)</f>
        <v>0.993181383</v>
      </c>
    </row>
    <row r="12573">
      <c r="A12573" s="6">
        <v>12571.0</v>
      </c>
      <c r="B12573" s="17">
        <f t="array" ref="B12573">SUM(1-'Sparkling Model'!D$2:D$38^A12573)</f>
        <v>36.99316847</v>
      </c>
      <c r="C12573" s="8">
        <f t="array" ref="C12573">PRODUCT(1-'Sparkling Model'!D$2:D$38^A12573)</f>
        <v>0.99318476</v>
      </c>
    </row>
    <row r="12574">
      <c r="A12574" s="6">
        <v>12572.0</v>
      </c>
      <c r="B12574" s="17">
        <f t="array" ref="B12574">SUM(1-'Sparkling Model'!D$2:D$38^A12574)</f>
        <v>36.99317186</v>
      </c>
      <c r="C12574" s="8">
        <f t="array" ref="C12574">PRODUCT(1-'Sparkling Model'!D$2:D$38^A12574)</f>
        <v>0.9931881353</v>
      </c>
    </row>
    <row r="12575">
      <c r="A12575" s="6">
        <v>12573.0</v>
      </c>
      <c r="B12575" s="17">
        <f t="array" ref="B12575">SUM(1-'Sparkling Model'!D$2:D$38^A12575)</f>
        <v>36.99317525</v>
      </c>
      <c r="C12575" s="8">
        <f t="array" ref="C12575">PRODUCT(1-'Sparkling Model'!D$2:D$38^A12575)</f>
        <v>0.9931915089</v>
      </c>
    </row>
    <row r="12576">
      <c r="A12576" s="6">
        <v>12574.0</v>
      </c>
      <c r="B12576" s="17">
        <f t="array" ref="B12576">SUM(1-'Sparkling Model'!D$2:D$38^A12576)</f>
        <v>36.99317864</v>
      </c>
      <c r="C12576" s="8">
        <f t="array" ref="C12576">PRODUCT(1-'Sparkling Model'!D$2:D$38^A12576)</f>
        <v>0.9931948808</v>
      </c>
    </row>
    <row r="12577">
      <c r="A12577" s="6">
        <v>12575.0</v>
      </c>
      <c r="B12577" s="17">
        <f t="array" ref="B12577">SUM(1-'Sparkling Model'!D$2:D$38^A12577)</f>
        <v>36.99318203</v>
      </c>
      <c r="C12577" s="8">
        <f t="array" ref="C12577">PRODUCT(1-'Sparkling Model'!D$2:D$38^A12577)</f>
        <v>0.9931982511</v>
      </c>
    </row>
    <row r="12578">
      <c r="A12578" s="6">
        <v>12576.0</v>
      </c>
      <c r="B12578" s="17">
        <f t="array" ref="B12578">SUM(1-'Sparkling Model'!D$2:D$38^A12578)</f>
        <v>36.99318541</v>
      </c>
      <c r="C12578" s="8">
        <f t="array" ref="C12578">PRODUCT(1-'Sparkling Model'!D$2:D$38^A12578)</f>
        <v>0.9932016196</v>
      </c>
    </row>
    <row r="12579">
      <c r="A12579" s="6">
        <v>12577.0</v>
      </c>
      <c r="B12579" s="17">
        <f t="array" ref="B12579">SUM(1-'Sparkling Model'!D$2:D$38^A12579)</f>
        <v>36.9931888</v>
      </c>
      <c r="C12579" s="8">
        <f t="array" ref="C12579">PRODUCT(1-'Sparkling Model'!D$2:D$38^A12579)</f>
        <v>0.9932049865</v>
      </c>
    </row>
    <row r="12580">
      <c r="A12580" s="6">
        <v>12578.0</v>
      </c>
      <c r="B12580" s="17">
        <f t="array" ref="B12580">SUM(1-'Sparkling Model'!D$2:D$38^A12580)</f>
        <v>36.99319218</v>
      </c>
      <c r="C12580" s="8">
        <f t="array" ref="C12580">PRODUCT(1-'Sparkling Model'!D$2:D$38^A12580)</f>
        <v>0.9932083518</v>
      </c>
    </row>
    <row r="12581">
      <c r="A12581" s="6">
        <v>12579.0</v>
      </c>
      <c r="B12581" s="17">
        <f t="array" ref="B12581">SUM(1-'Sparkling Model'!D$2:D$38^A12581)</f>
        <v>36.99319556</v>
      </c>
      <c r="C12581" s="8">
        <f t="array" ref="C12581">PRODUCT(1-'Sparkling Model'!D$2:D$38^A12581)</f>
        <v>0.9932117153</v>
      </c>
    </row>
    <row r="12582">
      <c r="A12582" s="6">
        <v>12580.0</v>
      </c>
      <c r="B12582" s="17">
        <f t="array" ref="B12582">SUM(1-'Sparkling Model'!D$2:D$38^A12582)</f>
        <v>36.99319894</v>
      </c>
      <c r="C12582" s="8">
        <f t="array" ref="C12582">PRODUCT(1-'Sparkling Model'!D$2:D$38^A12582)</f>
        <v>0.9932150772</v>
      </c>
    </row>
    <row r="12583">
      <c r="A12583" s="6">
        <v>12581.0</v>
      </c>
      <c r="B12583" s="17">
        <f t="array" ref="B12583">SUM(1-'Sparkling Model'!D$2:D$38^A12583)</f>
        <v>36.99320231</v>
      </c>
      <c r="C12583" s="8">
        <f t="array" ref="C12583">PRODUCT(1-'Sparkling Model'!D$2:D$38^A12583)</f>
        <v>0.9932184375</v>
      </c>
    </row>
    <row r="12584">
      <c r="A12584" s="6">
        <v>12582.0</v>
      </c>
      <c r="B12584" s="17">
        <f t="array" ref="B12584">SUM(1-'Sparkling Model'!D$2:D$38^A12584)</f>
        <v>36.99320569</v>
      </c>
      <c r="C12584" s="8">
        <f t="array" ref="C12584">PRODUCT(1-'Sparkling Model'!D$2:D$38^A12584)</f>
        <v>0.993221796</v>
      </c>
    </row>
    <row r="12585">
      <c r="A12585" s="6">
        <v>12583.0</v>
      </c>
      <c r="B12585" s="17">
        <f t="array" ref="B12585">SUM(1-'Sparkling Model'!D$2:D$38^A12585)</f>
        <v>36.99320906</v>
      </c>
      <c r="C12585" s="8">
        <f t="array" ref="C12585">PRODUCT(1-'Sparkling Model'!D$2:D$38^A12585)</f>
        <v>0.9932251529</v>
      </c>
    </row>
    <row r="12586">
      <c r="A12586" s="6">
        <v>12584.0</v>
      </c>
      <c r="B12586" s="17">
        <f t="array" ref="B12586">SUM(1-'Sparkling Model'!D$2:D$38^A12586)</f>
        <v>36.99321243</v>
      </c>
      <c r="C12586" s="8">
        <f t="array" ref="C12586">PRODUCT(1-'Sparkling Model'!D$2:D$38^A12586)</f>
        <v>0.9932285081</v>
      </c>
    </row>
    <row r="12587">
      <c r="A12587" s="6">
        <v>12585.0</v>
      </c>
      <c r="B12587" s="17">
        <f t="array" ref="B12587">SUM(1-'Sparkling Model'!D$2:D$38^A12587)</f>
        <v>36.9932158</v>
      </c>
      <c r="C12587" s="8">
        <f t="array" ref="C12587">PRODUCT(1-'Sparkling Model'!D$2:D$38^A12587)</f>
        <v>0.9932318617</v>
      </c>
    </row>
    <row r="12588">
      <c r="A12588" s="6">
        <v>12586.0</v>
      </c>
      <c r="B12588" s="17">
        <f t="array" ref="B12588">SUM(1-'Sparkling Model'!D$2:D$38^A12588)</f>
        <v>36.99321917</v>
      </c>
      <c r="C12588" s="8">
        <f t="array" ref="C12588">PRODUCT(1-'Sparkling Model'!D$2:D$38^A12588)</f>
        <v>0.9932352136</v>
      </c>
    </row>
    <row r="12589">
      <c r="A12589" s="6">
        <v>12587.0</v>
      </c>
      <c r="B12589" s="17">
        <f t="array" ref="B12589">SUM(1-'Sparkling Model'!D$2:D$38^A12589)</f>
        <v>36.99322254</v>
      </c>
      <c r="C12589" s="8">
        <f t="array" ref="C12589">PRODUCT(1-'Sparkling Model'!D$2:D$38^A12589)</f>
        <v>0.9932385638</v>
      </c>
    </row>
    <row r="12590">
      <c r="A12590" s="6">
        <v>12588.0</v>
      </c>
      <c r="B12590" s="17">
        <f t="array" ref="B12590">SUM(1-'Sparkling Model'!D$2:D$38^A12590)</f>
        <v>36.9932259</v>
      </c>
      <c r="C12590" s="8">
        <f t="array" ref="C12590">PRODUCT(1-'Sparkling Model'!D$2:D$38^A12590)</f>
        <v>0.9932419123</v>
      </c>
    </row>
    <row r="12591">
      <c r="A12591" s="6">
        <v>12589.0</v>
      </c>
      <c r="B12591" s="17">
        <f t="array" ref="B12591">SUM(1-'Sparkling Model'!D$2:D$38^A12591)</f>
        <v>36.99322926</v>
      </c>
      <c r="C12591" s="8">
        <f t="array" ref="C12591">PRODUCT(1-'Sparkling Model'!D$2:D$38^A12591)</f>
        <v>0.9932452592</v>
      </c>
    </row>
    <row r="12592">
      <c r="A12592" s="6">
        <v>12590.0</v>
      </c>
      <c r="B12592" s="17">
        <f t="array" ref="B12592">SUM(1-'Sparkling Model'!D$2:D$38^A12592)</f>
        <v>36.99323262</v>
      </c>
      <c r="C12592" s="8">
        <f t="array" ref="C12592">PRODUCT(1-'Sparkling Model'!D$2:D$38^A12592)</f>
        <v>0.9932486045</v>
      </c>
    </row>
    <row r="12593">
      <c r="A12593" s="6">
        <v>12591.0</v>
      </c>
      <c r="B12593" s="17">
        <f t="array" ref="B12593">SUM(1-'Sparkling Model'!D$2:D$38^A12593)</f>
        <v>36.99323598</v>
      </c>
      <c r="C12593" s="8">
        <f t="array" ref="C12593">PRODUCT(1-'Sparkling Model'!D$2:D$38^A12593)</f>
        <v>0.993251948</v>
      </c>
    </row>
    <row r="12594">
      <c r="A12594" s="6">
        <v>12592.0</v>
      </c>
      <c r="B12594" s="17">
        <f t="array" ref="B12594">SUM(1-'Sparkling Model'!D$2:D$38^A12594)</f>
        <v>36.99323934</v>
      </c>
      <c r="C12594" s="8">
        <f t="array" ref="C12594">PRODUCT(1-'Sparkling Model'!D$2:D$38^A12594)</f>
        <v>0.9932552899</v>
      </c>
    </row>
    <row r="12595">
      <c r="A12595" s="6">
        <v>12593.0</v>
      </c>
      <c r="B12595" s="17">
        <f t="array" ref="B12595">SUM(1-'Sparkling Model'!D$2:D$38^A12595)</f>
        <v>36.9932427</v>
      </c>
      <c r="C12595" s="8">
        <f t="array" ref="C12595">PRODUCT(1-'Sparkling Model'!D$2:D$38^A12595)</f>
        <v>0.9932586302</v>
      </c>
    </row>
    <row r="12596">
      <c r="A12596" s="6">
        <v>12594.0</v>
      </c>
      <c r="B12596" s="17">
        <f t="array" ref="B12596">SUM(1-'Sparkling Model'!D$2:D$38^A12596)</f>
        <v>36.99324605</v>
      </c>
      <c r="C12596" s="8">
        <f t="array" ref="C12596">PRODUCT(1-'Sparkling Model'!D$2:D$38^A12596)</f>
        <v>0.9932619688</v>
      </c>
    </row>
    <row r="12597">
      <c r="A12597" s="6">
        <v>12595.0</v>
      </c>
      <c r="B12597" s="17">
        <f t="array" ref="B12597">SUM(1-'Sparkling Model'!D$2:D$38^A12597)</f>
        <v>36.9932494</v>
      </c>
      <c r="C12597" s="8">
        <f t="array" ref="C12597">PRODUCT(1-'Sparkling Model'!D$2:D$38^A12597)</f>
        <v>0.9932653057</v>
      </c>
    </row>
    <row r="12598">
      <c r="A12598" s="6">
        <v>12596.0</v>
      </c>
      <c r="B12598" s="17">
        <f t="array" ref="B12598">SUM(1-'Sparkling Model'!D$2:D$38^A12598)</f>
        <v>36.99325276</v>
      </c>
      <c r="C12598" s="8">
        <f t="array" ref="C12598">PRODUCT(1-'Sparkling Model'!D$2:D$38^A12598)</f>
        <v>0.993268641</v>
      </c>
    </row>
    <row r="12599">
      <c r="A12599" s="6">
        <v>12597.0</v>
      </c>
      <c r="B12599" s="17">
        <f t="array" ref="B12599">SUM(1-'Sparkling Model'!D$2:D$38^A12599)</f>
        <v>36.99325611</v>
      </c>
      <c r="C12599" s="8">
        <f t="array" ref="C12599">PRODUCT(1-'Sparkling Model'!D$2:D$38^A12599)</f>
        <v>0.9932719746</v>
      </c>
    </row>
    <row r="12600">
      <c r="A12600" s="6">
        <v>12598.0</v>
      </c>
      <c r="B12600" s="17">
        <f t="array" ref="B12600">SUM(1-'Sparkling Model'!D$2:D$38^A12600)</f>
        <v>36.99325945</v>
      </c>
      <c r="C12600" s="8">
        <f t="array" ref="C12600">PRODUCT(1-'Sparkling Model'!D$2:D$38^A12600)</f>
        <v>0.9932753065</v>
      </c>
    </row>
    <row r="12601">
      <c r="A12601" s="6">
        <v>12599.0</v>
      </c>
      <c r="B12601" s="17">
        <f t="array" ref="B12601">SUM(1-'Sparkling Model'!D$2:D$38^A12601)</f>
        <v>36.9932628</v>
      </c>
      <c r="C12601" s="8">
        <f t="array" ref="C12601">PRODUCT(1-'Sparkling Model'!D$2:D$38^A12601)</f>
        <v>0.9932786368</v>
      </c>
    </row>
    <row r="12602">
      <c r="A12602" s="6">
        <v>12600.0</v>
      </c>
      <c r="B12602" s="17">
        <f t="array" ref="B12602">SUM(1-'Sparkling Model'!D$2:D$38^A12602)</f>
        <v>36.99326614</v>
      </c>
      <c r="C12602" s="8">
        <f t="array" ref="C12602">PRODUCT(1-'Sparkling Model'!D$2:D$38^A12602)</f>
        <v>0.9932819655</v>
      </c>
    </row>
    <row r="12603">
      <c r="A12603" s="6">
        <v>12601.0</v>
      </c>
      <c r="B12603" s="17">
        <f t="array" ref="B12603">SUM(1-'Sparkling Model'!D$2:D$38^A12603)</f>
        <v>36.99326949</v>
      </c>
      <c r="C12603" s="8">
        <f t="array" ref="C12603">PRODUCT(1-'Sparkling Model'!D$2:D$38^A12603)</f>
        <v>0.9932852925</v>
      </c>
    </row>
    <row r="12604">
      <c r="A12604" s="6">
        <v>12602.0</v>
      </c>
      <c r="B12604" s="17">
        <f t="array" ref="B12604">SUM(1-'Sparkling Model'!D$2:D$38^A12604)</f>
        <v>36.99327283</v>
      </c>
      <c r="C12604" s="8">
        <f t="array" ref="C12604">PRODUCT(1-'Sparkling Model'!D$2:D$38^A12604)</f>
        <v>0.9932886178</v>
      </c>
    </row>
    <row r="12605">
      <c r="A12605" s="6">
        <v>12603.0</v>
      </c>
      <c r="B12605" s="17">
        <f t="array" ref="B12605">SUM(1-'Sparkling Model'!D$2:D$38^A12605)</f>
        <v>36.99327617</v>
      </c>
      <c r="C12605" s="8">
        <f t="array" ref="C12605">PRODUCT(1-'Sparkling Model'!D$2:D$38^A12605)</f>
        <v>0.9932919415</v>
      </c>
    </row>
    <row r="12606">
      <c r="A12606" s="6">
        <v>12604.0</v>
      </c>
      <c r="B12606" s="17">
        <f t="array" ref="B12606">SUM(1-'Sparkling Model'!D$2:D$38^A12606)</f>
        <v>36.9932795</v>
      </c>
      <c r="C12606" s="8">
        <f t="array" ref="C12606">PRODUCT(1-'Sparkling Model'!D$2:D$38^A12606)</f>
        <v>0.9932952635</v>
      </c>
    </row>
    <row r="12607">
      <c r="A12607" s="6">
        <v>12605.0</v>
      </c>
      <c r="B12607" s="17">
        <f t="array" ref="B12607">SUM(1-'Sparkling Model'!D$2:D$38^A12607)</f>
        <v>36.99328284</v>
      </c>
      <c r="C12607" s="8">
        <f t="array" ref="C12607">PRODUCT(1-'Sparkling Model'!D$2:D$38^A12607)</f>
        <v>0.9932985839</v>
      </c>
    </row>
    <row r="12608">
      <c r="A12608" s="6">
        <v>12606.0</v>
      </c>
      <c r="B12608" s="17">
        <f t="array" ref="B12608">SUM(1-'Sparkling Model'!D$2:D$38^A12608)</f>
        <v>36.99328618</v>
      </c>
      <c r="C12608" s="8">
        <f t="array" ref="C12608">PRODUCT(1-'Sparkling Model'!D$2:D$38^A12608)</f>
        <v>0.9933019027</v>
      </c>
    </row>
    <row r="12609">
      <c r="A12609" s="6">
        <v>12607.0</v>
      </c>
      <c r="B12609" s="17">
        <f t="array" ref="B12609">SUM(1-'Sparkling Model'!D$2:D$38^A12609)</f>
        <v>36.99328951</v>
      </c>
      <c r="C12609" s="8">
        <f t="array" ref="C12609">PRODUCT(1-'Sparkling Model'!D$2:D$38^A12609)</f>
        <v>0.9933052198</v>
      </c>
    </row>
    <row r="12610">
      <c r="A12610" s="6">
        <v>12608.0</v>
      </c>
      <c r="B12610" s="17">
        <f t="array" ref="B12610">SUM(1-'Sparkling Model'!D$2:D$38^A12610)</f>
        <v>36.99329284</v>
      </c>
      <c r="C12610" s="8">
        <f t="array" ref="C12610">PRODUCT(1-'Sparkling Model'!D$2:D$38^A12610)</f>
        <v>0.9933085352</v>
      </c>
    </row>
    <row r="12611">
      <c r="A12611" s="6">
        <v>12609.0</v>
      </c>
      <c r="B12611" s="17">
        <f t="array" ref="B12611">SUM(1-'Sparkling Model'!D$2:D$38^A12611)</f>
        <v>36.99329617</v>
      </c>
      <c r="C12611" s="8">
        <f t="array" ref="C12611">PRODUCT(1-'Sparkling Model'!D$2:D$38^A12611)</f>
        <v>0.993311849</v>
      </c>
    </row>
    <row r="12612">
      <c r="A12612" s="6">
        <v>12610.0</v>
      </c>
      <c r="B12612" s="17">
        <f t="array" ref="B12612">SUM(1-'Sparkling Model'!D$2:D$38^A12612)</f>
        <v>36.9932995</v>
      </c>
      <c r="C12612" s="8">
        <f t="array" ref="C12612">PRODUCT(1-'Sparkling Model'!D$2:D$38^A12612)</f>
        <v>0.9933151611</v>
      </c>
    </row>
    <row r="12613">
      <c r="A12613" s="6">
        <v>12611.0</v>
      </c>
      <c r="B12613" s="17">
        <f t="array" ref="B12613">SUM(1-'Sparkling Model'!D$2:D$38^A12613)</f>
        <v>36.99330282</v>
      </c>
      <c r="C12613" s="8">
        <f t="array" ref="C12613">PRODUCT(1-'Sparkling Model'!D$2:D$38^A12613)</f>
        <v>0.9933184717</v>
      </c>
    </row>
    <row r="12614">
      <c r="A12614" s="6">
        <v>12612.0</v>
      </c>
      <c r="B12614" s="17">
        <f t="array" ref="B12614">SUM(1-'Sparkling Model'!D$2:D$38^A12614)</f>
        <v>36.99330615</v>
      </c>
      <c r="C12614" s="8">
        <f t="array" ref="C12614">PRODUCT(1-'Sparkling Model'!D$2:D$38^A12614)</f>
        <v>0.9933217805</v>
      </c>
    </row>
    <row r="12615">
      <c r="A12615" s="6">
        <v>12613.0</v>
      </c>
      <c r="B12615" s="17">
        <f t="array" ref="B12615">SUM(1-'Sparkling Model'!D$2:D$38^A12615)</f>
        <v>36.99330947</v>
      </c>
      <c r="C12615" s="8">
        <f t="array" ref="C12615">PRODUCT(1-'Sparkling Model'!D$2:D$38^A12615)</f>
        <v>0.9933250877</v>
      </c>
    </row>
    <row r="12616">
      <c r="A12616" s="6">
        <v>12614.0</v>
      </c>
      <c r="B12616" s="17">
        <f t="array" ref="B12616">SUM(1-'Sparkling Model'!D$2:D$38^A12616)</f>
        <v>36.99331279</v>
      </c>
      <c r="C12616" s="8">
        <f t="array" ref="C12616">PRODUCT(1-'Sparkling Model'!D$2:D$38^A12616)</f>
        <v>0.9933283933</v>
      </c>
    </row>
    <row r="12617">
      <c r="A12617" s="6">
        <v>12615.0</v>
      </c>
      <c r="B12617" s="17">
        <f t="array" ref="B12617">SUM(1-'Sparkling Model'!D$2:D$38^A12617)</f>
        <v>36.99331611</v>
      </c>
      <c r="C12617" s="8">
        <f t="array" ref="C12617">PRODUCT(1-'Sparkling Model'!D$2:D$38^A12617)</f>
        <v>0.9933316972</v>
      </c>
    </row>
    <row r="12618">
      <c r="A12618" s="6">
        <v>12616.0</v>
      </c>
      <c r="B12618" s="17">
        <f t="array" ref="B12618">SUM(1-'Sparkling Model'!D$2:D$38^A12618)</f>
        <v>36.99331943</v>
      </c>
      <c r="C12618" s="8">
        <f t="array" ref="C12618">PRODUCT(1-'Sparkling Model'!D$2:D$38^A12618)</f>
        <v>0.9933349995</v>
      </c>
    </row>
    <row r="12619">
      <c r="A12619" s="6">
        <v>12617.0</v>
      </c>
      <c r="B12619" s="17">
        <f t="array" ref="B12619">SUM(1-'Sparkling Model'!D$2:D$38^A12619)</f>
        <v>36.99332274</v>
      </c>
      <c r="C12619" s="8">
        <f t="array" ref="C12619">PRODUCT(1-'Sparkling Model'!D$2:D$38^A12619)</f>
        <v>0.9933383002</v>
      </c>
    </row>
    <row r="12620">
      <c r="A12620" s="6">
        <v>12618.0</v>
      </c>
      <c r="B12620" s="17">
        <f t="array" ref="B12620">SUM(1-'Sparkling Model'!D$2:D$38^A12620)</f>
        <v>36.99332606</v>
      </c>
      <c r="C12620" s="8">
        <f t="array" ref="C12620">PRODUCT(1-'Sparkling Model'!D$2:D$38^A12620)</f>
        <v>0.9933415992</v>
      </c>
    </row>
    <row r="12621">
      <c r="A12621" s="6">
        <v>12619.0</v>
      </c>
      <c r="B12621" s="17">
        <f t="array" ref="B12621">SUM(1-'Sparkling Model'!D$2:D$38^A12621)</f>
        <v>36.99332937</v>
      </c>
      <c r="C12621" s="8">
        <f t="array" ref="C12621">PRODUCT(1-'Sparkling Model'!D$2:D$38^A12621)</f>
        <v>0.9933448965</v>
      </c>
    </row>
    <row r="12622">
      <c r="A12622" s="6">
        <v>12620.0</v>
      </c>
      <c r="B12622" s="17">
        <f t="array" ref="B12622">SUM(1-'Sparkling Model'!D$2:D$38^A12622)</f>
        <v>36.99333268</v>
      </c>
      <c r="C12622" s="8">
        <f t="array" ref="C12622">PRODUCT(1-'Sparkling Model'!D$2:D$38^A12622)</f>
        <v>0.9933481923</v>
      </c>
    </row>
    <row r="12623">
      <c r="A12623" s="6">
        <v>12621.0</v>
      </c>
      <c r="B12623" s="17">
        <f t="array" ref="B12623">SUM(1-'Sparkling Model'!D$2:D$38^A12623)</f>
        <v>36.99333599</v>
      </c>
      <c r="C12623" s="8">
        <f t="array" ref="C12623">PRODUCT(1-'Sparkling Model'!D$2:D$38^A12623)</f>
        <v>0.9933514864</v>
      </c>
    </row>
    <row r="12624">
      <c r="A12624" s="6">
        <v>12622.0</v>
      </c>
      <c r="B12624" s="17">
        <f t="array" ref="B12624">SUM(1-'Sparkling Model'!D$2:D$38^A12624)</f>
        <v>36.9933393</v>
      </c>
      <c r="C12624" s="8">
        <f t="array" ref="C12624">PRODUCT(1-'Sparkling Model'!D$2:D$38^A12624)</f>
        <v>0.9933547788</v>
      </c>
    </row>
    <row r="12625">
      <c r="A12625" s="6">
        <v>12623.0</v>
      </c>
      <c r="B12625" s="17">
        <f t="array" ref="B12625">SUM(1-'Sparkling Model'!D$2:D$38^A12625)</f>
        <v>36.99334261</v>
      </c>
      <c r="C12625" s="8">
        <f t="array" ref="C12625">PRODUCT(1-'Sparkling Model'!D$2:D$38^A12625)</f>
        <v>0.9933580697</v>
      </c>
    </row>
    <row r="12626">
      <c r="A12626" s="6">
        <v>12624.0</v>
      </c>
      <c r="B12626" s="17">
        <f t="array" ref="B12626">SUM(1-'Sparkling Model'!D$2:D$38^A12626)</f>
        <v>36.99334591</v>
      </c>
      <c r="C12626" s="8">
        <f t="array" ref="C12626">PRODUCT(1-'Sparkling Model'!D$2:D$38^A12626)</f>
        <v>0.9933613588</v>
      </c>
    </row>
    <row r="12627">
      <c r="A12627" s="6">
        <v>12625.0</v>
      </c>
      <c r="B12627" s="17">
        <f t="array" ref="B12627">SUM(1-'Sparkling Model'!D$2:D$38^A12627)</f>
        <v>36.99334921</v>
      </c>
      <c r="C12627" s="8">
        <f t="array" ref="C12627">PRODUCT(1-'Sparkling Model'!D$2:D$38^A12627)</f>
        <v>0.9933646464</v>
      </c>
    </row>
    <row r="12628">
      <c r="A12628" s="6">
        <v>12626.0</v>
      </c>
      <c r="B12628" s="17">
        <f t="array" ref="B12628">SUM(1-'Sparkling Model'!D$2:D$38^A12628)</f>
        <v>36.99335252</v>
      </c>
      <c r="C12628" s="8">
        <f t="array" ref="C12628">PRODUCT(1-'Sparkling Model'!D$2:D$38^A12628)</f>
        <v>0.9933679323</v>
      </c>
    </row>
    <row r="12629">
      <c r="A12629" s="6">
        <v>12627.0</v>
      </c>
      <c r="B12629" s="17">
        <f t="array" ref="B12629">SUM(1-'Sparkling Model'!D$2:D$38^A12629)</f>
        <v>36.99335582</v>
      </c>
      <c r="C12629" s="8">
        <f t="array" ref="C12629">PRODUCT(1-'Sparkling Model'!D$2:D$38^A12629)</f>
        <v>0.9933712166</v>
      </c>
    </row>
    <row r="12630">
      <c r="A12630" s="6">
        <v>12628.0</v>
      </c>
      <c r="B12630" s="17">
        <f t="array" ref="B12630">SUM(1-'Sparkling Model'!D$2:D$38^A12630)</f>
        <v>36.99335911</v>
      </c>
      <c r="C12630" s="8">
        <f t="array" ref="C12630">PRODUCT(1-'Sparkling Model'!D$2:D$38^A12630)</f>
        <v>0.9933744993</v>
      </c>
    </row>
    <row r="12631">
      <c r="A12631" s="6">
        <v>12629.0</v>
      </c>
      <c r="B12631" s="17">
        <f t="array" ref="B12631">SUM(1-'Sparkling Model'!D$2:D$38^A12631)</f>
        <v>36.99336241</v>
      </c>
      <c r="C12631" s="8">
        <f t="array" ref="C12631">PRODUCT(1-'Sparkling Model'!D$2:D$38^A12631)</f>
        <v>0.9933777803</v>
      </c>
    </row>
    <row r="12632">
      <c r="A12632" s="6">
        <v>12630.0</v>
      </c>
      <c r="B12632" s="17">
        <f t="array" ref="B12632">SUM(1-'Sparkling Model'!D$2:D$38^A12632)</f>
        <v>36.9933657</v>
      </c>
      <c r="C12632" s="8">
        <f t="array" ref="C12632">PRODUCT(1-'Sparkling Model'!D$2:D$38^A12632)</f>
        <v>0.9933810597</v>
      </c>
    </row>
    <row r="12633">
      <c r="A12633" s="6">
        <v>12631.0</v>
      </c>
      <c r="B12633" s="17">
        <f t="array" ref="B12633">SUM(1-'Sparkling Model'!D$2:D$38^A12633)</f>
        <v>36.993369</v>
      </c>
      <c r="C12633" s="8">
        <f t="array" ref="C12633">PRODUCT(1-'Sparkling Model'!D$2:D$38^A12633)</f>
        <v>0.9933843375</v>
      </c>
    </row>
    <row r="12634">
      <c r="A12634" s="6">
        <v>12632.0</v>
      </c>
      <c r="B12634" s="17">
        <f t="array" ref="B12634">SUM(1-'Sparkling Model'!D$2:D$38^A12634)</f>
        <v>36.99337229</v>
      </c>
      <c r="C12634" s="8">
        <f t="array" ref="C12634">PRODUCT(1-'Sparkling Model'!D$2:D$38^A12634)</f>
        <v>0.9933876136</v>
      </c>
    </row>
    <row r="12635">
      <c r="A12635" s="6">
        <v>12633.0</v>
      </c>
      <c r="B12635" s="17">
        <f t="array" ref="B12635">SUM(1-'Sparkling Model'!D$2:D$38^A12635)</f>
        <v>36.99337558</v>
      </c>
      <c r="C12635" s="8">
        <f t="array" ref="C12635">PRODUCT(1-'Sparkling Model'!D$2:D$38^A12635)</f>
        <v>0.9933908881</v>
      </c>
    </row>
    <row r="12636">
      <c r="A12636" s="6">
        <v>12634.0</v>
      </c>
      <c r="B12636" s="17">
        <f t="array" ref="B12636">SUM(1-'Sparkling Model'!D$2:D$38^A12636)</f>
        <v>36.99337887</v>
      </c>
      <c r="C12636" s="8">
        <f t="array" ref="C12636">PRODUCT(1-'Sparkling Model'!D$2:D$38^A12636)</f>
        <v>0.993394161</v>
      </c>
    </row>
    <row r="12637">
      <c r="A12637" s="6">
        <v>12635.0</v>
      </c>
      <c r="B12637" s="17">
        <f t="array" ref="B12637">SUM(1-'Sparkling Model'!D$2:D$38^A12637)</f>
        <v>36.99338215</v>
      </c>
      <c r="C12637" s="8">
        <f t="array" ref="C12637">PRODUCT(1-'Sparkling Model'!D$2:D$38^A12637)</f>
        <v>0.9933974323</v>
      </c>
    </row>
    <row r="12638">
      <c r="A12638" s="6">
        <v>12636.0</v>
      </c>
      <c r="B12638" s="17">
        <f t="array" ref="B12638">SUM(1-'Sparkling Model'!D$2:D$38^A12638)</f>
        <v>36.99338544</v>
      </c>
      <c r="C12638" s="8">
        <f t="array" ref="C12638">PRODUCT(1-'Sparkling Model'!D$2:D$38^A12638)</f>
        <v>0.9934007019</v>
      </c>
    </row>
    <row r="12639">
      <c r="A12639" s="6">
        <v>12637.0</v>
      </c>
      <c r="B12639" s="17">
        <f t="array" ref="B12639">SUM(1-'Sparkling Model'!D$2:D$38^A12639)</f>
        <v>36.99338872</v>
      </c>
      <c r="C12639" s="8">
        <f t="array" ref="C12639">PRODUCT(1-'Sparkling Model'!D$2:D$38^A12639)</f>
        <v>0.9934039699</v>
      </c>
    </row>
    <row r="12640">
      <c r="A12640" s="6">
        <v>12638.0</v>
      </c>
      <c r="B12640" s="17">
        <f t="array" ref="B12640">SUM(1-'Sparkling Model'!D$2:D$38^A12640)</f>
        <v>36.993392</v>
      </c>
      <c r="C12640" s="8">
        <f t="array" ref="C12640">PRODUCT(1-'Sparkling Model'!D$2:D$38^A12640)</f>
        <v>0.9934072363</v>
      </c>
    </row>
    <row r="12641">
      <c r="A12641" s="6">
        <v>12639.0</v>
      </c>
      <c r="B12641" s="17">
        <f t="array" ref="B12641">SUM(1-'Sparkling Model'!D$2:D$38^A12641)</f>
        <v>36.99339528</v>
      </c>
      <c r="C12641" s="8">
        <f t="array" ref="C12641">PRODUCT(1-'Sparkling Model'!D$2:D$38^A12641)</f>
        <v>0.993410501</v>
      </c>
    </row>
    <row r="12642">
      <c r="A12642" s="6">
        <v>12640.0</v>
      </c>
      <c r="B12642" s="17">
        <f t="array" ref="B12642">SUM(1-'Sparkling Model'!D$2:D$38^A12642)</f>
        <v>36.99339856</v>
      </c>
      <c r="C12642" s="8">
        <f t="array" ref="C12642">PRODUCT(1-'Sparkling Model'!D$2:D$38^A12642)</f>
        <v>0.9934137642</v>
      </c>
    </row>
    <row r="12643">
      <c r="A12643" s="6">
        <v>12641.0</v>
      </c>
      <c r="B12643" s="17">
        <f t="array" ref="B12643">SUM(1-'Sparkling Model'!D$2:D$38^A12643)</f>
        <v>36.99340184</v>
      </c>
      <c r="C12643" s="8">
        <f t="array" ref="C12643">PRODUCT(1-'Sparkling Model'!D$2:D$38^A12643)</f>
        <v>0.9934170257</v>
      </c>
    </row>
    <row r="12644">
      <c r="A12644" s="6">
        <v>12642.0</v>
      </c>
      <c r="B12644" s="17">
        <f t="array" ref="B12644">SUM(1-'Sparkling Model'!D$2:D$38^A12644)</f>
        <v>36.99340511</v>
      </c>
      <c r="C12644" s="8">
        <f t="array" ref="C12644">PRODUCT(1-'Sparkling Model'!D$2:D$38^A12644)</f>
        <v>0.9934202856</v>
      </c>
    </row>
    <row r="12645">
      <c r="A12645" s="6">
        <v>12643.0</v>
      </c>
      <c r="B12645" s="17">
        <f t="array" ref="B12645">SUM(1-'Sparkling Model'!D$2:D$38^A12645)</f>
        <v>36.99340839</v>
      </c>
      <c r="C12645" s="8">
        <f t="array" ref="C12645">PRODUCT(1-'Sparkling Model'!D$2:D$38^A12645)</f>
        <v>0.9934235439</v>
      </c>
    </row>
    <row r="12646">
      <c r="A12646" s="6">
        <v>12644.0</v>
      </c>
      <c r="B12646" s="17">
        <f t="array" ref="B12646">SUM(1-'Sparkling Model'!D$2:D$38^A12646)</f>
        <v>36.99341166</v>
      </c>
      <c r="C12646" s="8">
        <f t="array" ref="C12646">PRODUCT(1-'Sparkling Model'!D$2:D$38^A12646)</f>
        <v>0.9934268006</v>
      </c>
    </row>
    <row r="12647">
      <c r="A12647" s="6">
        <v>12645.0</v>
      </c>
      <c r="B12647" s="17">
        <f t="array" ref="B12647">SUM(1-'Sparkling Model'!D$2:D$38^A12647)</f>
        <v>36.99341493</v>
      </c>
      <c r="C12647" s="8">
        <f t="array" ref="C12647">PRODUCT(1-'Sparkling Model'!D$2:D$38^A12647)</f>
        <v>0.9934300556</v>
      </c>
    </row>
    <row r="12648">
      <c r="A12648" s="6">
        <v>12646.0</v>
      </c>
      <c r="B12648" s="17">
        <f t="array" ref="B12648">SUM(1-'Sparkling Model'!D$2:D$38^A12648)</f>
        <v>36.9934182</v>
      </c>
      <c r="C12648" s="8">
        <f t="array" ref="C12648">PRODUCT(1-'Sparkling Model'!D$2:D$38^A12648)</f>
        <v>0.993433309</v>
      </c>
    </row>
    <row r="12649">
      <c r="A12649" s="6">
        <v>12647.0</v>
      </c>
      <c r="B12649" s="17">
        <f t="array" ref="B12649">SUM(1-'Sparkling Model'!D$2:D$38^A12649)</f>
        <v>36.99342146</v>
      </c>
      <c r="C12649" s="8">
        <f t="array" ref="C12649">PRODUCT(1-'Sparkling Model'!D$2:D$38^A12649)</f>
        <v>0.9934365608</v>
      </c>
    </row>
    <row r="12650">
      <c r="A12650" s="6">
        <v>12648.0</v>
      </c>
      <c r="B12650" s="17">
        <f t="array" ref="B12650">SUM(1-'Sparkling Model'!D$2:D$38^A12650)</f>
        <v>36.99342473</v>
      </c>
      <c r="C12650" s="8">
        <f t="array" ref="C12650">PRODUCT(1-'Sparkling Model'!D$2:D$38^A12650)</f>
        <v>0.993439811</v>
      </c>
    </row>
    <row r="12651">
      <c r="A12651" s="6">
        <v>12649.0</v>
      </c>
      <c r="B12651" s="17">
        <f t="array" ref="B12651">SUM(1-'Sparkling Model'!D$2:D$38^A12651)</f>
        <v>36.99342799</v>
      </c>
      <c r="C12651" s="8">
        <f t="array" ref="C12651">PRODUCT(1-'Sparkling Model'!D$2:D$38^A12651)</f>
        <v>0.9934430596</v>
      </c>
    </row>
    <row r="12652">
      <c r="A12652" s="6">
        <v>12650.0</v>
      </c>
      <c r="B12652" s="17">
        <f t="array" ref="B12652">SUM(1-'Sparkling Model'!D$2:D$38^A12652)</f>
        <v>36.99343126</v>
      </c>
      <c r="C12652" s="8">
        <f t="array" ref="C12652">PRODUCT(1-'Sparkling Model'!D$2:D$38^A12652)</f>
        <v>0.9934463066</v>
      </c>
    </row>
    <row r="12653">
      <c r="A12653" s="6">
        <v>12651.0</v>
      </c>
      <c r="B12653" s="17">
        <f t="array" ref="B12653">SUM(1-'Sparkling Model'!D$2:D$38^A12653)</f>
        <v>36.99343452</v>
      </c>
      <c r="C12653" s="8">
        <f t="array" ref="C12653">PRODUCT(1-'Sparkling Model'!D$2:D$38^A12653)</f>
        <v>0.993449552</v>
      </c>
    </row>
    <row r="12654">
      <c r="A12654" s="6">
        <v>12652.0</v>
      </c>
      <c r="B12654" s="17">
        <f t="array" ref="B12654">SUM(1-'Sparkling Model'!D$2:D$38^A12654)</f>
        <v>36.99343777</v>
      </c>
      <c r="C12654" s="8">
        <f t="array" ref="C12654">PRODUCT(1-'Sparkling Model'!D$2:D$38^A12654)</f>
        <v>0.9934527957</v>
      </c>
    </row>
    <row r="12655">
      <c r="A12655" s="6">
        <v>12653.0</v>
      </c>
      <c r="B12655" s="17">
        <f t="array" ref="B12655">SUM(1-'Sparkling Model'!D$2:D$38^A12655)</f>
        <v>36.99344103</v>
      </c>
      <c r="C12655" s="8">
        <f t="array" ref="C12655">PRODUCT(1-'Sparkling Model'!D$2:D$38^A12655)</f>
        <v>0.9934560378</v>
      </c>
    </row>
    <row r="12656">
      <c r="A12656" s="6">
        <v>12654.0</v>
      </c>
      <c r="B12656" s="17">
        <f t="array" ref="B12656">SUM(1-'Sparkling Model'!D$2:D$38^A12656)</f>
        <v>36.99344429</v>
      </c>
      <c r="C12656" s="8">
        <f t="array" ref="C12656">PRODUCT(1-'Sparkling Model'!D$2:D$38^A12656)</f>
        <v>0.9934592784</v>
      </c>
    </row>
    <row r="12657">
      <c r="A12657" s="6">
        <v>12655.0</v>
      </c>
      <c r="B12657" s="17">
        <f t="array" ref="B12657">SUM(1-'Sparkling Model'!D$2:D$38^A12657)</f>
        <v>36.99344754</v>
      </c>
      <c r="C12657" s="8">
        <f t="array" ref="C12657">PRODUCT(1-'Sparkling Model'!D$2:D$38^A12657)</f>
        <v>0.9934625173</v>
      </c>
    </row>
    <row r="12658">
      <c r="A12658" s="6">
        <v>12656.0</v>
      </c>
      <c r="B12658" s="17">
        <f t="array" ref="B12658">SUM(1-'Sparkling Model'!D$2:D$38^A12658)</f>
        <v>36.99345079</v>
      </c>
      <c r="C12658" s="8">
        <f t="array" ref="C12658">PRODUCT(1-'Sparkling Model'!D$2:D$38^A12658)</f>
        <v>0.9934657546</v>
      </c>
    </row>
    <row r="12659">
      <c r="A12659" s="6">
        <v>12657.0</v>
      </c>
      <c r="B12659" s="17">
        <f t="array" ref="B12659">SUM(1-'Sparkling Model'!D$2:D$38^A12659)</f>
        <v>36.99345404</v>
      </c>
      <c r="C12659" s="8">
        <f t="array" ref="C12659">PRODUCT(1-'Sparkling Model'!D$2:D$38^A12659)</f>
        <v>0.9934689903</v>
      </c>
    </row>
    <row r="12660">
      <c r="A12660" s="6">
        <v>12658.0</v>
      </c>
      <c r="B12660" s="17">
        <f t="array" ref="B12660">SUM(1-'Sparkling Model'!D$2:D$38^A12660)</f>
        <v>36.99345729</v>
      </c>
      <c r="C12660" s="8">
        <f t="array" ref="C12660">PRODUCT(1-'Sparkling Model'!D$2:D$38^A12660)</f>
        <v>0.9934722244</v>
      </c>
    </row>
    <row r="12661">
      <c r="A12661" s="6">
        <v>12659.0</v>
      </c>
      <c r="B12661" s="17">
        <f t="array" ref="B12661">SUM(1-'Sparkling Model'!D$2:D$38^A12661)</f>
        <v>36.99346054</v>
      </c>
      <c r="C12661" s="8">
        <f t="array" ref="C12661">PRODUCT(1-'Sparkling Model'!D$2:D$38^A12661)</f>
        <v>0.9934754568</v>
      </c>
    </row>
    <row r="12662">
      <c r="A12662" s="6">
        <v>12660.0</v>
      </c>
      <c r="B12662" s="17">
        <f t="array" ref="B12662">SUM(1-'Sparkling Model'!D$2:D$38^A12662)</f>
        <v>36.99346379</v>
      </c>
      <c r="C12662" s="8">
        <f t="array" ref="C12662">PRODUCT(1-'Sparkling Model'!D$2:D$38^A12662)</f>
        <v>0.9934786877</v>
      </c>
    </row>
    <row r="12663">
      <c r="A12663" s="6">
        <v>12661.0</v>
      </c>
      <c r="B12663" s="17">
        <f t="array" ref="B12663">SUM(1-'Sparkling Model'!D$2:D$38^A12663)</f>
        <v>36.99346703</v>
      </c>
      <c r="C12663" s="8">
        <f t="array" ref="C12663">PRODUCT(1-'Sparkling Model'!D$2:D$38^A12663)</f>
        <v>0.993481917</v>
      </c>
    </row>
    <row r="12664">
      <c r="A12664" s="6">
        <v>12662.0</v>
      </c>
      <c r="B12664" s="17">
        <f t="array" ref="B12664">SUM(1-'Sparkling Model'!D$2:D$38^A12664)</f>
        <v>36.99347027</v>
      </c>
      <c r="C12664" s="8">
        <f t="array" ref="C12664">PRODUCT(1-'Sparkling Model'!D$2:D$38^A12664)</f>
        <v>0.9934851447</v>
      </c>
    </row>
    <row r="12665">
      <c r="A12665" s="6">
        <v>12663.0</v>
      </c>
      <c r="B12665" s="17">
        <f t="array" ref="B12665">SUM(1-'Sparkling Model'!D$2:D$38^A12665)</f>
        <v>36.99347351</v>
      </c>
      <c r="C12665" s="8">
        <f t="array" ref="C12665">PRODUCT(1-'Sparkling Model'!D$2:D$38^A12665)</f>
        <v>0.9934883707</v>
      </c>
    </row>
    <row r="12666">
      <c r="A12666" s="6">
        <v>12664.0</v>
      </c>
      <c r="B12666" s="17">
        <f t="array" ref="B12666">SUM(1-'Sparkling Model'!D$2:D$38^A12666)</f>
        <v>36.99347675</v>
      </c>
      <c r="C12666" s="8">
        <f t="array" ref="C12666">PRODUCT(1-'Sparkling Model'!D$2:D$38^A12666)</f>
        <v>0.9934915952</v>
      </c>
    </row>
    <row r="12667">
      <c r="A12667" s="6">
        <v>12665.0</v>
      </c>
      <c r="B12667" s="17">
        <f t="array" ref="B12667">SUM(1-'Sparkling Model'!D$2:D$38^A12667)</f>
        <v>36.99347999</v>
      </c>
      <c r="C12667" s="8">
        <f t="array" ref="C12667">PRODUCT(1-'Sparkling Model'!D$2:D$38^A12667)</f>
        <v>0.993494818</v>
      </c>
    </row>
    <row r="12668">
      <c r="A12668" s="6">
        <v>12666.0</v>
      </c>
      <c r="B12668" s="17">
        <f t="array" ref="B12668">SUM(1-'Sparkling Model'!D$2:D$38^A12668)</f>
        <v>36.99348323</v>
      </c>
      <c r="C12668" s="8">
        <f t="array" ref="C12668">PRODUCT(1-'Sparkling Model'!D$2:D$38^A12668)</f>
        <v>0.9934980393</v>
      </c>
    </row>
    <row r="12669">
      <c r="A12669" s="6">
        <v>12667.0</v>
      </c>
      <c r="B12669" s="17">
        <f t="array" ref="B12669">SUM(1-'Sparkling Model'!D$2:D$38^A12669)</f>
        <v>36.99348646</v>
      </c>
      <c r="C12669" s="8">
        <f t="array" ref="C12669">PRODUCT(1-'Sparkling Model'!D$2:D$38^A12669)</f>
        <v>0.993501259</v>
      </c>
    </row>
    <row r="12670">
      <c r="A12670" s="6">
        <v>12668.0</v>
      </c>
      <c r="B12670" s="17">
        <f t="array" ref="B12670">SUM(1-'Sparkling Model'!D$2:D$38^A12670)</f>
        <v>36.99348969</v>
      </c>
      <c r="C12670" s="8">
        <f t="array" ref="C12670">PRODUCT(1-'Sparkling Model'!D$2:D$38^A12670)</f>
        <v>0.993504477</v>
      </c>
    </row>
    <row r="12671">
      <c r="A12671" s="6">
        <v>12669.0</v>
      </c>
      <c r="B12671" s="17">
        <f t="array" ref="B12671">SUM(1-'Sparkling Model'!D$2:D$38^A12671)</f>
        <v>36.99349292</v>
      </c>
      <c r="C12671" s="8">
        <f t="array" ref="C12671">PRODUCT(1-'Sparkling Model'!D$2:D$38^A12671)</f>
        <v>0.9935076935</v>
      </c>
    </row>
    <row r="12672">
      <c r="A12672" s="6">
        <v>12670.0</v>
      </c>
      <c r="B12672" s="17">
        <f t="array" ref="B12672">SUM(1-'Sparkling Model'!D$2:D$38^A12672)</f>
        <v>36.99349615</v>
      </c>
      <c r="C12672" s="8">
        <f t="array" ref="C12672">PRODUCT(1-'Sparkling Model'!D$2:D$38^A12672)</f>
        <v>0.9935109083</v>
      </c>
    </row>
    <row r="12673">
      <c r="A12673" s="6">
        <v>12671.0</v>
      </c>
      <c r="B12673" s="17">
        <f t="array" ref="B12673">SUM(1-'Sparkling Model'!D$2:D$38^A12673)</f>
        <v>36.99349938</v>
      </c>
      <c r="C12673" s="8">
        <f t="array" ref="C12673">PRODUCT(1-'Sparkling Model'!D$2:D$38^A12673)</f>
        <v>0.9935141216</v>
      </c>
    </row>
    <row r="12674">
      <c r="A12674" s="6">
        <v>12672.0</v>
      </c>
      <c r="B12674" s="17">
        <f t="array" ref="B12674">SUM(1-'Sparkling Model'!D$2:D$38^A12674)</f>
        <v>36.99350261</v>
      </c>
      <c r="C12674" s="8">
        <f t="array" ref="C12674">PRODUCT(1-'Sparkling Model'!D$2:D$38^A12674)</f>
        <v>0.9935173333</v>
      </c>
    </row>
    <row r="12675">
      <c r="A12675" s="6">
        <v>12673.0</v>
      </c>
      <c r="B12675" s="17">
        <f t="array" ref="B12675">SUM(1-'Sparkling Model'!D$2:D$38^A12675)</f>
        <v>36.99350583</v>
      </c>
      <c r="C12675" s="8">
        <f t="array" ref="C12675">PRODUCT(1-'Sparkling Model'!D$2:D$38^A12675)</f>
        <v>0.9935205434</v>
      </c>
    </row>
    <row r="12676">
      <c r="A12676" s="6">
        <v>12674.0</v>
      </c>
      <c r="B12676" s="17">
        <f t="array" ref="B12676">SUM(1-'Sparkling Model'!D$2:D$38^A12676)</f>
        <v>36.99350906</v>
      </c>
      <c r="C12676" s="8">
        <f t="array" ref="C12676">PRODUCT(1-'Sparkling Model'!D$2:D$38^A12676)</f>
        <v>0.9935237518</v>
      </c>
    </row>
    <row r="12677">
      <c r="A12677" s="6">
        <v>12675.0</v>
      </c>
      <c r="B12677" s="17">
        <f t="array" ref="B12677">SUM(1-'Sparkling Model'!D$2:D$38^A12677)</f>
        <v>36.99351228</v>
      </c>
      <c r="C12677" s="8">
        <f t="array" ref="C12677">PRODUCT(1-'Sparkling Model'!D$2:D$38^A12677)</f>
        <v>0.9935269587</v>
      </c>
    </row>
    <row r="12678">
      <c r="A12678" s="6">
        <v>12676.0</v>
      </c>
      <c r="B12678" s="17">
        <f t="array" ref="B12678">SUM(1-'Sparkling Model'!D$2:D$38^A12678)</f>
        <v>36.9935155</v>
      </c>
      <c r="C12678" s="8">
        <f t="array" ref="C12678">PRODUCT(1-'Sparkling Model'!D$2:D$38^A12678)</f>
        <v>0.993530164</v>
      </c>
    </row>
    <row r="12679">
      <c r="A12679" s="6">
        <v>12677.0</v>
      </c>
      <c r="B12679" s="17">
        <f t="array" ref="B12679">SUM(1-'Sparkling Model'!D$2:D$38^A12679)</f>
        <v>36.99351872</v>
      </c>
      <c r="C12679" s="8">
        <f t="array" ref="C12679">PRODUCT(1-'Sparkling Model'!D$2:D$38^A12679)</f>
        <v>0.9935333677</v>
      </c>
    </row>
    <row r="12680">
      <c r="A12680" s="6">
        <v>12678.0</v>
      </c>
      <c r="B12680" s="17">
        <f t="array" ref="B12680">SUM(1-'Sparkling Model'!D$2:D$38^A12680)</f>
        <v>36.99352193</v>
      </c>
      <c r="C12680" s="8">
        <f t="array" ref="C12680">PRODUCT(1-'Sparkling Model'!D$2:D$38^A12680)</f>
        <v>0.9935365698</v>
      </c>
    </row>
    <row r="12681">
      <c r="A12681" s="6">
        <v>12679.0</v>
      </c>
      <c r="B12681" s="17">
        <f t="array" ref="B12681">SUM(1-'Sparkling Model'!D$2:D$38^A12681)</f>
        <v>36.99352515</v>
      </c>
      <c r="C12681" s="8">
        <f t="array" ref="C12681">PRODUCT(1-'Sparkling Model'!D$2:D$38^A12681)</f>
        <v>0.9935397704</v>
      </c>
    </row>
    <row r="12682">
      <c r="A12682" s="6">
        <v>12680.0</v>
      </c>
      <c r="B12682" s="17">
        <f t="array" ref="B12682">SUM(1-'Sparkling Model'!D$2:D$38^A12682)</f>
        <v>36.99352836</v>
      </c>
      <c r="C12682" s="8">
        <f t="array" ref="C12682">PRODUCT(1-'Sparkling Model'!D$2:D$38^A12682)</f>
        <v>0.9935429693</v>
      </c>
    </row>
    <row r="12683">
      <c r="A12683" s="6">
        <v>12681.0</v>
      </c>
      <c r="B12683" s="17">
        <f t="array" ref="B12683">SUM(1-'Sparkling Model'!D$2:D$38^A12683)</f>
        <v>36.99353157</v>
      </c>
      <c r="C12683" s="8">
        <f t="array" ref="C12683">PRODUCT(1-'Sparkling Model'!D$2:D$38^A12683)</f>
        <v>0.9935461666</v>
      </c>
    </row>
    <row r="12684">
      <c r="A12684" s="6">
        <v>12682.0</v>
      </c>
      <c r="B12684" s="17">
        <f t="array" ref="B12684">SUM(1-'Sparkling Model'!D$2:D$38^A12684)</f>
        <v>36.99353478</v>
      </c>
      <c r="C12684" s="8">
        <f t="array" ref="C12684">PRODUCT(1-'Sparkling Model'!D$2:D$38^A12684)</f>
        <v>0.9935493624</v>
      </c>
    </row>
    <row r="12685">
      <c r="A12685" s="6">
        <v>12683.0</v>
      </c>
      <c r="B12685" s="17">
        <f t="array" ref="B12685">SUM(1-'Sparkling Model'!D$2:D$38^A12685)</f>
        <v>36.99353799</v>
      </c>
      <c r="C12685" s="8">
        <f t="array" ref="C12685">PRODUCT(1-'Sparkling Model'!D$2:D$38^A12685)</f>
        <v>0.9935525566</v>
      </c>
    </row>
    <row r="12686">
      <c r="A12686" s="6">
        <v>12684.0</v>
      </c>
      <c r="B12686" s="17">
        <f t="array" ref="B12686">SUM(1-'Sparkling Model'!D$2:D$38^A12686)</f>
        <v>36.9935412</v>
      </c>
      <c r="C12686" s="8">
        <f t="array" ref="C12686">PRODUCT(1-'Sparkling Model'!D$2:D$38^A12686)</f>
        <v>0.9935557491</v>
      </c>
    </row>
    <row r="12687">
      <c r="A12687" s="6">
        <v>12685.0</v>
      </c>
      <c r="B12687" s="17">
        <f t="array" ref="B12687">SUM(1-'Sparkling Model'!D$2:D$38^A12687)</f>
        <v>36.99354441</v>
      </c>
      <c r="C12687" s="8">
        <f t="array" ref="C12687">PRODUCT(1-'Sparkling Model'!D$2:D$38^A12687)</f>
        <v>0.9935589401</v>
      </c>
    </row>
    <row r="12688">
      <c r="A12688" s="6">
        <v>12686.0</v>
      </c>
      <c r="B12688" s="17">
        <f t="array" ref="B12688">SUM(1-'Sparkling Model'!D$2:D$38^A12688)</f>
        <v>36.99354761</v>
      </c>
      <c r="C12688" s="8">
        <f t="array" ref="C12688">PRODUCT(1-'Sparkling Model'!D$2:D$38^A12688)</f>
        <v>0.9935621295</v>
      </c>
    </row>
    <row r="12689">
      <c r="A12689" s="6">
        <v>12687.0</v>
      </c>
      <c r="B12689" s="17">
        <f t="array" ref="B12689">SUM(1-'Sparkling Model'!D$2:D$38^A12689)</f>
        <v>36.99355081</v>
      </c>
      <c r="C12689" s="8">
        <f t="array" ref="C12689">PRODUCT(1-'Sparkling Model'!D$2:D$38^A12689)</f>
        <v>0.9935653174</v>
      </c>
    </row>
    <row r="12690">
      <c r="A12690" s="6">
        <v>12688.0</v>
      </c>
      <c r="B12690" s="17">
        <f t="array" ref="B12690">SUM(1-'Sparkling Model'!D$2:D$38^A12690)</f>
        <v>36.99355401</v>
      </c>
      <c r="C12690" s="8">
        <f t="array" ref="C12690">PRODUCT(1-'Sparkling Model'!D$2:D$38^A12690)</f>
        <v>0.9935685036</v>
      </c>
    </row>
    <row r="12691">
      <c r="A12691" s="6">
        <v>12689.0</v>
      </c>
      <c r="B12691" s="17">
        <f t="array" ref="B12691">SUM(1-'Sparkling Model'!D$2:D$38^A12691)</f>
        <v>36.99355721</v>
      </c>
      <c r="C12691" s="8">
        <f t="array" ref="C12691">PRODUCT(1-'Sparkling Model'!D$2:D$38^A12691)</f>
        <v>0.9935716883</v>
      </c>
    </row>
    <row r="12692">
      <c r="A12692" s="6">
        <v>12690.0</v>
      </c>
      <c r="B12692" s="17">
        <f t="array" ref="B12692">SUM(1-'Sparkling Model'!D$2:D$38^A12692)</f>
        <v>36.99356041</v>
      </c>
      <c r="C12692" s="8">
        <f t="array" ref="C12692">PRODUCT(1-'Sparkling Model'!D$2:D$38^A12692)</f>
        <v>0.9935748713</v>
      </c>
    </row>
    <row r="12693">
      <c r="A12693" s="6">
        <v>12691.0</v>
      </c>
      <c r="B12693" s="17">
        <f t="array" ref="B12693">SUM(1-'Sparkling Model'!D$2:D$38^A12693)</f>
        <v>36.99356361</v>
      </c>
      <c r="C12693" s="8">
        <f t="array" ref="C12693">PRODUCT(1-'Sparkling Model'!D$2:D$38^A12693)</f>
        <v>0.9935780528</v>
      </c>
    </row>
    <row r="12694">
      <c r="A12694" s="6">
        <v>12692.0</v>
      </c>
      <c r="B12694" s="17">
        <f t="array" ref="B12694">SUM(1-'Sparkling Model'!D$2:D$38^A12694)</f>
        <v>36.9935668</v>
      </c>
      <c r="C12694" s="8">
        <f t="array" ref="C12694">PRODUCT(1-'Sparkling Model'!D$2:D$38^A12694)</f>
        <v>0.9935812327</v>
      </c>
    </row>
    <row r="12695">
      <c r="A12695" s="6">
        <v>12693.0</v>
      </c>
      <c r="B12695" s="17">
        <f t="array" ref="B12695">SUM(1-'Sparkling Model'!D$2:D$38^A12695)</f>
        <v>36.99356999</v>
      </c>
      <c r="C12695" s="8">
        <f t="array" ref="C12695">PRODUCT(1-'Sparkling Model'!D$2:D$38^A12695)</f>
        <v>0.9935844111</v>
      </c>
    </row>
    <row r="12696">
      <c r="A12696" s="6">
        <v>12694.0</v>
      </c>
      <c r="B12696" s="17">
        <f t="array" ref="B12696">SUM(1-'Sparkling Model'!D$2:D$38^A12696)</f>
        <v>36.99357318</v>
      </c>
      <c r="C12696" s="8">
        <f t="array" ref="C12696">PRODUCT(1-'Sparkling Model'!D$2:D$38^A12696)</f>
        <v>0.9935875878</v>
      </c>
    </row>
    <row r="12697">
      <c r="A12697" s="6">
        <v>12695.0</v>
      </c>
      <c r="B12697" s="17">
        <f t="array" ref="B12697">SUM(1-'Sparkling Model'!D$2:D$38^A12697)</f>
        <v>36.99357637</v>
      </c>
      <c r="C12697" s="8">
        <f t="array" ref="C12697">PRODUCT(1-'Sparkling Model'!D$2:D$38^A12697)</f>
        <v>0.993590763</v>
      </c>
    </row>
    <row r="12698">
      <c r="A12698" s="6">
        <v>12696.0</v>
      </c>
      <c r="B12698" s="17">
        <f t="array" ref="B12698">SUM(1-'Sparkling Model'!D$2:D$38^A12698)</f>
        <v>36.99357956</v>
      </c>
      <c r="C12698" s="8">
        <f t="array" ref="C12698">PRODUCT(1-'Sparkling Model'!D$2:D$38^A12698)</f>
        <v>0.9935939366</v>
      </c>
    </row>
    <row r="12699">
      <c r="A12699" s="6">
        <v>12697.0</v>
      </c>
      <c r="B12699" s="17">
        <f t="array" ref="B12699">SUM(1-'Sparkling Model'!D$2:D$38^A12699)</f>
        <v>36.99358275</v>
      </c>
      <c r="C12699" s="8">
        <f t="array" ref="C12699">PRODUCT(1-'Sparkling Model'!D$2:D$38^A12699)</f>
        <v>0.9935971086</v>
      </c>
    </row>
    <row r="12700">
      <c r="A12700" s="6">
        <v>12698.0</v>
      </c>
      <c r="B12700" s="17">
        <f t="array" ref="B12700">SUM(1-'Sparkling Model'!D$2:D$38^A12700)</f>
        <v>36.99358593</v>
      </c>
      <c r="C12700" s="8">
        <f t="array" ref="C12700">PRODUCT(1-'Sparkling Model'!D$2:D$38^A12700)</f>
        <v>0.9936002791</v>
      </c>
    </row>
    <row r="12701">
      <c r="A12701" s="6">
        <v>12699.0</v>
      </c>
      <c r="B12701" s="17">
        <f t="array" ref="B12701">SUM(1-'Sparkling Model'!D$2:D$38^A12701)</f>
        <v>36.99358912</v>
      </c>
      <c r="C12701" s="8">
        <f t="array" ref="C12701">PRODUCT(1-'Sparkling Model'!D$2:D$38^A12701)</f>
        <v>0.993603448</v>
      </c>
    </row>
    <row r="12702">
      <c r="A12702" s="6">
        <v>12700.0</v>
      </c>
      <c r="B12702" s="17">
        <f t="array" ref="B12702">SUM(1-'Sparkling Model'!D$2:D$38^A12702)</f>
        <v>36.9935923</v>
      </c>
      <c r="C12702" s="8">
        <f t="array" ref="C12702">PRODUCT(1-'Sparkling Model'!D$2:D$38^A12702)</f>
        <v>0.9936066153</v>
      </c>
    </row>
    <row r="12703">
      <c r="A12703" s="6">
        <v>12701.0</v>
      </c>
      <c r="B12703" s="17">
        <f t="array" ref="B12703">SUM(1-'Sparkling Model'!D$2:D$38^A12703)</f>
        <v>36.99359548</v>
      </c>
      <c r="C12703" s="8">
        <f t="array" ref="C12703">PRODUCT(1-'Sparkling Model'!D$2:D$38^A12703)</f>
        <v>0.993609781</v>
      </c>
    </row>
    <row r="12704">
      <c r="A12704" s="6">
        <v>12702.0</v>
      </c>
      <c r="B12704" s="17">
        <f t="array" ref="B12704">SUM(1-'Sparkling Model'!D$2:D$38^A12704)</f>
        <v>36.99359866</v>
      </c>
      <c r="C12704" s="8">
        <f t="array" ref="C12704">PRODUCT(1-'Sparkling Model'!D$2:D$38^A12704)</f>
        <v>0.9936129452</v>
      </c>
    </row>
    <row r="12705">
      <c r="A12705" s="6">
        <v>12703.0</v>
      </c>
      <c r="B12705" s="17">
        <f t="array" ref="B12705">SUM(1-'Sparkling Model'!D$2:D$38^A12705)</f>
        <v>36.99360183</v>
      </c>
      <c r="C12705" s="8">
        <f t="array" ref="C12705">PRODUCT(1-'Sparkling Model'!D$2:D$38^A12705)</f>
        <v>0.9936161077</v>
      </c>
    </row>
    <row r="12706">
      <c r="A12706" s="6">
        <v>12704.0</v>
      </c>
      <c r="B12706" s="17">
        <f t="array" ref="B12706">SUM(1-'Sparkling Model'!D$2:D$38^A12706)</f>
        <v>36.99360501</v>
      </c>
      <c r="C12706" s="8">
        <f t="array" ref="C12706">PRODUCT(1-'Sparkling Model'!D$2:D$38^A12706)</f>
        <v>0.9936192688</v>
      </c>
    </row>
    <row r="12707">
      <c r="A12707" s="6">
        <v>12705.0</v>
      </c>
      <c r="B12707" s="17">
        <f t="array" ref="B12707">SUM(1-'Sparkling Model'!D$2:D$38^A12707)</f>
        <v>36.99360818</v>
      </c>
      <c r="C12707" s="8">
        <f t="array" ref="C12707">PRODUCT(1-'Sparkling Model'!D$2:D$38^A12707)</f>
        <v>0.9936224282</v>
      </c>
    </row>
    <row r="12708">
      <c r="A12708" s="6">
        <v>12706.0</v>
      </c>
      <c r="B12708" s="17">
        <f t="array" ref="B12708">SUM(1-'Sparkling Model'!D$2:D$38^A12708)</f>
        <v>36.99361135</v>
      </c>
      <c r="C12708" s="8">
        <f t="array" ref="C12708">PRODUCT(1-'Sparkling Model'!D$2:D$38^A12708)</f>
        <v>0.9936255861</v>
      </c>
    </row>
    <row r="12709">
      <c r="A12709" s="6">
        <v>12707.0</v>
      </c>
      <c r="B12709" s="17">
        <f t="array" ref="B12709">SUM(1-'Sparkling Model'!D$2:D$38^A12709)</f>
        <v>36.99361452</v>
      </c>
      <c r="C12709" s="8">
        <f t="array" ref="C12709">PRODUCT(1-'Sparkling Model'!D$2:D$38^A12709)</f>
        <v>0.9936287424</v>
      </c>
    </row>
    <row r="12710">
      <c r="A12710" s="6">
        <v>12708.0</v>
      </c>
      <c r="B12710" s="17">
        <f t="array" ref="B12710">SUM(1-'Sparkling Model'!D$2:D$38^A12710)</f>
        <v>36.99361769</v>
      </c>
      <c r="C12710" s="8">
        <f t="array" ref="C12710">PRODUCT(1-'Sparkling Model'!D$2:D$38^A12710)</f>
        <v>0.9936318971</v>
      </c>
    </row>
    <row r="12711">
      <c r="A12711" s="6">
        <v>12709.0</v>
      </c>
      <c r="B12711" s="17">
        <f t="array" ref="B12711">SUM(1-'Sparkling Model'!D$2:D$38^A12711)</f>
        <v>36.99362086</v>
      </c>
      <c r="C12711" s="8">
        <f t="array" ref="C12711">PRODUCT(1-'Sparkling Model'!D$2:D$38^A12711)</f>
        <v>0.9936350503</v>
      </c>
    </row>
    <row r="12712">
      <c r="A12712" s="6">
        <v>12710.0</v>
      </c>
      <c r="B12712" s="17">
        <f t="array" ref="B12712">SUM(1-'Sparkling Model'!D$2:D$38^A12712)</f>
        <v>36.99362403</v>
      </c>
      <c r="C12712" s="8">
        <f t="array" ref="C12712">PRODUCT(1-'Sparkling Model'!D$2:D$38^A12712)</f>
        <v>0.9936382019</v>
      </c>
    </row>
    <row r="12713">
      <c r="A12713" s="6">
        <v>12711.0</v>
      </c>
      <c r="B12713" s="17">
        <f t="array" ref="B12713">SUM(1-'Sparkling Model'!D$2:D$38^A12713)</f>
        <v>36.99362719</v>
      </c>
      <c r="C12713" s="8">
        <f t="array" ref="C12713">PRODUCT(1-'Sparkling Model'!D$2:D$38^A12713)</f>
        <v>0.9936413519</v>
      </c>
    </row>
    <row r="12714">
      <c r="A12714" s="6">
        <v>12712.0</v>
      </c>
      <c r="B12714" s="17">
        <f t="array" ref="B12714">SUM(1-'Sparkling Model'!D$2:D$38^A12714)</f>
        <v>36.99363035</v>
      </c>
      <c r="C12714" s="8">
        <f t="array" ref="C12714">PRODUCT(1-'Sparkling Model'!D$2:D$38^A12714)</f>
        <v>0.9936445004</v>
      </c>
    </row>
    <row r="12715">
      <c r="A12715" s="6">
        <v>12713.0</v>
      </c>
      <c r="B12715" s="17">
        <f t="array" ref="B12715">SUM(1-'Sparkling Model'!D$2:D$38^A12715)</f>
        <v>36.99363351</v>
      </c>
      <c r="C12715" s="8">
        <f t="array" ref="C12715">PRODUCT(1-'Sparkling Model'!D$2:D$38^A12715)</f>
        <v>0.9936476473</v>
      </c>
    </row>
    <row r="12716">
      <c r="A12716" s="6">
        <v>12714.0</v>
      </c>
      <c r="B12716" s="17">
        <f t="array" ref="B12716">SUM(1-'Sparkling Model'!D$2:D$38^A12716)</f>
        <v>36.99363667</v>
      </c>
      <c r="C12716" s="8">
        <f t="array" ref="C12716">PRODUCT(1-'Sparkling Model'!D$2:D$38^A12716)</f>
        <v>0.9936507927</v>
      </c>
    </row>
    <row r="12717">
      <c r="A12717" s="6">
        <v>12715.0</v>
      </c>
      <c r="B12717" s="17">
        <f t="array" ref="B12717">SUM(1-'Sparkling Model'!D$2:D$38^A12717)</f>
        <v>36.99363983</v>
      </c>
      <c r="C12717" s="8">
        <f t="array" ref="C12717">PRODUCT(1-'Sparkling Model'!D$2:D$38^A12717)</f>
        <v>0.9936539365</v>
      </c>
    </row>
    <row r="12718">
      <c r="A12718" s="6">
        <v>12716.0</v>
      </c>
      <c r="B12718" s="17">
        <f t="array" ref="B12718">SUM(1-'Sparkling Model'!D$2:D$38^A12718)</f>
        <v>36.99364299</v>
      </c>
      <c r="C12718" s="8">
        <f t="array" ref="C12718">PRODUCT(1-'Sparkling Model'!D$2:D$38^A12718)</f>
        <v>0.9936570787</v>
      </c>
    </row>
    <row r="12719">
      <c r="A12719" s="6">
        <v>12717.0</v>
      </c>
      <c r="B12719" s="17">
        <f t="array" ref="B12719">SUM(1-'Sparkling Model'!D$2:D$38^A12719)</f>
        <v>36.99364614</v>
      </c>
      <c r="C12719" s="8">
        <f t="array" ref="C12719">PRODUCT(1-'Sparkling Model'!D$2:D$38^A12719)</f>
        <v>0.9936602193</v>
      </c>
    </row>
    <row r="12720">
      <c r="A12720" s="6">
        <v>12718.0</v>
      </c>
      <c r="B12720" s="17">
        <f t="array" ref="B12720">SUM(1-'Sparkling Model'!D$2:D$38^A12720)</f>
        <v>36.99364929</v>
      </c>
      <c r="C12720" s="8">
        <f t="array" ref="C12720">PRODUCT(1-'Sparkling Model'!D$2:D$38^A12720)</f>
        <v>0.9936633584</v>
      </c>
    </row>
    <row r="12721">
      <c r="A12721" s="6">
        <v>12719.0</v>
      </c>
      <c r="B12721" s="17">
        <f t="array" ref="B12721">SUM(1-'Sparkling Model'!D$2:D$38^A12721)</f>
        <v>36.99365245</v>
      </c>
      <c r="C12721" s="8">
        <f t="array" ref="C12721">PRODUCT(1-'Sparkling Model'!D$2:D$38^A12721)</f>
        <v>0.993666496</v>
      </c>
    </row>
    <row r="12722">
      <c r="A12722" s="6">
        <v>12720.0</v>
      </c>
      <c r="B12722" s="17">
        <f t="array" ref="B12722">SUM(1-'Sparkling Model'!D$2:D$38^A12722)</f>
        <v>36.9936556</v>
      </c>
      <c r="C12722" s="8">
        <f t="array" ref="C12722">PRODUCT(1-'Sparkling Model'!D$2:D$38^A12722)</f>
        <v>0.993669632</v>
      </c>
    </row>
    <row r="12723">
      <c r="A12723" s="6">
        <v>12721.0</v>
      </c>
      <c r="B12723" s="17">
        <f t="array" ref="B12723">SUM(1-'Sparkling Model'!D$2:D$38^A12723)</f>
        <v>36.99365874</v>
      </c>
      <c r="C12723" s="8">
        <f t="array" ref="C12723">PRODUCT(1-'Sparkling Model'!D$2:D$38^A12723)</f>
        <v>0.9936727664</v>
      </c>
    </row>
    <row r="12724">
      <c r="A12724" s="6">
        <v>12722.0</v>
      </c>
      <c r="B12724" s="17">
        <f t="array" ref="B12724">SUM(1-'Sparkling Model'!D$2:D$38^A12724)</f>
        <v>36.99366189</v>
      </c>
      <c r="C12724" s="8">
        <f t="array" ref="C12724">PRODUCT(1-'Sparkling Model'!D$2:D$38^A12724)</f>
        <v>0.9936758993</v>
      </c>
    </row>
    <row r="12725">
      <c r="A12725" s="6">
        <v>12723.0</v>
      </c>
      <c r="B12725" s="17">
        <f t="array" ref="B12725">SUM(1-'Sparkling Model'!D$2:D$38^A12725)</f>
        <v>36.99366504</v>
      </c>
      <c r="C12725" s="8">
        <f t="array" ref="C12725">PRODUCT(1-'Sparkling Model'!D$2:D$38^A12725)</f>
        <v>0.9936790306</v>
      </c>
    </row>
    <row r="12726">
      <c r="A12726" s="6">
        <v>12724.0</v>
      </c>
      <c r="B12726" s="17">
        <f t="array" ref="B12726">SUM(1-'Sparkling Model'!D$2:D$38^A12726)</f>
        <v>36.99366818</v>
      </c>
      <c r="C12726" s="8">
        <f t="array" ref="C12726">PRODUCT(1-'Sparkling Model'!D$2:D$38^A12726)</f>
        <v>0.9936821603</v>
      </c>
    </row>
    <row r="12727">
      <c r="A12727" s="6">
        <v>12725.0</v>
      </c>
      <c r="B12727" s="17">
        <f t="array" ref="B12727">SUM(1-'Sparkling Model'!D$2:D$38^A12727)</f>
        <v>36.99367132</v>
      </c>
      <c r="C12727" s="8">
        <f t="array" ref="C12727">PRODUCT(1-'Sparkling Model'!D$2:D$38^A12727)</f>
        <v>0.9936852886</v>
      </c>
    </row>
    <row r="12728">
      <c r="A12728" s="6">
        <v>12726.0</v>
      </c>
      <c r="B12728" s="17">
        <f t="array" ref="B12728">SUM(1-'Sparkling Model'!D$2:D$38^A12728)</f>
        <v>36.99367446</v>
      </c>
      <c r="C12728" s="8">
        <f t="array" ref="C12728">PRODUCT(1-'Sparkling Model'!D$2:D$38^A12728)</f>
        <v>0.9936884152</v>
      </c>
    </row>
    <row r="12729">
      <c r="A12729" s="6">
        <v>12727.0</v>
      </c>
      <c r="B12729" s="17">
        <f t="array" ref="B12729">SUM(1-'Sparkling Model'!D$2:D$38^A12729)</f>
        <v>36.9936776</v>
      </c>
      <c r="C12729" s="8">
        <f t="array" ref="C12729">PRODUCT(1-'Sparkling Model'!D$2:D$38^A12729)</f>
        <v>0.9936915403</v>
      </c>
    </row>
    <row r="12730">
      <c r="A12730" s="6">
        <v>12728.0</v>
      </c>
      <c r="B12730" s="17">
        <f t="array" ref="B12730">SUM(1-'Sparkling Model'!D$2:D$38^A12730)</f>
        <v>36.99368074</v>
      </c>
      <c r="C12730" s="8">
        <f t="array" ref="C12730">PRODUCT(1-'Sparkling Model'!D$2:D$38^A12730)</f>
        <v>0.9936946639</v>
      </c>
    </row>
    <row r="12731">
      <c r="A12731" s="6">
        <v>12729.0</v>
      </c>
      <c r="B12731" s="17">
        <f t="array" ref="B12731">SUM(1-'Sparkling Model'!D$2:D$38^A12731)</f>
        <v>36.99368388</v>
      </c>
      <c r="C12731" s="8">
        <f t="array" ref="C12731">PRODUCT(1-'Sparkling Model'!D$2:D$38^A12731)</f>
        <v>0.9936977858</v>
      </c>
    </row>
    <row r="12732">
      <c r="A12732" s="6">
        <v>12730.0</v>
      </c>
      <c r="B12732" s="17">
        <f t="array" ref="B12732">SUM(1-'Sparkling Model'!D$2:D$38^A12732)</f>
        <v>36.99368701</v>
      </c>
      <c r="C12732" s="8">
        <f t="array" ref="C12732">PRODUCT(1-'Sparkling Model'!D$2:D$38^A12732)</f>
        <v>0.9937009063</v>
      </c>
    </row>
    <row r="12733">
      <c r="A12733" s="6">
        <v>12731.0</v>
      </c>
      <c r="B12733" s="17">
        <f t="array" ref="B12733">SUM(1-'Sparkling Model'!D$2:D$38^A12733)</f>
        <v>36.99369014</v>
      </c>
      <c r="C12733" s="8">
        <f t="array" ref="C12733">PRODUCT(1-'Sparkling Model'!D$2:D$38^A12733)</f>
        <v>0.9937040252</v>
      </c>
    </row>
    <row r="12734">
      <c r="A12734" s="6">
        <v>12732.0</v>
      </c>
      <c r="B12734" s="17">
        <f t="array" ref="B12734">SUM(1-'Sparkling Model'!D$2:D$38^A12734)</f>
        <v>36.99369327</v>
      </c>
      <c r="C12734" s="8">
        <f t="array" ref="C12734">PRODUCT(1-'Sparkling Model'!D$2:D$38^A12734)</f>
        <v>0.9937071425</v>
      </c>
    </row>
    <row r="12735">
      <c r="A12735" s="6">
        <v>12733.0</v>
      </c>
      <c r="B12735" s="17">
        <f t="array" ref="B12735">SUM(1-'Sparkling Model'!D$2:D$38^A12735)</f>
        <v>36.9936964</v>
      </c>
      <c r="C12735" s="8">
        <f t="array" ref="C12735">PRODUCT(1-'Sparkling Model'!D$2:D$38^A12735)</f>
        <v>0.9937102583</v>
      </c>
    </row>
    <row r="12736">
      <c r="A12736" s="6">
        <v>12734.0</v>
      </c>
      <c r="B12736" s="17">
        <f t="array" ref="B12736">SUM(1-'Sparkling Model'!D$2:D$38^A12736)</f>
        <v>36.99369953</v>
      </c>
      <c r="C12736" s="8">
        <f t="array" ref="C12736">PRODUCT(1-'Sparkling Model'!D$2:D$38^A12736)</f>
        <v>0.9937133726</v>
      </c>
    </row>
    <row r="12737">
      <c r="A12737" s="6">
        <v>12735.0</v>
      </c>
      <c r="B12737" s="17">
        <f t="array" ref="B12737">SUM(1-'Sparkling Model'!D$2:D$38^A12737)</f>
        <v>36.99370266</v>
      </c>
      <c r="C12737" s="8">
        <f t="array" ref="C12737">PRODUCT(1-'Sparkling Model'!D$2:D$38^A12737)</f>
        <v>0.9937164853</v>
      </c>
    </row>
    <row r="12738">
      <c r="A12738" s="6">
        <v>12736.0</v>
      </c>
      <c r="B12738" s="17">
        <f t="array" ref="B12738">SUM(1-'Sparkling Model'!D$2:D$38^A12738)</f>
        <v>36.99370578</v>
      </c>
      <c r="C12738" s="8">
        <f t="array" ref="C12738">PRODUCT(1-'Sparkling Model'!D$2:D$38^A12738)</f>
        <v>0.9937195964</v>
      </c>
    </row>
    <row r="12739">
      <c r="A12739" s="6">
        <v>12737.0</v>
      </c>
      <c r="B12739" s="17">
        <f t="array" ref="B12739">SUM(1-'Sparkling Model'!D$2:D$38^A12739)</f>
        <v>36.99370891</v>
      </c>
      <c r="C12739" s="8">
        <f t="array" ref="C12739">PRODUCT(1-'Sparkling Model'!D$2:D$38^A12739)</f>
        <v>0.9937227061</v>
      </c>
    </row>
    <row r="12740">
      <c r="A12740" s="6">
        <v>12738.0</v>
      </c>
      <c r="B12740" s="17">
        <f t="array" ref="B12740">SUM(1-'Sparkling Model'!D$2:D$38^A12740)</f>
        <v>36.99371203</v>
      </c>
      <c r="C12740" s="8">
        <f t="array" ref="C12740">PRODUCT(1-'Sparkling Model'!D$2:D$38^A12740)</f>
        <v>0.9937258141</v>
      </c>
    </row>
    <row r="12741">
      <c r="A12741" s="6">
        <v>12739.0</v>
      </c>
      <c r="B12741" s="17">
        <f t="array" ref="B12741">SUM(1-'Sparkling Model'!D$2:D$38^A12741)</f>
        <v>36.99371515</v>
      </c>
      <c r="C12741" s="8">
        <f t="array" ref="C12741">PRODUCT(1-'Sparkling Model'!D$2:D$38^A12741)</f>
        <v>0.9937289206</v>
      </c>
    </row>
    <row r="12742">
      <c r="A12742" s="6">
        <v>12740.0</v>
      </c>
      <c r="B12742" s="17">
        <f t="array" ref="B12742">SUM(1-'Sparkling Model'!D$2:D$38^A12742)</f>
        <v>36.99371827</v>
      </c>
      <c r="C12742" s="8">
        <f t="array" ref="C12742">PRODUCT(1-'Sparkling Model'!D$2:D$38^A12742)</f>
        <v>0.9937320256</v>
      </c>
    </row>
    <row r="12743">
      <c r="A12743" s="6">
        <v>12741.0</v>
      </c>
      <c r="B12743" s="17">
        <f t="array" ref="B12743">SUM(1-'Sparkling Model'!D$2:D$38^A12743)</f>
        <v>36.99372138</v>
      </c>
      <c r="C12743" s="8">
        <f t="array" ref="C12743">PRODUCT(1-'Sparkling Model'!D$2:D$38^A12743)</f>
        <v>0.9937351291</v>
      </c>
    </row>
    <row r="12744">
      <c r="A12744" s="6">
        <v>12742.0</v>
      </c>
      <c r="B12744" s="17">
        <f t="array" ref="B12744">SUM(1-'Sparkling Model'!D$2:D$38^A12744)</f>
        <v>36.9937245</v>
      </c>
      <c r="C12744" s="8">
        <f t="array" ref="C12744">PRODUCT(1-'Sparkling Model'!D$2:D$38^A12744)</f>
        <v>0.993738231</v>
      </c>
    </row>
    <row r="12745">
      <c r="A12745" s="6">
        <v>12743.0</v>
      </c>
      <c r="B12745" s="17">
        <f t="array" ref="B12745">SUM(1-'Sparkling Model'!D$2:D$38^A12745)</f>
        <v>36.99372761</v>
      </c>
      <c r="C12745" s="8">
        <f t="array" ref="C12745">PRODUCT(1-'Sparkling Model'!D$2:D$38^A12745)</f>
        <v>0.9937413313</v>
      </c>
    </row>
    <row r="12746">
      <c r="A12746" s="6">
        <v>12744.0</v>
      </c>
      <c r="B12746" s="17">
        <f t="array" ref="B12746">SUM(1-'Sparkling Model'!D$2:D$38^A12746)</f>
        <v>36.99373073</v>
      </c>
      <c r="C12746" s="8">
        <f t="array" ref="C12746">PRODUCT(1-'Sparkling Model'!D$2:D$38^A12746)</f>
        <v>0.9937444301</v>
      </c>
    </row>
    <row r="12747">
      <c r="A12747" s="6">
        <v>12745.0</v>
      </c>
      <c r="B12747" s="17">
        <f t="array" ref="B12747">SUM(1-'Sparkling Model'!D$2:D$38^A12747)</f>
        <v>36.99373384</v>
      </c>
      <c r="C12747" s="8">
        <f t="array" ref="C12747">PRODUCT(1-'Sparkling Model'!D$2:D$38^A12747)</f>
        <v>0.9937475274</v>
      </c>
    </row>
    <row r="12748">
      <c r="A12748" s="6">
        <v>12746.0</v>
      </c>
      <c r="B12748" s="17">
        <f t="array" ref="B12748">SUM(1-'Sparkling Model'!D$2:D$38^A12748)</f>
        <v>36.99373695</v>
      </c>
      <c r="C12748" s="8">
        <f t="array" ref="C12748">PRODUCT(1-'Sparkling Model'!D$2:D$38^A12748)</f>
        <v>0.9937506232</v>
      </c>
    </row>
    <row r="12749">
      <c r="A12749" s="6">
        <v>12747.0</v>
      </c>
      <c r="B12749" s="17">
        <f t="array" ref="B12749">SUM(1-'Sparkling Model'!D$2:D$38^A12749)</f>
        <v>36.99374005</v>
      </c>
      <c r="C12749" s="8">
        <f t="array" ref="C12749">PRODUCT(1-'Sparkling Model'!D$2:D$38^A12749)</f>
        <v>0.9937537174</v>
      </c>
    </row>
    <row r="12750">
      <c r="A12750" s="6">
        <v>12748.0</v>
      </c>
      <c r="B12750" s="17">
        <f t="array" ref="B12750">SUM(1-'Sparkling Model'!D$2:D$38^A12750)</f>
        <v>36.99374316</v>
      </c>
      <c r="C12750" s="8">
        <f t="array" ref="C12750">PRODUCT(1-'Sparkling Model'!D$2:D$38^A12750)</f>
        <v>0.99375681</v>
      </c>
    </row>
    <row r="12751">
      <c r="A12751" s="6">
        <v>12749.0</v>
      </c>
      <c r="B12751" s="17">
        <f t="array" ref="B12751">SUM(1-'Sparkling Model'!D$2:D$38^A12751)</f>
        <v>36.99374627</v>
      </c>
      <c r="C12751" s="8">
        <f t="array" ref="C12751">PRODUCT(1-'Sparkling Model'!D$2:D$38^A12751)</f>
        <v>0.9937599012</v>
      </c>
    </row>
    <row r="12752">
      <c r="A12752" s="6">
        <v>12750.0</v>
      </c>
      <c r="B12752" s="17">
        <f t="array" ref="B12752">SUM(1-'Sparkling Model'!D$2:D$38^A12752)</f>
        <v>36.99374937</v>
      </c>
      <c r="C12752" s="8">
        <f t="array" ref="C12752">PRODUCT(1-'Sparkling Model'!D$2:D$38^A12752)</f>
        <v>0.9937629908</v>
      </c>
    </row>
    <row r="12753">
      <c r="A12753" s="6">
        <v>12751.0</v>
      </c>
      <c r="B12753" s="17">
        <f t="array" ref="B12753">SUM(1-'Sparkling Model'!D$2:D$38^A12753)</f>
        <v>36.99375247</v>
      </c>
      <c r="C12753" s="8">
        <f t="array" ref="C12753">PRODUCT(1-'Sparkling Model'!D$2:D$38^A12753)</f>
        <v>0.9937660788</v>
      </c>
    </row>
    <row r="12754">
      <c r="A12754" s="6">
        <v>12752.0</v>
      </c>
      <c r="B12754" s="17">
        <f t="array" ref="B12754">SUM(1-'Sparkling Model'!D$2:D$38^A12754)</f>
        <v>36.99375557</v>
      </c>
      <c r="C12754" s="8">
        <f t="array" ref="C12754">PRODUCT(1-'Sparkling Model'!D$2:D$38^A12754)</f>
        <v>0.9937691653</v>
      </c>
    </row>
    <row r="12755">
      <c r="A12755" s="6">
        <v>12753.0</v>
      </c>
      <c r="B12755" s="17">
        <f t="array" ref="B12755">SUM(1-'Sparkling Model'!D$2:D$38^A12755)</f>
        <v>36.99375867</v>
      </c>
      <c r="C12755" s="8">
        <f t="array" ref="C12755">PRODUCT(1-'Sparkling Model'!D$2:D$38^A12755)</f>
        <v>0.9937722503</v>
      </c>
    </row>
    <row r="12756">
      <c r="A12756" s="6">
        <v>12754.0</v>
      </c>
      <c r="B12756" s="17">
        <f t="array" ref="B12756">SUM(1-'Sparkling Model'!D$2:D$38^A12756)</f>
        <v>36.99376177</v>
      </c>
      <c r="C12756" s="8">
        <f t="array" ref="C12756">PRODUCT(1-'Sparkling Model'!D$2:D$38^A12756)</f>
        <v>0.9937753338</v>
      </c>
    </row>
    <row r="12757">
      <c r="A12757" s="6">
        <v>12755.0</v>
      </c>
      <c r="B12757" s="17">
        <f t="array" ref="B12757">SUM(1-'Sparkling Model'!D$2:D$38^A12757)</f>
        <v>36.99376486</v>
      </c>
      <c r="C12757" s="8">
        <f t="array" ref="C12757">PRODUCT(1-'Sparkling Model'!D$2:D$38^A12757)</f>
        <v>0.9937784157</v>
      </c>
    </row>
    <row r="12758">
      <c r="A12758" s="6">
        <v>12756.0</v>
      </c>
      <c r="B12758" s="17">
        <f t="array" ref="B12758">SUM(1-'Sparkling Model'!D$2:D$38^A12758)</f>
        <v>36.99376796</v>
      </c>
      <c r="C12758" s="8">
        <f t="array" ref="C12758">PRODUCT(1-'Sparkling Model'!D$2:D$38^A12758)</f>
        <v>0.9937814961</v>
      </c>
    </row>
    <row r="12759">
      <c r="A12759" s="6">
        <v>12757.0</v>
      </c>
      <c r="B12759" s="17">
        <f t="array" ref="B12759">SUM(1-'Sparkling Model'!D$2:D$38^A12759)</f>
        <v>36.99377105</v>
      </c>
      <c r="C12759" s="8">
        <f t="array" ref="C12759">PRODUCT(1-'Sparkling Model'!D$2:D$38^A12759)</f>
        <v>0.993784575</v>
      </c>
    </row>
    <row r="12760">
      <c r="A12760" s="6">
        <v>12758.0</v>
      </c>
      <c r="B12760" s="17">
        <f t="array" ref="B12760">SUM(1-'Sparkling Model'!D$2:D$38^A12760)</f>
        <v>36.99377414</v>
      </c>
      <c r="C12760" s="8">
        <f t="array" ref="C12760">PRODUCT(1-'Sparkling Model'!D$2:D$38^A12760)</f>
        <v>0.9937876523</v>
      </c>
    </row>
    <row r="12761">
      <c r="A12761" s="6">
        <v>12759.0</v>
      </c>
      <c r="B12761" s="17">
        <f t="array" ref="B12761">SUM(1-'Sparkling Model'!D$2:D$38^A12761)</f>
        <v>36.99377723</v>
      </c>
      <c r="C12761" s="8">
        <f t="array" ref="C12761">PRODUCT(1-'Sparkling Model'!D$2:D$38^A12761)</f>
        <v>0.9937907281</v>
      </c>
    </row>
    <row r="12762">
      <c r="A12762" s="6">
        <v>12760.0</v>
      </c>
      <c r="B12762" s="17">
        <f t="array" ref="B12762">SUM(1-'Sparkling Model'!D$2:D$38^A12762)</f>
        <v>36.99378032</v>
      </c>
      <c r="C12762" s="8">
        <f t="array" ref="C12762">PRODUCT(1-'Sparkling Model'!D$2:D$38^A12762)</f>
        <v>0.9937938024</v>
      </c>
    </row>
    <row r="12763">
      <c r="A12763" s="6">
        <v>12761.0</v>
      </c>
      <c r="B12763" s="17">
        <f t="array" ref="B12763">SUM(1-'Sparkling Model'!D$2:D$38^A12763)</f>
        <v>36.9937834</v>
      </c>
      <c r="C12763" s="8">
        <f t="array" ref="C12763">PRODUCT(1-'Sparkling Model'!D$2:D$38^A12763)</f>
        <v>0.9937968752</v>
      </c>
    </row>
    <row r="12764">
      <c r="A12764" s="6">
        <v>12762.0</v>
      </c>
      <c r="B12764" s="17">
        <f t="array" ref="B12764">SUM(1-'Sparkling Model'!D$2:D$38^A12764)</f>
        <v>36.99378649</v>
      </c>
      <c r="C12764" s="8">
        <f t="array" ref="C12764">PRODUCT(1-'Sparkling Model'!D$2:D$38^A12764)</f>
        <v>0.9937999464</v>
      </c>
    </row>
    <row r="12765">
      <c r="A12765" s="6">
        <v>12763.0</v>
      </c>
      <c r="B12765" s="17">
        <f t="array" ref="B12765">SUM(1-'Sparkling Model'!D$2:D$38^A12765)</f>
        <v>36.99378957</v>
      </c>
      <c r="C12765" s="8">
        <f t="array" ref="C12765">PRODUCT(1-'Sparkling Model'!D$2:D$38^A12765)</f>
        <v>0.9938030161</v>
      </c>
    </row>
    <row r="12766">
      <c r="A12766" s="6">
        <v>12764.0</v>
      </c>
      <c r="B12766" s="17">
        <f t="array" ref="B12766">SUM(1-'Sparkling Model'!D$2:D$38^A12766)</f>
        <v>36.99379265</v>
      </c>
      <c r="C12766" s="8">
        <f t="array" ref="C12766">PRODUCT(1-'Sparkling Model'!D$2:D$38^A12766)</f>
        <v>0.9938060843</v>
      </c>
    </row>
    <row r="12767">
      <c r="A12767" s="6">
        <v>12765.0</v>
      </c>
      <c r="B12767" s="17">
        <f t="array" ref="B12767">SUM(1-'Sparkling Model'!D$2:D$38^A12767)</f>
        <v>36.99379573</v>
      </c>
      <c r="C12767" s="8">
        <f t="array" ref="C12767">PRODUCT(1-'Sparkling Model'!D$2:D$38^A12767)</f>
        <v>0.993809151</v>
      </c>
    </row>
    <row r="12768">
      <c r="A12768" s="6">
        <v>12766.0</v>
      </c>
      <c r="B12768" s="17">
        <f t="array" ref="B12768">SUM(1-'Sparkling Model'!D$2:D$38^A12768)</f>
        <v>36.99379881</v>
      </c>
      <c r="C12768" s="8">
        <f t="array" ref="C12768">PRODUCT(1-'Sparkling Model'!D$2:D$38^A12768)</f>
        <v>0.9938122161</v>
      </c>
    </row>
    <row r="12769">
      <c r="A12769" s="6">
        <v>12767.0</v>
      </c>
      <c r="B12769" s="17">
        <f t="array" ref="B12769">SUM(1-'Sparkling Model'!D$2:D$38^A12769)</f>
        <v>36.99380189</v>
      </c>
      <c r="C12769" s="8">
        <f t="array" ref="C12769">PRODUCT(1-'Sparkling Model'!D$2:D$38^A12769)</f>
        <v>0.9938152797</v>
      </c>
    </row>
    <row r="12770">
      <c r="A12770" s="6">
        <v>12768.0</v>
      </c>
      <c r="B12770" s="17">
        <f t="array" ref="B12770">SUM(1-'Sparkling Model'!D$2:D$38^A12770)</f>
        <v>36.99380496</v>
      </c>
      <c r="C12770" s="8">
        <f t="array" ref="C12770">PRODUCT(1-'Sparkling Model'!D$2:D$38^A12770)</f>
        <v>0.9938183418</v>
      </c>
    </row>
    <row r="12771">
      <c r="A12771" s="6">
        <v>12769.0</v>
      </c>
      <c r="B12771" s="17">
        <f t="array" ref="B12771">SUM(1-'Sparkling Model'!D$2:D$38^A12771)</f>
        <v>36.99380804</v>
      </c>
      <c r="C12771" s="8">
        <f t="array" ref="C12771">PRODUCT(1-'Sparkling Model'!D$2:D$38^A12771)</f>
        <v>0.9938214024</v>
      </c>
    </row>
    <row r="12772">
      <c r="A12772" s="6">
        <v>12770.0</v>
      </c>
      <c r="B12772" s="17">
        <f t="array" ref="B12772">SUM(1-'Sparkling Model'!D$2:D$38^A12772)</f>
        <v>36.99381111</v>
      </c>
      <c r="C12772" s="8">
        <f t="array" ref="C12772">PRODUCT(1-'Sparkling Model'!D$2:D$38^A12772)</f>
        <v>0.9938244614</v>
      </c>
    </row>
    <row r="12773">
      <c r="A12773" s="6">
        <v>12771.0</v>
      </c>
      <c r="B12773" s="17">
        <f t="array" ref="B12773">SUM(1-'Sparkling Model'!D$2:D$38^A12773)</f>
        <v>36.99381418</v>
      </c>
      <c r="C12773" s="8">
        <f t="array" ref="C12773">PRODUCT(1-'Sparkling Model'!D$2:D$38^A12773)</f>
        <v>0.9938275189</v>
      </c>
    </row>
    <row r="12774">
      <c r="A12774" s="6">
        <v>12772.0</v>
      </c>
      <c r="B12774" s="17">
        <f t="array" ref="B12774">SUM(1-'Sparkling Model'!D$2:D$38^A12774)</f>
        <v>36.99381725</v>
      </c>
      <c r="C12774" s="8">
        <f t="array" ref="C12774">PRODUCT(1-'Sparkling Model'!D$2:D$38^A12774)</f>
        <v>0.993830575</v>
      </c>
    </row>
    <row r="12775">
      <c r="A12775" s="6">
        <v>12773.0</v>
      </c>
      <c r="B12775" s="17">
        <f t="array" ref="B12775">SUM(1-'Sparkling Model'!D$2:D$38^A12775)</f>
        <v>36.99382032</v>
      </c>
      <c r="C12775" s="8">
        <f t="array" ref="C12775">PRODUCT(1-'Sparkling Model'!D$2:D$38^A12775)</f>
        <v>0.9938336294</v>
      </c>
    </row>
    <row r="12776">
      <c r="A12776" s="6">
        <v>12774.0</v>
      </c>
      <c r="B12776" s="17">
        <f t="array" ref="B12776">SUM(1-'Sparkling Model'!D$2:D$38^A12776)</f>
        <v>36.99382338</v>
      </c>
      <c r="C12776" s="8">
        <f t="array" ref="C12776">PRODUCT(1-'Sparkling Model'!D$2:D$38^A12776)</f>
        <v>0.9938366824</v>
      </c>
    </row>
    <row r="12777">
      <c r="A12777" s="6">
        <v>12775.0</v>
      </c>
      <c r="B12777" s="17">
        <f t="array" ref="B12777">SUM(1-'Sparkling Model'!D$2:D$38^A12777)</f>
        <v>36.99382645</v>
      </c>
      <c r="C12777" s="8">
        <f t="array" ref="C12777">PRODUCT(1-'Sparkling Model'!D$2:D$38^A12777)</f>
        <v>0.9938397339</v>
      </c>
    </row>
    <row r="12778">
      <c r="A12778" s="6">
        <v>12776.0</v>
      </c>
      <c r="B12778" s="17">
        <f t="array" ref="B12778">SUM(1-'Sparkling Model'!D$2:D$38^A12778)</f>
        <v>36.99382951</v>
      </c>
      <c r="C12778" s="8">
        <f t="array" ref="C12778">PRODUCT(1-'Sparkling Model'!D$2:D$38^A12778)</f>
        <v>0.9938427838</v>
      </c>
    </row>
    <row r="12779">
      <c r="A12779" s="6">
        <v>12777.0</v>
      </c>
      <c r="B12779" s="17">
        <f t="array" ref="B12779">SUM(1-'Sparkling Model'!D$2:D$38^A12779)</f>
        <v>36.99383257</v>
      </c>
      <c r="C12779" s="8">
        <f t="array" ref="C12779">PRODUCT(1-'Sparkling Model'!D$2:D$38^A12779)</f>
        <v>0.9938458323</v>
      </c>
    </row>
    <row r="12780">
      <c r="A12780" s="6">
        <v>12778.0</v>
      </c>
      <c r="B12780" s="17">
        <f t="array" ref="B12780">SUM(1-'Sparkling Model'!D$2:D$38^A12780)</f>
        <v>36.99383563</v>
      </c>
      <c r="C12780" s="8">
        <f t="array" ref="C12780">PRODUCT(1-'Sparkling Model'!D$2:D$38^A12780)</f>
        <v>0.9938488792</v>
      </c>
    </row>
    <row r="12781">
      <c r="A12781" s="6">
        <v>12779.0</v>
      </c>
      <c r="B12781" s="17">
        <f t="array" ref="B12781">SUM(1-'Sparkling Model'!D$2:D$38^A12781)</f>
        <v>36.99383869</v>
      </c>
      <c r="C12781" s="8">
        <f t="array" ref="C12781">PRODUCT(1-'Sparkling Model'!D$2:D$38^A12781)</f>
        <v>0.9938519246</v>
      </c>
    </row>
    <row r="12782">
      <c r="A12782" s="6">
        <v>12780.0</v>
      </c>
      <c r="B12782" s="17">
        <f t="array" ref="B12782">SUM(1-'Sparkling Model'!D$2:D$38^A12782)</f>
        <v>36.99384175</v>
      </c>
      <c r="C12782" s="8">
        <f t="array" ref="C12782">PRODUCT(1-'Sparkling Model'!D$2:D$38^A12782)</f>
        <v>0.9938549685</v>
      </c>
    </row>
    <row r="12783">
      <c r="A12783" s="6">
        <v>12781.0</v>
      </c>
      <c r="B12783" s="17">
        <f t="array" ref="B12783">SUM(1-'Sparkling Model'!D$2:D$38^A12783)</f>
        <v>36.9938448</v>
      </c>
      <c r="C12783" s="8">
        <f t="array" ref="C12783">PRODUCT(1-'Sparkling Model'!D$2:D$38^A12783)</f>
        <v>0.9938580108</v>
      </c>
    </row>
    <row r="12784">
      <c r="A12784" s="6">
        <v>12782.0</v>
      </c>
      <c r="B12784" s="17">
        <f t="array" ref="B12784">SUM(1-'Sparkling Model'!D$2:D$38^A12784)</f>
        <v>36.99384786</v>
      </c>
      <c r="C12784" s="8">
        <f t="array" ref="C12784">PRODUCT(1-'Sparkling Model'!D$2:D$38^A12784)</f>
        <v>0.9938610517</v>
      </c>
    </row>
    <row r="12785">
      <c r="A12785" s="6">
        <v>12783.0</v>
      </c>
      <c r="B12785" s="17">
        <f t="array" ref="B12785">SUM(1-'Sparkling Model'!D$2:D$38^A12785)</f>
        <v>36.99385091</v>
      </c>
      <c r="C12785" s="8">
        <f t="array" ref="C12785">PRODUCT(1-'Sparkling Model'!D$2:D$38^A12785)</f>
        <v>0.9938640911</v>
      </c>
    </row>
    <row r="12786">
      <c r="A12786" s="6">
        <v>12784.0</v>
      </c>
      <c r="B12786" s="17">
        <f t="array" ref="B12786">SUM(1-'Sparkling Model'!D$2:D$38^A12786)</f>
        <v>36.99385396</v>
      </c>
      <c r="C12786" s="8">
        <f t="array" ref="C12786">PRODUCT(1-'Sparkling Model'!D$2:D$38^A12786)</f>
        <v>0.9938671289</v>
      </c>
    </row>
    <row r="12787">
      <c r="A12787" s="6">
        <v>12785.0</v>
      </c>
      <c r="B12787" s="17">
        <f t="array" ref="B12787">SUM(1-'Sparkling Model'!D$2:D$38^A12787)</f>
        <v>36.99385701</v>
      </c>
      <c r="C12787" s="8">
        <f t="array" ref="C12787">PRODUCT(1-'Sparkling Model'!D$2:D$38^A12787)</f>
        <v>0.9938701653</v>
      </c>
    </row>
    <row r="12788">
      <c r="A12788" s="6">
        <v>12786.0</v>
      </c>
      <c r="B12788" s="17">
        <f t="array" ref="B12788">SUM(1-'Sparkling Model'!D$2:D$38^A12788)</f>
        <v>36.99386006</v>
      </c>
      <c r="C12788" s="8">
        <f t="array" ref="C12788">PRODUCT(1-'Sparkling Model'!D$2:D$38^A12788)</f>
        <v>0.9938732001</v>
      </c>
    </row>
    <row r="12789">
      <c r="A12789" s="6">
        <v>12787.0</v>
      </c>
      <c r="B12789" s="17">
        <f t="array" ref="B12789">SUM(1-'Sparkling Model'!D$2:D$38^A12789)</f>
        <v>36.99386311</v>
      </c>
      <c r="C12789" s="8">
        <f t="array" ref="C12789">PRODUCT(1-'Sparkling Model'!D$2:D$38^A12789)</f>
        <v>0.9938762334</v>
      </c>
    </row>
    <row r="12790">
      <c r="A12790" s="6">
        <v>12788.0</v>
      </c>
      <c r="B12790" s="17">
        <f t="array" ref="B12790">SUM(1-'Sparkling Model'!D$2:D$38^A12790)</f>
        <v>36.99386615</v>
      </c>
      <c r="C12790" s="8">
        <f t="array" ref="C12790">PRODUCT(1-'Sparkling Model'!D$2:D$38^A12790)</f>
        <v>0.9938792652</v>
      </c>
    </row>
    <row r="12791">
      <c r="A12791" s="6">
        <v>12789.0</v>
      </c>
      <c r="B12791" s="17">
        <f t="array" ref="B12791">SUM(1-'Sparkling Model'!D$2:D$38^A12791)</f>
        <v>36.99386919</v>
      </c>
      <c r="C12791" s="8">
        <f t="array" ref="C12791">PRODUCT(1-'Sparkling Model'!D$2:D$38^A12791)</f>
        <v>0.9938822956</v>
      </c>
    </row>
    <row r="12792">
      <c r="A12792" s="6">
        <v>12790.0</v>
      </c>
      <c r="B12792" s="17">
        <f t="array" ref="B12792">SUM(1-'Sparkling Model'!D$2:D$38^A12792)</f>
        <v>36.99387224</v>
      </c>
      <c r="C12792" s="8">
        <f t="array" ref="C12792">PRODUCT(1-'Sparkling Model'!D$2:D$38^A12792)</f>
        <v>0.9938853244</v>
      </c>
    </row>
    <row r="12793">
      <c r="A12793" s="6">
        <v>12791.0</v>
      </c>
      <c r="B12793" s="17">
        <f t="array" ref="B12793">SUM(1-'Sparkling Model'!D$2:D$38^A12793)</f>
        <v>36.99387528</v>
      </c>
      <c r="C12793" s="8">
        <f t="array" ref="C12793">PRODUCT(1-'Sparkling Model'!D$2:D$38^A12793)</f>
        <v>0.9938883517</v>
      </c>
    </row>
    <row r="12794">
      <c r="A12794" s="6">
        <v>12792.0</v>
      </c>
      <c r="B12794" s="17">
        <f t="array" ref="B12794">SUM(1-'Sparkling Model'!D$2:D$38^A12794)</f>
        <v>36.99387832</v>
      </c>
      <c r="C12794" s="8">
        <f t="array" ref="C12794">PRODUCT(1-'Sparkling Model'!D$2:D$38^A12794)</f>
        <v>0.9938913775</v>
      </c>
    </row>
    <row r="12795">
      <c r="A12795" s="6">
        <v>12793.0</v>
      </c>
      <c r="B12795" s="17">
        <f t="array" ref="B12795">SUM(1-'Sparkling Model'!D$2:D$38^A12795)</f>
        <v>36.99388135</v>
      </c>
      <c r="C12795" s="8">
        <f t="array" ref="C12795">PRODUCT(1-'Sparkling Model'!D$2:D$38^A12795)</f>
        <v>0.9938944018</v>
      </c>
    </row>
    <row r="12796">
      <c r="A12796" s="6">
        <v>12794.0</v>
      </c>
      <c r="B12796" s="17">
        <f t="array" ref="B12796">SUM(1-'Sparkling Model'!D$2:D$38^A12796)</f>
        <v>36.99388439</v>
      </c>
      <c r="C12796" s="8">
        <f t="array" ref="C12796">PRODUCT(1-'Sparkling Model'!D$2:D$38^A12796)</f>
        <v>0.9938974246</v>
      </c>
    </row>
    <row r="12797">
      <c r="A12797" s="6">
        <v>12795.0</v>
      </c>
      <c r="B12797" s="17">
        <f t="array" ref="B12797">SUM(1-'Sparkling Model'!D$2:D$38^A12797)</f>
        <v>36.99388742</v>
      </c>
      <c r="C12797" s="8">
        <f t="array" ref="C12797">PRODUCT(1-'Sparkling Model'!D$2:D$38^A12797)</f>
        <v>0.9939004459</v>
      </c>
    </row>
    <row r="12798">
      <c r="A12798" s="6">
        <v>12796.0</v>
      </c>
      <c r="B12798" s="17">
        <f t="array" ref="B12798">SUM(1-'Sparkling Model'!D$2:D$38^A12798)</f>
        <v>36.99389046</v>
      </c>
      <c r="C12798" s="8">
        <f t="array" ref="C12798">PRODUCT(1-'Sparkling Model'!D$2:D$38^A12798)</f>
        <v>0.9939034656</v>
      </c>
    </row>
    <row r="12799">
      <c r="A12799" s="6">
        <v>12797.0</v>
      </c>
      <c r="B12799" s="17">
        <f t="array" ref="B12799">SUM(1-'Sparkling Model'!D$2:D$38^A12799)</f>
        <v>36.99389349</v>
      </c>
      <c r="C12799" s="8">
        <f t="array" ref="C12799">PRODUCT(1-'Sparkling Model'!D$2:D$38^A12799)</f>
        <v>0.9939064839</v>
      </c>
    </row>
    <row r="12800">
      <c r="A12800" s="6">
        <v>12798.0</v>
      </c>
      <c r="B12800" s="17">
        <f t="array" ref="B12800">SUM(1-'Sparkling Model'!D$2:D$38^A12800)</f>
        <v>36.99389652</v>
      </c>
      <c r="C12800" s="8">
        <f t="array" ref="C12800">PRODUCT(1-'Sparkling Model'!D$2:D$38^A12800)</f>
        <v>0.9939095007</v>
      </c>
    </row>
    <row r="12801">
      <c r="A12801" s="6">
        <v>12799.0</v>
      </c>
      <c r="B12801" s="17">
        <f t="array" ref="B12801">SUM(1-'Sparkling Model'!D$2:D$38^A12801)</f>
        <v>36.99389954</v>
      </c>
      <c r="C12801" s="8">
        <f t="array" ref="C12801">PRODUCT(1-'Sparkling Model'!D$2:D$38^A12801)</f>
        <v>0.993912516</v>
      </c>
    </row>
    <row r="12802">
      <c r="A12802" s="6">
        <v>12800.0</v>
      </c>
      <c r="B12802" s="17">
        <f t="array" ref="B12802">SUM(1-'Sparkling Model'!D$2:D$38^A12802)</f>
        <v>36.99390257</v>
      </c>
      <c r="C12802" s="8">
        <f t="array" ref="C12802">PRODUCT(1-'Sparkling Model'!D$2:D$38^A12802)</f>
        <v>0.9939155298</v>
      </c>
    </row>
    <row r="12803">
      <c r="A12803" s="6">
        <v>12801.0</v>
      </c>
      <c r="B12803" s="17">
        <f t="array" ref="B12803">SUM(1-'Sparkling Model'!D$2:D$38^A12803)</f>
        <v>36.9939056</v>
      </c>
      <c r="C12803" s="8">
        <f t="array" ref="C12803">PRODUCT(1-'Sparkling Model'!D$2:D$38^A12803)</f>
        <v>0.9939185421</v>
      </c>
    </row>
    <row r="12804">
      <c r="A12804" s="6">
        <v>12802.0</v>
      </c>
      <c r="B12804" s="17">
        <f t="array" ref="B12804">SUM(1-'Sparkling Model'!D$2:D$38^A12804)</f>
        <v>36.99390862</v>
      </c>
      <c r="C12804" s="8">
        <f t="array" ref="C12804">PRODUCT(1-'Sparkling Model'!D$2:D$38^A12804)</f>
        <v>0.9939215529</v>
      </c>
    </row>
    <row r="12805">
      <c r="A12805" s="6">
        <v>12803.0</v>
      </c>
      <c r="B12805" s="17">
        <f t="array" ref="B12805">SUM(1-'Sparkling Model'!D$2:D$38^A12805)</f>
        <v>36.99391164</v>
      </c>
      <c r="C12805" s="8">
        <f t="array" ref="C12805">PRODUCT(1-'Sparkling Model'!D$2:D$38^A12805)</f>
        <v>0.9939245623</v>
      </c>
    </row>
    <row r="12806">
      <c r="A12806" s="6">
        <v>12804.0</v>
      </c>
      <c r="B12806" s="17">
        <f t="array" ref="B12806">SUM(1-'Sparkling Model'!D$2:D$38^A12806)</f>
        <v>36.99391466</v>
      </c>
      <c r="C12806" s="8">
        <f t="array" ref="C12806">PRODUCT(1-'Sparkling Model'!D$2:D$38^A12806)</f>
        <v>0.9939275701</v>
      </c>
    </row>
    <row r="12807">
      <c r="A12807" s="6">
        <v>12805.0</v>
      </c>
      <c r="B12807" s="17">
        <f t="array" ref="B12807">SUM(1-'Sparkling Model'!D$2:D$38^A12807)</f>
        <v>36.99391768</v>
      </c>
      <c r="C12807" s="8">
        <f t="array" ref="C12807">PRODUCT(1-'Sparkling Model'!D$2:D$38^A12807)</f>
        <v>0.9939305764</v>
      </c>
    </row>
    <row r="12808">
      <c r="A12808" s="6">
        <v>12806.0</v>
      </c>
      <c r="B12808" s="17">
        <f t="array" ref="B12808">SUM(1-'Sparkling Model'!D$2:D$38^A12808)</f>
        <v>36.9939207</v>
      </c>
      <c r="C12808" s="8">
        <f t="array" ref="C12808">PRODUCT(1-'Sparkling Model'!D$2:D$38^A12808)</f>
        <v>0.9939335812</v>
      </c>
    </row>
    <row r="12809">
      <c r="A12809" s="6">
        <v>12807.0</v>
      </c>
      <c r="B12809" s="17">
        <f t="array" ref="B12809">SUM(1-'Sparkling Model'!D$2:D$38^A12809)</f>
        <v>36.99392372</v>
      </c>
      <c r="C12809" s="8">
        <f t="array" ref="C12809">PRODUCT(1-'Sparkling Model'!D$2:D$38^A12809)</f>
        <v>0.9939365846</v>
      </c>
    </row>
    <row r="12810">
      <c r="A12810" s="6">
        <v>12808.0</v>
      </c>
      <c r="B12810" s="17">
        <f t="array" ref="B12810">SUM(1-'Sparkling Model'!D$2:D$38^A12810)</f>
        <v>36.99392673</v>
      </c>
      <c r="C12810" s="8">
        <f t="array" ref="C12810">PRODUCT(1-'Sparkling Model'!D$2:D$38^A12810)</f>
        <v>0.9939395864</v>
      </c>
    </row>
    <row r="12811">
      <c r="A12811" s="6">
        <v>12809.0</v>
      </c>
      <c r="B12811" s="17">
        <f t="array" ref="B12811">SUM(1-'Sparkling Model'!D$2:D$38^A12811)</f>
        <v>36.99392974</v>
      </c>
      <c r="C12811" s="8">
        <f t="array" ref="C12811">PRODUCT(1-'Sparkling Model'!D$2:D$38^A12811)</f>
        <v>0.9939425868</v>
      </c>
    </row>
    <row r="12812">
      <c r="A12812" s="6">
        <v>12810.0</v>
      </c>
      <c r="B12812" s="17">
        <f t="array" ref="B12812">SUM(1-'Sparkling Model'!D$2:D$38^A12812)</f>
        <v>36.99393276</v>
      </c>
      <c r="C12812" s="8">
        <f t="array" ref="C12812">PRODUCT(1-'Sparkling Model'!D$2:D$38^A12812)</f>
        <v>0.9939455856</v>
      </c>
    </row>
    <row r="12813">
      <c r="A12813" s="6">
        <v>12811.0</v>
      </c>
      <c r="B12813" s="17">
        <f t="array" ref="B12813">SUM(1-'Sparkling Model'!D$2:D$38^A12813)</f>
        <v>36.99393577</v>
      </c>
      <c r="C12813" s="8">
        <f t="array" ref="C12813">PRODUCT(1-'Sparkling Model'!D$2:D$38^A12813)</f>
        <v>0.993948583</v>
      </c>
    </row>
    <row r="12814">
      <c r="A12814" s="6">
        <v>12812.0</v>
      </c>
      <c r="B12814" s="17">
        <f t="array" ref="B12814">SUM(1-'Sparkling Model'!D$2:D$38^A12814)</f>
        <v>36.99393877</v>
      </c>
      <c r="C12814" s="8">
        <f t="array" ref="C12814">PRODUCT(1-'Sparkling Model'!D$2:D$38^A12814)</f>
        <v>0.9939515789</v>
      </c>
    </row>
    <row r="12815">
      <c r="A12815" s="6">
        <v>12813.0</v>
      </c>
      <c r="B12815" s="17">
        <f t="array" ref="B12815">SUM(1-'Sparkling Model'!D$2:D$38^A12815)</f>
        <v>36.99394178</v>
      </c>
      <c r="C12815" s="8">
        <f t="array" ref="C12815">PRODUCT(1-'Sparkling Model'!D$2:D$38^A12815)</f>
        <v>0.9939545733</v>
      </c>
    </row>
    <row r="12816">
      <c r="A12816" s="6">
        <v>12814.0</v>
      </c>
      <c r="B12816" s="17">
        <f t="array" ref="B12816">SUM(1-'Sparkling Model'!D$2:D$38^A12816)</f>
        <v>36.99394479</v>
      </c>
      <c r="C12816" s="8">
        <f t="array" ref="C12816">PRODUCT(1-'Sparkling Model'!D$2:D$38^A12816)</f>
        <v>0.9939575662</v>
      </c>
    </row>
    <row r="12817">
      <c r="A12817" s="6">
        <v>12815.0</v>
      </c>
      <c r="B12817" s="17">
        <f t="array" ref="B12817">SUM(1-'Sparkling Model'!D$2:D$38^A12817)</f>
        <v>36.99394779</v>
      </c>
      <c r="C12817" s="8">
        <f t="array" ref="C12817">PRODUCT(1-'Sparkling Model'!D$2:D$38^A12817)</f>
        <v>0.9939605576</v>
      </c>
    </row>
    <row r="12818">
      <c r="A12818" s="6">
        <v>12816.0</v>
      </c>
      <c r="B12818" s="17">
        <f t="array" ref="B12818">SUM(1-'Sparkling Model'!D$2:D$38^A12818)</f>
        <v>36.99395079</v>
      </c>
      <c r="C12818" s="8">
        <f t="array" ref="C12818">PRODUCT(1-'Sparkling Model'!D$2:D$38^A12818)</f>
        <v>0.9939635476</v>
      </c>
    </row>
    <row r="12819">
      <c r="A12819" s="6">
        <v>12817.0</v>
      </c>
      <c r="B12819" s="17">
        <f t="array" ref="B12819">SUM(1-'Sparkling Model'!D$2:D$38^A12819)</f>
        <v>36.9939538</v>
      </c>
      <c r="C12819" s="8">
        <f t="array" ref="C12819">PRODUCT(1-'Sparkling Model'!D$2:D$38^A12819)</f>
        <v>0.993966536</v>
      </c>
    </row>
    <row r="12820">
      <c r="A12820" s="6">
        <v>12818.0</v>
      </c>
      <c r="B12820" s="17">
        <f t="array" ref="B12820">SUM(1-'Sparkling Model'!D$2:D$38^A12820)</f>
        <v>36.9939568</v>
      </c>
      <c r="C12820" s="8">
        <f t="array" ref="C12820">PRODUCT(1-'Sparkling Model'!D$2:D$38^A12820)</f>
        <v>0.993969523</v>
      </c>
    </row>
    <row r="12821">
      <c r="A12821" s="6">
        <v>12819.0</v>
      </c>
      <c r="B12821" s="17">
        <f t="array" ref="B12821">SUM(1-'Sparkling Model'!D$2:D$38^A12821)</f>
        <v>36.99395979</v>
      </c>
      <c r="C12821" s="8">
        <f t="array" ref="C12821">PRODUCT(1-'Sparkling Model'!D$2:D$38^A12821)</f>
        <v>0.9939725085</v>
      </c>
    </row>
    <row r="12822">
      <c r="A12822" s="6">
        <v>12820.0</v>
      </c>
      <c r="B12822" s="17">
        <f t="array" ref="B12822">SUM(1-'Sparkling Model'!D$2:D$38^A12822)</f>
        <v>36.99396279</v>
      </c>
      <c r="C12822" s="8">
        <f t="array" ref="C12822">PRODUCT(1-'Sparkling Model'!D$2:D$38^A12822)</f>
        <v>0.9939754925</v>
      </c>
    </row>
    <row r="12823">
      <c r="A12823" s="6">
        <v>12821.0</v>
      </c>
      <c r="B12823" s="17">
        <f t="array" ref="B12823">SUM(1-'Sparkling Model'!D$2:D$38^A12823)</f>
        <v>36.99396579</v>
      </c>
      <c r="C12823" s="8">
        <f t="array" ref="C12823">PRODUCT(1-'Sparkling Model'!D$2:D$38^A12823)</f>
        <v>0.993978475</v>
      </c>
    </row>
    <row r="12824">
      <c r="A12824" s="6">
        <v>12822.0</v>
      </c>
      <c r="B12824" s="17">
        <f t="array" ref="B12824">SUM(1-'Sparkling Model'!D$2:D$38^A12824)</f>
        <v>36.99396878</v>
      </c>
      <c r="C12824" s="8">
        <f t="array" ref="C12824">PRODUCT(1-'Sparkling Model'!D$2:D$38^A12824)</f>
        <v>0.9939814561</v>
      </c>
    </row>
    <row r="12825">
      <c r="A12825" s="6">
        <v>12823.0</v>
      </c>
      <c r="B12825" s="17">
        <f t="array" ref="B12825">SUM(1-'Sparkling Model'!D$2:D$38^A12825)</f>
        <v>36.99397177</v>
      </c>
      <c r="C12825" s="8">
        <f t="array" ref="C12825">PRODUCT(1-'Sparkling Model'!D$2:D$38^A12825)</f>
        <v>0.9939844356</v>
      </c>
    </row>
    <row r="12826">
      <c r="A12826" s="6">
        <v>12824.0</v>
      </c>
      <c r="B12826" s="17">
        <f t="array" ref="B12826">SUM(1-'Sparkling Model'!D$2:D$38^A12826)</f>
        <v>36.99397476</v>
      </c>
      <c r="C12826" s="8">
        <f t="array" ref="C12826">PRODUCT(1-'Sparkling Model'!D$2:D$38^A12826)</f>
        <v>0.9939874137</v>
      </c>
    </row>
    <row r="12827">
      <c r="A12827" s="6">
        <v>12825.0</v>
      </c>
      <c r="B12827" s="17">
        <f t="array" ref="B12827">SUM(1-'Sparkling Model'!D$2:D$38^A12827)</f>
        <v>36.99397775</v>
      </c>
      <c r="C12827" s="8">
        <f t="array" ref="C12827">PRODUCT(1-'Sparkling Model'!D$2:D$38^A12827)</f>
        <v>0.9939903903</v>
      </c>
    </row>
    <row r="12828">
      <c r="A12828" s="6">
        <v>12826.0</v>
      </c>
      <c r="B12828" s="17">
        <f t="array" ref="B12828">SUM(1-'Sparkling Model'!D$2:D$38^A12828)</f>
        <v>36.99398074</v>
      </c>
      <c r="C12828" s="8">
        <f t="array" ref="C12828">PRODUCT(1-'Sparkling Model'!D$2:D$38^A12828)</f>
        <v>0.9939933654</v>
      </c>
    </row>
    <row r="12829">
      <c r="A12829" s="6">
        <v>12827.0</v>
      </c>
      <c r="B12829" s="17">
        <f t="array" ref="B12829">SUM(1-'Sparkling Model'!D$2:D$38^A12829)</f>
        <v>36.99398373</v>
      </c>
      <c r="C12829" s="8">
        <f t="array" ref="C12829">PRODUCT(1-'Sparkling Model'!D$2:D$38^A12829)</f>
        <v>0.9939963391</v>
      </c>
    </row>
    <row r="12830">
      <c r="A12830" s="6">
        <v>12828.0</v>
      </c>
      <c r="B12830" s="17">
        <f t="array" ref="B12830">SUM(1-'Sparkling Model'!D$2:D$38^A12830)</f>
        <v>36.99398671</v>
      </c>
      <c r="C12830" s="8">
        <f t="array" ref="C12830">PRODUCT(1-'Sparkling Model'!D$2:D$38^A12830)</f>
        <v>0.9939993113</v>
      </c>
    </row>
    <row r="12831">
      <c r="A12831" s="6">
        <v>12829.0</v>
      </c>
      <c r="B12831" s="17">
        <f t="array" ref="B12831">SUM(1-'Sparkling Model'!D$2:D$38^A12831)</f>
        <v>36.99398969</v>
      </c>
      <c r="C12831" s="8">
        <f t="array" ref="C12831">PRODUCT(1-'Sparkling Model'!D$2:D$38^A12831)</f>
        <v>0.994002282</v>
      </c>
    </row>
    <row r="12832">
      <c r="A12832" s="6">
        <v>12830.0</v>
      </c>
      <c r="B12832" s="17">
        <f t="array" ref="B12832">SUM(1-'Sparkling Model'!D$2:D$38^A12832)</f>
        <v>36.99399267</v>
      </c>
      <c r="C12832" s="8">
        <f t="array" ref="C12832">PRODUCT(1-'Sparkling Model'!D$2:D$38^A12832)</f>
        <v>0.9940052512</v>
      </c>
    </row>
    <row r="12833">
      <c r="A12833" s="6">
        <v>12831.0</v>
      </c>
      <c r="B12833" s="17">
        <f t="array" ref="B12833">SUM(1-'Sparkling Model'!D$2:D$38^A12833)</f>
        <v>36.99399566</v>
      </c>
      <c r="C12833" s="8">
        <f t="array" ref="C12833">PRODUCT(1-'Sparkling Model'!D$2:D$38^A12833)</f>
        <v>0.9940082189</v>
      </c>
    </row>
    <row r="12834">
      <c r="A12834" s="6">
        <v>12832.0</v>
      </c>
      <c r="B12834" s="17">
        <f t="array" ref="B12834">SUM(1-'Sparkling Model'!D$2:D$38^A12834)</f>
        <v>36.99399863</v>
      </c>
      <c r="C12834" s="8">
        <f t="array" ref="C12834">PRODUCT(1-'Sparkling Model'!D$2:D$38^A12834)</f>
        <v>0.9940111852</v>
      </c>
    </row>
    <row r="12835">
      <c r="A12835" s="6">
        <v>12833.0</v>
      </c>
      <c r="B12835" s="17">
        <f t="array" ref="B12835">SUM(1-'Sparkling Model'!D$2:D$38^A12835)</f>
        <v>36.99400161</v>
      </c>
      <c r="C12835" s="8">
        <f t="array" ref="C12835">PRODUCT(1-'Sparkling Model'!D$2:D$38^A12835)</f>
        <v>0.99401415</v>
      </c>
    </row>
    <row r="12836">
      <c r="A12836" s="6">
        <v>12834.0</v>
      </c>
      <c r="B12836" s="17">
        <f t="array" ref="B12836">SUM(1-'Sparkling Model'!D$2:D$38^A12836)</f>
        <v>36.99400459</v>
      </c>
      <c r="C12836" s="8">
        <f t="array" ref="C12836">PRODUCT(1-'Sparkling Model'!D$2:D$38^A12836)</f>
        <v>0.9940171133</v>
      </c>
    </row>
    <row r="12837">
      <c r="A12837" s="6">
        <v>12835.0</v>
      </c>
      <c r="B12837" s="17">
        <f t="array" ref="B12837">SUM(1-'Sparkling Model'!D$2:D$38^A12837)</f>
        <v>36.99400756</v>
      </c>
      <c r="C12837" s="8">
        <f t="array" ref="C12837">PRODUCT(1-'Sparkling Model'!D$2:D$38^A12837)</f>
        <v>0.9940200752</v>
      </c>
    </row>
    <row r="12838">
      <c r="A12838" s="6">
        <v>12836.0</v>
      </c>
      <c r="B12838" s="17">
        <f t="array" ref="B12838">SUM(1-'Sparkling Model'!D$2:D$38^A12838)</f>
        <v>36.99401053</v>
      </c>
      <c r="C12838" s="8">
        <f t="array" ref="C12838">PRODUCT(1-'Sparkling Model'!D$2:D$38^A12838)</f>
        <v>0.9940230356</v>
      </c>
    </row>
    <row r="12839">
      <c r="A12839" s="6">
        <v>12837.0</v>
      </c>
      <c r="B12839" s="17">
        <f t="array" ref="B12839">SUM(1-'Sparkling Model'!D$2:D$38^A12839)</f>
        <v>36.99401351</v>
      </c>
      <c r="C12839" s="8">
        <f t="array" ref="C12839">PRODUCT(1-'Sparkling Model'!D$2:D$38^A12839)</f>
        <v>0.9940259945</v>
      </c>
    </row>
    <row r="12840">
      <c r="A12840" s="6">
        <v>12838.0</v>
      </c>
      <c r="B12840" s="17">
        <f t="array" ref="B12840">SUM(1-'Sparkling Model'!D$2:D$38^A12840)</f>
        <v>36.99401648</v>
      </c>
      <c r="C12840" s="8">
        <f t="array" ref="C12840">PRODUCT(1-'Sparkling Model'!D$2:D$38^A12840)</f>
        <v>0.9940289519</v>
      </c>
    </row>
    <row r="12841">
      <c r="A12841" s="6">
        <v>12839.0</v>
      </c>
      <c r="B12841" s="17">
        <f t="array" ref="B12841">SUM(1-'Sparkling Model'!D$2:D$38^A12841)</f>
        <v>36.99401944</v>
      </c>
      <c r="C12841" s="8">
        <f t="array" ref="C12841">PRODUCT(1-'Sparkling Model'!D$2:D$38^A12841)</f>
        <v>0.9940319079</v>
      </c>
    </row>
    <row r="12842">
      <c r="A12842" s="6">
        <v>12840.0</v>
      </c>
      <c r="B12842" s="17">
        <f t="array" ref="B12842">SUM(1-'Sparkling Model'!D$2:D$38^A12842)</f>
        <v>36.99402241</v>
      </c>
      <c r="C12842" s="8">
        <f t="array" ref="C12842">PRODUCT(1-'Sparkling Model'!D$2:D$38^A12842)</f>
        <v>0.9940348624</v>
      </c>
    </row>
    <row r="12843">
      <c r="A12843" s="6">
        <v>12841.0</v>
      </c>
      <c r="B12843" s="17">
        <f t="array" ref="B12843">SUM(1-'Sparkling Model'!D$2:D$38^A12843)</f>
        <v>36.99402538</v>
      </c>
      <c r="C12843" s="8">
        <f t="array" ref="C12843">PRODUCT(1-'Sparkling Model'!D$2:D$38^A12843)</f>
        <v>0.9940378155</v>
      </c>
    </row>
    <row r="12844">
      <c r="A12844" s="6">
        <v>12842.0</v>
      </c>
      <c r="B12844" s="17">
        <f t="array" ref="B12844">SUM(1-'Sparkling Model'!D$2:D$38^A12844)</f>
        <v>36.99402834</v>
      </c>
      <c r="C12844" s="8">
        <f t="array" ref="C12844">PRODUCT(1-'Sparkling Model'!D$2:D$38^A12844)</f>
        <v>0.994040767</v>
      </c>
    </row>
    <row r="12845">
      <c r="A12845" s="6">
        <v>12843.0</v>
      </c>
      <c r="B12845" s="17">
        <f t="array" ref="B12845">SUM(1-'Sparkling Model'!D$2:D$38^A12845)</f>
        <v>36.9940313</v>
      </c>
      <c r="C12845" s="8">
        <f t="array" ref="C12845">PRODUCT(1-'Sparkling Model'!D$2:D$38^A12845)</f>
        <v>0.9940437171</v>
      </c>
    </row>
    <row r="12846">
      <c r="A12846" s="6">
        <v>12844.0</v>
      </c>
      <c r="B12846" s="17">
        <f t="array" ref="B12846">SUM(1-'Sparkling Model'!D$2:D$38^A12846)</f>
        <v>36.99403426</v>
      </c>
      <c r="C12846" s="8">
        <f t="array" ref="C12846">PRODUCT(1-'Sparkling Model'!D$2:D$38^A12846)</f>
        <v>0.9940466658</v>
      </c>
    </row>
    <row r="12847">
      <c r="A12847" s="6">
        <v>12845.0</v>
      </c>
      <c r="B12847" s="17">
        <f t="array" ref="B12847">SUM(1-'Sparkling Model'!D$2:D$38^A12847)</f>
        <v>36.99403722</v>
      </c>
      <c r="C12847" s="8">
        <f t="array" ref="C12847">PRODUCT(1-'Sparkling Model'!D$2:D$38^A12847)</f>
        <v>0.994049613</v>
      </c>
    </row>
    <row r="12848">
      <c r="A12848" s="6">
        <v>12846.0</v>
      </c>
      <c r="B12848" s="17">
        <f t="array" ref="B12848">SUM(1-'Sparkling Model'!D$2:D$38^A12848)</f>
        <v>36.99404018</v>
      </c>
      <c r="C12848" s="8">
        <f t="array" ref="C12848">PRODUCT(1-'Sparkling Model'!D$2:D$38^A12848)</f>
        <v>0.9940525587</v>
      </c>
    </row>
    <row r="12849">
      <c r="A12849" s="6">
        <v>12847.0</v>
      </c>
      <c r="B12849" s="17">
        <f t="array" ref="B12849">SUM(1-'Sparkling Model'!D$2:D$38^A12849)</f>
        <v>36.99404314</v>
      </c>
      <c r="C12849" s="8">
        <f t="array" ref="C12849">PRODUCT(1-'Sparkling Model'!D$2:D$38^A12849)</f>
        <v>0.9940555029</v>
      </c>
    </row>
    <row r="12850">
      <c r="A12850" s="6">
        <v>12848.0</v>
      </c>
      <c r="B12850" s="17">
        <f t="array" ref="B12850">SUM(1-'Sparkling Model'!D$2:D$38^A12850)</f>
        <v>36.99404609</v>
      </c>
      <c r="C12850" s="8">
        <f t="array" ref="C12850">PRODUCT(1-'Sparkling Model'!D$2:D$38^A12850)</f>
        <v>0.9940584457</v>
      </c>
    </row>
    <row r="12851">
      <c r="A12851" s="6">
        <v>12849.0</v>
      </c>
      <c r="B12851" s="17">
        <f t="array" ref="B12851">SUM(1-'Sparkling Model'!D$2:D$38^A12851)</f>
        <v>36.99404905</v>
      </c>
      <c r="C12851" s="8">
        <f t="array" ref="C12851">PRODUCT(1-'Sparkling Model'!D$2:D$38^A12851)</f>
        <v>0.9940613871</v>
      </c>
    </row>
    <row r="12852">
      <c r="A12852" s="6">
        <v>12850.0</v>
      </c>
      <c r="B12852" s="17">
        <f t="array" ref="B12852">SUM(1-'Sparkling Model'!D$2:D$38^A12852)</f>
        <v>36.994052</v>
      </c>
      <c r="C12852" s="8">
        <f t="array" ref="C12852">PRODUCT(1-'Sparkling Model'!D$2:D$38^A12852)</f>
        <v>0.9940643269</v>
      </c>
    </row>
    <row r="12853">
      <c r="A12853" s="6">
        <v>12851.0</v>
      </c>
      <c r="B12853" s="17">
        <f t="array" ref="B12853">SUM(1-'Sparkling Model'!D$2:D$38^A12853)</f>
        <v>36.99405495</v>
      </c>
      <c r="C12853" s="8">
        <f t="array" ref="C12853">PRODUCT(1-'Sparkling Model'!D$2:D$38^A12853)</f>
        <v>0.9940672653</v>
      </c>
    </row>
    <row r="12854">
      <c r="A12854" s="6">
        <v>12852.0</v>
      </c>
      <c r="B12854" s="17">
        <f t="array" ref="B12854">SUM(1-'Sparkling Model'!D$2:D$38^A12854)</f>
        <v>36.9940579</v>
      </c>
      <c r="C12854" s="8">
        <f t="array" ref="C12854">PRODUCT(1-'Sparkling Model'!D$2:D$38^A12854)</f>
        <v>0.9940702023</v>
      </c>
    </row>
    <row r="12855">
      <c r="A12855" s="6">
        <v>12853.0</v>
      </c>
      <c r="B12855" s="17">
        <f t="array" ref="B12855">SUM(1-'Sparkling Model'!D$2:D$38^A12855)</f>
        <v>36.99406085</v>
      </c>
      <c r="C12855" s="8">
        <f t="array" ref="C12855">PRODUCT(1-'Sparkling Model'!D$2:D$38^A12855)</f>
        <v>0.9940731378</v>
      </c>
    </row>
    <row r="12856">
      <c r="A12856" s="6">
        <v>12854.0</v>
      </c>
      <c r="B12856" s="17">
        <f t="array" ref="B12856">SUM(1-'Sparkling Model'!D$2:D$38^A12856)</f>
        <v>36.99406379</v>
      </c>
      <c r="C12856" s="8">
        <f t="array" ref="C12856">PRODUCT(1-'Sparkling Model'!D$2:D$38^A12856)</f>
        <v>0.9940760718</v>
      </c>
    </row>
    <row r="12857">
      <c r="A12857" s="6">
        <v>12855.0</v>
      </c>
      <c r="B12857" s="17">
        <f t="array" ref="B12857">SUM(1-'Sparkling Model'!D$2:D$38^A12857)</f>
        <v>36.99406674</v>
      </c>
      <c r="C12857" s="8">
        <f t="array" ref="C12857">PRODUCT(1-'Sparkling Model'!D$2:D$38^A12857)</f>
        <v>0.9940790044</v>
      </c>
    </row>
    <row r="12858">
      <c r="A12858" s="6">
        <v>12856.0</v>
      </c>
      <c r="B12858" s="17">
        <f t="array" ref="B12858">SUM(1-'Sparkling Model'!D$2:D$38^A12858)</f>
        <v>36.99406968</v>
      </c>
      <c r="C12858" s="8">
        <f t="array" ref="C12858">PRODUCT(1-'Sparkling Model'!D$2:D$38^A12858)</f>
        <v>0.9940819355</v>
      </c>
    </row>
    <row r="12859">
      <c r="A12859" s="6">
        <v>12857.0</v>
      </c>
      <c r="B12859" s="17">
        <f t="array" ref="B12859">SUM(1-'Sparkling Model'!D$2:D$38^A12859)</f>
        <v>36.99407262</v>
      </c>
      <c r="C12859" s="8">
        <f t="array" ref="C12859">PRODUCT(1-'Sparkling Model'!D$2:D$38^A12859)</f>
        <v>0.9940848652</v>
      </c>
    </row>
    <row r="12860">
      <c r="A12860" s="6">
        <v>12858.0</v>
      </c>
      <c r="B12860" s="17">
        <f t="array" ref="B12860">SUM(1-'Sparkling Model'!D$2:D$38^A12860)</f>
        <v>36.99407556</v>
      </c>
      <c r="C12860" s="8">
        <f t="array" ref="C12860">PRODUCT(1-'Sparkling Model'!D$2:D$38^A12860)</f>
        <v>0.9940877934</v>
      </c>
    </row>
    <row r="12861">
      <c r="A12861" s="6">
        <v>12859.0</v>
      </c>
      <c r="B12861" s="17">
        <f t="array" ref="B12861">SUM(1-'Sparkling Model'!D$2:D$38^A12861)</f>
        <v>36.9940785</v>
      </c>
      <c r="C12861" s="8">
        <f t="array" ref="C12861">PRODUCT(1-'Sparkling Model'!D$2:D$38^A12861)</f>
        <v>0.9940907201</v>
      </c>
    </row>
    <row r="12862">
      <c r="A12862" s="6">
        <v>12860.0</v>
      </c>
      <c r="B12862" s="17">
        <f t="array" ref="B12862">SUM(1-'Sparkling Model'!D$2:D$38^A12862)</f>
        <v>36.99408144</v>
      </c>
      <c r="C12862" s="8">
        <f t="array" ref="C12862">PRODUCT(1-'Sparkling Model'!D$2:D$38^A12862)</f>
        <v>0.9940936454</v>
      </c>
    </row>
    <row r="12863">
      <c r="A12863" s="6">
        <v>12861.0</v>
      </c>
      <c r="B12863" s="17">
        <f t="array" ref="B12863">SUM(1-'Sparkling Model'!D$2:D$38^A12863)</f>
        <v>36.99408438</v>
      </c>
      <c r="C12863" s="8">
        <f t="array" ref="C12863">PRODUCT(1-'Sparkling Model'!D$2:D$38^A12863)</f>
        <v>0.9940965693</v>
      </c>
    </row>
    <row r="12864">
      <c r="A12864" s="6">
        <v>12862.0</v>
      </c>
      <c r="B12864" s="17">
        <f t="array" ref="B12864">SUM(1-'Sparkling Model'!D$2:D$38^A12864)</f>
        <v>36.99408731</v>
      </c>
      <c r="C12864" s="8">
        <f t="array" ref="C12864">PRODUCT(1-'Sparkling Model'!D$2:D$38^A12864)</f>
        <v>0.9940994917</v>
      </c>
    </row>
    <row r="12865">
      <c r="A12865" s="6">
        <v>12863.0</v>
      </c>
      <c r="B12865" s="17">
        <f t="array" ref="B12865">SUM(1-'Sparkling Model'!D$2:D$38^A12865)</f>
        <v>36.99409024</v>
      </c>
      <c r="C12865" s="8">
        <f t="array" ref="C12865">PRODUCT(1-'Sparkling Model'!D$2:D$38^A12865)</f>
        <v>0.9941024126</v>
      </c>
    </row>
    <row r="12866">
      <c r="A12866" s="6">
        <v>12864.0</v>
      </c>
      <c r="B12866" s="17">
        <f t="array" ref="B12866">SUM(1-'Sparkling Model'!D$2:D$38^A12866)</f>
        <v>36.99409318</v>
      </c>
      <c r="C12866" s="8">
        <f t="array" ref="C12866">PRODUCT(1-'Sparkling Model'!D$2:D$38^A12866)</f>
        <v>0.9941053321</v>
      </c>
    </row>
    <row r="12867">
      <c r="A12867" s="6">
        <v>12865.0</v>
      </c>
      <c r="B12867" s="17">
        <f t="array" ref="B12867">SUM(1-'Sparkling Model'!D$2:D$38^A12867)</f>
        <v>36.99409611</v>
      </c>
      <c r="C12867" s="8">
        <f t="array" ref="C12867">PRODUCT(1-'Sparkling Model'!D$2:D$38^A12867)</f>
        <v>0.9941082502</v>
      </c>
    </row>
    <row r="12868">
      <c r="A12868" s="6">
        <v>12866.0</v>
      </c>
      <c r="B12868" s="17">
        <f t="array" ref="B12868">SUM(1-'Sparkling Model'!D$2:D$38^A12868)</f>
        <v>36.99409903</v>
      </c>
      <c r="C12868" s="8">
        <f t="array" ref="C12868">PRODUCT(1-'Sparkling Model'!D$2:D$38^A12868)</f>
        <v>0.9941111668</v>
      </c>
    </row>
    <row r="12869">
      <c r="A12869" s="6">
        <v>12867.0</v>
      </c>
      <c r="B12869" s="17">
        <f t="array" ref="B12869">SUM(1-'Sparkling Model'!D$2:D$38^A12869)</f>
        <v>36.99410196</v>
      </c>
      <c r="C12869" s="8">
        <f t="array" ref="C12869">PRODUCT(1-'Sparkling Model'!D$2:D$38^A12869)</f>
        <v>0.9941140819</v>
      </c>
    </row>
    <row r="12870">
      <c r="A12870" s="6">
        <v>12868.0</v>
      </c>
      <c r="B12870" s="17">
        <f t="array" ref="B12870">SUM(1-'Sparkling Model'!D$2:D$38^A12870)</f>
        <v>36.99410489</v>
      </c>
      <c r="C12870" s="8">
        <f t="array" ref="C12870">PRODUCT(1-'Sparkling Model'!D$2:D$38^A12870)</f>
        <v>0.9941169956</v>
      </c>
    </row>
    <row r="12871">
      <c r="A12871" s="6">
        <v>12869.0</v>
      </c>
      <c r="B12871" s="17">
        <f t="array" ref="B12871">SUM(1-'Sparkling Model'!D$2:D$38^A12871)</f>
        <v>36.99410781</v>
      </c>
      <c r="C12871" s="8">
        <f t="array" ref="C12871">PRODUCT(1-'Sparkling Model'!D$2:D$38^A12871)</f>
        <v>0.9941199079</v>
      </c>
    </row>
    <row r="12872">
      <c r="A12872" s="6">
        <v>12870.0</v>
      </c>
      <c r="B12872" s="17">
        <f t="array" ref="B12872">SUM(1-'Sparkling Model'!D$2:D$38^A12872)</f>
        <v>36.99411073</v>
      </c>
      <c r="C12872" s="8">
        <f t="array" ref="C12872">PRODUCT(1-'Sparkling Model'!D$2:D$38^A12872)</f>
        <v>0.9941228187</v>
      </c>
    </row>
    <row r="12873">
      <c r="A12873" s="6">
        <v>12871.0</v>
      </c>
      <c r="B12873" s="17">
        <f t="array" ref="B12873">SUM(1-'Sparkling Model'!D$2:D$38^A12873)</f>
        <v>36.99411366</v>
      </c>
      <c r="C12873" s="8">
        <f t="array" ref="C12873">PRODUCT(1-'Sparkling Model'!D$2:D$38^A12873)</f>
        <v>0.9941257281</v>
      </c>
    </row>
    <row r="12874">
      <c r="A12874" s="6">
        <v>12872.0</v>
      </c>
      <c r="B12874" s="17">
        <f t="array" ref="B12874">SUM(1-'Sparkling Model'!D$2:D$38^A12874)</f>
        <v>36.99411658</v>
      </c>
      <c r="C12874" s="8">
        <f t="array" ref="C12874">PRODUCT(1-'Sparkling Model'!D$2:D$38^A12874)</f>
        <v>0.994128636</v>
      </c>
    </row>
    <row r="12875">
      <c r="A12875" s="6">
        <v>12873.0</v>
      </c>
      <c r="B12875" s="17">
        <f t="array" ref="B12875">SUM(1-'Sparkling Model'!D$2:D$38^A12875)</f>
        <v>36.99411949</v>
      </c>
      <c r="C12875" s="8">
        <f t="array" ref="C12875">PRODUCT(1-'Sparkling Model'!D$2:D$38^A12875)</f>
        <v>0.9941315425</v>
      </c>
    </row>
    <row r="12876">
      <c r="A12876" s="6">
        <v>12874.0</v>
      </c>
      <c r="B12876" s="17">
        <f t="array" ref="B12876">SUM(1-'Sparkling Model'!D$2:D$38^A12876)</f>
        <v>36.99412241</v>
      </c>
      <c r="C12876" s="8">
        <f t="array" ref="C12876">PRODUCT(1-'Sparkling Model'!D$2:D$38^A12876)</f>
        <v>0.9941344475</v>
      </c>
    </row>
    <row r="12877">
      <c r="A12877" s="6">
        <v>12875.0</v>
      </c>
      <c r="B12877" s="17">
        <f t="array" ref="B12877">SUM(1-'Sparkling Model'!D$2:D$38^A12877)</f>
        <v>36.99412533</v>
      </c>
      <c r="C12877" s="8">
        <f t="array" ref="C12877">PRODUCT(1-'Sparkling Model'!D$2:D$38^A12877)</f>
        <v>0.9941373511</v>
      </c>
    </row>
    <row r="12878">
      <c r="A12878" s="6">
        <v>12876.0</v>
      </c>
      <c r="B12878" s="17">
        <f t="array" ref="B12878">SUM(1-'Sparkling Model'!D$2:D$38^A12878)</f>
        <v>36.99412824</v>
      </c>
      <c r="C12878" s="8">
        <f t="array" ref="C12878">PRODUCT(1-'Sparkling Model'!D$2:D$38^A12878)</f>
        <v>0.9941402532</v>
      </c>
    </row>
    <row r="12879">
      <c r="A12879" s="6">
        <v>12877.0</v>
      </c>
      <c r="B12879" s="17">
        <f t="array" ref="B12879">SUM(1-'Sparkling Model'!D$2:D$38^A12879)</f>
        <v>36.99413115</v>
      </c>
      <c r="C12879" s="8">
        <f t="array" ref="C12879">PRODUCT(1-'Sparkling Model'!D$2:D$38^A12879)</f>
        <v>0.9941431539</v>
      </c>
    </row>
    <row r="12880">
      <c r="A12880" s="6">
        <v>12878.0</v>
      </c>
      <c r="B12880" s="17">
        <f t="array" ref="B12880">SUM(1-'Sparkling Model'!D$2:D$38^A12880)</f>
        <v>36.99413406</v>
      </c>
      <c r="C12880" s="8">
        <f t="array" ref="C12880">PRODUCT(1-'Sparkling Model'!D$2:D$38^A12880)</f>
        <v>0.9941460532</v>
      </c>
    </row>
    <row r="12881">
      <c r="A12881" s="6">
        <v>12879.0</v>
      </c>
      <c r="B12881" s="17">
        <f t="array" ref="B12881">SUM(1-'Sparkling Model'!D$2:D$38^A12881)</f>
        <v>36.99413697</v>
      </c>
      <c r="C12881" s="8">
        <f t="array" ref="C12881">PRODUCT(1-'Sparkling Model'!D$2:D$38^A12881)</f>
        <v>0.994148951</v>
      </c>
    </row>
    <row r="12882">
      <c r="A12882" s="6">
        <v>12880.0</v>
      </c>
      <c r="B12882" s="17">
        <f t="array" ref="B12882">SUM(1-'Sparkling Model'!D$2:D$38^A12882)</f>
        <v>36.99413988</v>
      </c>
      <c r="C12882" s="8">
        <f t="array" ref="C12882">PRODUCT(1-'Sparkling Model'!D$2:D$38^A12882)</f>
        <v>0.9941518474</v>
      </c>
    </row>
    <row r="12883">
      <c r="A12883" s="6">
        <v>12881.0</v>
      </c>
      <c r="B12883" s="17">
        <f t="array" ref="B12883">SUM(1-'Sparkling Model'!D$2:D$38^A12883)</f>
        <v>36.99414279</v>
      </c>
      <c r="C12883" s="8">
        <f t="array" ref="C12883">PRODUCT(1-'Sparkling Model'!D$2:D$38^A12883)</f>
        <v>0.9941547424</v>
      </c>
    </row>
    <row r="12884">
      <c r="A12884" s="6">
        <v>12882.0</v>
      </c>
      <c r="B12884" s="17">
        <f t="array" ref="B12884">SUM(1-'Sparkling Model'!D$2:D$38^A12884)</f>
        <v>36.9941457</v>
      </c>
      <c r="C12884" s="8">
        <f t="array" ref="C12884">PRODUCT(1-'Sparkling Model'!D$2:D$38^A12884)</f>
        <v>0.9941576359</v>
      </c>
    </row>
    <row r="12885">
      <c r="A12885" s="6">
        <v>12883.0</v>
      </c>
      <c r="B12885" s="17">
        <f t="array" ref="B12885">SUM(1-'Sparkling Model'!D$2:D$38^A12885)</f>
        <v>36.9941486</v>
      </c>
      <c r="C12885" s="8">
        <f t="array" ref="C12885">PRODUCT(1-'Sparkling Model'!D$2:D$38^A12885)</f>
        <v>0.994160528</v>
      </c>
    </row>
    <row r="12886">
      <c r="A12886" s="6">
        <v>12884.0</v>
      </c>
      <c r="B12886" s="17">
        <f t="array" ref="B12886">SUM(1-'Sparkling Model'!D$2:D$38^A12886)</f>
        <v>36.9941515</v>
      </c>
      <c r="C12886" s="8">
        <f t="array" ref="C12886">PRODUCT(1-'Sparkling Model'!D$2:D$38^A12886)</f>
        <v>0.9941634186</v>
      </c>
    </row>
    <row r="12887">
      <c r="A12887" s="6">
        <v>12885.0</v>
      </c>
      <c r="B12887" s="17">
        <f t="array" ref="B12887">SUM(1-'Sparkling Model'!D$2:D$38^A12887)</f>
        <v>36.9941544</v>
      </c>
      <c r="C12887" s="8">
        <f t="array" ref="C12887">PRODUCT(1-'Sparkling Model'!D$2:D$38^A12887)</f>
        <v>0.9941663078</v>
      </c>
    </row>
    <row r="12888">
      <c r="A12888" s="6">
        <v>12886.0</v>
      </c>
      <c r="B12888" s="17">
        <f t="array" ref="B12888">SUM(1-'Sparkling Model'!D$2:D$38^A12888)</f>
        <v>36.9941573</v>
      </c>
      <c r="C12888" s="8">
        <f t="array" ref="C12888">PRODUCT(1-'Sparkling Model'!D$2:D$38^A12888)</f>
        <v>0.9941691956</v>
      </c>
    </row>
    <row r="12889">
      <c r="A12889" s="6">
        <v>12887.0</v>
      </c>
      <c r="B12889" s="17">
        <f t="array" ref="B12889">SUM(1-'Sparkling Model'!D$2:D$38^A12889)</f>
        <v>36.9941602</v>
      </c>
      <c r="C12889" s="8">
        <f t="array" ref="C12889">PRODUCT(1-'Sparkling Model'!D$2:D$38^A12889)</f>
        <v>0.9941720819</v>
      </c>
    </row>
    <row r="12890">
      <c r="A12890" s="6">
        <v>12888.0</v>
      </c>
      <c r="B12890" s="17">
        <f t="array" ref="B12890">SUM(1-'Sparkling Model'!D$2:D$38^A12890)</f>
        <v>36.9941631</v>
      </c>
      <c r="C12890" s="8">
        <f t="array" ref="C12890">PRODUCT(1-'Sparkling Model'!D$2:D$38^A12890)</f>
        <v>0.9941749668</v>
      </c>
    </row>
    <row r="12891">
      <c r="A12891" s="6">
        <v>12889.0</v>
      </c>
      <c r="B12891" s="17">
        <f t="array" ref="B12891">SUM(1-'Sparkling Model'!D$2:D$38^A12891)</f>
        <v>36.99416599</v>
      </c>
      <c r="C12891" s="8">
        <f t="array" ref="C12891">PRODUCT(1-'Sparkling Model'!D$2:D$38^A12891)</f>
        <v>0.9941778503</v>
      </c>
    </row>
    <row r="12892">
      <c r="A12892" s="6">
        <v>12890.0</v>
      </c>
      <c r="B12892" s="17">
        <f t="array" ref="B12892">SUM(1-'Sparkling Model'!D$2:D$38^A12892)</f>
        <v>36.99416889</v>
      </c>
      <c r="C12892" s="8">
        <f t="array" ref="C12892">PRODUCT(1-'Sparkling Model'!D$2:D$38^A12892)</f>
        <v>0.9941807323</v>
      </c>
    </row>
    <row r="12893">
      <c r="A12893" s="6">
        <v>12891.0</v>
      </c>
      <c r="B12893" s="17">
        <f t="array" ref="B12893">SUM(1-'Sparkling Model'!D$2:D$38^A12893)</f>
        <v>36.99417178</v>
      </c>
      <c r="C12893" s="8">
        <f t="array" ref="C12893">PRODUCT(1-'Sparkling Model'!D$2:D$38^A12893)</f>
        <v>0.9941836129</v>
      </c>
    </row>
    <row r="12894">
      <c r="A12894" s="6">
        <v>12892.0</v>
      </c>
      <c r="B12894" s="17">
        <f t="array" ref="B12894">SUM(1-'Sparkling Model'!D$2:D$38^A12894)</f>
        <v>36.99417467</v>
      </c>
      <c r="C12894" s="8">
        <f t="array" ref="C12894">PRODUCT(1-'Sparkling Model'!D$2:D$38^A12894)</f>
        <v>0.9941864921</v>
      </c>
    </row>
    <row r="12895">
      <c r="A12895" s="6">
        <v>12893.0</v>
      </c>
      <c r="B12895" s="17">
        <f t="array" ref="B12895">SUM(1-'Sparkling Model'!D$2:D$38^A12895)</f>
        <v>36.99417756</v>
      </c>
      <c r="C12895" s="8">
        <f t="array" ref="C12895">PRODUCT(1-'Sparkling Model'!D$2:D$38^A12895)</f>
        <v>0.9941893699</v>
      </c>
    </row>
    <row r="12896">
      <c r="A12896" s="6">
        <v>12894.0</v>
      </c>
      <c r="B12896" s="17">
        <f t="array" ref="B12896">SUM(1-'Sparkling Model'!D$2:D$38^A12896)</f>
        <v>36.99418045</v>
      </c>
      <c r="C12896" s="8">
        <f t="array" ref="C12896">PRODUCT(1-'Sparkling Model'!D$2:D$38^A12896)</f>
        <v>0.9941922462</v>
      </c>
    </row>
    <row r="12897">
      <c r="A12897" s="6">
        <v>12895.0</v>
      </c>
      <c r="B12897" s="17">
        <f t="array" ref="B12897">SUM(1-'Sparkling Model'!D$2:D$38^A12897)</f>
        <v>36.99418333</v>
      </c>
      <c r="C12897" s="8">
        <f t="array" ref="C12897">PRODUCT(1-'Sparkling Model'!D$2:D$38^A12897)</f>
        <v>0.9941951211</v>
      </c>
    </row>
    <row r="12898">
      <c r="A12898" s="6">
        <v>12896.0</v>
      </c>
      <c r="B12898" s="17">
        <f t="array" ref="B12898">SUM(1-'Sparkling Model'!D$2:D$38^A12898)</f>
        <v>36.99418622</v>
      </c>
      <c r="C12898" s="8">
        <f t="array" ref="C12898">PRODUCT(1-'Sparkling Model'!D$2:D$38^A12898)</f>
        <v>0.9941979945</v>
      </c>
    </row>
    <row r="12899">
      <c r="A12899" s="6">
        <v>12897.0</v>
      </c>
      <c r="B12899" s="17">
        <f t="array" ref="B12899">SUM(1-'Sparkling Model'!D$2:D$38^A12899)</f>
        <v>36.9941891</v>
      </c>
      <c r="C12899" s="8">
        <f t="array" ref="C12899">PRODUCT(1-'Sparkling Model'!D$2:D$38^A12899)</f>
        <v>0.9942008666</v>
      </c>
    </row>
    <row r="12900">
      <c r="A12900" s="6">
        <v>12898.0</v>
      </c>
      <c r="B12900" s="17">
        <f t="array" ref="B12900">SUM(1-'Sparkling Model'!D$2:D$38^A12900)</f>
        <v>36.99419199</v>
      </c>
      <c r="C12900" s="8">
        <f t="array" ref="C12900">PRODUCT(1-'Sparkling Model'!D$2:D$38^A12900)</f>
        <v>0.9942037372</v>
      </c>
    </row>
    <row r="12901">
      <c r="A12901" s="6">
        <v>12899.0</v>
      </c>
      <c r="B12901" s="17">
        <f t="array" ref="B12901">SUM(1-'Sparkling Model'!D$2:D$38^A12901)</f>
        <v>36.99419487</v>
      </c>
      <c r="C12901" s="8">
        <f t="array" ref="C12901">PRODUCT(1-'Sparkling Model'!D$2:D$38^A12901)</f>
        <v>0.9942066064</v>
      </c>
    </row>
    <row r="12902">
      <c r="A12902" s="6">
        <v>12900.0</v>
      </c>
      <c r="B12902" s="17">
        <f t="array" ref="B12902">SUM(1-'Sparkling Model'!D$2:D$38^A12902)</f>
        <v>36.99419775</v>
      </c>
      <c r="C12902" s="8">
        <f t="array" ref="C12902">PRODUCT(1-'Sparkling Model'!D$2:D$38^A12902)</f>
        <v>0.9942094741</v>
      </c>
    </row>
    <row r="12903">
      <c r="A12903" s="6">
        <v>12901.0</v>
      </c>
      <c r="B12903" s="17">
        <f t="array" ref="B12903">SUM(1-'Sparkling Model'!D$2:D$38^A12903)</f>
        <v>36.99420062</v>
      </c>
      <c r="C12903" s="8">
        <f t="array" ref="C12903">PRODUCT(1-'Sparkling Model'!D$2:D$38^A12903)</f>
        <v>0.9942123404</v>
      </c>
    </row>
    <row r="12904">
      <c r="A12904" s="6">
        <v>12902.0</v>
      </c>
      <c r="B12904" s="17">
        <f t="array" ref="B12904">SUM(1-'Sparkling Model'!D$2:D$38^A12904)</f>
        <v>36.9942035</v>
      </c>
      <c r="C12904" s="8">
        <f t="array" ref="C12904">PRODUCT(1-'Sparkling Model'!D$2:D$38^A12904)</f>
        <v>0.9942152054</v>
      </c>
    </row>
    <row r="12905">
      <c r="A12905" s="6">
        <v>12903.0</v>
      </c>
      <c r="B12905" s="17">
        <f t="array" ref="B12905">SUM(1-'Sparkling Model'!D$2:D$38^A12905)</f>
        <v>36.99420638</v>
      </c>
      <c r="C12905" s="8">
        <f t="array" ref="C12905">PRODUCT(1-'Sparkling Model'!D$2:D$38^A12905)</f>
        <v>0.9942180688</v>
      </c>
    </row>
    <row r="12906">
      <c r="A12906" s="6">
        <v>12904.0</v>
      </c>
      <c r="B12906" s="17">
        <f t="array" ref="B12906">SUM(1-'Sparkling Model'!D$2:D$38^A12906)</f>
        <v>36.99420925</v>
      </c>
      <c r="C12906" s="8">
        <f t="array" ref="C12906">PRODUCT(1-'Sparkling Model'!D$2:D$38^A12906)</f>
        <v>0.9942209309</v>
      </c>
    </row>
    <row r="12907">
      <c r="A12907" s="6">
        <v>12905.0</v>
      </c>
      <c r="B12907" s="17">
        <f t="array" ref="B12907">SUM(1-'Sparkling Model'!D$2:D$38^A12907)</f>
        <v>36.99421212</v>
      </c>
      <c r="C12907" s="8">
        <f t="array" ref="C12907">PRODUCT(1-'Sparkling Model'!D$2:D$38^A12907)</f>
        <v>0.9942237916</v>
      </c>
    </row>
    <row r="12908">
      <c r="A12908" s="6">
        <v>12906.0</v>
      </c>
      <c r="B12908" s="17">
        <f t="array" ref="B12908">SUM(1-'Sparkling Model'!D$2:D$38^A12908)</f>
        <v>36.99421499</v>
      </c>
      <c r="C12908" s="8">
        <f t="array" ref="C12908">PRODUCT(1-'Sparkling Model'!D$2:D$38^A12908)</f>
        <v>0.9942266508</v>
      </c>
    </row>
    <row r="12909">
      <c r="A12909" s="6">
        <v>12907.0</v>
      </c>
      <c r="B12909" s="17">
        <f t="array" ref="B12909">SUM(1-'Sparkling Model'!D$2:D$38^A12909)</f>
        <v>36.99421786</v>
      </c>
      <c r="C12909" s="8">
        <f t="array" ref="C12909">PRODUCT(1-'Sparkling Model'!D$2:D$38^A12909)</f>
        <v>0.9942295086</v>
      </c>
    </row>
    <row r="12910">
      <c r="A12910" s="6">
        <v>12908.0</v>
      </c>
      <c r="B12910" s="17">
        <f t="array" ref="B12910">SUM(1-'Sparkling Model'!D$2:D$38^A12910)</f>
        <v>36.99422073</v>
      </c>
      <c r="C12910" s="8">
        <f t="array" ref="C12910">PRODUCT(1-'Sparkling Model'!D$2:D$38^A12910)</f>
        <v>0.994232365</v>
      </c>
    </row>
    <row r="12911">
      <c r="A12911" s="6">
        <v>12909.0</v>
      </c>
      <c r="B12911" s="17">
        <f t="array" ref="B12911">SUM(1-'Sparkling Model'!D$2:D$38^A12911)</f>
        <v>36.9942236</v>
      </c>
      <c r="C12911" s="8">
        <f t="array" ref="C12911">PRODUCT(1-'Sparkling Model'!D$2:D$38^A12911)</f>
        <v>0.99423522</v>
      </c>
    </row>
    <row r="12912">
      <c r="A12912" s="6">
        <v>12910.0</v>
      </c>
      <c r="B12912" s="17">
        <f t="array" ref="B12912">SUM(1-'Sparkling Model'!D$2:D$38^A12912)</f>
        <v>36.99422646</v>
      </c>
      <c r="C12912" s="8">
        <f t="array" ref="C12912">PRODUCT(1-'Sparkling Model'!D$2:D$38^A12912)</f>
        <v>0.9942380735</v>
      </c>
    </row>
    <row r="12913">
      <c r="A12913" s="6">
        <v>12911.0</v>
      </c>
      <c r="B12913" s="17">
        <f t="array" ref="B12913">SUM(1-'Sparkling Model'!D$2:D$38^A12913)</f>
        <v>36.99422933</v>
      </c>
      <c r="C12913" s="8">
        <f t="array" ref="C12913">PRODUCT(1-'Sparkling Model'!D$2:D$38^A12913)</f>
        <v>0.9942409256</v>
      </c>
    </row>
    <row r="12914">
      <c r="A12914" s="6">
        <v>12912.0</v>
      </c>
      <c r="B12914" s="17">
        <f t="array" ref="B12914">SUM(1-'Sparkling Model'!D$2:D$38^A12914)</f>
        <v>36.99423219</v>
      </c>
      <c r="C12914" s="8">
        <f t="array" ref="C12914">PRODUCT(1-'Sparkling Model'!D$2:D$38^A12914)</f>
        <v>0.9942437764</v>
      </c>
    </row>
    <row r="12915">
      <c r="A12915" s="6">
        <v>12913.0</v>
      </c>
      <c r="B12915" s="17">
        <f t="array" ref="B12915">SUM(1-'Sparkling Model'!D$2:D$38^A12915)</f>
        <v>36.99423505</v>
      </c>
      <c r="C12915" s="8">
        <f t="array" ref="C12915">PRODUCT(1-'Sparkling Model'!D$2:D$38^A12915)</f>
        <v>0.9942466257</v>
      </c>
    </row>
    <row r="12916">
      <c r="A12916" s="6">
        <v>12914.0</v>
      </c>
      <c r="B12916" s="17">
        <f t="array" ref="B12916">SUM(1-'Sparkling Model'!D$2:D$38^A12916)</f>
        <v>36.99423791</v>
      </c>
      <c r="C12916" s="8">
        <f t="array" ref="C12916">PRODUCT(1-'Sparkling Model'!D$2:D$38^A12916)</f>
        <v>0.9942494735</v>
      </c>
    </row>
    <row r="12917">
      <c r="A12917" s="6">
        <v>12915.0</v>
      </c>
      <c r="B12917" s="17">
        <f t="array" ref="B12917">SUM(1-'Sparkling Model'!D$2:D$38^A12917)</f>
        <v>36.99424077</v>
      </c>
      <c r="C12917" s="8">
        <f t="array" ref="C12917">PRODUCT(1-'Sparkling Model'!D$2:D$38^A12917)</f>
        <v>0.99425232</v>
      </c>
    </row>
    <row r="12918">
      <c r="A12918" s="6">
        <v>12916.0</v>
      </c>
      <c r="B12918" s="17">
        <f t="array" ref="B12918">SUM(1-'Sparkling Model'!D$2:D$38^A12918)</f>
        <v>36.99424362</v>
      </c>
      <c r="C12918" s="8">
        <f t="array" ref="C12918">PRODUCT(1-'Sparkling Model'!D$2:D$38^A12918)</f>
        <v>0.9942551651</v>
      </c>
    </row>
    <row r="12919">
      <c r="A12919" s="6">
        <v>12917.0</v>
      </c>
      <c r="B12919" s="17">
        <f t="array" ref="B12919">SUM(1-'Sparkling Model'!D$2:D$38^A12919)</f>
        <v>36.99424648</v>
      </c>
      <c r="C12919" s="8">
        <f t="array" ref="C12919">PRODUCT(1-'Sparkling Model'!D$2:D$38^A12919)</f>
        <v>0.9942580087</v>
      </c>
    </row>
    <row r="12920">
      <c r="A12920" s="6">
        <v>12918.0</v>
      </c>
      <c r="B12920" s="17">
        <f t="array" ref="B12920">SUM(1-'Sparkling Model'!D$2:D$38^A12920)</f>
        <v>36.99424933</v>
      </c>
      <c r="C12920" s="8">
        <f t="array" ref="C12920">PRODUCT(1-'Sparkling Model'!D$2:D$38^A12920)</f>
        <v>0.994260851</v>
      </c>
    </row>
    <row r="12921">
      <c r="A12921" s="6">
        <v>12919.0</v>
      </c>
      <c r="B12921" s="17">
        <f t="array" ref="B12921">SUM(1-'Sparkling Model'!D$2:D$38^A12921)</f>
        <v>36.99425218</v>
      </c>
      <c r="C12921" s="8">
        <f t="array" ref="C12921">PRODUCT(1-'Sparkling Model'!D$2:D$38^A12921)</f>
        <v>0.9942636918</v>
      </c>
    </row>
    <row r="12922">
      <c r="A12922" s="6">
        <v>12920.0</v>
      </c>
      <c r="B12922" s="17">
        <f t="array" ref="B12922">SUM(1-'Sparkling Model'!D$2:D$38^A12922)</f>
        <v>36.99425503</v>
      </c>
      <c r="C12922" s="8">
        <f t="array" ref="C12922">PRODUCT(1-'Sparkling Model'!D$2:D$38^A12922)</f>
        <v>0.9942665312</v>
      </c>
    </row>
    <row r="12923">
      <c r="A12923" s="6">
        <v>12921.0</v>
      </c>
      <c r="B12923" s="17">
        <f t="array" ref="B12923">SUM(1-'Sparkling Model'!D$2:D$38^A12923)</f>
        <v>36.99425788</v>
      </c>
      <c r="C12923" s="8">
        <f t="array" ref="C12923">PRODUCT(1-'Sparkling Model'!D$2:D$38^A12923)</f>
        <v>0.9942693692</v>
      </c>
    </row>
    <row r="12924">
      <c r="A12924" s="6">
        <v>12922.0</v>
      </c>
      <c r="B12924" s="17">
        <f t="array" ref="B12924">SUM(1-'Sparkling Model'!D$2:D$38^A12924)</f>
        <v>36.99426073</v>
      </c>
      <c r="C12924" s="8">
        <f t="array" ref="C12924">PRODUCT(1-'Sparkling Model'!D$2:D$38^A12924)</f>
        <v>0.9942722058</v>
      </c>
    </row>
    <row r="12925">
      <c r="A12925" s="6">
        <v>12923.0</v>
      </c>
      <c r="B12925" s="17">
        <f t="array" ref="B12925">SUM(1-'Sparkling Model'!D$2:D$38^A12925)</f>
        <v>36.99426358</v>
      </c>
      <c r="C12925" s="8">
        <f t="array" ref="C12925">PRODUCT(1-'Sparkling Model'!D$2:D$38^A12925)</f>
        <v>0.994275041</v>
      </c>
    </row>
    <row r="12926">
      <c r="A12926" s="6">
        <v>12924.0</v>
      </c>
      <c r="B12926" s="17">
        <f t="array" ref="B12926">SUM(1-'Sparkling Model'!D$2:D$38^A12926)</f>
        <v>36.99426642</v>
      </c>
      <c r="C12926" s="8">
        <f t="array" ref="C12926">PRODUCT(1-'Sparkling Model'!D$2:D$38^A12926)</f>
        <v>0.9942778748</v>
      </c>
    </row>
    <row r="12927">
      <c r="A12927" s="6">
        <v>12925.0</v>
      </c>
      <c r="B12927" s="17">
        <f t="array" ref="B12927">SUM(1-'Sparkling Model'!D$2:D$38^A12927)</f>
        <v>36.99426927</v>
      </c>
      <c r="C12927" s="8">
        <f t="array" ref="C12927">PRODUCT(1-'Sparkling Model'!D$2:D$38^A12927)</f>
        <v>0.9942807071</v>
      </c>
    </row>
    <row r="12928">
      <c r="A12928" s="6">
        <v>12926.0</v>
      </c>
      <c r="B12928" s="17">
        <f t="array" ref="B12928">SUM(1-'Sparkling Model'!D$2:D$38^A12928)</f>
        <v>36.99427211</v>
      </c>
      <c r="C12928" s="8">
        <f t="array" ref="C12928">PRODUCT(1-'Sparkling Model'!D$2:D$38^A12928)</f>
        <v>0.9942835381</v>
      </c>
    </row>
    <row r="12929">
      <c r="A12929" s="6">
        <v>12927.0</v>
      </c>
      <c r="B12929" s="17">
        <f t="array" ref="B12929">SUM(1-'Sparkling Model'!D$2:D$38^A12929)</f>
        <v>36.99427495</v>
      </c>
      <c r="C12929" s="8">
        <f t="array" ref="C12929">PRODUCT(1-'Sparkling Model'!D$2:D$38^A12929)</f>
        <v>0.9942863677</v>
      </c>
    </row>
    <row r="12930">
      <c r="A12930" s="6">
        <v>12928.0</v>
      </c>
      <c r="B12930" s="17">
        <f t="array" ref="B12930">SUM(1-'Sparkling Model'!D$2:D$38^A12930)</f>
        <v>36.99427779</v>
      </c>
      <c r="C12930" s="8">
        <f t="array" ref="C12930">PRODUCT(1-'Sparkling Model'!D$2:D$38^A12930)</f>
        <v>0.9942891958</v>
      </c>
    </row>
    <row r="12931">
      <c r="A12931" s="6">
        <v>12929.0</v>
      </c>
      <c r="B12931" s="17">
        <f t="array" ref="B12931">SUM(1-'Sparkling Model'!D$2:D$38^A12931)</f>
        <v>36.99428063</v>
      </c>
      <c r="C12931" s="8">
        <f t="array" ref="C12931">PRODUCT(1-'Sparkling Model'!D$2:D$38^A12931)</f>
        <v>0.9942920226</v>
      </c>
    </row>
    <row r="12932">
      <c r="A12932" s="6">
        <v>12930.0</v>
      </c>
      <c r="B12932" s="17">
        <f t="array" ref="B12932">SUM(1-'Sparkling Model'!D$2:D$38^A12932)</f>
        <v>36.99428347</v>
      </c>
      <c r="C12932" s="8">
        <f t="array" ref="C12932">PRODUCT(1-'Sparkling Model'!D$2:D$38^A12932)</f>
        <v>0.9942948479</v>
      </c>
    </row>
    <row r="12933">
      <c r="A12933" s="6">
        <v>12931.0</v>
      </c>
      <c r="B12933" s="17">
        <f t="array" ref="B12933">SUM(1-'Sparkling Model'!D$2:D$38^A12933)</f>
        <v>36.9942863</v>
      </c>
      <c r="C12933" s="8">
        <f t="array" ref="C12933">PRODUCT(1-'Sparkling Model'!D$2:D$38^A12933)</f>
        <v>0.9942976719</v>
      </c>
    </row>
    <row r="12934">
      <c r="A12934" s="6">
        <v>12932.0</v>
      </c>
      <c r="B12934" s="17">
        <f t="array" ref="B12934">SUM(1-'Sparkling Model'!D$2:D$38^A12934)</f>
        <v>36.99428913</v>
      </c>
      <c r="C12934" s="8">
        <f t="array" ref="C12934">PRODUCT(1-'Sparkling Model'!D$2:D$38^A12934)</f>
        <v>0.9943004944</v>
      </c>
    </row>
    <row r="12935">
      <c r="A12935" s="6">
        <v>12933.0</v>
      </c>
      <c r="B12935" s="17">
        <f t="array" ref="B12935">SUM(1-'Sparkling Model'!D$2:D$38^A12935)</f>
        <v>36.99429197</v>
      </c>
      <c r="C12935" s="8">
        <f t="array" ref="C12935">PRODUCT(1-'Sparkling Model'!D$2:D$38^A12935)</f>
        <v>0.9943033156</v>
      </c>
    </row>
    <row r="12936">
      <c r="A12936" s="6">
        <v>12934.0</v>
      </c>
      <c r="B12936" s="17">
        <f t="array" ref="B12936">SUM(1-'Sparkling Model'!D$2:D$38^A12936)</f>
        <v>36.9942948</v>
      </c>
      <c r="C12936" s="8">
        <f t="array" ref="C12936">PRODUCT(1-'Sparkling Model'!D$2:D$38^A12936)</f>
        <v>0.9943061353</v>
      </c>
    </row>
    <row r="12937">
      <c r="A12937" s="6">
        <v>12935.0</v>
      </c>
      <c r="B12937" s="17">
        <f t="array" ref="B12937">SUM(1-'Sparkling Model'!D$2:D$38^A12937)</f>
        <v>36.99429763</v>
      </c>
      <c r="C12937" s="8">
        <f t="array" ref="C12937">PRODUCT(1-'Sparkling Model'!D$2:D$38^A12937)</f>
        <v>0.9943089536</v>
      </c>
    </row>
    <row r="12938">
      <c r="A12938" s="6">
        <v>12936.0</v>
      </c>
      <c r="B12938" s="17">
        <f t="array" ref="B12938">SUM(1-'Sparkling Model'!D$2:D$38^A12938)</f>
        <v>36.99430046</v>
      </c>
      <c r="C12938" s="8">
        <f t="array" ref="C12938">PRODUCT(1-'Sparkling Model'!D$2:D$38^A12938)</f>
        <v>0.9943117706</v>
      </c>
    </row>
    <row r="12939">
      <c r="A12939" s="6">
        <v>12937.0</v>
      </c>
      <c r="B12939" s="17">
        <f t="array" ref="B12939">SUM(1-'Sparkling Model'!D$2:D$38^A12939)</f>
        <v>36.99430328</v>
      </c>
      <c r="C12939" s="8">
        <f t="array" ref="C12939">PRODUCT(1-'Sparkling Model'!D$2:D$38^A12939)</f>
        <v>0.9943145861</v>
      </c>
    </row>
    <row r="12940">
      <c r="A12940" s="6">
        <v>12938.0</v>
      </c>
      <c r="B12940" s="17">
        <f t="array" ref="B12940">SUM(1-'Sparkling Model'!D$2:D$38^A12940)</f>
        <v>36.99430611</v>
      </c>
      <c r="C12940" s="8">
        <f t="array" ref="C12940">PRODUCT(1-'Sparkling Model'!D$2:D$38^A12940)</f>
        <v>0.9943174003</v>
      </c>
    </row>
    <row r="12941">
      <c r="A12941" s="6">
        <v>12939.0</v>
      </c>
      <c r="B12941" s="17">
        <f t="array" ref="B12941">SUM(1-'Sparkling Model'!D$2:D$38^A12941)</f>
        <v>36.99430893</v>
      </c>
      <c r="C12941" s="8">
        <f t="array" ref="C12941">PRODUCT(1-'Sparkling Model'!D$2:D$38^A12941)</f>
        <v>0.994320213</v>
      </c>
    </row>
    <row r="12942">
      <c r="A12942" s="6">
        <v>12940.0</v>
      </c>
      <c r="B12942" s="17">
        <f t="array" ref="B12942">SUM(1-'Sparkling Model'!D$2:D$38^A12942)</f>
        <v>36.99431176</v>
      </c>
      <c r="C12942" s="8">
        <f t="array" ref="C12942">PRODUCT(1-'Sparkling Model'!D$2:D$38^A12942)</f>
        <v>0.9943230244</v>
      </c>
    </row>
    <row r="12943">
      <c r="A12943" s="6">
        <v>12941.0</v>
      </c>
      <c r="B12943" s="17">
        <f t="array" ref="B12943">SUM(1-'Sparkling Model'!D$2:D$38^A12943)</f>
        <v>36.99431458</v>
      </c>
      <c r="C12943" s="8">
        <f t="array" ref="C12943">PRODUCT(1-'Sparkling Model'!D$2:D$38^A12943)</f>
        <v>0.9943258343</v>
      </c>
    </row>
    <row r="12944">
      <c r="A12944" s="6">
        <v>12942.0</v>
      </c>
      <c r="B12944" s="17">
        <f t="array" ref="B12944">SUM(1-'Sparkling Model'!D$2:D$38^A12944)</f>
        <v>36.9943174</v>
      </c>
      <c r="C12944" s="8">
        <f t="array" ref="C12944">PRODUCT(1-'Sparkling Model'!D$2:D$38^A12944)</f>
        <v>0.9943286429</v>
      </c>
    </row>
    <row r="12945">
      <c r="A12945" s="6">
        <v>12943.0</v>
      </c>
      <c r="B12945" s="17">
        <f t="array" ref="B12945">SUM(1-'Sparkling Model'!D$2:D$38^A12945)</f>
        <v>36.99432021</v>
      </c>
      <c r="C12945" s="8">
        <f t="array" ref="C12945">PRODUCT(1-'Sparkling Model'!D$2:D$38^A12945)</f>
        <v>0.99433145</v>
      </c>
    </row>
    <row r="12946">
      <c r="A12946" s="6">
        <v>12944.0</v>
      </c>
      <c r="B12946" s="17">
        <f t="array" ref="B12946">SUM(1-'Sparkling Model'!D$2:D$38^A12946)</f>
        <v>36.99432303</v>
      </c>
      <c r="C12946" s="8">
        <f t="array" ref="C12946">PRODUCT(1-'Sparkling Model'!D$2:D$38^A12946)</f>
        <v>0.9943342558</v>
      </c>
    </row>
    <row r="12947">
      <c r="A12947" s="6">
        <v>12945.0</v>
      </c>
      <c r="B12947" s="17">
        <f t="array" ref="B12947">SUM(1-'Sparkling Model'!D$2:D$38^A12947)</f>
        <v>36.99432585</v>
      </c>
      <c r="C12947" s="8">
        <f t="array" ref="C12947">PRODUCT(1-'Sparkling Model'!D$2:D$38^A12947)</f>
        <v>0.9943370602</v>
      </c>
    </row>
    <row r="12948">
      <c r="A12948" s="6">
        <v>12946.0</v>
      </c>
      <c r="B12948" s="17">
        <f t="array" ref="B12948">SUM(1-'Sparkling Model'!D$2:D$38^A12948)</f>
        <v>36.99432866</v>
      </c>
      <c r="C12948" s="8">
        <f t="array" ref="C12948">PRODUCT(1-'Sparkling Model'!D$2:D$38^A12948)</f>
        <v>0.9943398632</v>
      </c>
    </row>
    <row r="12949">
      <c r="A12949" s="6">
        <v>12947.0</v>
      </c>
      <c r="B12949" s="17">
        <f t="array" ref="B12949">SUM(1-'Sparkling Model'!D$2:D$38^A12949)</f>
        <v>36.99433147</v>
      </c>
      <c r="C12949" s="8">
        <f t="array" ref="C12949">PRODUCT(1-'Sparkling Model'!D$2:D$38^A12949)</f>
        <v>0.9943426648</v>
      </c>
    </row>
    <row r="12950">
      <c r="A12950" s="6">
        <v>12948.0</v>
      </c>
      <c r="B12950" s="17">
        <f t="array" ref="B12950">SUM(1-'Sparkling Model'!D$2:D$38^A12950)</f>
        <v>36.99433429</v>
      </c>
      <c r="C12950" s="8">
        <f t="array" ref="C12950">PRODUCT(1-'Sparkling Model'!D$2:D$38^A12950)</f>
        <v>0.994345465</v>
      </c>
    </row>
    <row r="12951">
      <c r="A12951" s="6">
        <v>12949.0</v>
      </c>
      <c r="B12951" s="17">
        <f t="array" ref="B12951">SUM(1-'Sparkling Model'!D$2:D$38^A12951)</f>
        <v>36.9943371</v>
      </c>
      <c r="C12951" s="8">
        <f t="array" ref="C12951">PRODUCT(1-'Sparkling Model'!D$2:D$38^A12951)</f>
        <v>0.9943482638</v>
      </c>
    </row>
    <row r="12952">
      <c r="A12952" s="6">
        <v>12950.0</v>
      </c>
      <c r="B12952" s="17">
        <f t="array" ref="B12952">SUM(1-'Sparkling Model'!D$2:D$38^A12952)</f>
        <v>36.9943399</v>
      </c>
      <c r="C12952" s="8">
        <f t="array" ref="C12952">PRODUCT(1-'Sparkling Model'!D$2:D$38^A12952)</f>
        <v>0.9943510612</v>
      </c>
    </row>
    <row r="12953">
      <c r="A12953" s="6">
        <v>12951.0</v>
      </c>
      <c r="B12953" s="17">
        <f t="array" ref="B12953">SUM(1-'Sparkling Model'!D$2:D$38^A12953)</f>
        <v>36.99434271</v>
      </c>
      <c r="C12953" s="8">
        <f t="array" ref="C12953">PRODUCT(1-'Sparkling Model'!D$2:D$38^A12953)</f>
        <v>0.9943538572</v>
      </c>
    </row>
    <row r="12954">
      <c r="A12954" s="6">
        <v>12952.0</v>
      </c>
      <c r="B12954" s="17">
        <f t="array" ref="B12954">SUM(1-'Sparkling Model'!D$2:D$38^A12954)</f>
        <v>36.99434552</v>
      </c>
      <c r="C12954" s="8">
        <f t="array" ref="C12954">PRODUCT(1-'Sparkling Model'!D$2:D$38^A12954)</f>
        <v>0.9943566519</v>
      </c>
    </row>
    <row r="12955">
      <c r="A12955" s="6">
        <v>12953.0</v>
      </c>
      <c r="B12955" s="17">
        <f t="array" ref="B12955">SUM(1-'Sparkling Model'!D$2:D$38^A12955)</f>
        <v>36.99434832</v>
      </c>
      <c r="C12955" s="8">
        <f t="array" ref="C12955">PRODUCT(1-'Sparkling Model'!D$2:D$38^A12955)</f>
        <v>0.9943594451</v>
      </c>
    </row>
    <row r="12956">
      <c r="A12956" s="6">
        <v>12954.0</v>
      </c>
      <c r="B12956" s="17">
        <f t="array" ref="B12956">SUM(1-'Sparkling Model'!D$2:D$38^A12956)</f>
        <v>36.99435112</v>
      </c>
      <c r="C12956" s="8">
        <f t="array" ref="C12956">PRODUCT(1-'Sparkling Model'!D$2:D$38^A12956)</f>
        <v>0.994362237</v>
      </c>
    </row>
    <row r="12957">
      <c r="A12957" s="6">
        <v>12955.0</v>
      </c>
      <c r="B12957" s="17">
        <f t="array" ref="B12957">SUM(1-'Sparkling Model'!D$2:D$38^A12957)</f>
        <v>36.99435393</v>
      </c>
      <c r="C12957" s="8">
        <f t="array" ref="C12957">PRODUCT(1-'Sparkling Model'!D$2:D$38^A12957)</f>
        <v>0.9943650275</v>
      </c>
    </row>
    <row r="12958">
      <c r="A12958" s="6">
        <v>12956.0</v>
      </c>
      <c r="B12958" s="17">
        <f t="array" ref="B12958">SUM(1-'Sparkling Model'!D$2:D$38^A12958)</f>
        <v>36.99435673</v>
      </c>
      <c r="C12958" s="8">
        <f t="array" ref="C12958">PRODUCT(1-'Sparkling Model'!D$2:D$38^A12958)</f>
        <v>0.9943678166</v>
      </c>
    </row>
    <row r="12959">
      <c r="A12959" s="6">
        <v>12957.0</v>
      </c>
      <c r="B12959" s="17">
        <f t="array" ref="B12959">SUM(1-'Sparkling Model'!D$2:D$38^A12959)</f>
        <v>36.99435952</v>
      </c>
      <c r="C12959" s="8">
        <f t="array" ref="C12959">PRODUCT(1-'Sparkling Model'!D$2:D$38^A12959)</f>
        <v>0.9943706043</v>
      </c>
    </row>
    <row r="12960">
      <c r="A12960" s="6">
        <v>12958.0</v>
      </c>
      <c r="B12960" s="17">
        <f t="array" ref="B12960">SUM(1-'Sparkling Model'!D$2:D$38^A12960)</f>
        <v>36.99436232</v>
      </c>
      <c r="C12960" s="8">
        <f t="array" ref="C12960">PRODUCT(1-'Sparkling Model'!D$2:D$38^A12960)</f>
        <v>0.9943733906</v>
      </c>
    </row>
    <row r="12961">
      <c r="A12961" s="6">
        <v>12959.0</v>
      </c>
      <c r="B12961" s="17">
        <f t="array" ref="B12961">SUM(1-'Sparkling Model'!D$2:D$38^A12961)</f>
        <v>36.99436512</v>
      </c>
      <c r="C12961" s="8">
        <f t="array" ref="C12961">PRODUCT(1-'Sparkling Model'!D$2:D$38^A12961)</f>
        <v>0.9943761756</v>
      </c>
    </row>
    <row r="12962">
      <c r="A12962" s="6">
        <v>12960.0</v>
      </c>
      <c r="B12962" s="17">
        <f t="array" ref="B12962">SUM(1-'Sparkling Model'!D$2:D$38^A12962)</f>
        <v>36.99436791</v>
      </c>
      <c r="C12962" s="8">
        <f t="array" ref="C12962">PRODUCT(1-'Sparkling Model'!D$2:D$38^A12962)</f>
        <v>0.9943789592</v>
      </c>
    </row>
    <row r="12963">
      <c r="A12963" s="6">
        <v>12961.0</v>
      </c>
      <c r="B12963" s="17">
        <f t="array" ref="B12963">SUM(1-'Sparkling Model'!D$2:D$38^A12963)</f>
        <v>36.99437071</v>
      </c>
      <c r="C12963" s="8">
        <f t="array" ref="C12963">PRODUCT(1-'Sparkling Model'!D$2:D$38^A12963)</f>
        <v>0.9943817413</v>
      </c>
    </row>
    <row r="12964">
      <c r="A12964" s="6">
        <v>12962.0</v>
      </c>
      <c r="B12964" s="17">
        <f t="array" ref="B12964">SUM(1-'Sparkling Model'!D$2:D$38^A12964)</f>
        <v>36.9943735</v>
      </c>
      <c r="C12964" s="8">
        <f t="array" ref="C12964">PRODUCT(1-'Sparkling Model'!D$2:D$38^A12964)</f>
        <v>0.9943845221</v>
      </c>
    </row>
    <row r="12965">
      <c r="A12965" s="6">
        <v>12963.0</v>
      </c>
      <c r="B12965" s="17">
        <f t="array" ref="B12965">SUM(1-'Sparkling Model'!D$2:D$38^A12965)</f>
        <v>36.99437629</v>
      </c>
      <c r="C12965" s="8">
        <f t="array" ref="C12965">PRODUCT(1-'Sparkling Model'!D$2:D$38^A12965)</f>
        <v>0.9943873016</v>
      </c>
    </row>
    <row r="12966">
      <c r="A12966" s="6">
        <v>12964.0</v>
      </c>
      <c r="B12966" s="17">
        <f t="array" ref="B12966">SUM(1-'Sparkling Model'!D$2:D$38^A12966)</f>
        <v>36.99437908</v>
      </c>
      <c r="C12966" s="8">
        <f t="array" ref="C12966">PRODUCT(1-'Sparkling Model'!D$2:D$38^A12966)</f>
        <v>0.9943900796</v>
      </c>
    </row>
    <row r="12967">
      <c r="A12967" s="6">
        <v>12965.0</v>
      </c>
      <c r="B12967" s="17">
        <f t="array" ref="B12967">SUM(1-'Sparkling Model'!D$2:D$38^A12967)</f>
        <v>36.99438186</v>
      </c>
      <c r="C12967" s="8">
        <f t="array" ref="C12967">PRODUCT(1-'Sparkling Model'!D$2:D$38^A12967)</f>
        <v>0.9943928563</v>
      </c>
    </row>
    <row r="12968">
      <c r="A12968" s="6">
        <v>12966.0</v>
      </c>
      <c r="B12968" s="17">
        <f t="array" ref="B12968">SUM(1-'Sparkling Model'!D$2:D$38^A12968)</f>
        <v>36.99438465</v>
      </c>
      <c r="C12968" s="8">
        <f t="array" ref="C12968">PRODUCT(1-'Sparkling Model'!D$2:D$38^A12968)</f>
        <v>0.9943956315</v>
      </c>
    </row>
    <row r="12969">
      <c r="A12969" s="6">
        <v>12967.0</v>
      </c>
      <c r="B12969" s="17">
        <f t="array" ref="B12969">SUM(1-'Sparkling Model'!D$2:D$38^A12969)</f>
        <v>36.99438744</v>
      </c>
      <c r="C12969" s="8">
        <f t="array" ref="C12969">PRODUCT(1-'Sparkling Model'!D$2:D$38^A12969)</f>
        <v>0.9943984055</v>
      </c>
    </row>
    <row r="12970">
      <c r="A12970" s="6">
        <v>12968.0</v>
      </c>
      <c r="B12970" s="17">
        <f t="array" ref="B12970">SUM(1-'Sparkling Model'!D$2:D$38^A12970)</f>
        <v>36.99439022</v>
      </c>
      <c r="C12970" s="8">
        <f t="array" ref="C12970">PRODUCT(1-'Sparkling Model'!D$2:D$38^A12970)</f>
        <v>0.994401178</v>
      </c>
    </row>
    <row r="12971">
      <c r="A12971" s="6">
        <v>12969.0</v>
      </c>
      <c r="B12971" s="17">
        <f t="array" ref="B12971">SUM(1-'Sparkling Model'!D$2:D$38^A12971)</f>
        <v>36.994393</v>
      </c>
      <c r="C12971" s="8">
        <f t="array" ref="C12971">PRODUCT(1-'Sparkling Model'!D$2:D$38^A12971)</f>
        <v>0.9944039491</v>
      </c>
    </row>
    <row r="12972">
      <c r="A12972" s="6">
        <v>12970.0</v>
      </c>
      <c r="B12972" s="17">
        <f t="array" ref="B12972">SUM(1-'Sparkling Model'!D$2:D$38^A12972)</f>
        <v>36.99439578</v>
      </c>
      <c r="C12972" s="8">
        <f t="array" ref="C12972">PRODUCT(1-'Sparkling Model'!D$2:D$38^A12972)</f>
        <v>0.9944067189</v>
      </c>
    </row>
    <row r="12973">
      <c r="A12973" s="6">
        <v>12971.0</v>
      </c>
      <c r="B12973" s="17">
        <f t="array" ref="B12973">SUM(1-'Sparkling Model'!D$2:D$38^A12973)</f>
        <v>36.99439856</v>
      </c>
      <c r="C12973" s="8">
        <f t="array" ref="C12973">PRODUCT(1-'Sparkling Model'!D$2:D$38^A12973)</f>
        <v>0.9944094873</v>
      </c>
    </row>
    <row r="12974">
      <c r="A12974" s="6">
        <v>12972.0</v>
      </c>
      <c r="B12974" s="17">
        <f t="array" ref="B12974">SUM(1-'Sparkling Model'!D$2:D$38^A12974)</f>
        <v>36.99440134</v>
      </c>
      <c r="C12974" s="8">
        <f t="array" ref="C12974">PRODUCT(1-'Sparkling Model'!D$2:D$38^A12974)</f>
        <v>0.9944122543</v>
      </c>
    </row>
    <row r="12975">
      <c r="A12975" s="6">
        <v>12973.0</v>
      </c>
      <c r="B12975" s="17">
        <f t="array" ref="B12975">SUM(1-'Sparkling Model'!D$2:D$38^A12975)</f>
        <v>36.99440412</v>
      </c>
      <c r="C12975" s="8">
        <f t="array" ref="C12975">PRODUCT(1-'Sparkling Model'!D$2:D$38^A12975)</f>
        <v>0.99441502</v>
      </c>
    </row>
    <row r="12976">
      <c r="A12976" s="6">
        <v>12974.0</v>
      </c>
      <c r="B12976" s="17">
        <f t="array" ref="B12976">SUM(1-'Sparkling Model'!D$2:D$38^A12976)</f>
        <v>36.99440689</v>
      </c>
      <c r="C12976" s="8">
        <f t="array" ref="C12976">PRODUCT(1-'Sparkling Model'!D$2:D$38^A12976)</f>
        <v>0.9944177843</v>
      </c>
    </row>
    <row r="12977">
      <c r="A12977" s="6">
        <v>12975.0</v>
      </c>
      <c r="B12977" s="17">
        <f t="array" ref="B12977">SUM(1-'Sparkling Model'!D$2:D$38^A12977)</f>
        <v>36.99440966</v>
      </c>
      <c r="C12977" s="8">
        <f t="array" ref="C12977">PRODUCT(1-'Sparkling Model'!D$2:D$38^A12977)</f>
        <v>0.9944205472</v>
      </c>
    </row>
    <row r="12978">
      <c r="A12978" s="6">
        <v>12976.0</v>
      </c>
      <c r="B12978" s="17">
        <f t="array" ref="B12978">SUM(1-'Sparkling Model'!D$2:D$38^A12978)</f>
        <v>36.99441244</v>
      </c>
      <c r="C12978" s="8">
        <f t="array" ref="C12978">PRODUCT(1-'Sparkling Model'!D$2:D$38^A12978)</f>
        <v>0.9944233087</v>
      </c>
    </row>
    <row r="12979">
      <c r="A12979" s="6">
        <v>12977.0</v>
      </c>
      <c r="B12979" s="17">
        <f t="array" ref="B12979">SUM(1-'Sparkling Model'!D$2:D$38^A12979)</f>
        <v>36.99441521</v>
      </c>
      <c r="C12979" s="8">
        <f t="array" ref="C12979">PRODUCT(1-'Sparkling Model'!D$2:D$38^A12979)</f>
        <v>0.9944260689</v>
      </c>
    </row>
    <row r="12980">
      <c r="A12980" s="6">
        <v>12978.0</v>
      </c>
      <c r="B12980" s="17">
        <f t="array" ref="B12980">SUM(1-'Sparkling Model'!D$2:D$38^A12980)</f>
        <v>36.99441798</v>
      </c>
      <c r="C12980" s="8">
        <f t="array" ref="C12980">PRODUCT(1-'Sparkling Model'!D$2:D$38^A12980)</f>
        <v>0.9944288277</v>
      </c>
    </row>
    <row r="12981">
      <c r="A12981" s="6">
        <v>12979.0</v>
      </c>
      <c r="B12981" s="17">
        <f t="array" ref="B12981">SUM(1-'Sparkling Model'!D$2:D$38^A12981)</f>
        <v>36.99442075</v>
      </c>
      <c r="C12981" s="8">
        <f t="array" ref="C12981">PRODUCT(1-'Sparkling Model'!D$2:D$38^A12981)</f>
        <v>0.9944315851</v>
      </c>
    </row>
    <row r="12982">
      <c r="A12982" s="6">
        <v>12980.0</v>
      </c>
      <c r="B12982" s="17">
        <f t="array" ref="B12982">SUM(1-'Sparkling Model'!D$2:D$38^A12982)</f>
        <v>36.99442351</v>
      </c>
      <c r="C12982" s="8">
        <f t="array" ref="C12982">PRODUCT(1-'Sparkling Model'!D$2:D$38^A12982)</f>
        <v>0.9944343411</v>
      </c>
    </row>
    <row r="12983">
      <c r="A12983" s="6">
        <v>12981.0</v>
      </c>
      <c r="B12983" s="17">
        <f t="array" ref="B12983">SUM(1-'Sparkling Model'!D$2:D$38^A12983)</f>
        <v>36.99442628</v>
      </c>
      <c r="C12983" s="8">
        <f t="array" ref="C12983">PRODUCT(1-'Sparkling Model'!D$2:D$38^A12983)</f>
        <v>0.9944370958</v>
      </c>
    </row>
    <row r="12984">
      <c r="A12984" s="6">
        <v>12982.0</v>
      </c>
      <c r="B12984" s="17">
        <f t="array" ref="B12984">SUM(1-'Sparkling Model'!D$2:D$38^A12984)</f>
        <v>36.99442904</v>
      </c>
      <c r="C12984" s="8">
        <f t="array" ref="C12984">PRODUCT(1-'Sparkling Model'!D$2:D$38^A12984)</f>
        <v>0.9944398492</v>
      </c>
    </row>
    <row r="12985">
      <c r="A12985" s="6">
        <v>12983.0</v>
      </c>
      <c r="B12985" s="17">
        <f t="array" ref="B12985">SUM(1-'Sparkling Model'!D$2:D$38^A12985)</f>
        <v>36.9944318</v>
      </c>
      <c r="C12985" s="8">
        <f t="array" ref="C12985">PRODUCT(1-'Sparkling Model'!D$2:D$38^A12985)</f>
        <v>0.9944426011</v>
      </c>
    </row>
    <row r="12986">
      <c r="A12986" s="6">
        <v>12984.0</v>
      </c>
      <c r="B12986" s="17">
        <f t="array" ref="B12986">SUM(1-'Sparkling Model'!D$2:D$38^A12986)</f>
        <v>36.99443457</v>
      </c>
      <c r="C12986" s="8">
        <f t="array" ref="C12986">PRODUCT(1-'Sparkling Model'!D$2:D$38^A12986)</f>
        <v>0.9944453517</v>
      </c>
    </row>
    <row r="12987">
      <c r="A12987" s="6">
        <v>12985.0</v>
      </c>
      <c r="B12987" s="17">
        <f t="array" ref="B12987">SUM(1-'Sparkling Model'!D$2:D$38^A12987)</f>
        <v>36.99443733</v>
      </c>
      <c r="C12987" s="8">
        <f t="array" ref="C12987">PRODUCT(1-'Sparkling Model'!D$2:D$38^A12987)</f>
        <v>0.9944481009</v>
      </c>
    </row>
    <row r="12988">
      <c r="A12988" s="6">
        <v>12986.0</v>
      </c>
      <c r="B12988" s="17">
        <f t="array" ref="B12988">SUM(1-'Sparkling Model'!D$2:D$38^A12988)</f>
        <v>36.99444008</v>
      </c>
      <c r="C12988" s="8">
        <f t="array" ref="C12988">PRODUCT(1-'Sparkling Model'!D$2:D$38^A12988)</f>
        <v>0.9944508488</v>
      </c>
    </row>
    <row r="12989">
      <c r="A12989" s="6">
        <v>12987.0</v>
      </c>
      <c r="B12989" s="17">
        <f t="array" ref="B12989">SUM(1-'Sparkling Model'!D$2:D$38^A12989)</f>
        <v>36.99444284</v>
      </c>
      <c r="C12989" s="8">
        <f t="array" ref="C12989">PRODUCT(1-'Sparkling Model'!D$2:D$38^A12989)</f>
        <v>0.9944535953</v>
      </c>
    </row>
    <row r="12990">
      <c r="A12990" s="6">
        <v>12988.0</v>
      </c>
      <c r="B12990" s="17">
        <f t="array" ref="B12990">SUM(1-'Sparkling Model'!D$2:D$38^A12990)</f>
        <v>36.9944456</v>
      </c>
      <c r="C12990" s="8">
        <f t="array" ref="C12990">PRODUCT(1-'Sparkling Model'!D$2:D$38^A12990)</f>
        <v>0.9944563404</v>
      </c>
    </row>
    <row r="12991">
      <c r="A12991" s="6">
        <v>12989.0</v>
      </c>
      <c r="B12991" s="17">
        <f t="array" ref="B12991">SUM(1-'Sparkling Model'!D$2:D$38^A12991)</f>
        <v>36.99444835</v>
      </c>
      <c r="C12991" s="8">
        <f t="array" ref="C12991">PRODUCT(1-'Sparkling Model'!D$2:D$38^A12991)</f>
        <v>0.9944590841</v>
      </c>
    </row>
    <row r="12992">
      <c r="A12992" s="6">
        <v>12990.0</v>
      </c>
      <c r="B12992" s="17">
        <f t="array" ref="B12992">SUM(1-'Sparkling Model'!D$2:D$38^A12992)</f>
        <v>36.99445111</v>
      </c>
      <c r="C12992" s="8">
        <f t="array" ref="C12992">PRODUCT(1-'Sparkling Model'!D$2:D$38^A12992)</f>
        <v>0.9944618265</v>
      </c>
    </row>
    <row r="12993">
      <c r="A12993" s="6">
        <v>12991.0</v>
      </c>
      <c r="B12993" s="17">
        <f t="array" ref="B12993">SUM(1-'Sparkling Model'!D$2:D$38^A12993)</f>
        <v>36.99445386</v>
      </c>
      <c r="C12993" s="8">
        <f t="array" ref="C12993">PRODUCT(1-'Sparkling Model'!D$2:D$38^A12993)</f>
        <v>0.9944645676</v>
      </c>
    </row>
    <row r="12994">
      <c r="A12994" s="6">
        <v>12992.0</v>
      </c>
      <c r="B12994" s="17">
        <f t="array" ref="B12994">SUM(1-'Sparkling Model'!D$2:D$38^A12994)</f>
        <v>36.99445661</v>
      </c>
      <c r="C12994" s="8">
        <f t="array" ref="C12994">PRODUCT(1-'Sparkling Model'!D$2:D$38^A12994)</f>
        <v>0.9944673073</v>
      </c>
    </row>
    <row r="12995">
      <c r="A12995" s="6">
        <v>12993.0</v>
      </c>
      <c r="B12995" s="17">
        <f t="array" ref="B12995">SUM(1-'Sparkling Model'!D$2:D$38^A12995)</f>
        <v>36.99445936</v>
      </c>
      <c r="C12995" s="8">
        <f t="array" ref="C12995">PRODUCT(1-'Sparkling Model'!D$2:D$38^A12995)</f>
        <v>0.9944700456</v>
      </c>
    </row>
    <row r="12996">
      <c r="A12996" s="6">
        <v>12994.0</v>
      </c>
      <c r="B12996" s="17">
        <f t="array" ref="B12996">SUM(1-'Sparkling Model'!D$2:D$38^A12996)</f>
        <v>36.9944621</v>
      </c>
      <c r="C12996" s="8">
        <f t="array" ref="C12996">PRODUCT(1-'Sparkling Model'!D$2:D$38^A12996)</f>
        <v>0.9944727825</v>
      </c>
    </row>
    <row r="12997">
      <c r="A12997" s="6">
        <v>12995.0</v>
      </c>
      <c r="B12997" s="17">
        <f t="array" ref="B12997">SUM(1-'Sparkling Model'!D$2:D$38^A12997)</f>
        <v>36.99446485</v>
      </c>
      <c r="C12997" s="8">
        <f t="array" ref="C12997">PRODUCT(1-'Sparkling Model'!D$2:D$38^A12997)</f>
        <v>0.9944755181</v>
      </c>
    </row>
    <row r="12998">
      <c r="A12998" s="6">
        <v>12996.0</v>
      </c>
      <c r="B12998" s="17">
        <f t="array" ref="B12998">SUM(1-'Sparkling Model'!D$2:D$38^A12998)</f>
        <v>36.9944676</v>
      </c>
      <c r="C12998" s="8">
        <f t="array" ref="C12998">PRODUCT(1-'Sparkling Model'!D$2:D$38^A12998)</f>
        <v>0.9944782524</v>
      </c>
    </row>
    <row r="12999">
      <c r="A12999" s="6">
        <v>12997.0</v>
      </c>
      <c r="B12999" s="17">
        <f t="array" ref="B12999">SUM(1-'Sparkling Model'!D$2:D$38^A12999)</f>
        <v>36.99447034</v>
      </c>
      <c r="C12999" s="8">
        <f t="array" ref="C12999">PRODUCT(1-'Sparkling Model'!D$2:D$38^A12999)</f>
        <v>0.9944809853</v>
      </c>
    </row>
    <row r="13000">
      <c r="A13000" s="6">
        <v>12998.0</v>
      </c>
      <c r="B13000" s="17">
        <f t="array" ref="B13000">SUM(1-'Sparkling Model'!D$2:D$38^A13000)</f>
        <v>36.99447308</v>
      </c>
      <c r="C13000" s="8">
        <f t="array" ref="C13000">PRODUCT(1-'Sparkling Model'!D$2:D$38^A13000)</f>
        <v>0.9944837168</v>
      </c>
    </row>
    <row r="13001">
      <c r="A13001" s="6">
        <v>12999.0</v>
      </c>
      <c r="B13001" s="17">
        <f t="array" ref="B13001">SUM(1-'Sparkling Model'!D$2:D$38^A13001)</f>
        <v>36.99447582</v>
      </c>
      <c r="C13001" s="8">
        <f t="array" ref="C13001">PRODUCT(1-'Sparkling Model'!D$2:D$38^A13001)</f>
        <v>0.994486447</v>
      </c>
    </row>
    <row r="13002">
      <c r="A13002" s="6">
        <v>13000.0</v>
      </c>
      <c r="B13002" s="17">
        <f t="array" ref="B13002">SUM(1-'Sparkling Model'!D$2:D$38^A13002)</f>
        <v>36.99447856</v>
      </c>
      <c r="C13002" s="8">
        <f t="array" ref="C13002">PRODUCT(1-'Sparkling Model'!D$2:D$38^A13002)</f>
        <v>0.9944891758</v>
      </c>
    </row>
    <row r="13003">
      <c r="A13003" s="6">
        <v>13001.0</v>
      </c>
      <c r="B13003" s="17">
        <f t="array" ref="B13003">SUM(1-'Sparkling Model'!D$2:D$38^A13003)</f>
        <v>36.9944813</v>
      </c>
      <c r="C13003" s="8">
        <f t="array" ref="C13003">PRODUCT(1-'Sparkling Model'!D$2:D$38^A13003)</f>
        <v>0.9944919033</v>
      </c>
    </row>
    <row r="13004">
      <c r="A13004" s="6">
        <v>13002.0</v>
      </c>
      <c r="B13004" s="17">
        <f t="array" ref="B13004">SUM(1-'Sparkling Model'!D$2:D$38^A13004)</f>
        <v>36.99448404</v>
      </c>
      <c r="C13004" s="8">
        <f t="array" ref="C13004">PRODUCT(1-'Sparkling Model'!D$2:D$38^A13004)</f>
        <v>0.9944946294</v>
      </c>
    </row>
    <row r="13005">
      <c r="A13005" s="6">
        <v>13003.0</v>
      </c>
      <c r="B13005" s="17">
        <f t="array" ref="B13005">SUM(1-'Sparkling Model'!D$2:D$38^A13005)</f>
        <v>36.99448677</v>
      </c>
      <c r="C13005" s="8">
        <f t="array" ref="C13005">PRODUCT(1-'Sparkling Model'!D$2:D$38^A13005)</f>
        <v>0.9944973541</v>
      </c>
    </row>
    <row r="13006">
      <c r="A13006" s="6">
        <v>13004.0</v>
      </c>
      <c r="B13006" s="17">
        <f t="array" ref="B13006">SUM(1-'Sparkling Model'!D$2:D$38^A13006)</f>
        <v>36.99448951</v>
      </c>
      <c r="C13006" s="8">
        <f t="array" ref="C13006">PRODUCT(1-'Sparkling Model'!D$2:D$38^A13006)</f>
        <v>0.9945000775</v>
      </c>
    </row>
    <row r="13007">
      <c r="A13007" s="6">
        <v>13005.0</v>
      </c>
      <c r="B13007" s="17">
        <f t="array" ref="B13007">SUM(1-'Sparkling Model'!D$2:D$38^A13007)</f>
        <v>36.99449224</v>
      </c>
      <c r="C13007" s="8">
        <f t="array" ref="C13007">PRODUCT(1-'Sparkling Model'!D$2:D$38^A13007)</f>
        <v>0.9945027996</v>
      </c>
    </row>
    <row r="13008">
      <c r="A13008" s="6">
        <v>13006.0</v>
      </c>
      <c r="B13008" s="17">
        <f t="array" ref="B13008">SUM(1-'Sparkling Model'!D$2:D$38^A13008)</f>
        <v>36.99449497</v>
      </c>
      <c r="C13008" s="8">
        <f t="array" ref="C13008">PRODUCT(1-'Sparkling Model'!D$2:D$38^A13008)</f>
        <v>0.9945055203</v>
      </c>
    </row>
    <row r="13009">
      <c r="A13009" s="6">
        <v>13007.0</v>
      </c>
      <c r="B13009" s="17">
        <f t="array" ref="B13009">SUM(1-'Sparkling Model'!D$2:D$38^A13009)</f>
        <v>36.9944977</v>
      </c>
      <c r="C13009" s="8">
        <f t="array" ref="C13009">PRODUCT(1-'Sparkling Model'!D$2:D$38^A13009)</f>
        <v>0.9945082396</v>
      </c>
    </row>
    <row r="13010">
      <c r="A13010" s="6">
        <v>13008.0</v>
      </c>
      <c r="B13010" s="17">
        <f t="array" ref="B13010">SUM(1-'Sparkling Model'!D$2:D$38^A13010)</f>
        <v>36.99450043</v>
      </c>
      <c r="C13010" s="8">
        <f t="array" ref="C13010">PRODUCT(1-'Sparkling Model'!D$2:D$38^A13010)</f>
        <v>0.9945109576</v>
      </c>
    </row>
    <row r="13011">
      <c r="A13011" s="6">
        <v>13009.0</v>
      </c>
      <c r="B13011" s="17">
        <f t="array" ref="B13011">SUM(1-'Sparkling Model'!D$2:D$38^A13011)</f>
        <v>36.99450315</v>
      </c>
      <c r="C13011" s="8">
        <f t="array" ref="C13011">PRODUCT(1-'Sparkling Model'!D$2:D$38^A13011)</f>
        <v>0.9945136743</v>
      </c>
    </row>
    <row r="13012">
      <c r="A13012" s="6">
        <v>13010.0</v>
      </c>
      <c r="B13012" s="17">
        <f t="array" ref="B13012">SUM(1-'Sparkling Model'!D$2:D$38^A13012)</f>
        <v>36.99450588</v>
      </c>
      <c r="C13012" s="8">
        <f t="array" ref="C13012">PRODUCT(1-'Sparkling Model'!D$2:D$38^A13012)</f>
        <v>0.9945163896</v>
      </c>
    </row>
    <row r="13013">
      <c r="A13013" s="6">
        <v>13011.0</v>
      </c>
      <c r="B13013" s="17">
        <f t="array" ref="B13013">SUM(1-'Sparkling Model'!D$2:D$38^A13013)</f>
        <v>36.9945086</v>
      </c>
      <c r="C13013" s="8">
        <f t="array" ref="C13013">PRODUCT(1-'Sparkling Model'!D$2:D$38^A13013)</f>
        <v>0.9945191035</v>
      </c>
    </row>
    <row r="13014">
      <c r="A13014" s="6">
        <v>13012.0</v>
      </c>
      <c r="B13014" s="17">
        <f t="array" ref="B13014">SUM(1-'Sparkling Model'!D$2:D$38^A13014)</f>
        <v>36.99451133</v>
      </c>
      <c r="C13014" s="8">
        <f t="array" ref="C13014">PRODUCT(1-'Sparkling Model'!D$2:D$38^A13014)</f>
        <v>0.9945218161</v>
      </c>
    </row>
    <row r="13015">
      <c r="A13015" s="6">
        <v>13013.0</v>
      </c>
      <c r="B13015" s="17">
        <f t="array" ref="B13015">SUM(1-'Sparkling Model'!D$2:D$38^A13015)</f>
        <v>36.99451405</v>
      </c>
      <c r="C13015" s="8">
        <f t="array" ref="C13015">PRODUCT(1-'Sparkling Model'!D$2:D$38^A13015)</f>
        <v>0.9945245274</v>
      </c>
    </row>
    <row r="13016">
      <c r="A13016" s="6">
        <v>13014.0</v>
      </c>
      <c r="B13016" s="17">
        <f t="array" ref="B13016">SUM(1-'Sparkling Model'!D$2:D$38^A13016)</f>
        <v>36.99451677</v>
      </c>
      <c r="C13016" s="8">
        <f t="array" ref="C13016">PRODUCT(1-'Sparkling Model'!D$2:D$38^A13016)</f>
        <v>0.9945272373</v>
      </c>
    </row>
    <row r="13017">
      <c r="A13017" s="6">
        <v>13015.0</v>
      </c>
      <c r="B13017" s="17">
        <f t="array" ref="B13017">SUM(1-'Sparkling Model'!D$2:D$38^A13017)</f>
        <v>36.99451949</v>
      </c>
      <c r="C13017" s="8">
        <f t="array" ref="C13017">PRODUCT(1-'Sparkling Model'!D$2:D$38^A13017)</f>
        <v>0.9945299459</v>
      </c>
    </row>
    <row r="13018">
      <c r="A13018" s="6">
        <v>13016.0</v>
      </c>
      <c r="B13018" s="17">
        <f t="array" ref="B13018">SUM(1-'Sparkling Model'!D$2:D$38^A13018)</f>
        <v>36.99452221</v>
      </c>
      <c r="C13018" s="8">
        <f t="array" ref="C13018">PRODUCT(1-'Sparkling Model'!D$2:D$38^A13018)</f>
        <v>0.9945326531</v>
      </c>
    </row>
    <row r="13019">
      <c r="A13019" s="6">
        <v>13017.0</v>
      </c>
      <c r="B13019" s="17">
        <f t="array" ref="B13019">SUM(1-'Sparkling Model'!D$2:D$38^A13019)</f>
        <v>36.99452492</v>
      </c>
      <c r="C13019" s="8">
        <f t="array" ref="C13019">PRODUCT(1-'Sparkling Model'!D$2:D$38^A13019)</f>
        <v>0.994535359</v>
      </c>
    </row>
    <row r="13020">
      <c r="A13020" s="6">
        <v>13018.0</v>
      </c>
      <c r="B13020" s="17">
        <f t="array" ref="B13020">SUM(1-'Sparkling Model'!D$2:D$38^A13020)</f>
        <v>36.99452764</v>
      </c>
      <c r="C13020" s="8">
        <f t="array" ref="C13020">PRODUCT(1-'Sparkling Model'!D$2:D$38^A13020)</f>
        <v>0.9945380635</v>
      </c>
    </row>
    <row r="13021">
      <c r="A13021" s="6">
        <v>13019.0</v>
      </c>
      <c r="B13021" s="17">
        <f t="array" ref="B13021">SUM(1-'Sparkling Model'!D$2:D$38^A13021)</f>
        <v>36.99453035</v>
      </c>
      <c r="C13021" s="8">
        <f t="array" ref="C13021">PRODUCT(1-'Sparkling Model'!D$2:D$38^A13021)</f>
        <v>0.9945407667</v>
      </c>
    </row>
    <row r="13022">
      <c r="A13022" s="6">
        <v>13020.0</v>
      </c>
      <c r="B13022" s="17">
        <f t="array" ref="B13022">SUM(1-'Sparkling Model'!D$2:D$38^A13022)</f>
        <v>36.99453306</v>
      </c>
      <c r="C13022" s="8">
        <f t="array" ref="C13022">PRODUCT(1-'Sparkling Model'!D$2:D$38^A13022)</f>
        <v>0.9945434685</v>
      </c>
    </row>
    <row r="13023">
      <c r="A13023" s="6">
        <v>13021.0</v>
      </c>
      <c r="B13023" s="17">
        <f t="array" ref="B13023">SUM(1-'Sparkling Model'!D$2:D$38^A13023)</f>
        <v>36.99453577</v>
      </c>
      <c r="C13023" s="8">
        <f t="array" ref="C13023">PRODUCT(1-'Sparkling Model'!D$2:D$38^A13023)</f>
        <v>0.9945461691</v>
      </c>
    </row>
    <row r="13024">
      <c r="A13024" s="6">
        <v>13022.0</v>
      </c>
      <c r="B13024" s="17">
        <f t="array" ref="B13024">SUM(1-'Sparkling Model'!D$2:D$38^A13024)</f>
        <v>36.99453848</v>
      </c>
      <c r="C13024" s="8">
        <f t="array" ref="C13024">PRODUCT(1-'Sparkling Model'!D$2:D$38^A13024)</f>
        <v>0.9945488682</v>
      </c>
    </row>
    <row r="13025">
      <c r="A13025" s="6">
        <v>13023.0</v>
      </c>
      <c r="B13025" s="17">
        <f t="array" ref="B13025">SUM(1-'Sparkling Model'!D$2:D$38^A13025)</f>
        <v>36.99454119</v>
      </c>
      <c r="C13025" s="8">
        <f t="array" ref="C13025">PRODUCT(1-'Sparkling Model'!D$2:D$38^A13025)</f>
        <v>0.9945515661</v>
      </c>
    </row>
    <row r="13026">
      <c r="A13026" s="6">
        <v>13024.0</v>
      </c>
      <c r="B13026" s="17">
        <f t="array" ref="B13026">SUM(1-'Sparkling Model'!D$2:D$38^A13026)</f>
        <v>36.9945439</v>
      </c>
      <c r="C13026" s="8">
        <f t="array" ref="C13026">PRODUCT(1-'Sparkling Model'!D$2:D$38^A13026)</f>
        <v>0.9945542625</v>
      </c>
    </row>
    <row r="13027">
      <c r="A13027" s="6">
        <v>13025.0</v>
      </c>
      <c r="B13027" s="17">
        <f t="array" ref="B13027">SUM(1-'Sparkling Model'!D$2:D$38^A13027)</f>
        <v>36.9945466</v>
      </c>
      <c r="C13027" s="8">
        <f t="array" ref="C13027">PRODUCT(1-'Sparkling Model'!D$2:D$38^A13027)</f>
        <v>0.9945569577</v>
      </c>
    </row>
    <row r="13028">
      <c r="A13028" s="6">
        <v>13026.0</v>
      </c>
      <c r="B13028" s="17">
        <f t="array" ref="B13028">SUM(1-'Sparkling Model'!D$2:D$38^A13028)</f>
        <v>36.99454931</v>
      </c>
      <c r="C13028" s="8">
        <f t="array" ref="C13028">PRODUCT(1-'Sparkling Model'!D$2:D$38^A13028)</f>
        <v>0.9945596515</v>
      </c>
    </row>
    <row r="13029">
      <c r="A13029" s="6">
        <v>13027.0</v>
      </c>
      <c r="B13029" s="17">
        <f t="array" ref="B13029">SUM(1-'Sparkling Model'!D$2:D$38^A13029)</f>
        <v>36.99455201</v>
      </c>
      <c r="C13029" s="8">
        <f t="array" ref="C13029">PRODUCT(1-'Sparkling Model'!D$2:D$38^A13029)</f>
        <v>0.994562344</v>
      </c>
    </row>
    <row r="13030">
      <c r="A13030" s="6">
        <v>13028.0</v>
      </c>
      <c r="B13030" s="17">
        <f t="array" ref="B13030">SUM(1-'Sparkling Model'!D$2:D$38^A13030)</f>
        <v>36.99455471</v>
      </c>
      <c r="C13030" s="8">
        <f t="array" ref="C13030">PRODUCT(1-'Sparkling Model'!D$2:D$38^A13030)</f>
        <v>0.9945650351</v>
      </c>
    </row>
    <row r="13031">
      <c r="A13031" s="6">
        <v>13029.0</v>
      </c>
      <c r="B13031" s="17">
        <f t="array" ref="B13031">SUM(1-'Sparkling Model'!D$2:D$38^A13031)</f>
        <v>36.99455741</v>
      </c>
      <c r="C13031" s="8">
        <f t="array" ref="C13031">PRODUCT(1-'Sparkling Model'!D$2:D$38^A13031)</f>
        <v>0.9945677249</v>
      </c>
    </row>
    <row r="13032">
      <c r="A13032" s="6">
        <v>13030.0</v>
      </c>
      <c r="B13032" s="17">
        <f t="array" ref="B13032">SUM(1-'Sparkling Model'!D$2:D$38^A13032)</f>
        <v>36.99456011</v>
      </c>
      <c r="C13032" s="8">
        <f t="array" ref="C13032">PRODUCT(1-'Sparkling Model'!D$2:D$38^A13032)</f>
        <v>0.9945704134</v>
      </c>
    </row>
    <row r="13033">
      <c r="A13033" s="6">
        <v>13031.0</v>
      </c>
      <c r="B13033" s="17">
        <f t="array" ref="B13033">SUM(1-'Sparkling Model'!D$2:D$38^A13033)</f>
        <v>36.99456281</v>
      </c>
      <c r="C13033" s="8">
        <f t="array" ref="C13033">PRODUCT(1-'Sparkling Model'!D$2:D$38^A13033)</f>
        <v>0.9945731005</v>
      </c>
    </row>
    <row r="13034">
      <c r="A13034" s="6">
        <v>13032.0</v>
      </c>
      <c r="B13034" s="17">
        <f t="array" ref="B13034">SUM(1-'Sparkling Model'!D$2:D$38^A13034)</f>
        <v>36.99456551</v>
      </c>
      <c r="C13034" s="8">
        <f t="array" ref="C13034">PRODUCT(1-'Sparkling Model'!D$2:D$38^A13034)</f>
        <v>0.9945757863</v>
      </c>
    </row>
    <row r="13035">
      <c r="A13035" s="6">
        <v>13033.0</v>
      </c>
      <c r="B13035" s="17">
        <f t="array" ref="B13035">SUM(1-'Sparkling Model'!D$2:D$38^A13035)</f>
        <v>36.9945682</v>
      </c>
      <c r="C13035" s="8">
        <f t="array" ref="C13035">PRODUCT(1-'Sparkling Model'!D$2:D$38^A13035)</f>
        <v>0.9945784708</v>
      </c>
    </row>
    <row r="13036">
      <c r="A13036" s="6">
        <v>13034.0</v>
      </c>
      <c r="B13036" s="17">
        <f t="array" ref="B13036">SUM(1-'Sparkling Model'!D$2:D$38^A13036)</f>
        <v>36.99457089</v>
      </c>
      <c r="C13036" s="8">
        <f t="array" ref="C13036">PRODUCT(1-'Sparkling Model'!D$2:D$38^A13036)</f>
        <v>0.9945811539</v>
      </c>
    </row>
    <row r="13037">
      <c r="A13037" s="6">
        <v>13035.0</v>
      </c>
      <c r="B13037" s="17">
        <f t="array" ref="B13037">SUM(1-'Sparkling Model'!D$2:D$38^A13037)</f>
        <v>36.99457359</v>
      </c>
      <c r="C13037" s="8">
        <f t="array" ref="C13037">PRODUCT(1-'Sparkling Model'!D$2:D$38^A13037)</f>
        <v>0.9945838357</v>
      </c>
    </row>
    <row r="13038">
      <c r="A13038" s="6">
        <v>13036.0</v>
      </c>
      <c r="B13038" s="17">
        <f t="array" ref="B13038">SUM(1-'Sparkling Model'!D$2:D$38^A13038)</f>
        <v>36.99457628</v>
      </c>
      <c r="C13038" s="8">
        <f t="array" ref="C13038">PRODUCT(1-'Sparkling Model'!D$2:D$38^A13038)</f>
        <v>0.9945865162</v>
      </c>
    </row>
    <row r="13039">
      <c r="A13039" s="6">
        <v>13037.0</v>
      </c>
      <c r="B13039" s="17">
        <f t="array" ref="B13039">SUM(1-'Sparkling Model'!D$2:D$38^A13039)</f>
        <v>36.99457897</v>
      </c>
      <c r="C13039" s="8">
        <f t="array" ref="C13039">PRODUCT(1-'Sparkling Model'!D$2:D$38^A13039)</f>
        <v>0.9945891953</v>
      </c>
    </row>
    <row r="13040">
      <c r="A13040" s="6">
        <v>13038.0</v>
      </c>
      <c r="B13040" s="17">
        <f t="array" ref="B13040">SUM(1-'Sparkling Model'!D$2:D$38^A13040)</f>
        <v>36.99458165</v>
      </c>
      <c r="C13040" s="8">
        <f t="array" ref="C13040">PRODUCT(1-'Sparkling Model'!D$2:D$38^A13040)</f>
        <v>0.9945918731</v>
      </c>
    </row>
    <row r="13041">
      <c r="A13041" s="6">
        <v>13039.0</v>
      </c>
      <c r="B13041" s="17">
        <f t="array" ref="B13041">SUM(1-'Sparkling Model'!D$2:D$38^A13041)</f>
        <v>36.99458434</v>
      </c>
      <c r="C13041" s="8">
        <f t="array" ref="C13041">PRODUCT(1-'Sparkling Model'!D$2:D$38^A13041)</f>
        <v>0.9945945496</v>
      </c>
    </row>
    <row r="13042">
      <c r="A13042" s="6">
        <v>13040.0</v>
      </c>
      <c r="B13042" s="17">
        <f t="array" ref="B13042">SUM(1-'Sparkling Model'!D$2:D$38^A13042)</f>
        <v>36.99458703</v>
      </c>
      <c r="C13042" s="8">
        <f t="array" ref="C13042">PRODUCT(1-'Sparkling Model'!D$2:D$38^A13042)</f>
        <v>0.9945972248</v>
      </c>
    </row>
    <row r="13043">
      <c r="A13043" s="6">
        <v>13041.0</v>
      </c>
      <c r="B13043" s="17">
        <f t="array" ref="B13043">SUM(1-'Sparkling Model'!D$2:D$38^A13043)</f>
        <v>36.99458971</v>
      </c>
      <c r="C13043" s="8">
        <f t="array" ref="C13043">PRODUCT(1-'Sparkling Model'!D$2:D$38^A13043)</f>
        <v>0.9945998986</v>
      </c>
    </row>
    <row r="13044">
      <c r="A13044" s="6">
        <v>13042.0</v>
      </c>
      <c r="B13044" s="17">
        <f t="array" ref="B13044">SUM(1-'Sparkling Model'!D$2:D$38^A13044)</f>
        <v>36.99459239</v>
      </c>
      <c r="C13044" s="8">
        <f t="array" ref="C13044">PRODUCT(1-'Sparkling Model'!D$2:D$38^A13044)</f>
        <v>0.9946025711</v>
      </c>
    </row>
    <row r="13045">
      <c r="A13045" s="6">
        <v>13043.0</v>
      </c>
      <c r="B13045" s="17">
        <f t="array" ref="B13045">SUM(1-'Sparkling Model'!D$2:D$38^A13045)</f>
        <v>36.99459507</v>
      </c>
      <c r="C13045" s="8">
        <f t="array" ref="C13045">PRODUCT(1-'Sparkling Model'!D$2:D$38^A13045)</f>
        <v>0.9946052422</v>
      </c>
    </row>
    <row r="13046">
      <c r="A13046" s="6">
        <v>13044.0</v>
      </c>
      <c r="B13046" s="17">
        <f t="array" ref="B13046">SUM(1-'Sparkling Model'!D$2:D$38^A13046)</f>
        <v>36.99459775</v>
      </c>
      <c r="C13046" s="8">
        <f t="array" ref="C13046">PRODUCT(1-'Sparkling Model'!D$2:D$38^A13046)</f>
        <v>0.9946079121</v>
      </c>
    </row>
    <row r="13047">
      <c r="A13047" s="6">
        <v>13045.0</v>
      </c>
      <c r="B13047" s="17">
        <f t="array" ref="B13047">SUM(1-'Sparkling Model'!D$2:D$38^A13047)</f>
        <v>36.99460043</v>
      </c>
      <c r="C13047" s="8">
        <f t="array" ref="C13047">PRODUCT(1-'Sparkling Model'!D$2:D$38^A13047)</f>
        <v>0.9946105806</v>
      </c>
    </row>
    <row r="13048">
      <c r="A13048" s="6">
        <v>13046.0</v>
      </c>
      <c r="B13048" s="17">
        <f t="array" ref="B13048">SUM(1-'Sparkling Model'!D$2:D$38^A13048)</f>
        <v>36.99460311</v>
      </c>
      <c r="C13048" s="8">
        <f t="array" ref="C13048">PRODUCT(1-'Sparkling Model'!D$2:D$38^A13048)</f>
        <v>0.9946132478</v>
      </c>
    </row>
    <row r="13049">
      <c r="A13049" s="6">
        <v>13047.0</v>
      </c>
      <c r="B13049" s="17">
        <f t="array" ref="B13049">SUM(1-'Sparkling Model'!D$2:D$38^A13049)</f>
        <v>36.99460579</v>
      </c>
      <c r="C13049" s="8">
        <f t="array" ref="C13049">PRODUCT(1-'Sparkling Model'!D$2:D$38^A13049)</f>
        <v>0.9946159137</v>
      </c>
    </row>
    <row r="13050">
      <c r="A13050" s="6">
        <v>13048.0</v>
      </c>
      <c r="B13050" s="17">
        <f t="array" ref="B13050">SUM(1-'Sparkling Model'!D$2:D$38^A13050)</f>
        <v>36.99460846</v>
      </c>
      <c r="C13050" s="8">
        <f t="array" ref="C13050">PRODUCT(1-'Sparkling Model'!D$2:D$38^A13050)</f>
        <v>0.9946185782</v>
      </c>
    </row>
    <row r="13051">
      <c r="A13051" s="6">
        <v>13049.0</v>
      </c>
      <c r="B13051" s="17">
        <f t="array" ref="B13051">SUM(1-'Sparkling Model'!D$2:D$38^A13051)</f>
        <v>36.99461113</v>
      </c>
      <c r="C13051" s="8">
        <f t="array" ref="C13051">PRODUCT(1-'Sparkling Model'!D$2:D$38^A13051)</f>
        <v>0.9946212414</v>
      </c>
    </row>
    <row r="13052">
      <c r="A13052" s="6">
        <v>13050.0</v>
      </c>
      <c r="B13052" s="17">
        <f t="array" ref="B13052">SUM(1-'Sparkling Model'!D$2:D$38^A13052)</f>
        <v>36.9946138</v>
      </c>
      <c r="C13052" s="8">
        <f t="array" ref="C13052">PRODUCT(1-'Sparkling Model'!D$2:D$38^A13052)</f>
        <v>0.9946239033</v>
      </c>
    </row>
    <row r="13053">
      <c r="A13053" s="6">
        <v>13051.0</v>
      </c>
      <c r="B13053" s="17">
        <f t="array" ref="B13053">SUM(1-'Sparkling Model'!D$2:D$38^A13053)</f>
        <v>36.99461648</v>
      </c>
      <c r="C13053" s="8">
        <f t="array" ref="C13053">PRODUCT(1-'Sparkling Model'!D$2:D$38^A13053)</f>
        <v>0.9946265639</v>
      </c>
    </row>
    <row r="13054">
      <c r="A13054" s="6">
        <v>13052.0</v>
      </c>
      <c r="B13054" s="17">
        <f t="array" ref="B13054">SUM(1-'Sparkling Model'!D$2:D$38^A13054)</f>
        <v>36.99461914</v>
      </c>
      <c r="C13054" s="8">
        <f t="array" ref="C13054">PRODUCT(1-'Sparkling Model'!D$2:D$38^A13054)</f>
        <v>0.9946292232</v>
      </c>
    </row>
    <row r="13055">
      <c r="A13055" s="6">
        <v>13053.0</v>
      </c>
      <c r="B13055" s="17">
        <f t="array" ref="B13055">SUM(1-'Sparkling Model'!D$2:D$38^A13055)</f>
        <v>36.99462181</v>
      </c>
      <c r="C13055" s="8">
        <f t="array" ref="C13055">PRODUCT(1-'Sparkling Model'!D$2:D$38^A13055)</f>
        <v>0.9946318811</v>
      </c>
    </row>
    <row r="13056">
      <c r="A13056" s="6">
        <v>13054.0</v>
      </c>
      <c r="B13056" s="17">
        <f t="array" ref="B13056">SUM(1-'Sparkling Model'!D$2:D$38^A13056)</f>
        <v>36.99462448</v>
      </c>
      <c r="C13056" s="8">
        <f t="array" ref="C13056">PRODUCT(1-'Sparkling Model'!D$2:D$38^A13056)</f>
        <v>0.9946345377</v>
      </c>
    </row>
    <row r="13057">
      <c r="A13057" s="6">
        <v>13055.0</v>
      </c>
      <c r="B13057" s="17">
        <f t="array" ref="B13057">SUM(1-'Sparkling Model'!D$2:D$38^A13057)</f>
        <v>36.99462714</v>
      </c>
      <c r="C13057" s="8">
        <f t="array" ref="C13057">PRODUCT(1-'Sparkling Model'!D$2:D$38^A13057)</f>
        <v>0.994637193</v>
      </c>
    </row>
    <row r="13058">
      <c r="A13058" s="6">
        <v>13056.0</v>
      </c>
      <c r="B13058" s="17">
        <f t="array" ref="B13058">SUM(1-'Sparkling Model'!D$2:D$38^A13058)</f>
        <v>36.99462981</v>
      </c>
      <c r="C13058" s="8">
        <f t="array" ref="C13058">PRODUCT(1-'Sparkling Model'!D$2:D$38^A13058)</f>
        <v>0.994639847</v>
      </c>
    </row>
    <row r="13059">
      <c r="A13059" s="6">
        <v>13057.0</v>
      </c>
      <c r="B13059" s="17">
        <f t="array" ref="B13059">SUM(1-'Sparkling Model'!D$2:D$38^A13059)</f>
        <v>36.99463247</v>
      </c>
      <c r="C13059" s="8">
        <f t="array" ref="C13059">PRODUCT(1-'Sparkling Model'!D$2:D$38^A13059)</f>
        <v>0.9946424997</v>
      </c>
    </row>
    <row r="13060">
      <c r="A13060" s="6">
        <v>13058.0</v>
      </c>
      <c r="B13060" s="17">
        <f t="array" ref="B13060">SUM(1-'Sparkling Model'!D$2:D$38^A13060)</f>
        <v>36.99463513</v>
      </c>
      <c r="C13060" s="8">
        <f t="array" ref="C13060">PRODUCT(1-'Sparkling Model'!D$2:D$38^A13060)</f>
        <v>0.994645151</v>
      </c>
    </row>
    <row r="13061">
      <c r="A13061" s="6">
        <v>13059.0</v>
      </c>
      <c r="B13061" s="17">
        <f t="array" ref="B13061">SUM(1-'Sparkling Model'!D$2:D$38^A13061)</f>
        <v>36.99463779</v>
      </c>
      <c r="C13061" s="8">
        <f t="array" ref="C13061">PRODUCT(1-'Sparkling Model'!D$2:D$38^A13061)</f>
        <v>0.994647801</v>
      </c>
    </row>
    <row r="13062">
      <c r="A13062" s="6">
        <v>13060.0</v>
      </c>
      <c r="B13062" s="17">
        <f t="array" ref="B13062">SUM(1-'Sparkling Model'!D$2:D$38^A13062)</f>
        <v>36.99464045</v>
      </c>
      <c r="C13062" s="8">
        <f t="array" ref="C13062">PRODUCT(1-'Sparkling Model'!D$2:D$38^A13062)</f>
        <v>0.9946504498</v>
      </c>
    </row>
    <row r="13063">
      <c r="A13063" s="6">
        <v>13061.0</v>
      </c>
      <c r="B13063" s="17">
        <f t="array" ref="B13063">SUM(1-'Sparkling Model'!D$2:D$38^A13063)</f>
        <v>36.99464311</v>
      </c>
      <c r="C13063" s="8">
        <f t="array" ref="C13063">PRODUCT(1-'Sparkling Model'!D$2:D$38^A13063)</f>
        <v>0.9946530972</v>
      </c>
    </row>
    <row r="13064">
      <c r="A13064" s="6">
        <v>13062.0</v>
      </c>
      <c r="B13064" s="17">
        <f t="array" ref="B13064">SUM(1-'Sparkling Model'!D$2:D$38^A13064)</f>
        <v>36.99464576</v>
      </c>
      <c r="C13064" s="8">
        <f t="array" ref="C13064">PRODUCT(1-'Sparkling Model'!D$2:D$38^A13064)</f>
        <v>0.9946557432</v>
      </c>
    </row>
    <row r="13065">
      <c r="A13065" s="6">
        <v>13063.0</v>
      </c>
      <c r="B13065" s="17">
        <f t="array" ref="B13065">SUM(1-'Sparkling Model'!D$2:D$38^A13065)</f>
        <v>36.99464842</v>
      </c>
      <c r="C13065" s="8">
        <f t="array" ref="C13065">PRODUCT(1-'Sparkling Model'!D$2:D$38^A13065)</f>
        <v>0.994658388</v>
      </c>
    </row>
    <row r="13066">
      <c r="A13066" s="6">
        <v>13064.0</v>
      </c>
      <c r="B13066" s="17">
        <f t="array" ref="B13066">SUM(1-'Sparkling Model'!D$2:D$38^A13066)</f>
        <v>36.99465107</v>
      </c>
      <c r="C13066" s="8">
        <f t="array" ref="C13066">PRODUCT(1-'Sparkling Model'!D$2:D$38^A13066)</f>
        <v>0.9946610315</v>
      </c>
    </row>
    <row r="13067">
      <c r="A13067" s="6">
        <v>13065.0</v>
      </c>
      <c r="B13067" s="17">
        <f t="array" ref="B13067">SUM(1-'Sparkling Model'!D$2:D$38^A13067)</f>
        <v>36.99465373</v>
      </c>
      <c r="C13067" s="8">
        <f t="array" ref="C13067">PRODUCT(1-'Sparkling Model'!D$2:D$38^A13067)</f>
        <v>0.9946636736</v>
      </c>
    </row>
    <row r="13068">
      <c r="A13068" s="6">
        <v>13066.0</v>
      </c>
      <c r="B13068" s="17">
        <f t="array" ref="B13068">SUM(1-'Sparkling Model'!D$2:D$38^A13068)</f>
        <v>36.99465638</v>
      </c>
      <c r="C13068" s="8">
        <f t="array" ref="C13068">PRODUCT(1-'Sparkling Model'!D$2:D$38^A13068)</f>
        <v>0.9946663145</v>
      </c>
    </row>
    <row r="13069">
      <c r="A13069" s="6">
        <v>13067.0</v>
      </c>
      <c r="B13069" s="17">
        <f t="array" ref="B13069">SUM(1-'Sparkling Model'!D$2:D$38^A13069)</f>
        <v>36.99465903</v>
      </c>
      <c r="C13069" s="8">
        <f t="array" ref="C13069">PRODUCT(1-'Sparkling Model'!D$2:D$38^A13069)</f>
        <v>0.994668954</v>
      </c>
    </row>
    <row r="13070">
      <c r="A13070" s="6">
        <v>13068.0</v>
      </c>
      <c r="B13070" s="17">
        <f t="array" ref="B13070">SUM(1-'Sparkling Model'!D$2:D$38^A13070)</f>
        <v>36.99466167</v>
      </c>
      <c r="C13070" s="8">
        <f t="array" ref="C13070">PRODUCT(1-'Sparkling Model'!D$2:D$38^A13070)</f>
        <v>0.9946715922</v>
      </c>
    </row>
    <row r="13071">
      <c r="A13071" s="6">
        <v>13069.0</v>
      </c>
      <c r="B13071" s="17">
        <f t="array" ref="B13071">SUM(1-'Sparkling Model'!D$2:D$38^A13071)</f>
        <v>36.99466432</v>
      </c>
      <c r="C13071" s="8">
        <f t="array" ref="C13071">PRODUCT(1-'Sparkling Model'!D$2:D$38^A13071)</f>
        <v>0.9946742291</v>
      </c>
    </row>
    <row r="13072">
      <c r="A13072" s="6">
        <v>13070.0</v>
      </c>
      <c r="B13072" s="17">
        <f t="array" ref="B13072">SUM(1-'Sparkling Model'!D$2:D$38^A13072)</f>
        <v>36.99466697</v>
      </c>
      <c r="C13072" s="8">
        <f t="array" ref="C13072">PRODUCT(1-'Sparkling Model'!D$2:D$38^A13072)</f>
        <v>0.9946768647</v>
      </c>
    </row>
    <row r="13073">
      <c r="A13073" s="6">
        <v>13071.0</v>
      </c>
      <c r="B13073" s="17">
        <f t="array" ref="B13073">SUM(1-'Sparkling Model'!D$2:D$38^A13073)</f>
        <v>36.99466961</v>
      </c>
      <c r="C13073" s="8">
        <f t="array" ref="C13073">PRODUCT(1-'Sparkling Model'!D$2:D$38^A13073)</f>
        <v>0.994679499</v>
      </c>
    </row>
    <row r="13074">
      <c r="A13074" s="6">
        <v>13072.0</v>
      </c>
      <c r="B13074" s="17">
        <f t="array" ref="B13074">SUM(1-'Sparkling Model'!D$2:D$38^A13074)</f>
        <v>36.99467225</v>
      </c>
      <c r="C13074" s="8">
        <f t="array" ref="C13074">PRODUCT(1-'Sparkling Model'!D$2:D$38^A13074)</f>
        <v>0.994682132</v>
      </c>
    </row>
    <row r="13075">
      <c r="A13075" s="6">
        <v>13073.0</v>
      </c>
      <c r="B13075" s="17">
        <f t="array" ref="B13075">SUM(1-'Sparkling Model'!D$2:D$38^A13075)</f>
        <v>36.99467489</v>
      </c>
      <c r="C13075" s="8">
        <f t="array" ref="C13075">PRODUCT(1-'Sparkling Model'!D$2:D$38^A13075)</f>
        <v>0.9946847636</v>
      </c>
    </row>
    <row r="13076">
      <c r="A13076" s="6">
        <v>13074.0</v>
      </c>
      <c r="B13076" s="17">
        <f t="array" ref="B13076">SUM(1-'Sparkling Model'!D$2:D$38^A13076)</f>
        <v>36.99467753</v>
      </c>
      <c r="C13076" s="8">
        <f t="array" ref="C13076">PRODUCT(1-'Sparkling Model'!D$2:D$38^A13076)</f>
        <v>0.994687394</v>
      </c>
    </row>
    <row r="13077">
      <c r="A13077" s="6">
        <v>13075.0</v>
      </c>
      <c r="B13077" s="17">
        <f t="array" ref="B13077">SUM(1-'Sparkling Model'!D$2:D$38^A13077)</f>
        <v>36.99468017</v>
      </c>
      <c r="C13077" s="8">
        <f t="array" ref="C13077">PRODUCT(1-'Sparkling Model'!D$2:D$38^A13077)</f>
        <v>0.9946900231</v>
      </c>
    </row>
    <row r="13078">
      <c r="A13078" s="6">
        <v>13076.0</v>
      </c>
      <c r="B13078" s="17">
        <f t="array" ref="B13078">SUM(1-'Sparkling Model'!D$2:D$38^A13078)</f>
        <v>36.99468281</v>
      </c>
      <c r="C13078" s="8">
        <f t="array" ref="C13078">PRODUCT(1-'Sparkling Model'!D$2:D$38^A13078)</f>
        <v>0.9946926508</v>
      </c>
    </row>
    <row r="13079">
      <c r="A13079" s="6">
        <v>13077.0</v>
      </c>
      <c r="B13079" s="17">
        <f t="array" ref="B13079">SUM(1-'Sparkling Model'!D$2:D$38^A13079)</f>
        <v>36.99468545</v>
      </c>
      <c r="C13079" s="8">
        <f t="array" ref="C13079">PRODUCT(1-'Sparkling Model'!D$2:D$38^A13079)</f>
        <v>0.9946952773</v>
      </c>
    </row>
    <row r="13080">
      <c r="A13080" s="6">
        <v>13078.0</v>
      </c>
      <c r="B13080" s="17">
        <f t="array" ref="B13080">SUM(1-'Sparkling Model'!D$2:D$38^A13080)</f>
        <v>36.99468808</v>
      </c>
      <c r="C13080" s="8">
        <f t="array" ref="C13080">PRODUCT(1-'Sparkling Model'!D$2:D$38^A13080)</f>
        <v>0.9946979024</v>
      </c>
    </row>
    <row r="13081">
      <c r="A13081" s="6">
        <v>13079.0</v>
      </c>
      <c r="B13081" s="17">
        <f t="array" ref="B13081">SUM(1-'Sparkling Model'!D$2:D$38^A13081)</f>
        <v>36.99469072</v>
      </c>
      <c r="C13081" s="8">
        <f t="array" ref="C13081">PRODUCT(1-'Sparkling Model'!D$2:D$38^A13081)</f>
        <v>0.9947005263</v>
      </c>
    </row>
    <row r="13082">
      <c r="A13082" s="6">
        <v>13080.0</v>
      </c>
      <c r="B13082" s="17">
        <f t="array" ref="B13082">SUM(1-'Sparkling Model'!D$2:D$38^A13082)</f>
        <v>36.99469335</v>
      </c>
      <c r="C13082" s="8">
        <f t="array" ref="C13082">PRODUCT(1-'Sparkling Model'!D$2:D$38^A13082)</f>
        <v>0.9947031488</v>
      </c>
    </row>
    <row r="13083">
      <c r="A13083" s="6">
        <v>13081.0</v>
      </c>
      <c r="B13083" s="17">
        <f t="array" ref="B13083">SUM(1-'Sparkling Model'!D$2:D$38^A13083)</f>
        <v>36.99469598</v>
      </c>
      <c r="C13083" s="8">
        <f t="array" ref="C13083">PRODUCT(1-'Sparkling Model'!D$2:D$38^A13083)</f>
        <v>0.99470577</v>
      </c>
    </row>
    <row r="13084">
      <c r="A13084" s="6">
        <v>13082.0</v>
      </c>
      <c r="B13084" s="17">
        <f t="array" ref="B13084">SUM(1-'Sparkling Model'!D$2:D$38^A13084)</f>
        <v>36.99469861</v>
      </c>
      <c r="C13084" s="8">
        <f t="array" ref="C13084">PRODUCT(1-'Sparkling Model'!D$2:D$38^A13084)</f>
        <v>0.99470839</v>
      </c>
    </row>
    <row r="13085">
      <c r="A13085" s="6">
        <v>13083.0</v>
      </c>
      <c r="B13085" s="17">
        <f t="array" ref="B13085">SUM(1-'Sparkling Model'!D$2:D$38^A13085)</f>
        <v>36.99470124</v>
      </c>
      <c r="C13085" s="8">
        <f t="array" ref="C13085">PRODUCT(1-'Sparkling Model'!D$2:D$38^A13085)</f>
        <v>0.9947110086</v>
      </c>
    </row>
    <row r="13086">
      <c r="A13086" s="6">
        <v>13084.0</v>
      </c>
      <c r="B13086" s="17">
        <f t="array" ref="B13086">SUM(1-'Sparkling Model'!D$2:D$38^A13086)</f>
        <v>36.99470386</v>
      </c>
      <c r="C13086" s="8">
        <f t="array" ref="C13086">PRODUCT(1-'Sparkling Model'!D$2:D$38^A13086)</f>
        <v>0.994713626</v>
      </c>
    </row>
    <row r="13087">
      <c r="A13087" s="6">
        <v>13085.0</v>
      </c>
      <c r="B13087" s="17">
        <f t="array" ref="B13087">SUM(1-'Sparkling Model'!D$2:D$38^A13087)</f>
        <v>36.99470649</v>
      </c>
      <c r="C13087" s="8">
        <f t="array" ref="C13087">PRODUCT(1-'Sparkling Model'!D$2:D$38^A13087)</f>
        <v>0.994716242</v>
      </c>
    </row>
    <row r="13088">
      <c r="A13088" s="6">
        <v>13086.0</v>
      </c>
      <c r="B13088" s="17">
        <f t="array" ref="B13088">SUM(1-'Sparkling Model'!D$2:D$38^A13088)</f>
        <v>36.99470911</v>
      </c>
      <c r="C13088" s="8">
        <f t="array" ref="C13088">PRODUCT(1-'Sparkling Model'!D$2:D$38^A13088)</f>
        <v>0.9947188567</v>
      </c>
    </row>
    <row r="13089">
      <c r="A13089" s="6">
        <v>13087.0</v>
      </c>
      <c r="B13089" s="17">
        <f t="array" ref="B13089">SUM(1-'Sparkling Model'!D$2:D$38^A13089)</f>
        <v>36.99471174</v>
      </c>
      <c r="C13089" s="8">
        <f t="array" ref="C13089">PRODUCT(1-'Sparkling Model'!D$2:D$38^A13089)</f>
        <v>0.9947214702</v>
      </c>
    </row>
    <row r="13090">
      <c r="A13090" s="6">
        <v>13088.0</v>
      </c>
      <c r="B13090" s="17">
        <f t="array" ref="B13090">SUM(1-'Sparkling Model'!D$2:D$38^A13090)</f>
        <v>36.99471436</v>
      </c>
      <c r="C13090" s="8">
        <f t="array" ref="C13090">PRODUCT(1-'Sparkling Model'!D$2:D$38^A13090)</f>
        <v>0.9947240823</v>
      </c>
    </row>
    <row r="13091">
      <c r="A13091" s="6">
        <v>13089.0</v>
      </c>
      <c r="B13091" s="17">
        <f t="array" ref="B13091">SUM(1-'Sparkling Model'!D$2:D$38^A13091)</f>
        <v>36.99471698</v>
      </c>
      <c r="C13091" s="8">
        <f t="array" ref="C13091">PRODUCT(1-'Sparkling Model'!D$2:D$38^A13091)</f>
        <v>0.9947266932</v>
      </c>
    </row>
    <row r="13092">
      <c r="A13092" s="6">
        <v>13090.0</v>
      </c>
      <c r="B13092" s="17">
        <f t="array" ref="B13092">SUM(1-'Sparkling Model'!D$2:D$38^A13092)</f>
        <v>36.9947196</v>
      </c>
      <c r="C13092" s="8">
        <f t="array" ref="C13092">PRODUCT(1-'Sparkling Model'!D$2:D$38^A13092)</f>
        <v>0.9947293027</v>
      </c>
    </row>
    <row r="13093">
      <c r="A13093" s="6">
        <v>13091.0</v>
      </c>
      <c r="B13093" s="17">
        <f t="array" ref="B13093">SUM(1-'Sparkling Model'!D$2:D$38^A13093)</f>
        <v>36.99472222</v>
      </c>
      <c r="C13093" s="8">
        <f t="array" ref="C13093">PRODUCT(1-'Sparkling Model'!D$2:D$38^A13093)</f>
        <v>0.994731911</v>
      </c>
    </row>
    <row r="13094">
      <c r="A13094" s="6">
        <v>13092.0</v>
      </c>
      <c r="B13094" s="17">
        <f t="array" ref="B13094">SUM(1-'Sparkling Model'!D$2:D$38^A13094)</f>
        <v>36.99472483</v>
      </c>
      <c r="C13094" s="8">
        <f t="array" ref="C13094">PRODUCT(1-'Sparkling Model'!D$2:D$38^A13094)</f>
        <v>0.9947345179</v>
      </c>
    </row>
    <row r="13095">
      <c r="A13095" s="6">
        <v>13093.0</v>
      </c>
      <c r="B13095" s="17">
        <f t="array" ref="B13095">SUM(1-'Sparkling Model'!D$2:D$38^A13095)</f>
        <v>36.99472745</v>
      </c>
      <c r="C13095" s="8">
        <f t="array" ref="C13095">PRODUCT(1-'Sparkling Model'!D$2:D$38^A13095)</f>
        <v>0.9947371236</v>
      </c>
    </row>
    <row r="13096">
      <c r="A13096" s="6">
        <v>13094.0</v>
      </c>
      <c r="B13096" s="17">
        <f t="array" ref="B13096">SUM(1-'Sparkling Model'!D$2:D$38^A13096)</f>
        <v>36.99473006</v>
      </c>
      <c r="C13096" s="8">
        <f t="array" ref="C13096">PRODUCT(1-'Sparkling Model'!D$2:D$38^A13096)</f>
        <v>0.994739728</v>
      </c>
    </row>
    <row r="13097">
      <c r="A13097" s="6">
        <v>13095.0</v>
      </c>
      <c r="B13097" s="17">
        <f t="array" ref="B13097">SUM(1-'Sparkling Model'!D$2:D$38^A13097)</f>
        <v>36.99473268</v>
      </c>
      <c r="C13097" s="8">
        <f t="array" ref="C13097">PRODUCT(1-'Sparkling Model'!D$2:D$38^A13097)</f>
        <v>0.9947423311</v>
      </c>
    </row>
    <row r="13098">
      <c r="A13098" s="6">
        <v>13096.0</v>
      </c>
      <c r="B13098" s="17">
        <f t="array" ref="B13098">SUM(1-'Sparkling Model'!D$2:D$38^A13098)</f>
        <v>36.99473529</v>
      </c>
      <c r="C13098" s="8">
        <f t="array" ref="C13098">PRODUCT(1-'Sparkling Model'!D$2:D$38^A13098)</f>
        <v>0.9947449329</v>
      </c>
    </row>
    <row r="13099">
      <c r="A13099" s="6">
        <v>13097.0</v>
      </c>
      <c r="B13099" s="17">
        <f t="array" ref="B13099">SUM(1-'Sparkling Model'!D$2:D$38^A13099)</f>
        <v>36.9947379</v>
      </c>
      <c r="C13099" s="8">
        <f t="array" ref="C13099">PRODUCT(1-'Sparkling Model'!D$2:D$38^A13099)</f>
        <v>0.9947475334</v>
      </c>
    </row>
    <row r="13100">
      <c r="A13100" s="6">
        <v>13098.0</v>
      </c>
      <c r="B13100" s="17">
        <f t="array" ref="B13100">SUM(1-'Sparkling Model'!D$2:D$38^A13100)</f>
        <v>36.99474051</v>
      </c>
      <c r="C13100" s="8">
        <f t="array" ref="C13100">PRODUCT(1-'Sparkling Model'!D$2:D$38^A13100)</f>
        <v>0.9947501326</v>
      </c>
    </row>
    <row r="13101">
      <c r="A13101" s="6">
        <v>13099.0</v>
      </c>
      <c r="B13101" s="17">
        <f t="array" ref="B13101">SUM(1-'Sparkling Model'!D$2:D$38^A13101)</f>
        <v>36.99474311</v>
      </c>
      <c r="C13101" s="8">
        <f t="array" ref="C13101">PRODUCT(1-'Sparkling Model'!D$2:D$38^A13101)</f>
        <v>0.9947527305</v>
      </c>
    </row>
    <row r="13102">
      <c r="A13102" s="6">
        <v>13100.0</v>
      </c>
      <c r="B13102" s="17">
        <f t="array" ref="B13102">SUM(1-'Sparkling Model'!D$2:D$38^A13102)</f>
        <v>36.99474572</v>
      </c>
      <c r="C13102" s="8">
        <f t="array" ref="C13102">PRODUCT(1-'Sparkling Model'!D$2:D$38^A13102)</f>
        <v>0.9947553271</v>
      </c>
    </row>
    <row r="13103">
      <c r="A13103" s="6">
        <v>13101.0</v>
      </c>
      <c r="B13103" s="17">
        <f t="array" ref="B13103">SUM(1-'Sparkling Model'!D$2:D$38^A13103)</f>
        <v>36.99474832</v>
      </c>
      <c r="C13103" s="8">
        <f t="array" ref="C13103">PRODUCT(1-'Sparkling Model'!D$2:D$38^A13103)</f>
        <v>0.9947579225</v>
      </c>
    </row>
    <row r="13104">
      <c r="A13104" s="6">
        <v>13102.0</v>
      </c>
      <c r="B13104" s="17">
        <f t="array" ref="B13104">SUM(1-'Sparkling Model'!D$2:D$38^A13104)</f>
        <v>36.99475093</v>
      </c>
      <c r="C13104" s="8">
        <f t="array" ref="C13104">PRODUCT(1-'Sparkling Model'!D$2:D$38^A13104)</f>
        <v>0.9947605165</v>
      </c>
    </row>
    <row r="13105">
      <c r="A13105" s="6">
        <v>13103.0</v>
      </c>
      <c r="B13105" s="17">
        <f t="array" ref="B13105">SUM(1-'Sparkling Model'!D$2:D$38^A13105)</f>
        <v>36.99475353</v>
      </c>
      <c r="C13105" s="8">
        <f t="array" ref="C13105">PRODUCT(1-'Sparkling Model'!D$2:D$38^A13105)</f>
        <v>0.9947631093</v>
      </c>
    </row>
    <row r="13106">
      <c r="A13106" s="6">
        <v>13104.0</v>
      </c>
      <c r="B13106" s="17">
        <f t="array" ref="B13106">SUM(1-'Sparkling Model'!D$2:D$38^A13106)</f>
        <v>36.99475613</v>
      </c>
      <c r="C13106" s="8">
        <f t="array" ref="C13106">PRODUCT(1-'Sparkling Model'!D$2:D$38^A13106)</f>
        <v>0.9947657007</v>
      </c>
    </row>
    <row r="13107">
      <c r="A13107" s="6">
        <v>13105.0</v>
      </c>
      <c r="B13107" s="17">
        <f t="array" ref="B13107">SUM(1-'Sparkling Model'!D$2:D$38^A13107)</f>
        <v>36.99475873</v>
      </c>
      <c r="C13107" s="8">
        <f t="array" ref="C13107">PRODUCT(1-'Sparkling Model'!D$2:D$38^A13107)</f>
        <v>0.9947682909</v>
      </c>
    </row>
    <row r="13108">
      <c r="A13108" s="6">
        <v>13106.0</v>
      </c>
      <c r="B13108" s="17">
        <f t="array" ref="B13108">SUM(1-'Sparkling Model'!D$2:D$38^A13108)</f>
        <v>36.99476133</v>
      </c>
      <c r="C13108" s="8">
        <f t="array" ref="C13108">PRODUCT(1-'Sparkling Model'!D$2:D$38^A13108)</f>
        <v>0.9947708798</v>
      </c>
    </row>
    <row r="13109">
      <c r="A13109" s="6">
        <v>13107.0</v>
      </c>
      <c r="B13109" s="17">
        <f t="array" ref="B13109">SUM(1-'Sparkling Model'!D$2:D$38^A13109)</f>
        <v>36.99476393</v>
      </c>
      <c r="C13109" s="8">
        <f t="array" ref="C13109">PRODUCT(1-'Sparkling Model'!D$2:D$38^A13109)</f>
        <v>0.9947734675</v>
      </c>
    </row>
    <row r="13110">
      <c r="A13110" s="6">
        <v>13108.0</v>
      </c>
      <c r="B13110" s="17">
        <f t="array" ref="B13110">SUM(1-'Sparkling Model'!D$2:D$38^A13110)</f>
        <v>36.99476652</v>
      </c>
      <c r="C13110" s="8">
        <f t="array" ref="C13110">PRODUCT(1-'Sparkling Model'!D$2:D$38^A13110)</f>
        <v>0.9947760538</v>
      </c>
    </row>
    <row r="13111">
      <c r="A13111" s="6">
        <v>13109.0</v>
      </c>
      <c r="B13111" s="17">
        <f t="array" ref="B13111">SUM(1-'Sparkling Model'!D$2:D$38^A13111)</f>
        <v>36.99476912</v>
      </c>
      <c r="C13111" s="8">
        <f t="array" ref="C13111">PRODUCT(1-'Sparkling Model'!D$2:D$38^A13111)</f>
        <v>0.9947786388</v>
      </c>
    </row>
    <row r="13112">
      <c r="A13112" s="6">
        <v>13110.0</v>
      </c>
      <c r="B13112" s="17">
        <f t="array" ref="B13112">SUM(1-'Sparkling Model'!D$2:D$38^A13112)</f>
        <v>36.99477171</v>
      </c>
      <c r="C13112" s="8">
        <f t="array" ref="C13112">PRODUCT(1-'Sparkling Model'!D$2:D$38^A13112)</f>
        <v>0.9947812226</v>
      </c>
    </row>
    <row r="13113">
      <c r="A13113" s="6">
        <v>13111.0</v>
      </c>
      <c r="B13113" s="17">
        <f t="array" ref="B13113">SUM(1-'Sparkling Model'!D$2:D$38^A13113)</f>
        <v>36.9947743</v>
      </c>
      <c r="C13113" s="8">
        <f t="array" ref="C13113">PRODUCT(1-'Sparkling Model'!D$2:D$38^A13113)</f>
        <v>0.9947838051</v>
      </c>
    </row>
    <row r="13114">
      <c r="A13114" s="6">
        <v>13112.0</v>
      </c>
      <c r="B13114" s="17">
        <f t="array" ref="B13114">SUM(1-'Sparkling Model'!D$2:D$38^A13114)</f>
        <v>36.99477689</v>
      </c>
      <c r="C13114" s="8">
        <f t="array" ref="C13114">PRODUCT(1-'Sparkling Model'!D$2:D$38^A13114)</f>
        <v>0.9947863863</v>
      </c>
    </row>
    <row r="13115">
      <c r="A13115" s="6">
        <v>13113.0</v>
      </c>
      <c r="B13115" s="17">
        <f t="array" ref="B13115">SUM(1-'Sparkling Model'!D$2:D$38^A13115)</f>
        <v>36.99477948</v>
      </c>
      <c r="C13115" s="8">
        <f t="array" ref="C13115">PRODUCT(1-'Sparkling Model'!D$2:D$38^A13115)</f>
        <v>0.9947889662</v>
      </c>
    </row>
    <row r="13116">
      <c r="A13116" s="6">
        <v>13114.0</v>
      </c>
      <c r="B13116" s="17">
        <f t="array" ref="B13116">SUM(1-'Sparkling Model'!D$2:D$38^A13116)</f>
        <v>36.99478207</v>
      </c>
      <c r="C13116" s="8">
        <f t="array" ref="C13116">PRODUCT(1-'Sparkling Model'!D$2:D$38^A13116)</f>
        <v>0.9947915449</v>
      </c>
    </row>
    <row r="13117">
      <c r="A13117" s="6">
        <v>13115.0</v>
      </c>
      <c r="B13117" s="17">
        <f t="array" ref="B13117">SUM(1-'Sparkling Model'!D$2:D$38^A13117)</f>
        <v>36.99478466</v>
      </c>
      <c r="C13117" s="8">
        <f t="array" ref="C13117">PRODUCT(1-'Sparkling Model'!D$2:D$38^A13117)</f>
        <v>0.9947941222</v>
      </c>
    </row>
    <row r="13118">
      <c r="A13118" s="6">
        <v>13116.0</v>
      </c>
      <c r="B13118" s="17">
        <f t="array" ref="B13118">SUM(1-'Sparkling Model'!D$2:D$38^A13118)</f>
        <v>36.99478724</v>
      </c>
      <c r="C13118" s="8">
        <f t="array" ref="C13118">PRODUCT(1-'Sparkling Model'!D$2:D$38^A13118)</f>
        <v>0.9947966983</v>
      </c>
    </row>
    <row r="13119">
      <c r="A13119" s="6">
        <v>13117.0</v>
      </c>
      <c r="B13119" s="17">
        <f t="array" ref="B13119">SUM(1-'Sparkling Model'!D$2:D$38^A13119)</f>
        <v>36.99478983</v>
      </c>
      <c r="C13119" s="8">
        <f t="array" ref="C13119">PRODUCT(1-'Sparkling Model'!D$2:D$38^A13119)</f>
        <v>0.9947992731</v>
      </c>
    </row>
    <row r="13120">
      <c r="A13120" s="6">
        <v>13118.0</v>
      </c>
      <c r="B13120" s="17">
        <f t="array" ref="B13120">SUM(1-'Sparkling Model'!D$2:D$38^A13120)</f>
        <v>36.99479241</v>
      </c>
      <c r="C13120" s="8">
        <f t="array" ref="C13120">PRODUCT(1-'Sparkling Model'!D$2:D$38^A13120)</f>
        <v>0.9948018466</v>
      </c>
    </row>
    <row r="13121">
      <c r="A13121" s="6">
        <v>13119.0</v>
      </c>
      <c r="B13121" s="17">
        <f t="array" ref="B13121">SUM(1-'Sparkling Model'!D$2:D$38^A13121)</f>
        <v>36.99479499</v>
      </c>
      <c r="C13121" s="8">
        <f t="array" ref="C13121">PRODUCT(1-'Sparkling Model'!D$2:D$38^A13121)</f>
        <v>0.9948044189</v>
      </c>
    </row>
    <row r="13122">
      <c r="A13122" s="6">
        <v>13120.0</v>
      </c>
      <c r="B13122" s="17">
        <f t="array" ref="B13122">SUM(1-'Sparkling Model'!D$2:D$38^A13122)</f>
        <v>36.99479757</v>
      </c>
      <c r="C13122" s="8">
        <f t="array" ref="C13122">PRODUCT(1-'Sparkling Model'!D$2:D$38^A13122)</f>
        <v>0.9948069899</v>
      </c>
    </row>
    <row r="13123">
      <c r="A13123" s="6">
        <v>13121.0</v>
      </c>
      <c r="B13123" s="17">
        <f t="array" ref="B13123">SUM(1-'Sparkling Model'!D$2:D$38^A13123)</f>
        <v>36.99480015</v>
      </c>
      <c r="C13123" s="8">
        <f t="array" ref="C13123">PRODUCT(1-'Sparkling Model'!D$2:D$38^A13123)</f>
        <v>0.9948095596</v>
      </c>
    </row>
    <row r="13124">
      <c r="A13124" s="6">
        <v>13122.0</v>
      </c>
      <c r="B13124" s="17">
        <f t="array" ref="B13124">SUM(1-'Sparkling Model'!D$2:D$38^A13124)</f>
        <v>36.99480273</v>
      </c>
      <c r="C13124" s="8">
        <f t="array" ref="C13124">PRODUCT(1-'Sparkling Model'!D$2:D$38^A13124)</f>
        <v>0.994812128</v>
      </c>
    </row>
    <row r="13125">
      <c r="A13125" s="6">
        <v>13123.0</v>
      </c>
      <c r="B13125" s="17">
        <f t="array" ref="B13125">SUM(1-'Sparkling Model'!D$2:D$38^A13125)</f>
        <v>36.99480531</v>
      </c>
      <c r="C13125" s="8">
        <f t="array" ref="C13125">PRODUCT(1-'Sparkling Model'!D$2:D$38^A13125)</f>
        <v>0.9948146951</v>
      </c>
    </row>
    <row r="13126">
      <c r="A13126" s="6">
        <v>13124.0</v>
      </c>
      <c r="B13126" s="17">
        <f t="array" ref="B13126">SUM(1-'Sparkling Model'!D$2:D$38^A13126)</f>
        <v>36.99480788</v>
      </c>
      <c r="C13126" s="8">
        <f t="array" ref="C13126">PRODUCT(1-'Sparkling Model'!D$2:D$38^A13126)</f>
        <v>0.994817261</v>
      </c>
    </row>
    <row r="13127">
      <c r="A13127" s="6">
        <v>13125.0</v>
      </c>
      <c r="B13127" s="17">
        <f t="array" ref="B13127">SUM(1-'Sparkling Model'!D$2:D$38^A13127)</f>
        <v>36.99481045</v>
      </c>
      <c r="C13127" s="8">
        <f t="array" ref="C13127">PRODUCT(1-'Sparkling Model'!D$2:D$38^A13127)</f>
        <v>0.9948198256</v>
      </c>
    </row>
    <row r="13128">
      <c r="A13128" s="6">
        <v>13126.0</v>
      </c>
      <c r="B13128" s="17">
        <f t="array" ref="B13128">SUM(1-'Sparkling Model'!D$2:D$38^A13128)</f>
        <v>36.99481303</v>
      </c>
      <c r="C13128" s="8">
        <f t="array" ref="C13128">PRODUCT(1-'Sparkling Model'!D$2:D$38^A13128)</f>
        <v>0.9948223889</v>
      </c>
    </row>
    <row r="13129">
      <c r="A13129" s="6">
        <v>13127.0</v>
      </c>
      <c r="B13129" s="17">
        <f t="array" ref="B13129">SUM(1-'Sparkling Model'!D$2:D$38^A13129)</f>
        <v>36.9948156</v>
      </c>
      <c r="C13129" s="8">
        <f t="array" ref="C13129">PRODUCT(1-'Sparkling Model'!D$2:D$38^A13129)</f>
        <v>0.994824951</v>
      </c>
    </row>
    <row r="13130">
      <c r="A13130" s="6">
        <v>13128.0</v>
      </c>
      <c r="B13130" s="17">
        <f t="array" ref="B13130">SUM(1-'Sparkling Model'!D$2:D$38^A13130)</f>
        <v>36.99481817</v>
      </c>
      <c r="C13130" s="8">
        <f t="array" ref="C13130">PRODUCT(1-'Sparkling Model'!D$2:D$38^A13130)</f>
        <v>0.9948275117</v>
      </c>
    </row>
    <row r="13131">
      <c r="A13131" s="6">
        <v>13129.0</v>
      </c>
      <c r="B13131" s="17">
        <f t="array" ref="B13131">SUM(1-'Sparkling Model'!D$2:D$38^A13131)</f>
        <v>36.99482074</v>
      </c>
      <c r="C13131" s="8">
        <f t="array" ref="C13131">PRODUCT(1-'Sparkling Model'!D$2:D$38^A13131)</f>
        <v>0.9948300713</v>
      </c>
    </row>
    <row r="13132">
      <c r="A13132" s="6">
        <v>13130.0</v>
      </c>
      <c r="B13132" s="17">
        <f t="array" ref="B13132">SUM(1-'Sparkling Model'!D$2:D$38^A13132)</f>
        <v>36.99482331</v>
      </c>
      <c r="C13132" s="8">
        <f t="array" ref="C13132">PRODUCT(1-'Sparkling Model'!D$2:D$38^A13132)</f>
        <v>0.9948326295</v>
      </c>
    </row>
    <row r="13133">
      <c r="A13133" s="6">
        <v>13131.0</v>
      </c>
      <c r="B13133" s="17">
        <f t="array" ref="B13133">SUM(1-'Sparkling Model'!D$2:D$38^A13133)</f>
        <v>36.99482587</v>
      </c>
      <c r="C13133" s="8">
        <f t="array" ref="C13133">PRODUCT(1-'Sparkling Model'!D$2:D$38^A13133)</f>
        <v>0.9948351865</v>
      </c>
    </row>
    <row r="13134">
      <c r="A13134" s="6">
        <v>13132.0</v>
      </c>
      <c r="B13134" s="17">
        <f t="array" ref="B13134">SUM(1-'Sparkling Model'!D$2:D$38^A13134)</f>
        <v>36.99482844</v>
      </c>
      <c r="C13134" s="8">
        <f t="array" ref="C13134">PRODUCT(1-'Sparkling Model'!D$2:D$38^A13134)</f>
        <v>0.9948377422</v>
      </c>
    </row>
    <row r="13135">
      <c r="A13135" s="6">
        <v>13133.0</v>
      </c>
      <c r="B13135" s="17">
        <f t="array" ref="B13135">SUM(1-'Sparkling Model'!D$2:D$38^A13135)</f>
        <v>36.994831</v>
      </c>
      <c r="C13135" s="8">
        <f t="array" ref="C13135">PRODUCT(1-'Sparkling Model'!D$2:D$38^A13135)</f>
        <v>0.9948402966</v>
      </c>
    </row>
    <row r="13136">
      <c r="A13136" s="6">
        <v>13134.0</v>
      </c>
      <c r="B13136" s="17">
        <f t="array" ref="B13136">SUM(1-'Sparkling Model'!D$2:D$38^A13136)</f>
        <v>36.99483356</v>
      </c>
      <c r="C13136" s="8">
        <f t="array" ref="C13136">PRODUCT(1-'Sparkling Model'!D$2:D$38^A13136)</f>
        <v>0.9948428498</v>
      </c>
    </row>
    <row r="13137">
      <c r="A13137" s="6">
        <v>13135.0</v>
      </c>
      <c r="B13137" s="17">
        <f t="array" ref="B13137">SUM(1-'Sparkling Model'!D$2:D$38^A13137)</f>
        <v>36.99483612</v>
      </c>
      <c r="C13137" s="8">
        <f t="array" ref="C13137">PRODUCT(1-'Sparkling Model'!D$2:D$38^A13137)</f>
        <v>0.9948454016</v>
      </c>
    </row>
    <row r="13138">
      <c r="A13138" s="6">
        <v>13136.0</v>
      </c>
      <c r="B13138" s="17">
        <f t="array" ref="B13138">SUM(1-'Sparkling Model'!D$2:D$38^A13138)</f>
        <v>36.99483868</v>
      </c>
      <c r="C13138" s="8">
        <f t="array" ref="C13138">PRODUCT(1-'Sparkling Model'!D$2:D$38^A13138)</f>
        <v>0.9948479523</v>
      </c>
    </row>
    <row r="13139">
      <c r="A13139" s="6">
        <v>13137.0</v>
      </c>
      <c r="B13139" s="17">
        <f t="array" ref="B13139">SUM(1-'Sparkling Model'!D$2:D$38^A13139)</f>
        <v>36.99484124</v>
      </c>
      <c r="C13139" s="8">
        <f t="array" ref="C13139">PRODUCT(1-'Sparkling Model'!D$2:D$38^A13139)</f>
        <v>0.9948505016</v>
      </c>
    </row>
    <row r="13140">
      <c r="A13140" s="6">
        <v>13138.0</v>
      </c>
      <c r="B13140" s="17">
        <f t="array" ref="B13140">SUM(1-'Sparkling Model'!D$2:D$38^A13140)</f>
        <v>36.9948438</v>
      </c>
      <c r="C13140" s="8">
        <f t="array" ref="C13140">PRODUCT(1-'Sparkling Model'!D$2:D$38^A13140)</f>
        <v>0.9948530497</v>
      </c>
    </row>
    <row r="13141">
      <c r="A13141" s="6">
        <v>13139.0</v>
      </c>
      <c r="B13141" s="17">
        <f t="array" ref="B13141">SUM(1-'Sparkling Model'!D$2:D$38^A13141)</f>
        <v>36.99484636</v>
      </c>
      <c r="C13141" s="8">
        <f t="array" ref="C13141">PRODUCT(1-'Sparkling Model'!D$2:D$38^A13141)</f>
        <v>0.9948555966</v>
      </c>
    </row>
    <row r="13142">
      <c r="A13142" s="6">
        <v>13140.0</v>
      </c>
      <c r="B13142" s="17">
        <f t="array" ref="B13142">SUM(1-'Sparkling Model'!D$2:D$38^A13142)</f>
        <v>36.99484891</v>
      </c>
      <c r="C13142" s="8">
        <f t="array" ref="C13142">PRODUCT(1-'Sparkling Model'!D$2:D$38^A13142)</f>
        <v>0.9948581421</v>
      </c>
    </row>
    <row r="13143">
      <c r="A13143" s="6">
        <v>13141.0</v>
      </c>
      <c r="B13143" s="17">
        <f t="array" ref="B13143">SUM(1-'Sparkling Model'!D$2:D$38^A13143)</f>
        <v>36.99485146</v>
      </c>
      <c r="C13143" s="8">
        <f t="array" ref="C13143">PRODUCT(1-'Sparkling Model'!D$2:D$38^A13143)</f>
        <v>0.9948606864</v>
      </c>
    </row>
    <row r="13144">
      <c r="A13144" s="6">
        <v>13142.0</v>
      </c>
      <c r="B13144" s="17">
        <f t="array" ref="B13144">SUM(1-'Sparkling Model'!D$2:D$38^A13144)</f>
        <v>36.99485402</v>
      </c>
      <c r="C13144" s="8">
        <f t="array" ref="C13144">PRODUCT(1-'Sparkling Model'!D$2:D$38^A13144)</f>
        <v>0.9948632295</v>
      </c>
    </row>
    <row r="13145">
      <c r="A13145" s="6">
        <v>13143.0</v>
      </c>
      <c r="B13145" s="17">
        <f t="array" ref="B13145">SUM(1-'Sparkling Model'!D$2:D$38^A13145)</f>
        <v>36.99485657</v>
      </c>
      <c r="C13145" s="8">
        <f t="array" ref="C13145">PRODUCT(1-'Sparkling Model'!D$2:D$38^A13145)</f>
        <v>0.9948657713</v>
      </c>
    </row>
    <row r="13146">
      <c r="A13146" s="6">
        <v>13144.0</v>
      </c>
      <c r="B13146" s="17">
        <f t="array" ref="B13146">SUM(1-'Sparkling Model'!D$2:D$38^A13146)</f>
        <v>36.99485912</v>
      </c>
      <c r="C13146" s="8">
        <f t="array" ref="C13146">PRODUCT(1-'Sparkling Model'!D$2:D$38^A13146)</f>
        <v>0.9948683118</v>
      </c>
    </row>
    <row r="13147">
      <c r="A13147" s="6">
        <v>13145.0</v>
      </c>
      <c r="B13147" s="17">
        <f t="array" ref="B13147">SUM(1-'Sparkling Model'!D$2:D$38^A13147)</f>
        <v>36.99486167</v>
      </c>
      <c r="C13147" s="8">
        <f t="array" ref="C13147">PRODUCT(1-'Sparkling Model'!D$2:D$38^A13147)</f>
        <v>0.994870851</v>
      </c>
    </row>
    <row r="13148">
      <c r="A13148" s="6">
        <v>13146.0</v>
      </c>
      <c r="B13148" s="17">
        <f t="array" ref="B13148">SUM(1-'Sparkling Model'!D$2:D$38^A13148)</f>
        <v>36.99486421</v>
      </c>
      <c r="C13148" s="8">
        <f t="array" ref="C13148">PRODUCT(1-'Sparkling Model'!D$2:D$38^A13148)</f>
        <v>0.994873389</v>
      </c>
    </row>
    <row r="13149">
      <c r="A13149" s="6">
        <v>13147.0</v>
      </c>
      <c r="B13149" s="17">
        <f t="array" ref="B13149">SUM(1-'Sparkling Model'!D$2:D$38^A13149)</f>
        <v>36.99486676</v>
      </c>
      <c r="C13149" s="8">
        <f t="array" ref="C13149">PRODUCT(1-'Sparkling Model'!D$2:D$38^A13149)</f>
        <v>0.9948759258</v>
      </c>
    </row>
    <row r="13150">
      <c r="A13150" s="6">
        <v>13148.0</v>
      </c>
      <c r="B13150" s="17">
        <f t="array" ref="B13150">SUM(1-'Sparkling Model'!D$2:D$38^A13150)</f>
        <v>36.9948693</v>
      </c>
      <c r="C13150" s="8">
        <f t="array" ref="C13150">PRODUCT(1-'Sparkling Model'!D$2:D$38^A13150)</f>
        <v>0.9948784613</v>
      </c>
    </row>
    <row r="13151">
      <c r="A13151" s="6">
        <v>13149.0</v>
      </c>
      <c r="B13151" s="17">
        <f t="array" ref="B13151">SUM(1-'Sparkling Model'!D$2:D$38^A13151)</f>
        <v>36.99487185</v>
      </c>
      <c r="C13151" s="8">
        <f t="array" ref="C13151">PRODUCT(1-'Sparkling Model'!D$2:D$38^A13151)</f>
        <v>0.9948809955</v>
      </c>
    </row>
    <row r="13152">
      <c r="A13152" s="6">
        <v>13150.0</v>
      </c>
      <c r="B13152" s="17">
        <f t="array" ref="B13152">SUM(1-'Sparkling Model'!D$2:D$38^A13152)</f>
        <v>36.99487439</v>
      </c>
      <c r="C13152" s="8">
        <f t="array" ref="C13152">PRODUCT(1-'Sparkling Model'!D$2:D$38^A13152)</f>
        <v>0.9948835284</v>
      </c>
    </row>
    <row r="13153">
      <c r="A13153" s="6">
        <v>13151.0</v>
      </c>
      <c r="B13153" s="17">
        <f t="array" ref="B13153">SUM(1-'Sparkling Model'!D$2:D$38^A13153)</f>
        <v>36.99487693</v>
      </c>
      <c r="C13153" s="8">
        <f t="array" ref="C13153">PRODUCT(1-'Sparkling Model'!D$2:D$38^A13153)</f>
        <v>0.9948860601</v>
      </c>
    </row>
    <row r="13154">
      <c r="A13154" s="6">
        <v>13152.0</v>
      </c>
      <c r="B13154" s="17">
        <f t="array" ref="B13154">SUM(1-'Sparkling Model'!D$2:D$38^A13154)</f>
        <v>36.99487947</v>
      </c>
      <c r="C13154" s="8">
        <f t="array" ref="C13154">PRODUCT(1-'Sparkling Model'!D$2:D$38^A13154)</f>
        <v>0.9948885906</v>
      </c>
    </row>
    <row r="13155">
      <c r="A13155" s="6">
        <v>13153.0</v>
      </c>
      <c r="B13155" s="17">
        <f t="array" ref="B13155">SUM(1-'Sparkling Model'!D$2:D$38^A13155)</f>
        <v>36.99488201</v>
      </c>
      <c r="C13155" s="8">
        <f t="array" ref="C13155">PRODUCT(1-'Sparkling Model'!D$2:D$38^A13155)</f>
        <v>0.9948911198</v>
      </c>
    </row>
    <row r="13156">
      <c r="A13156" s="6">
        <v>13154.0</v>
      </c>
      <c r="B13156" s="17">
        <f t="array" ref="B13156">SUM(1-'Sparkling Model'!D$2:D$38^A13156)</f>
        <v>36.99488454</v>
      </c>
      <c r="C13156" s="8">
        <f t="array" ref="C13156">PRODUCT(1-'Sparkling Model'!D$2:D$38^A13156)</f>
        <v>0.9948936477</v>
      </c>
    </row>
    <row r="13157">
      <c r="A13157" s="6">
        <v>13155.0</v>
      </c>
      <c r="B13157" s="17">
        <f t="array" ref="B13157">SUM(1-'Sparkling Model'!D$2:D$38^A13157)</f>
        <v>36.99488708</v>
      </c>
      <c r="C13157" s="8">
        <f t="array" ref="C13157">PRODUCT(1-'Sparkling Model'!D$2:D$38^A13157)</f>
        <v>0.9948961744</v>
      </c>
    </row>
    <row r="13158">
      <c r="A13158" s="6">
        <v>13156.0</v>
      </c>
      <c r="B13158" s="17">
        <f t="array" ref="B13158">SUM(1-'Sparkling Model'!D$2:D$38^A13158)</f>
        <v>36.99488961</v>
      </c>
      <c r="C13158" s="8">
        <f t="array" ref="C13158">PRODUCT(1-'Sparkling Model'!D$2:D$38^A13158)</f>
        <v>0.9948986998</v>
      </c>
    </row>
    <row r="13159">
      <c r="A13159" s="6">
        <v>13157.0</v>
      </c>
      <c r="B13159" s="17">
        <f t="array" ref="B13159">SUM(1-'Sparkling Model'!D$2:D$38^A13159)</f>
        <v>36.99489215</v>
      </c>
      <c r="C13159" s="8">
        <f t="array" ref="C13159">PRODUCT(1-'Sparkling Model'!D$2:D$38^A13159)</f>
        <v>0.994901224</v>
      </c>
    </row>
    <row r="13160">
      <c r="A13160" s="6">
        <v>13158.0</v>
      </c>
      <c r="B13160" s="17">
        <f t="array" ref="B13160">SUM(1-'Sparkling Model'!D$2:D$38^A13160)</f>
        <v>36.99489468</v>
      </c>
      <c r="C13160" s="8">
        <f t="array" ref="C13160">PRODUCT(1-'Sparkling Model'!D$2:D$38^A13160)</f>
        <v>0.9949037469</v>
      </c>
    </row>
    <row r="13161">
      <c r="A13161" s="6">
        <v>13159.0</v>
      </c>
      <c r="B13161" s="17">
        <f t="array" ref="B13161">SUM(1-'Sparkling Model'!D$2:D$38^A13161)</f>
        <v>36.99489721</v>
      </c>
      <c r="C13161" s="8">
        <f t="array" ref="C13161">PRODUCT(1-'Sparkling Model'!D$2:D$38^A13161)</f>
        <v>0.9949062686</v>
      </c>
    </row>
    <row r="13162">
      <c r="A13162" s="6">
        <v>13160.0</v>
      </c>
      <c r="B13162" s="17">
        <f t="array" ref="B13162">SUM(1-'Sparkling Model'!D$2:D$38^A13162)</f>
        <v>36.99489974</v>
      </c>
      <c r="C13162" s="8">
        <f t="array" ref="C13162">PRODUCT(1-'Sparkling Model'!D$2:D$38^A13162)</f>
        <v>0.994908789</v>
      </c>
    </row>
    <row r="13163">
      <c r="A13163" s="6">
        <v>13161.0</v>
      </c>
      <c r="B13163" s="17">
        <f t="array" ref="B13163">SUM(1-'Sparkling Model'!D$2:D$38^A13163)</f>
        <v>36.99490227</v>
      </c>
      <c r="C13163" s="8">
        <f t="array" ref="C13163">PRODUCT(1-'Sparkling Model'!D$2:D$38^A13163)</f>
        <v>0.9949113082</v>
      </c>
    </row>
    <row r="13164">
      <c r="A13164" s="6">
        <v>13162.0</v>
      </c>
      <c r="B13164" s="17">
        <f t="array" ref="B13164">SUM(1-'Sparkling Model'!D$2:D$38^A13164)</f>
        <v>36.99490479</v>
      </c>
      <c r="C13164" s="8">
        <f t="array" ref="C13164">PRODUCT(1-'Sparkling Model'!D$2:D$38^A13164)</f>
        <v>0.9949138261</v>
      </c>
    </row>
    <row r="13165">
      <c r="A13165" s="6">
        <v>13163.0</v>
      </c>
      <c r="B13165" s="17">
        <f t="array" ref="B13165">SUM(1-'Sparkling Model'!D$2:D$38^A13165)</f>
        <v>36.99490732</v>
      </c>
      <c r="C13165" s="8">
        <f t="array" ref="C13165">PRODUCT(1-'Sparkling Model'!D$2:D$38^A13165)</f>
        <v>0.9949163428</v>
      </c>
    </row>
    <row r="13166">
      <c r="A13166" s="6">
        <v>13164.0</v>
      </c>
      <c r="B13166" s="17">
        <f t="array" ref="B13166">SUM(1-'Sparkling Model'!D$2:D$38^A13166)</f>
        <v>36.99490984</v>
      </c>
      <c r="C13166" s="8">
        <f t="array" ref="C13166">PRODUCT(1-'Sparkling Model'!D$2:D$38^A13166)</f>
        <v>0.9949188582</v>
      </c>
    </row>
    <row r="13167">
      <c r="A13167" s="6">
        <v>13165.0</v>
      </c>
      <c r="B13167" s="17">
        <f t="array" ref="B13167">SUM(1-'Sparkling Model'!D$2:D$38^A13167)</f>
        <v>36.99491237</v>
      </c>
      <c r="C13167" s="8">
        <f t="array" ref="C13167">PRODUCT(1-'Sparkling Model'!D$2:D$38^A13167)</f>
        <v>0.9949213724</v>
      </c>
    </row>
    <row r="13168">
      <c r="A13168" s="6">
        <v>13166.0</v>
      </c>
      <c r="B13168" s="17">
        <f t="array" ref="B13168">SUM(1-'Sparkling Model'!D$2:D$38^A13168)</f>
        <v>36.99491489</v>
      </c>
      <c r="C13168" s="8">
        <f t="array" ref="C13168">PRODUCT(1-'Sparkling Model'!D$2:D$38^A13168)</f>
        <v>0.9949238853</v>
      </c>
    </row>
    <row r="13169">
      <c r="A13169" s="6">
        <v>13167.0</v>
      </c>
      <c r="B13169" s="17">
        <f t="array" ref="B13169">SUM(1-'Sparkling Model'!D$2:D$38^A13169)</f>
        <v>36.99491741</v>
      </c>
      <c r="C13169" s="8">
        <f t="array" ref="C13169">PRODUCT(1-'Sparkling Model'!D$2:D$38^A13169)</f>
        <v>0.994926397</v>
      </c>
    </row>
    <row r="13170">
      <c r="A13170" s="6">
        <v>13168.0</v>
      </c>
      <c r="B13170" s="17">
        <f t="array" ref="B13170">SUM(1-'Sparkling Model'!D$2:D$38^A13170)</f>
        <v>36.99491993</v>
      </c>
      <c r="C13170" s="8">
        <f t="array" ref="C13170">PRODUCT(1-'Sparkling Model'!D$2:D$38^A13170)</f>
        <v>0.9949289074</v>
      </c>
    </row>
    <row r="13171">
      <c r="A13171" s="6">
        <v>13169.0</v>
      </c>
      <c r="B13171" s="17">
        <f t="array" ref="B13171">SUM(1-'Sparkling Model'!D$2:D$38^A13171)</f>
        <v>36.99492245</v>
      </c>
      <c r="C13171" s="8">
        <f t="array" ref="C13171">PRODUCT(1-'Sparkling Model'!D$2:D$38^A13171)</f>
        <v>0.9949314166</v>
      </c>
    </row>
    <row r="13172">
      <c r="A13172" s="6">
        <v>13170.0</v>
      </c>
      <c r="B13172" s="17">
        <f t="array" ref="B13172">SUM(1-'Sparkling Model'!D$2:D$38^A13172)</f>
        <v>36.99492496</v>
      </c>
      <c r="C13172" s="8">
        <f t="array" ref="C13172">PRODUCT(1-'Sparkling Model'!D$2:D$38^A13172)</f>
        <v>0.9949339245</v>
      </c>
    </row>
    <row r="13173">
      <c r="A13173" s="6">
        <v>13171.0</v>
      </c>
      <c r="B13173" s="17">
        <f t="array" ref="B13173">SUM(1-'Sparkling Model'!D$2:D$38^A13173)</f>
        <v>36.99492748</v>
      </c>
      <c r="C13173" s="8">
        <f t="array" ref="C13173">PRODUCT(1-'Sparkling Model'!D$2:D$38^A13173)</f>
        <v>0.9949364312</v>
      </c>
    </row>
    <row r="13174">
      <c r="A13174" s="6">
        <v>13172.0</v>
      </c>
      <c r="B13174" s="17">
        <f t="array" ref="B13174">SUM(1-'Sparkling Model'!D$2:D$38^A13174)</f>
        <v>36.99492999</v>
      </c>
      <c r="C13174" s="8">
        <f t="array" ref="C13174">PRODUCT(1-'Sparkling Model'!D$2:D$38^A13174)</f>
        <v>0.9949389366</v>
      </c>
    </row>
    <row r="13175">
      <c r="A13175" s="6">
        <v>13173.0</v>
      </c>
      <c r="B13175" s="17">
        <f t="array" ref="B13175">SUM(1-'Sparkling Model'!D$2:D$38^A13175)</f>
        <v>36.99493251</v>
      </c>
      <c r="C13175" s="8">
        <f t="array" ref="C13175">PRODUCT(1-'Sparkling Model'!D$2:D$38^A13175)</f>
        <v>0.9949414408</v>
      </c>
    </row>
    <row r="13176">
      <c r="A13176" s="6">
        <v>13174.0</v>
      </c>
      <c r="B13176" s="17">
        <f t="array" ref="B13176">SUM(1-'Sparkling Model'!D$2:D$38^A13176)</f>
        <v>36.99493502</v>
      </c>
      <c r="C13176" s="8">
        <f t="array" ref="C13176">PRODUCT(1-'Sparkling Model'!D$2:D$38^A13176)</f>
        <v>0.9949439438</v>
      </c>
    </row>
    <row r="13177">
      <c r="A13177" s="6">
        <v>13175.0</v>
      </c>
      <c r="B13177" s="17">
        <f t="array" ref="B13177">SUM(1-'Sparkling Model'!D$2:D$38^A13177)</f>
        <v>36.99493753</v>
      </c>
      <c r="C13177" s="8">
        <f t="array" ref="C13177">PRODUCT(1-'Sparkling Model'!D$2:D$38^A13177)</f>
        <v>0.9949464455</v>
      </c>
    </row>
    <row r="13178">
      <c r="A13178" s="6">
        <v>13176.0</v>
      </c>
      <c r="B13178" s="17">
        <f t="array" ref="B13178">SUM(1-'Sparkling Model'!D$2:D$38^A13178)</f>
        <v>36.99494004</v>
      </c>
      <c r="C13178" s="8">
        <f t="array" ref="C13178">PRODUCT(1-'Sparkling Model'!D$2:D$38^A13178)</f>
        <v>0.994948946</v>
      </c>
    </row>
    <row r="13179">
      <c r="A13179" s="6">
        <v>13177.0</v>
      </c>
      <c r="B13179" s="17">
        <f t="array" ref="B13179">SUM(1-'Sparkling Model'!D$2:D$38^A13179)</f>
        <v>36.99494255</v>
      </c>
      <c r="C13179" s="8">
        <f t="array" ref="C13179">PRODUCT(1-'Sparkling Model'!D$2:D$38^A13179)</f>
        <v>0.9949514452</v>
      </c>
    </row>
    <row r="13180">
      <c r="A13180" s="6">
        <v>13178.0</v>
      </c>
      <c r="B13180" s="17">
        <f t="array" ref="B13180">SUM(1-'Sparkling Model'!D$2:D$38^A13180)</f>
        <v>36.99494505</v>
      </c>
      <c r="C13180" s="8">
        <f t="array" ref="C13180">PRODUCT(1-'Sparkling Model'!D$2:D$38^A13180)</f>
        <v>0.9949539432</v>
      </c>
    </row>
    <row r="13181">
      <c r="A13181" s="6">
        <v>13179.0</v>
      </c>
      <c r="B13181" s="17">
        <f t="array" ref="B13181">SUM(1-'Sparkling Model'!D$2:D$38^A13181)</f>
        <v>36.99494756</v>
      </c>
      <c r="C13181" s="8">
        <f t="array" ref="C13181">PRODUCT(1-'Sparkling Model'!D$2:D$38^A13181)</f>
        <v>0.99495644</v>
      </c>
    </row>
    <row r="13182">
      <c r="A13182" s="6">
        <v>13180.0</v>
      </c>
      <c r="B13182" s="17">
        <f t="array" ref="B13182">SUM(1-'Sparkling Model'!D$2:D$38^A13182)</f>
        <v>36.99495006</v>
      </c>
      <c r="C13182" s="8">
        <f t="array" ref="C13182">PRODUCT(1-'Sparkling Model'!D$2:D$38^A13182)</f>
        <v>0.9949589355</v>
      </c>
    </row>
    <row r="13183">
      <c r="A13183" s="6">
        <v>13181.0</v>
      </c>
      <c r="B13183" s="17">
        <f t="array" ref="B13183">SUM(1-'Sparkling Model'!D$2:D$38^A13183)</f>
        <v>36.99495257</v>
      </c>
      <c r="C13183" s="8">
        <f t="array" ref="C13183">PRODUCT(1-'Sparkling Model'!D$2:D$38^A13183)</f>
        <v>0.9949614298</v>
      </c>
    </row>
    <row r="13184">
      <c r="A13184" s="6">
        <v>13182.0</v>
      </c>
      <c r="B13184" s="17">
        <f t="array" ref="B13184">SUM(1-'Sparkling Model'!D$2:D$38^A13184)</f>
        <v>36.99495507</v>
      </c>
      <c r="C13184" s="8">
        <f t="array" ref="C13184">PRODUCT(1-'Sparkling Model'!D$2:D$38^A13184)</f>
        <v>0.9949639228</v>
      </c>
    </row>
    <row r="13185">
      <c r="A13185" s="6">
        <v>13183.0</v>
      </c>
      <c r="B13185" s="17">
        <f t="array" ref="B13185">SUM(1-'Sparkling Model'!D$2:D$38^A13185)</f>
        <v>36.99495757</v>
      </c>
      <c r="C13185" s="8">
        <f t="array" ref="C13185">PRODUCT(1-'Sparkling Model'!D$2:D$38^A13185)</f>
        <v>0.9949664146</v>
      </c>
    </row>
    <row r="13186">
      <c r="A13186" s="6">
        <v>13184.0</v>
      </c>
      <c r="B13186" s="17">
        <f t="array" ref="B13186">SUM(1-'Sparkling Model'!D$2:D$38^A13186)</f>
        <v>36.99496007</v>
      </c>
      <c r="C13186" s="8">
        <f t="array" ref="C13186">PRODUCT(1-'Sparkling Model'!D$2:D$38^A13186)</f>
        <v>0.9949689052</v>
      </c>
    </row>
    <row r="13187">
      <c r="A13187" s="6">
        <v>13185.0</v>
      </c>
      <c r="B13187" s="17">
        <f t="array" ref="B13187">SUM(1-'Sparkling Model'!D$2:D$38^A13187)</f>
        <v>36.99496257</v>
      </c>
      <c r="C13187" s="8">
        <f t="array" ref="C13187">PRODUCT(1-'Sparkling Model'!D$2:D$38^A13187)</f>
        <v>0.9949713945</v>
      </c>
    </row>
    <row r="13188">
      <c r="A13188" s="6">
        <v>13186.0</v>
      </c>
      <c r="B13188" s="17">
        <f t="array" ref="B13188">SUM(1-'Sparkling Model'!D$2:D$38^A13188)</f>
        <v>36.99496506</v>
      </c>
      <c r="C13188" s="8">
        <f t="array" ref="C13188">PRODUCT(1-'Sparkling Model'!D$2:D$38^A13188)</f>
        <v>0.9949738826</v>
      </c>
    </row>
    <row r="13189">
      <c r="A13189" s="6">
        <v>13187.0</v>
      </c>
      <c r="B13189" s="17">
        <f t="array" ref="B13189">SUM(1-'Sparkling Model'!D$2:D$38^A13189)</f>
        <v>36.99496756</v>
      </c>
      <c r="C13189" s="8">
        <f t="array" ref="C13189">PRODUCT(1-'Sparkling Model'!D$2:D$38^A13189)</f>
        <v>0.9949763695</v>
      </c>
    </row>
    <row r="13190">
      <c r="A13190" s="6">
        <v>13188.0</v>
      </c>
      <c r="B13190" s="17">
        <f t="array" ref="B13190">SUM(1-'Sparkling Model'!D$2:D$38^A13190)</f>
        <v>36.99497005</v>
      </c>
      <c r="C13190" s="8">
        <f t="array" ref="C13190">PRODUCT(1-'Sparkling Model'!D$2:D$38^A13190)</f>
        <v>0.9949788551</v>
      </c>
    </row>
    <row r="13191">
      <c r="A13191" s="6">
        <v>13189.0</v>
      </c>
      <c r="B13191" s="17">
        <f t="array" ref="B13191">SUM(1-'Sparkling Model'!D$2:D$38^A13191)</f>
        <v>36.99497255</v>
      </c>
      <c r="C13191" s="8">
        <f t="array" ref="C13191">PRODUCT(1-'Sparkling Model'!D$2:D$38^A13191)</f>
        <v>0.9949813395</v>
      </c>
    </row>
    <row r="13192">
      <c r="A13192" s="6">
        <v>13190.0</v>
      </c>
      <c r="B13192" s="17">
        <f t="array" ref="B13192">SUM(1-'Sparkling Model'!D$2:D$38^A13192)</f>
        <v>36.99497504</v>
      </c>
      <c r="C13192" s="8">
        <f t="array" ref="C13192">PRODUCT(1-'Sparkling Model'!D$2:D$38^A13192)</f>
        <v>0.9949838227</v>
      </c>
    </row>
    <row r="13193">
      <c r="A13193" s="6">
        <v>13191.0</v>
      </c>
      <c r="B13193" s="17">
        <f t="array" ref="B13193">SUM(1-'Sparkling Model'!D$2:D$38^A13193)</f>
        <v>36.99497753</v>
      </c>
      <c r="C13193" s="8">
        <f t="array" ref="C13193">PRODUCT(1-'Sparkling Model'!D$2:D$38^A13193)</f>
        <v>0.9949863046</v>
      </c>
    </row>
    <row r="13194">
      <c r="A13194" s="6">
        <v>13192.0</v>
      </c>
      <c r="B13194" s="17">
        <f t="array" ref="B13194">SUM(1-'Sparkling Model'!D$2:D$38^A13194)</f>
        <v>36.99498002</v>
      </c>
      <c r="C13194" s="8">
        <f t="array" ref="C13194">PRODUCT(1-'Sparkling Model'!D$2:D$38^A13194)</f>
        <v>0.9949887853</v>
      </c>
    </row>
    <row r="13195">
      <c r="A13195" s="6">
        <v>13193.0</v>
      </c>
      <c r="B13195" s="17">
        <f t="array" ref="B13195">SUM(1-'Sparkling Model'!D$2:D$38^A13195)</f>
        <v>36.99498251</v>
      </c>
      <c r="C13195" s="8">
        <f t="array" ref="C13195">PRODUCT(1-'Sparkling Model'!D$2:D$38^A13195)</f>
        <v>0.9949912647</v>
      </c>
    </row>
    <row r="13196">
      <c r="A13196" s="6">
        <v>13194.0</v>
      </c>
      <c r="B13196" s="17">
        <f t="array" ref="B13196">SUM(1-'Sparkling Model'!D$2:D$38^A13196)</f>
        <v>36.994985</v>
      </c>
      <c r="C13196" s="8">
        <f t="array" ref="C13196">PRODUCT(1-'Sparkling Model'!D$2:D$38^A13196)</f>
        <v>0.994993743</v>
      </c>
    </row>
    <row r="13197">
      <c r="A13197" s="6">
        <v>13195.0</v>
      </c>
      <c r="B13197" s="17">
        <f t="array" ref="B13197">SUM(1-'Sparkling Model'!D$2:D$38^A13197)</f>
        <v>36.99498748</v>
      </c>
      <c r="C13197" s="8">
        <f t="array" ref="C13197">PRODUCT(1-'Sparkling Model'!D$2:D$38^A13197)</f>
        <v>0.99499622</v>
      </c>
    </row>
    <row r="13198">
      <c r="A13198" s="6">
        <v>13196.0</v>
      </c>
      <c r="B13198" s="17">
        <f t="array" ref="B13198">SUM(1-'Sparkling Model'!D$2:D$38^A13198)</f>
        <v>36.99498997</v>
      </c>
      <c r="C13198" s="8">
        <f t="array" ref="C13198">PRODUCT(1-'Sparkling Model'!D$2:D$38^A13198)</f>
        <v>0.9949986957</v>
      </c>
    </row>
    <row r="13199">
      <c r="A13199" s="6">
        <v>13197.0</v>
      </c>
      <c r="B13199" s="17">
        <f t="array" ref="B13199">SUM(1-'Sparkling Model'!D$2:D$38^A13199)</f>
        <v>36.99499245</v>
      </c>
      <c r="C13199" s="8">
        <f t="array" ref="C13199">PRODUCT(1-'Sparkling Model'!D$2:D$38^A13199)</f>
        <v>0.9950011703</v>
      </c>
    </row>
    <row r="13200">
      <c r="A13200" s="6">
        <v>13198.0</v>
      </c>
      <c r="B13200" s="17">
        <f t="array" ref="B13200">SUM(1-'Sparkling Model'!D$2:D$38^A13200)</f>
        <v>36.99499493</v>
      </c>
      <c r="C13200" s="8">
        <f t="array" ref="C13200">PRODUCT(1-'Sparkling Model'!D$2:D$38^A13200)</f>
        <v>0.9950036436</v>
      </c>
    </row>
    <row r="13201">
      <c r="A13201" s="6">
        <v>13199.0</v>
      </c>
      <c r="B13201" s="17">
        <f t="array" ref="B13201">SUM(1-'Sparkling Model'!D$2:D$38^A13201)</f>
        <v>36.99499741</v>
      </c>
      <c r="C13201" s="8">
        <f t="array" ref="C13201">PRODUCT(1-'Sparkling Model'!D$2:D$38^A13201)</f>
        <v>0.9950061157</v>
      </c>
    </row>
    <row r="13202">
      <c r="A13202" s="6">
        <v>13200.0</v>
      </c>
      <c r="B13202" s="17">
        <f t="array" ref="B13202">SUM(1-'Sparkling Model'!D$2:D$38^A13202)</f>
        <v>36.99499989</v>
      </c>
      <c r="C13202" s="8">
        <f t="array" ref="C13202">PRODUCT(1-'Sparkling Model'!D$2:D$38^A13202)</f>
        <v>0.9950085866</v>
      </c>
    </row>
    <row r="13203">
      <c r="A13203" s="6">
        <v>13201.0</v>
      </c>
      <c r="B13203" s="17">
        <f t="array" ref="B13203">SUM(1-'Sparkling Model'!D$2:D$38^A13203)</f>
        <v>36.99500237</v>
      </c>
      <c r="C13203" s="8">
        <f t="array" ref="C13203">PRODUCT(1-'Sparkling Model'!D$2:D$38^A13203)</f>
        <v>0.9950110562</v>
      </c>
    </row>
    <row r="13204">
      <c r="A13204" s="6">
        <v>13202.0</v>
      </c>
      <c r="B13204" s="17">
        <f t="array" ref="B13204">SUM(1-'Sparkling Model'!D$2:D$38^A13204)</f>
        <v>36.99500485</v>
      </c>
      <c r="C13204" s="8">
        <f t="array" ref="C13204">PRODUCT(1-'Sparkling Model'!D$2:D$38^A13204)</f>
        <v>0.9950135246</v>
      </c>
    </row>
    <row r="13205">
      <c r="A13205" s="6">
        <v>13203.0</v>
      </c>
      <c r="B13205" s="17">
        <f t="array" ref="B13205">SUM(1-'Sparkling Model'!D$2:D$38^A13205)</f>
        <v>36.99500732</v>
      </c>
      <c r="C13205" s="8">
        <f t="array" ref="C13205">PRODUCT(1-'Sparkling Model'!D$2:D$38^A13205)</f>
        <v>0.9950159918</v>
      </c>
    </row>
    <row r="13206">
      <c r="A13206" s="6">
        <v>13204.0</v>
      </c>
      <c r="B13206" s="17">
        <f t="array" ref="B13206">SUM(1-'Sparkling Model'!D$2:D$38^A13206)</f>
        <v>36.9950098</v>
      </c>
      <c r="C13206" s="8">
        <f t="array" ref="C13206">PRODUCT(1-'Sparkling Model'!D$2:D$38^A13206)</f>
        <v>0.9950184578</v>
      </c>
    </row>
    <row r="13207">
      <c r="A13207" s="6">
        <v>13205.0</v>
      </c>
      <c r="B13207" s="17">
        <f t="array" ref="B13207">SUM(1-'Sparkling Model'!D$2:D$38^A13207)</f>
        <v>36.99501227</v>
      </c>
      <c r="C13207" s="8">
        <f t="array" ref="C13207">PRODUCT(1-'Sparkling Model'!D$2:D$38^A13207)</f>
        <v>0.9950209225</v>
      </c>
    </row>
    <row r="13208">
      <c r="A13208" s="6">
        <v>13206.0</v>
      </c>
      <c r="B13208" s="17">
        <f t="array" ref="B13208">SUM(1-'Sparkling Model'!D$2:D$38^A13208)</f>
        <v>36.99501474</v>
      </c>
      <c r="C13208" s="8">
        <f t="array" ref="C13208">PRODUCT(1-'Sparkling Model'!D$2:D$38^A13208)</f>
        <v>0.995023386</v>
      </c>
    </row>
    <row r="13209">
      <c r="A13209" s="6">
        <v>13207.0</v>
      </c>
      <c r="B13209" s="17">
        <f t="array" ref="B13209">SUM(1-'Sparkling Model'!D$2:D$38^A13209)</f>
        <v>36.99501721</v>
      </c>
      <c r="C13209" s="8">
        <f t="array" ref="C13209">PRODUCT(1-'Sparkling Model'!D$2:D$38^A13209)</f>
        <v>0.9950258483</v>
      </c>
    </row>
    <row r="13210">
      <c r="A13210" s="6">
        <v>13208.0</v>
      </c>
      <c r="B13210" s="17">
        <f t="array" ref="B13210">SUM(1-'Sparkling Model'!D$2:D$38^A13210)</f>
        <v>36.99501968</v>
      </c>
      <c r="C13210" s="8">
        <f t="array" ref="C13210">PRODUCT(1-'Sparkling Model'!D$2:D$38^A13210)</f>
        <v>0.9950283094</v>
      </c>
    </row>
    <row r="13211">
      <c r="A13211" s="6">
        <v>13209.0</v>
      </c>
      <c r="B13211" s="17">
        <f t="array" ref="B13211">SUM(1-'Sparkling Model'!D$2:D$38^A13211)</f>
        <v>36.99502215</v>
      </c>
      <c r="C13211" s="8">
        <f t="array" ref="C13211">PRODUCT(1-'Sparkling Model'!D$2:D$38^A13211)</f>
        <v>0.9950307692</v>
      </c>
    </row>
    <row r="13212">
      <c r="A13212" s="6">
        <v>13210.0</v>
      </c>
      <c r="B13212" s="17">
        <f t="array" ref="B13212">SUM(1-'Sparkling Model'!D$2:D$38^A13212)</f>
        <v>36.99502462</v>
      </c>
      <c r="C13212" s="8">
        <f t="array" ref="C13212">PRODUCT(1-'Sparkling Model'!D$2:D$38^A13212)</f>
        <v>0.9950332278</v>
      </c>
    </row>
    <row r="13213">
      <c r="A13213" s="6">
        <v>13211.0</v>
      </c>
      <c r="B13213" s="17">
        <f t="array" ref="B13213">SUM(1-'Sparkling Model'!D$2:D$38^A13213)</f>
        <v>36.99502708</v>
      </c>
      <c r="C13213" s="8">
        <f t="array" ref="C13213">PRODUCT(1-'Sparkling Model'!D$2:D$38^A13213)</f>
        <v>0.9950356852</v>
      </c>
    </row>
    <row r="13214">
      <c r="A13214" s="6">
        <v>13212.0</v>
      </c>
      <c r="B13214" s="17">
        <f t="array" ref="B13214">SUM(1-'Sparkling Model'!D$2:D$38^A13214)</f>
        <v>36.99502955</v>
      </c>
      <c r="C13214" s="8">
        <f t="array" ref="C13214">PRODUCT(1-'Sparkling Model'!D$2:D$38^A13214)</f>
        <v>0.9950381414</v>
      </c>
    </row>
    <row r="13215">
      <c r="A13215" s="6">
        <v>13213.0</v>
      </c>
      <c r="B13215" s="17">
        <f t="array" ref="B13215">SUM(1-'Sparkling Model'!D$2:D$38^A13215)</f>
        <v>36.99503201</v>
      </c>
      <c r="C13215" s="8">
        <f t="array" ref="C13215">PRODUCT(1-'Sparkling Model'!D$2:D$38^A13215)</f>
        <v>0.9950405964</v>
      </c>
    </row>
    <row r="13216">
      <c r="A13216" s="6">
        <v>13214.0</v>
      </c>
      <c r="B13216" s="17">
        <f t="array" ref="B13216">SUM(1-'Sparkling Model'!D$2:D$38^A13216)</f>
        <v>36.99503447</v>
      </c>
      <c r="C13216" s="8">
        <f t="array" ref="C13216">PRODUCT(1-'Sparkling Model'!D$2:D$38^A13216)</f>
        <v>0.9950430501</v>
      </c>
    </row>
    <row r="13217">
      <c r="A13217" s="6">
        <v>13215.0</v>
      </c>
      <c r="B13217" s="17">
        <f t="array" ref="B13217">SUM(1-'Sparkling Model'!D$2:D$38^A13217)</f>
        <v>36.99503694</v>
      </c>
      <c r="C13217" s="8">
        <f t="array" ref="C13217">PRODUCT(1-'Sparkling Model'!D$2:D$38^A13217)</f>
        <v>0.9950455027</v>
      </c>
    </row>
    <row r="13218">
      <c r="A13218" s="6">
        <v>13216.0</v>
      </c>
      <c r="B13218" s="17">
        <f t="array" ref="B13218">SUM(1-'Sparkling Model'!D$2:D$38^A13218)</f>
        <v>36.9950394</v>
      </c>
      <c r="C13218" s="8">
        <f t="array" ref="C13218">PRODUCT(1-'Sparkling Model'!D$2:D$38^A13218)</f>
        <v>0.995047954</v>
      </c>
    </row>
    <row r="13219">
      <c r="A13219" s="6">
        <v>13217.0</v>
      </c>
      <c r="B13219" s="17">
        <f t="array" ref="B13219">SUM(1-'Sparkling Model'!D$2:D$38^A13219)</f>
        <v>36.99504185</v>
      </c>
      <c r="C13219" s="8">
        <f t="array" ref="C13219">PRODUCT(1-'Sparkling Model'!D$2:D$38^A13219)</f>
        <v>0.9950504041</v>
      </c>
    </row>
    <row r="13220">
      <c r="A13220" s="6">
        <v>13218.0</v>
      </c>
      <c r="B13220" s="17">
        <f t="array" ref="B13220">SUM(1-'Sparkling Model'!D$2:D$38^A13220)</f>
        <v>36.99504431</v>
      </c>
      <c r="C13220" s="8">
        <f t="array" ref="C13220">PRODUCT(1-'Sparkling Model'!D$2:D$38^A13220)</f>
        <v>0.995052853</v>
      </c>
    </row>
    <row r="13221">
      <c r="A13221" s="6">
        <v>13219.0</v>
      </c>
      <c r="B13221" s="17">
        <f t="array" ref="B13221">SUM(1-'Sparkling Model'!D$2:D$38^A13221)</f>
        <v>36.99504677</v>
      </c>
      <c r="C13221" s="8">
        <f t="array" ref="C13221">PRODUCT(1-'Sparkling Model'!D$2:D$38^A13221)</f>
        <v>0.9950553006</v>
      </c>
    </row>
    <row r="13222">
      <c r="A13222" s="6">
        <v>13220.0</v>
      </c>
      <c r="B13222" s="17">
        <f t="array" ref="B13222">SUM(1-'Sparkling Model'!D$2:D$38^A13222)</f>
        <v>36.99504922</v>
      </c>
      <c r="C13222" s="8">
        <f t="array" ref="C13222">PRODUCT(1-'Sparkling Model'!D$2:D$38^A13222)</f>
        <v>0.9950577471</v>
      </c>
    </row>
    <row r="13223">
      <c r="A13223" s="6">
        <v>13221.0</v>
      </c>
      <c r="B13223" s="17">
        <f t="array" ref="B13223">SUM(1-'Sparkling Model'!D$2:D$38^A13223)</f>
        <v>36.99505168</v>
      </c>
      <c r="C13223" s="8">
        <f t="array" ref="C13223">PRODUCT(1-'Sparkling Model'!D$2:D$38^A13223)</f>
        <v>0.9950601923</v>
      </c>
    </row>
    <row r="13224">
      <c r="A13224" s="6">
        <v>13222.0</v>
      </c>
      <c r="B13224" s="17">
        <f t="array" ref="B13224">SUM(1-'Sparkling Model'!D$2:D$38^A13224)</f>
        <v>36.99505413</v>
      </c>
      <c r="C13224" s="8">
        <f t="array" ref="C13224">PRODUCT(1-'Sparkling Model'!D$2:D$38^A13224)</f>
        <v>0.9950626364</v>
      </c>
    </row>
    <row r="13225">
      <c r="A13225" s="6">
        <v>13223.0</v>
      </c>
      <c r="B13225" s="17">
        <f t="array" ref="B13225">SUM(1-'Sparkling Model'!D$2:D$38^A13225)</f>
        <v>36.99505658</v>
      </c>
      <c r="C13225" s="8">
        <f t="array" ref="C13225">PRODUCT(1-'Sparkling Model'!D$2:D$38^A13225)</f>
        <v>0.9950650792</v>
      </c>
    </row>
    <row r="13226">
      <c r="A13226" s="6">
        <v>13224.0</v>
      </c>
      <c r="B13226" s="17">
        <f t="array" ref="B13226">SUM(1-'Sparkling Model'!D$2:D$38^A13226)</f>
        <v>36.99505903</v>
      </c>
      <c r="C13226" s="8">
        <f t="array" ref="C13226">PRODUCT(1-'Sparkling Model'!D$2:D$38^A13226)</f>
        <v>0.9950675208</v>
      </c>
    </row>
    <row r="13227">
      <c r="A13227" s="6">
        <v>13225.0</v>
      </c>
      <c r="B13227" s="17">
        <f t="array" ref="B13227">SUM(1-'Sparkling Model'!D$2:D$38^A13227)</f>
        <v>36.99506148</v>
      </c>
      <c r="C13227" s="8">
        <f t="array" ref="C13227">PRODUCT(1-'Sparkling Model'!D$2:D$38^A13227)</f>
        <v>0.9950699612</v>
      </c>
    </row>
    <row r="13228">
      <c r="A13228" s="6">
        <v>13226.0</v>
      </c>
      <c r="B13228" s="17">
        <f t="array" ref="B13228">SUM(1-'Sparkling Model'!D$2:D$38^A13228)</f>
        <v>36.99506393</v>
      </c>
      <c r="C13228" s="8">
        <f t="array" ref="C13228">PRODUCT(1-'Sparkling Model'!D$2:D$38^A13228)</f>
        <v>0.9950724003</v>
      </c>
    </row>
    <row r="13229">
      <c r="A13229" s="6">
        <v>13227.0</v>
      </c>
      <c r="B13229" s="17">
        <f t="array" ref="B13229">SUM(1-'Sparkling Model'!D$2:D$38^A13229)</f>
        <v>36.99506637</v>
      </c>
      <c r="C13229" s="8">
        <f t="array" ref="C13229">PRODUCT(1-'Sparkling Model'!D$2:D$38^A13229)</f>
        <v>0.9950748383</v>
      </c>
    </row>
    <row r="13230">
      <c r="A13230" s="6">
        <v>13228.0</v>
      </c>
      <c r="B13230" s="17">
        <f t="array" ref="B13230">SUM(1-'Sparkling Model'!D$2:D$38^A13230)</f>
        <v>36.99506882</v>
      </c>
      <c r="C13230" s="8">
        <f t="array" ref="C13230">PRODUCT(1-'Sparkling Model'!D$2:D$38^A13230)</f>
        <v>0.9950772751</v>
      </c>
    </row>
    <row r="13231">
      <c r="A13231" s="6">
        <v>13229.0</v>
      </c>
      <c r="B13231" s="17">
        <f t="array" ref="B13231">SUM(1-'Sparkling Model'!D$2:D$38^A13231)</f>
        <v>36.99507126</v>
      </c>
      <c r="C13231" s="8">
        <f t="array" ref="C13231">PRODUCT(1-'Sparkling Model'!D$2:D$38^A13231)</f>
        <v>0.9950797106</v>
      </c>
    </row>
    <row r="13232">
      <c r="A13232" s="6">
        <v>13230.0</v>
      </c>
      <c r="B13232" s="17">
        <f t="array" ref="B13232">SUM(1-'Sparkling Model'!D$2:D$38^A13232)</f>
        <v>36.99507371</v>
      </c>
      <c r="C13232" s="8">
        <f t="array" ref="C13232">PRODUCT(1-'Sparkling Model'!D$2:D$38^A13232)</f>
        <v>0.9950821449</v>
      </c>
    </row>
    <row r="13233">
      <c r="A13233" s="6">
        <v>13231.0</v>
      </c>
      <c r="B13233" s="17">
        <f t="array" ref="B13233">SUM(1-'Sparkling Model'!D$2:D$38^A13233)</f>
        <v>36.99507615</v>
      </c>
      <c r="C13233" s="8">
        <f t="array" ref="C13233">PRODUCT(1-'Sparkling Model'!D$2:D$38^A13233)</f>
        <v>0.9950845781</v>
      </c>
    </row>
    <row r="13234">
      <c r="A13234" s="6">
        <v>13232.0</v>
      </c>
      <c r="B13234" s="17">
        <f t="array" ref="B13234">SUM(1-'Sparkling Model'!D$2:D$38^A13234)</f>
        <v>36.99507859</v>
      </c>
      <c r="C13234" s="8">
        <f t="array" ref="C13234">PRODUCT(1-'Sparkling Model'!D$2:D$38^A13234)</f>
        <v>0.99508701</v>
      </c>
    </row>
    <row r="13235">
      <c r="A13235" s="6">
        <v>13233.0</v>
      </c>
      <c r="B13235" s="17">
        <f t="array" ref="B13235">SUM(1-'Sparkling Model'!D$2:D$38^A13235)</f>
        <v>36.99508103</v>
      </c>
      <c r="C13235" s="8">
        <f t="array" ref="C13235">PRODUCT(1-'Sparkling Model'!D$2:D$38^A13235)</f>
        <v>0.9950894407</v>
      </c>
    </row>
    <row r="13236">
      <c r="A13236" s="6">
        <v>13234.0</v>
      </c>
      <c r="B13236" s="17">
        <f t="array" ref="B13236">SUM(1-'Sparkling Model'!D$2:D$38^A13236)</f>
        <v>36.99508346</v>
      </c>
      <c r="C13236" s="8">
        <f t="array" ref="C13236">PRODUCT(1-'Sparkling Model'!D$2:D$38^A13236)</f>
        <v>0.9950918702</v>
      </c>
    </row>
    <row r="13237">
      <c r="A13237" s="6">
        <v>13235.0</v>
      </c>
      <c r="B13237" s="17">
        <f t="array" ref="B13237">SUM(1-'Sparkling Model'!D$2:D$38^A13237)</f>
        <v>36.9950859</v>
      </c>
      <c r="C13237" s="8">
        <f t="array" ref="C13237">PRODUCT(1-'Sparkling Model'!D$2:D$38^A13237)</f>
        <v>0.9950942985</v>
      </c>
    </row>
    <row r="13238">
      <c r="A13238" s="6">
        <v>13236.0</v>
      </c>
      <c r="B13238" s="17">
        <f t="array" ref="B13238">SUM(1-'Sparkling Model'!D$2:D$38^A13238)</f>
        <v>36.99508834</v>
      </c>
      <c r="C13238" s="8">
        <f t="array" ref="C13238">PRODUCT(1-'Sparkling Model'!D$2:D$38^A13238)</f>
        <v>0.9950967256</v>
      </c>
    </row>
    <row r="13239">
      <c r="A13239" s="6">
        <v>13237.0</v>
      </c>
      <c r="B13239" s="17">
        <f t="array" ref="B13239">SUM(1-'Sparkling Model'!D$2:D$38^A13239)</f>
        <v>36.99509077</v>
      </c>
      <c r="C13239" s="8">
        <f t="array" ref="C13239">PRODUCT(1-'Sparkling Model'!D$2:D$38^A13239)</f>
        <v>0.9950991515</v>
      </c>
    </row>
    <row r="13240">
      <c r="A13240" s="6">
        <v>13238.0</v>
      </c>
      <c r="B13240" s="17">
        <f t="array" ref="B13240">SUM(1-'Sparkling Model'!D$2:D$38^A13240)</f>
        <v>36.9950932</v>
      </c>
      <c r="C13240" s="8">
        <f t="array" ref="C13240">PRODUCT(1-'Sparkling Model'!D$2:D$38^A13240)</f>
        <v>0.9951015762</v>
      </c>
    </row>
    <row r="13241">
      <c r="A13241" s="6">
        <v>13239.0</v>
      </c>
      <c r="B13241" s="17">
        <f t="array" ref="B13241">SUM(1-'Sparkling Model'!D$2:D$38^A13241)</f>
        <v>36.99509564</v>
      </c>
      <c r="C13241" s="8">
        <f t="array" ref="C13241">PRODUCT(1-'Sparkling Model'!D$2:D$38^A13241)</f>
        <v>0.9951039997</v>
      </c>
    </row>
    <row r="13242">
      <c r="A13242" s="6">
        <v>13240.0</v>
      </c>
      <c r="B13242" s="17">
        <f t="array" ref="B13242">SUM(1-'Sparkling Model'!D$2:D$38^A13242)</f>
        <v>36.99509807</v>
      </c>
      <c r="C13242" s="8">
        <f t="array" ref="C13242">PRODUCT(1-'Sparkling Model'!D$2:D$38^A13242)</f>
        <v>0.995106422</v>
      </c>
    </row>
    <row r="13243">
      <c r="A13243" s="6">
        <v>13241.0</v>
      </c>
      <c r="B13243" s="17">
        <f t="array" ref="B13243">SUM(1-'Sparkling Model'!D$2:D$38^A13243)</f>
        <v>36.9951005</v>
      </c>
      <c r="C13243" s="8">
        <f t="array" ref="C13243">PRODUCT(1-'Sparkling Model'!D$2:D$38^A13243)</f>
        <v>0.995108843</v>
      </c>
    </row>
    <row r="13244">
      <c r="A13244" s="6">
        <v>13242.0</v>
      </c>
      <c r="B13244" s="17">
        <f t="array" ref="B13244">SUM(1-'Sparkling Model'!D$2:D$38^A13244)</f>
        <v>36.99510292</v>
      </c>
      <c r="C13244" s="8">
        <f t="array" ref="C13244">PRODUCT(1-'Sparkling Model'!D$2:D$38^A13244)</f>
        <v>0.9951112629</v>
      </c>
    </row>
    <row r="13245">
      <c r="A13245" s="6">
        <v>13243.0</v>
      </c>
      <c r="B13245" s="17">
        <f t="array" ref="B13245">SUM(1-'Sparkling Model'!D$2:D$38^A13245)</f>
        <v>36.99510535</v>
      </c>
      <c r="C13245" s="8">
        <f t="array" ref="C13245">PRODUCT(1-'Sparkling Model'!D$2:D$38^A13245)</f>
        <v>0.9951136816</v>
      </c>
    </row>
    <row r="13246">
      <c r="A13246" s="6">
        <v>13244.0</v>
      </c>
      <c r="B13246" s="17">
        <f t="array" ref="B13246">SUM(1-'Sparkling Model'!D$2:D$38^A13246)</f>
        <v>36.99510778</v>
      </c>
      <c r="C13246" s="8">
        <f t="array" ref="C13246">PRODUCT(1-'Sparkling Model'!D$2:D$38^A13246)</f>
        <v>0.9951160991</v>
      </c>
    </row>
    <row r="13247">
      <c r="A13247" s="6">
        <v>13245.0</v>
      </c>
      <c r="B13247" s="17">
        <f t="array" ref="B13247">SUM(1-'Sparkling Model'!D$2:D$38^A13247)</f>
        <v>36.9951102</v>
      </c>
      <c r="C13247" s="8">
        <f t="array" ref="C13247">PRODUCT(1-'Sparkling Model'!D$2:D$38^A13247)</f>
        <v>0.9951185154</v>
      </c>
    </row>
    <row r="13248">
      <c r="A13248" s="6">
        <v>13246.0</v>
      </c>
      <c r="B13248" s="17">
        <f t="array" ref="B13248">SUM(1-'Sparkling Model'!D$2:D$38^A13248)</f>
        <v>36.99511262</v>
      </c>
      <c r="C13248" s="8">
        <f t="array" ref="C13248">PRODUCT(1-'Sparkling Model'!D$2:D$38^A13248)</f>
        <v>0.9951209304</v>
      </c>
    </row>
    <row r="13249">
      <c r="A13249" s="6">
        <v>13247.0</v>
      </c>
      <c r="B13249" s="17">
        <f t="array" ref="B13249">SUM(1-'Sparkling Model'!D$2:D$38^A13249)</f>
        <v>36.99511505</v>
      </c>
      <c r="C13249" s="8">
        <f t="array" ref="C13249">PRODUCT(1-'Sparkling Model'!D$2:D$38^A13249)</f>
        <v>0.9951233443</v>
      </c>
    </row>
    <row r="13250">
      <c r="A13250" s="6">
        <v>13248.0</v>
      </c>
      <c r="B13250" s="17">
        <f t="array" ref="B13250">SUM(1-'Sparkling Model'!D$2:D$38^A13250)</f>
        <v>36.99511747</v>
      </c>
      <c r="C13250" s="8">
        <f t="array" ref="C13250">PRODUCT(1-'Sparkling Model'!D$2:D$38^A13250)</f>
        <v>0.995125757</v>
      </c>
    </row>
    <row r="13251">
      <c r="A13251" s="6">
        <v>13249.0</v>
      </c>
      <c r="B13251" s="17">
        <f t="array" ref="B13251">SUM(1-'Sparkling Model'!D$2:D$38^A13251)</f>
        <v>36.99511989</v>
      </c>
      <c r="C13251" s="8">
        <f t="array" ref="C13251">PRODUCT(1-'Sparkling Model'!D$2:D$38^A13251)</f>
        <v>0.9951281685</v>
      </c>
    </row>
    <row r="13252">
      <c r="A13252" s="6">
        <v>13250.0</v>
      </c>
      <c r="B13252" s="17">
        <f t="array" ref="B13252">SUM(1-'Sparkling Model'!D$2:D$38^A13252)</f>
        <v>36.99512231</v>
      </c>
      <c r="C13252" s="8">
        <f t="array" ref="C13252">PRODUCT(1-'Sparkling Model'!D$2:D$38^A13252)</f>
        <v>0.9951305788</v>
      </c>
    </row>
    <row r="13253">
      <c r="A13253" s="6">
        <v>13251.0</v>
      </c>
      <c r="B13253" s="17">
        <f t="array" ref="B13253">SUM(1-'Sparkling Model'!D$2:D$38^A13253)</f>
        <v>36.99512472</v>
      </c>
      <c r="C13253" s="8">
        <f t="array" ref="C13253">PRODUCT(1-'Sparkling Model'!D$2:D$38^A13253)</f>
        <v>0.9951329879</v>
      </c>
    </row>
    <row r="13254">
      <c r="A13254" s="6">
        <v>13252.0</v>
      </c>
      <c r="B13254" s="17">
        <f t="array" ref="B13254">SUM(1-'Sparkling Model'!D$2:D$38^A13254)</f>
        <v>36.99512714</v>
      </c>
      <c r="C13254" s="8">
        <f t="array" ref="C13254">PRODUCT(1-'Sparkling Model'!D$2:D$38^A13254)</f>
        <v>0.9951353958</v>
      </c>
    </row>
    <row r="13255">
      <c r="A13255" s="6">
        <v>13253.0</v>
      </c>
      <c r="B13255" s="17">
        <f t="array" ref="B13255">SUM(1-'Sparkling Model'!D$2:D$38^A13255)</f>
        <v>36.99512955</v>
      </c>
      <c r="C13255" s="8">
        <f t="array" ref="C13255">PRODUCT(1-'Sparkling Model'!D$2:D$38^A13255)</f>
        <v>0.9951378025</v>
      </c>
    </row>
    <row r="13256">
      <c r="A13256" s="6">
        <v>13254.0</v>
      </c>
      <c r="B13256" s="17">
        <f t="array" ref="B13256">SUM(1-'Sparkling Model'!D$2:D$38^A13256)</f>
        <v>36.99513197</v>
      </c>
      <c r="C13256" s="8">
        <f t="array" ref="C13256">PRODUCT(1-'Sparkling Model'!D$2:D$38^A13256)</f>
        <v>0.995140208</v>
      </c>
    </row>
    <row r="13257">
      <c r="A13257" s="6">
        <v>13255.0</v>
      </c>
      <c r="B13257" s="17">
        <f t="array" ref="B13257">SUM(1-'Sparkling Model'!D$2:D$38^A13257)</f>
        <v>36.99513438</v>
      </c>
      <c r="C13257" s="8">
        <f t="array" ref="C13257">PRODUCT(1-'Sparkling Model'!D$2:D$38^A13257)</f>
        <v>0.9951426123</v>
      </c>
    </row>
    <row r="13258">
      <c r="A13258" s="6">
        <v>13256.0</v>
      </c>
      <c r="B13258" s="17">
        <f t="array" ref="B13258">SUM(1-'Sparkling Model'!D$2:D$38^A13258)</f>
        <v>36.99513679</v>
      </c>
      <c r="C13258" s="8">
        <f t="array" ref="C13258">PRODUCT(1-'Sparkling Model'!D$2:D$38^A13258)</f>
        <v>0.9951450154</v>
      </c>
    </row>
    <row r="13259">
      <c r="A13259" s="6">
        <v>13257.0</v>
      </c>
      <c r="B13259" s="17">
        <f t="array" ref="B13259">SUM(1-'Sparkling Model'!D$2:D$38^A13259)</f>
        <v>36.9951392</v>
      </c>
      <c r="C13259" s="8">
        <f t="array" ref="C13259">PRODUCT(1-'Sparkling Model'!D$2:D$38^A13259)</f>
        <v>0.9951474174</v>
      </c>
    </row>
    <row r="13260">
      <c r="A13260" s="6">
        <v>13258.0</v>
      </c>
      <c r="B13260" s="17">
        <f t="array" ref="B13260">SUM(1-'Sparkling Model'!D$2:D$38^A13260)</f>
        <v>36.99514161</v>
      </c>
      <c r="C13260" s="8">
        <f t="array" ref="C13260">PRODUCT(1-'Sparkling Model'!D$2:D$38^A13260)</f>
        <v>0.9951498181</v>
      </c>
    </row>
    <row r="13261">
      <c r="A13261" s="6">
        <v>13259.0</v>
      </c>
      <c r="B13261" s="17">
        <f t="array" ref="B13261">SUM(1-'Sparkling Model'!D$2:D$38^A13261)</f>
        <v>36.99514402</v>
      </c>
      <c r="C13261" s="8">
        <f t="array" ref="C13261">PRODUCT(1-'Sparkling Model'!D$2:D$38^A13261)</f>
        <v>0.9951522176</v>
      </c>
    </row>
    <row r="13262">
      <c r="A13262" s="6">
        <v>13260.0</v>
      </c>
      <c r="B13262" s="17">
        <f t="array" ref="B13262">SUM(1-'Sparkling Model'!D$2:D$38^A13262)</f>
        <v>36.99514642</v>
      </c>
      <c r="C13262" s="8">
        <f t="array" ref="C13262">PRODUCT(1-'Sparkling Model'!D$2:D$38^A13262)</f>
        <v>0.995154616</v>
      </c>
    </row>
    <row r="13263">
      <c r="A13263" s="6">
        <v>13261.0</v>
      </c>
      <c r="B13263" s="17">
        <f t="array" ref="B13263">SUM(1-'Sparkling Model'!D$2:D$38^A13263)</f>
        <v>36.99514883</v>
      </c>
      <c r="C13263" s="8">
        <f t="array" ref="C13263">PRODUCT(1-'Sparkling Model'!D$2:D$38^A13263)</f>
        <v>0.9951570132</v>
      </c>
    </row>
    <row r="13264">
      <c r="A13264" s="6">
        <v>13262.0</v>
      </c>
      <c r="B13264" s="17">
        <f t="array" ref="B13264">SUM(1-'Sparkling Model'!D$2:D$38^A13264)</f>
        <v>36.99515123</v>
      </c>
      <c r="C13264" s="8">
        <f t="array" ref="C13264">PRODUCT(1-'Sparkling Model'!D$2:D$38^A13264)</f>
        <v>0.9951594091</v>
      </c>
    </row>
    <row r="13265">
      <c r="A13265" s="6">
        <v>13263.0</v>
      </c>
      <c r="B13265" s="17">
        <f t="array" ref="B13265">SUM(1-'Sparkling Model'!D$2:D$38^A13265)</f>
        <v>36.99515364</v>
      </c>
      <c r="C13265" s="8">
        <f t="array" ref="C13265">PRODUCT(1-'Sparkling Model'!D$2:D$38^A13265)</f>
        <v>0.9951618039</v>
      </c>
    </row>
    <row r="13266">
      <c r="A13266" s="6">
        <v>13264.0</v>
      </c>
      <c r="B13266" s="17">
        <f t="array" ref="B13266">SUM(1-'Sparkling Model'!D$2:D$38^A13266)</f>
        <v>36.99515604</v>
      </c>
      <c r="C13266" s="8">
        <f t="array" ref="C13266">PRODUCT(1-'Sparkling Model'!D$2:D$38^A13266)</f>
        <v>0.9951641975</v>
      </c>
    </row>
    <row r="13267">
      <c r="A13267" s="6">
        <v>13265.0</v>
      </c>
      <c r="B13267" s="17">
        <f t="array" ref="B13267">SUM(1-'Sparkling Model'!D$2:D$38^A13267)</f>
        <v>36.99515844</v>
      </c>
      <c r="C13267" s="8">
        <f t="array" ref="C13267">PRODUCT(1-'Sparkling Model'!D$2:D$38^A13267)</f>
        <v>0.9951665899</v>
      </c>
    </row>
    <row r="13268">
      <c r="A13268" s="6">
        <v>13266.0</v>
      </c>
      <c r="B13268" s="17">
        <f t="array" ref="B13268">SUM(1-'Sparkling Model'!D$2:D$38^A13268)</f>
        <v>36.99516084</v>
      </c>
      <c r="C13268" s="8">
        <f t="array" ref="C13268">PRODUCT(1-'Sparkling Model'!D$2:D$38^A13268)</f>
        <v>0.9951689812</v>
      </c>
    </row>
    <row r="13269">
      <c r="A13269" s="6">
        <v>13267.0</v>
      </c>
      <c r="B13269" s="17">
        <f t="array" ref="B13269">SUM(1-'Sparkling Model'!D$2:D$38^A13269)</f>
        <v>36.99516324</v>
      </c>
      <c r="C13269" s="8">
        <f t="array" ref="C13269">PRODUCT(1-'Sparkling Model'!D$2:D$38^A13269)</f>
        <v>0.9951713712</v>
      </c>
    </row>
    <row r="13270">
      <c r="A13270" s="6">
        <v>13268.0</v>
      </c>
      <c r="B13270" s="17">
        <f t="array" ref="B13270">SUM(1-'Sparkling Model'!D$2:D$38^A13270)</f>
        <v>36.99516563</v>
      </c>
      <c r="C13270" s="8">
        <f t="array" ref="C13270">PRODUCT(1-'Sparkling Model'!D$2:D$38^A13270)</f>
        <v>0.99517376</v>
      </c>
    </row>
    <row r="13271">
      <c r="A13271" s="6">
        <v>13269.0</v>
      </c>
      <c r="B13271" s="17">
        <f t="array" ref="B13271">SUM(1-'Sparkling Model'!D$2:D$38^A13271)</f>
        <v>36.99516803</v>
      </c>
      <c r="C13271" s="8">
        <f t="array" ref="C13271">PRODUCT(1-'Sparkling Model'!D$2:D$38^A13271)</f>
        <v>0.9951761477</v>
      </c>
    </row>
    <row r="13272">
      <c r="A13272" s="6">
        <v>13270.0</v>
      </c>
      <c r="B13272" s="17">
        <f t="array" ref="B13272">SUM(1-'Sparkling Model'!D$2:D$38^A13272)</f>
        <v>36.99517042</v>
      </c>
      <c r="C13272" s="8">
        <f t="array" ref="C13272">PRODUCT(1-'Sparkling Model'!D$2:D$38^A13272)</f>
        <v>0.9951785342</v>
      </c>
    </row>
    <row r="13273">
      <c r="A13273" s="6">
        <v>13271.0</v>
      </c>
      <c r="B13273" s="17">
        <f t="array" ref="B13273">SUM(1-'Sparkling Model'!D$2:D$38^A13273)</f>
        <v>36.99517282</v>
      </c>
      <c r="C13273" s="8">
        <f t="array" ref="C13273">PRODUCT(1-'Sparkling Model'!D$2:D$38^A13273)</f>
        <v>0.9951809195</v>
      </c>
    </row>
    <row r="13274">
      <c r="A13274" s="6">
        <v>13272.0</v>
      </c>
      <c r="B13274" s="17">
        <f t="array" ref="B13274">SUM(1-'Sparkling Model'!D$2:D$38^A13274)</f>
        <v>36.99517521</v>
      </c>
      <c r="C13274" s="8">
        <f t="array" ref="C13274">PRODUCT(1-'Sparkling Model'!D$2:D$38^A13274)</f>
        <v>0.9951833036</v>
      </c>
    </row>
    <row r="13275">
      <c r="A13275" s="6">
        <v>13273.0</v>
      </c>
      <c r="B13275" s="17">
        <f t="array" ref="B13275">SUM(1-'Sparkling Model'!D$2:D$38^A13275)</f>
        <v>36.9951776</v>
      </c>
      <c r="C13275" s="8">
        <f t="array" ref="C13275">PRODUCT(1-'Sparkling Model'!D$2:D$38^A13275)</f>
        <v>0.9951856865</v>
      </c>
    </row>
    <row r="13276">
      <c r="A13276" s="6">
        <v>13274.0</v>
      </c>
      <c r="B13276" s="17">
        <f t="array" ref="B13276">SUM(1-'Sparkling Model'!D$2:D$38^A13276)</f>
        <v>36.99517999</v>
      </c>
      <c r="C13276" s="8">
        <f t="array" ref="C13276">PRODUCT(1-'Sparkling Model'!D$2:D$38^A13276)</f>
        <v>0.9951880683</v>
      </c>
    </row>
    <row r="13277">
      <c r="A13277" s="6">
        <v>13275.0</v>
      </c>
      <c r="B13277" s="17">
        <f t="array" ref="B13277">SUM(1-'Sparkling Model'!D$2:D$38^A13277)</f>
        <v>36.99518238</v>
      </c>
      <c r="C13277" s="8">
        <f t="array" ref="C13277">PRODUCT(1-'Sparkling Model'!D$2:D$38^A13277)</f>
        <v>0.9951904488</v>
      </c>
    </row>
    <row r="13278">
      <c r="A13278" s="6">
        <v>13276.0</v>
      </c>
      <c r="B13278" s="17">
        <f t="array" ref="B13278">SUM(1-'Sparkling Model'!D$2:D$38^A13278)</f>
        <v>36.99518477</v>
      </c>
      <c r="C13278" s="8">
        <f t="array" ref="C13278">PRODUCT(1-'Sparkling Model'!D$2:D$38^A13278)</f>
        <v>0.9951928282</v>
      </c>
    </row>
    <row r="13279">
      <c r="A13279" s="6">
        <v>13277.0</v>
      </c>
      <c r="B13279" s="17">
        <f t="array" ref="B13279">SUM(1-'Sparkling Model'!D$2:D$38^A13279)</f>
        <v>36.99518715</v>
      </c>
      <c r="C13279" s="8">
        <f t="array" ref="C13279">PRODUCT(1-'Sparkling Model'!D$2:D$38^A13279)</f>
        <v>0.9951952064</v>
      </c>
    </row>
    <row r="13280">
      <c r="A13280" s="6">
        <v>13278.0</v>
      </c>
      <c r="B13280" s="17">
        <f t="array" ref="B13280">SUM(1-'Sparkling Model'!D$2:D$38^A13280)</f>
        <v>36.99518954</v>
      </c>
      <c r="C13280" s="8">
        <f t="array" ref="C13280">PRODUCT(1-'Sparkling Model'!D$2:D$38^A13280)</f>
        <v>0.9951975834</v>
      </c>
    </row>
    <row r="13281">
      <c r="A13281" s="6">
        <v>13279.0</v>
      </c>
      <c r="B13281" s="17">
        <f t="array" ref="B13281">SUM(1-'Sparkling Model'!D$2:D$38^A13281)</f>
        <v>36.99519192</v>
      </c>
      <c r="C13281" s="8">
        <f t="array" ref="C13281">PRODUCT(1-'Sparkling Model'!D$2:D$38^A13281)</f>
        <v>0.9951999593</v>
      </c>
    </row>
    <row r="13282">
      <c r="A13282" s="6">
        <v>13280.0</v>
      </c>
      <c r="B13282" s="17">
        <f t="array" ref="B13282">SUM(1-'Sparkling Model'!D$2:D$38^A13282)</f>
        <v>36.9951943</v>
      </c>
      <c r="C13282" s="8">
        <f t="array" ref="C13282">PRODUCT(1-'Sparkling Model'!D$2:D$38^A13282)</f>
        <v>0.9952023339</v>
      </c>
    </row>
    <row r="13283">
      <c r="A13283" s="6">
        <v>13281.0</v>
      </c>
      <c r="B13283" s="17">
        <f t="array" ref="B13283">SUM(1-'Sparkling Model'!D$2:D$38^A13283)</f>
        <v>36.99519669</v>
      </c>
      <c r="C13283" s="8">
        <f t="array" ref="C13283">PRODUCT(1-'Sparkling Model'!D$2:D$38^A13283)</f>
        <v>0.9952047074</v>
      </c>
    </row>
    <row r="13284">
      <c r="A13284" s="6">
        <v>13282.0</v>
      </c>
      <c r="B13284" s="17">
        <f t="array" ref="B13284">SUM(1-'Sparkling Model'!D$2:D$38^A13284)</f>
        <v>36.99519907</v>
      </c>
      <c r="C13284" s="8">
        <f t="array" ref="C13284">PRODUCT(1-'Sparkling Model'!D$2:D$38^A13284)</f>
        <v>0.9952070797</v>
      </c>
    </row>
    <row r="13285">
      <c r="A13285" s="6">
        <v>13283.0</v>
      </c>
      <c r="B13285" s="17">
        <f t="array" ref="B13285">SUM(1-'Sparkling Model'!D$2:D$38^A13285)</f>
        <v>36.99520145</v>
      </c>
      <c r="C13285" s="8">
        <f t="array" ref="C13285">PRODUCT(1-'Sparkling Model'!D$2:D$38^A13285)</f>
        <v>0.9952094509</v>
      </c>
    </row>
    <row r="13286">
      <c r="A13286" s="6">
        <v>13284.0</v>
      </c>
      <c r="B13286" s="17">
        <f t="array" ref="B13286">SUM(1-'Sparkling Model'!D$2:D$38^A13286)</f>
        <v>36.99520382</v>
      </c>
      <c r="C13286" s="8">
        <f t="array" ref="C13286">PRODUCT(1-'Sparkling Model'!D$2:D$38^A13286)</f>
        <v>0.9952118208</v>
      </c>
    </row>
    <row r="13287">
      <c r="A13287" s="6">
        <v>13285.0</v>
      </c>
      <c r="B13287" s="17">
        <f t="array" ref="B13287">SUM(1-'Sparkling Model'!D$2:D$38^A13287)</f>
        <v>36.9952062</v>
      </c>
      <c r="C13287" s="8">
        <f t="array" ref="C13287">PRODUCT(1-'Sparkling Model'!D$2:D$38^A13287)</f>
        <v>0.9952141896</v>
      </c>
    </row>
    <row r="13288">
      <c r="A13288" s="6">
        <v>13286.0</v>
      </c>
      <c r="B13288" s="17">
        <f t="array" ref="B13288">SUM(1-'Sparkling Model'!D$2:D$38^A13288)</f>
        <v>36.99520858</v>
      </c>
      <c r="C13288" s="8">
        <f t="array" ref="C13288">PRODUCT(1-'Sparkling Model'!D$2:D$38^A13288)</f>
        <v>0.9952165572</v>
      </c>
    </row>
    <row r="13289">
      <c r="A13289" s="6">
        <v>13287.0</v>
      </c>
      <c r="B13289" s="17">
        <f t="array" ref="B13289">SUM(1-'Sparkling Model'!D$2:D$38^A13289)</f>
        <v>36.99521095</v>
      </c>
      <c r="C13289" s="8">
        <f t="array" ref="C13289">PRODUCT(1-'Sparkling Model'!D$2:D$38^A13289)</f>
        <v>0.9952189236</v>
      </c>
    </row>
    <row r="13290">
      <c r="A13290" s="6">
        <v>13288.0</v>
      </c>
      <c r="B13290" s="17">
        <f t="array" ref="B13290">SUM(1-'Sparkling Model'!D$2:D$38^A13290)</f>
        <v>36.99521332</v>
      </c>
      <c r="C13290" s="8">
        <f t="array" ref="C13290">PRODUCT(1-'Sparkling Model'!D$2:D$38^A13290)</f>
        <v>0.9952212889</v>
      </c>
    </row>
    <row r="13291">
      <c r="A13291" s="6">
        <v>13289.0</v>
      </c>
      <c r="B13291" s="17">
        <f t="array" ref="B13291">SUM(1-'Sparkling Model'!D$2:D$38^A13291)</f>
        <v>36.9952157</v>
      </c>
      <c r="C13291" s="8">
        <f t="array" ref="C13291">PRODUCT(1-'Sparkling Model'!D$2:D$38^A13291)</f>
        <v>0.995223653</v>
      </c>
    </row>
    <row r="13292">
      <c r="A13292" s="6">
        <v>13290.0</v>
      </c>
      <c r="B13292" s="17">
        <f t="array" ref="B13292">SUM(1-'Sparkling Model'!D$2:D$38^A13292)</f>
        <v>36.99521807</v>
      </c>
      <c r="C13292" s="8">
        <f t="array" ref="C13292">PRODUCT(1-'Sparkling Model'!D$2:D$38^A13292)</f>
        <v>0.9952260159</v>
      </c>
    </row>
    <row r="13293">
      <c r="A13293" s="6">
        <v>13291.0</v>
      </c>
      <c r="B13293" s="17">
        <f t="array" ref="B13293">SUM(1-'Sparkling Model'!D$2:D$38^A13293)</f>
        <v>36.99522044</v>
      </c>
      <c r="C13293" s="8">
        <f t="array" ref="C13293">PRODUCT(1-'Sparkling Model'!D$2:D$38^A13293)</f>
        <v>0.9952283776</v>
      </c>
    </row>
    <row r="13294">
      <c r="A13294" s="6">
        <v>13292.0</v>
      </c>
      <c r="B13294" s="17">
        <f t="array" ref="B13294">SUM(1-'Sparkling Model'!D$2:D$38^A13294)</f>
        <v>36.9952228</v>
      </c>
      <c r="C13294" s="8">
        <f t="array" ref="C13294">PRODUCT(1-'Sparkling Model'!D$2:D$38^A13294)</f>
        <v>0.9952307382</v>
      </c>
    </row>
    <row r="13295">
      <c r="A13295" s="6">
        <v>13293.0</v>
      </c>
      <c r="B13295" s="17">
        <f t="array" ref="B13295">SUM(1-'Sparkling Model'!D$2:D$38^A13295)</f>
        <v>36.99522517</v>
      </c>
      <c r="C13295" s="8">
        <f t="array" ref="C13295">PRODUCT(1-'Sparkling Model'!D$2:D$38^A13295)</f>
        <v>0.9952330975</v>
      </c>
    </row>
    <row r="13296">
      <c r="A13296" s="6">
        <v>13294.0</v>
      </c>
      <c r="B13296" s="17">
        <f t="array" ref="B13296">SUM(1-'Sparkling Model'!D$2:D$38^A13296)</f>
        <v>36.99522754</v>
      </c>
      <c r="C13296" s="8">
        <f t="array" ref="C13296">PRODUCT(1-'Sparkling Model'!D$2:D$38^A13296)</f>
        <v>0.9952354558</v>
      </c>
    </row>
    <row r="13297">
      <c r="A13297" s="6">
        <v>13295.0</v>
      </c>
      <c r="B13297" s="17">
        <f t="array" ref="B13297">SUM(1-'Sparkling Model'!D$2:D$38^A13297)</f>
        <v>36.9952299</v>
      </c>
      <c r="C13297" s="8">
        <f t="array" ref="C13297">PRODUCT(1-'Sparkling Model'!D$2:D$38^A13297)</f>
        <v>0.9952378128</v>
      </c>
    </row>
    <row r="13298">
      <c r="A13298" s="6">
        <v>13296.0</v>
      </c>
      <c r="B13298" s="17">
        <f t="array" ref="B13298">SUM(1-'Sparkling Model'!D$2:D$38^A13298)</f>
        <v>36.99523227</v>
      </c>
      <c r="C13298" s="8">
        <f t="array" ref="C13298">PRODUCT(1-'Sparkling Model'!D$2:D$38^A13298)</f>
        <v>0.9952401687</v>
      </c>
    </row>
    <row r="13299">
      <c r="A13299" s="6">
        <v>13297.0</v>
      </c>
      <c r="B13299" s="17">
        <f t="array" ref="B13299">SUM(1-'Sparkling Model'!D$2:D$38^A13299)</f>
        <v>36.99523463</v>
      </c>
      <c r="C13299" s="8">
        <f t="array" ref="C13299">PRODUCT(1-'Sparkling Model'!D$2:D$38^A13299)</f>
        <v>0.9952425234</v>
      </c>
    </row>
    <row r="13300">
      <c r="A13300" s="6">
        <v>13298.0</v>
      </c>
      <c r="B13300" s="17">
        <f t="array" ref="B13300">SUM(1-'Sparkling Model'!D$2:D$38^A13300)</f>
        <v>36.99523699</v>
      </c>
      <c r="C13300" s="8">
        <f t="array" ref="C13300">PRODUCT(1-'Sparkling Model'!D$2:D$38^A13300)</f>
        <v>0.9952448769</v>
      </c>
    </row>
    <row r="13301">
      <c r="A13301" s="6">
        <v>13299.0</v>
      </c>
      <c r="B13301" s="17">
        <f t="array" ref="B13301">SUM(1-'Sparkling Model'!D$2:D$38^A13301)</f>
        <v>36.99523935</v>
      </c>
      <c r="C13301" s="8">
        <f t="array" ref="C13301">PRODUCT(1-'Sparkling Model'!D$2:D$38^A13301)</f>
        <v>0.9952472293</v>
      </c>
    </row>
    <row r="13302">
      <c r="A13302" s="6">
        <v>13300.0</v>
      </c>
      <c r="B13302" s="17">
        <f t="array" ref="B13302">SUM(1-'Sparkling Model'!D$2:D$38^A13302)</f>
        <v>36.99524171</v>
      </c>
      <c r="C13302" s="8">
        <f t="array" ref="C13302">PRODUCT(1-'Sparkling Model'!D$2:D$38^A13302)</f>
        <v>0.9952495805</v>
      </c>
    </row>
    <row r="13303">
      <c r="A13303" s="6">
        <v>13301.0</v>
      </c>
      <c r="B13303" s="17">
        <f t="array" ref="B13303">SUM(1-'Sparkling Model'!D$2:D$38^A13303)</f>
        <v>36.99524407</v>
      </c>
      <c r="C13303" s="8">
        <f t="array" ref="C13303">PRODUCT(1-'Sparkling Model'!D$2:D$38^A13303)</f>
        <v>0.9952519306</v>
      </c>
    </row>
    <row r="13304">
      <c r="A13304" s="6">
        <v>13302.0</v>
      </c>
      <c r="B13304" s="17">
        <f t="array" ref="B13304">SUM(1-'Sparkling Model'!D$2:D$38^A13304)</f>
        <v>36.99524642</v>
      </c>
      <c r="C13304" s="8">
        <f t="array" ref="C13304">PRODUCT(1-'Sparkling Model'!D$2:D$38^A13304)</f>
        <v>0.9952542794</v>
      </c>
    </row>
    <row r="13305">
      <c r="A13305" s="6">
        <v>13303.0</v>
      </c>
      <c r="B13305" s="17">
        <f t="array" ref="B13305">SUM(1-'Sparkling Model'!D$2:D$38^A13305)</f>
        <v>36.99524878</v>
      </c>
      <c r="C13305" s="8">
        <f t="array" ref="C13305">PRODUCT(1-'Sparkling Model'!D$2:D$38^A13305)</f>
        <v>0.9952566271</v>
      </c>
    </row>
    <row r="13306">
      <c r="A13306" s="6">
        <v>13304.0</v>
      </c>
      <c r="B13306" s="17">
        <f t="array" ref="B13306">SUM(1-'Sparkling Model'!D$2:D$38^A13306)</f>
        <v>36.99525113</v>
      </c>
      <c r="C13306" s="8">
        <f t="array" ref="C13306">PRODUCT(1-'Sparkling Model'!D$2:D$38^A13306)</f>
        <v>0.9952589737</v>
      </c>
    </row>
    <row r="13307">
      <c r="A13307" s="6">
        <v>13305.0</v>
      </c>
      <c r="B13307" s="17">
        <f t="array" ref="B13307">SUM(1-'Sparkling Model'!D$2:D$38^A13307)</f>
        <v>36.99525349</v>
      </c>
      <c r="C13307" s="8">
        <f t="array" ref="C13307">PRODUCT(1-'Sparkling Model'!D$2:D$38^A13307)</f>
        <v>0.9952613191</v>
      </c>
    </row>
    <row r="13308">
      <c r="A13308" s="6">
        <v>13306.0</v>
      </c>
      <c r="B13308" s="17">
        <f t="array" ref="B13308">SUM(1-'Sparkling Model'!D$2:D$38^A13308)</f>
        <v>36.99525584</v>
      </c>
      <c r="C13308" s="8">
        <f t="array" ref="C13308">PRODUCT(1-'Sparkling Model'!D$2:D$38^A13308)</f>
        <v>0.9952636633</v>
      </c>
    </row>
    <row r="13309">
      <c r="A13309" s="6">
        <v>13307.0</v>
      </c>
      <c r="B13309" s="17">
        <f t="array" ref="B13309">SUM(1-'Sparkling Model'!D$2:D$38^A13309)</f>
        <v>36.99525819</v>
      </c>
      <c r="C13309" s="8">
        <f t="array" ref="C13309">PRODUCT(1-'Sparkling Model'!D$2:D$38^A13309)</f>
        <v>0.9952660063</v>
      </c>
    </row>
    <row r="13310">
      <c r="A13310" s="6">
        <v>13308.0</v>
      </c>
      <c r="B13310" s="17">
        <f t="array" ref="B13310">SUM(1-'Sparkling Model'!D$2:D$38^A13310)</f>
        <v>36.99526054</v>
      </c>
      <c r="C13310" s="8">
        <f t="array" ref="C13310">PRODUCT(1-'Sparkling Model'!D$2:D$38^A13310)</f>
        <v>0.9952683482</v>
      </c>
    </row>
    <row r="13311">
      <c r="A13311" s="6">
        <v>13309.0</v>
      </c>
      <c r="B13311" s="17">
        <f t="array" ref="B13311">SUM(1-'Sparkling Model'!D$2:D$38^A13311)</f>
        <v>36.99526289</v>
      </c>
      <c r="C13311" s="8">
        <f t="array" ref="C13311">PRODUCT(1-'Sparkling Model'!D$2:D$38^A13311)</f>
        <v>0.995270689</v>
      </c>
    </row>
    <row r="13312">
      <c r="A13312" s="6">
        <v>13310.0</v>
      </c>
      <c r="B13312" s="17">
        <f t="array" ref="B13312">SUM(1-'Sparkling Model'!D$2:D$38^A13312)</f>
        <v>36.99526524</v>
      </c>
      <c r="C13312" s="8">
        <f t="array" ref="C13312">PRODUCT(1-'Sparkling Model'!D$2:D$38^A13312)</f>
        <v>0.9952730285</v>
      </c>
    </row>
    <row r="13313">
      <c r="A13313" s="6">
        <v>13311.0</v>
      </c>
      <c r="B13313" s="17">
        <f t="array" ref="B13313">SUM(1-'Sparkling Model'!D$2:D$38^A13313)</f>
        <v>36.99526758</v>
      </c>
      <c r="C13313" s="8">
        <f t="array" ref="C13313">PRODUCT(1-'Sparkling Model'!D$2:D$38^A13313)</f>
        <v>0.9952753669</v>
      </c>
    </row>
    <row r="13314">
      <c r="A13314" s="6">
        <v>13312.0</v>
      </c>
      <c r="B13314" s="17">
        <f t="array" ref="B13314">SUM(1-'Sparkling Model'!D$2:D$38^A13314)</f>
        <v>36.99526993</v>
      </c>
      <c r="C13314" s="8">
        <f t="array" ref="C13314">PRODUCT(1-'Sparkling Model'!D$2:D$38^A13314)</f>
        <v>0.9952777042</v>
      </c>
    </row>
    <row r="13315">
      <c r="A13315" s="6">
        <v>13313.0</v>
      </c>
      <c r="B13315" s="17">
        <f t="array" ref="B13315">SUM(1-'Sparkling Model'!D$2:D$38^A13315)</f>
        <v>36.99527227</v>
      </c>
      <c r="C13315" s="8">
        <f t="array" ref="C13315">PRODUCT(1-'Sparkling Model'!D$2:D$38^A13315)</f>
        <v>0.9952800403</v>
      </c>
    </row>
    <row r="13316">
      <c r="A13316" s="6">
        <v>13314.0</v>
      </c>
      <c r="B13316" s="17">
        <f t="array" ref="B13316">SUM(1-'Sparkling Model'!D$2:D$38^A13316)</f>
        <v>36.99527461</v>
      </c>
      <c r="C13316" s="8">
        <f t="array" ref="C13316">PRODUCT(1-'Sparkling Model'!D$2:D$38^A13316)</f>
        <v>0.9952823752</v>
      </c>
    </row>
    <row r="13317">
      <c r="A13317" s="6">
        <v>13315.0</v>
      </c>
      <c r="B13317" s="17">
        <f t="array" ref="B13317">SUM(1-'Sparkling Model'!D$2:D$38^A13317)</f>
        <v>36.99527695</v>
      </c>
      <c r="C13317" s="8">
        <f t="array" ref="C13317">PRODUCT(1-'Sparkling Model'!D$2:D$38^A13317)</f>
        <v>0.9952847089</v>
      </c>
    </row>
    <row r="13318">
      <c r="A13318" s="6">
        <v>13316.0</v>
      </c>
      <c r="B13318" s="17">
        <f t="array" ref="B13318">SUM(1-'Sparkling Model'!D$2:D$38^A13318)</f>
        <v>36.9952793</v>
      </c>
      <c r="C13318" s="8">
        <f t="array" ref="C13318">PRODUCT(1-'Sparkling Model'!D$2:D$38^A13318)</f>
        <v>0.9952870416</v>
      </c>
    </row>
    <row r="13319">
      <c r="A13319" s="6">
        <v>13317.0</v>
      </c>
      <c r="B13319" s="17">
        <f t="array" ref="B13319">SUM(1-'Sparkling Model'!D$2:D$38^A13319)</f>
        <v>36.99528163</v>
      </c>
      <c r="C13319" s="8">
        <f t="array" ref="C13319">PRODUCT(1-'Sparkling Model'!D$2:D$38^A13319)</f>
        <v>0.995289373</v>
      </c>
    </row>
    <row r="13320">
      <c r="A13320" s="6">
        <v>13318.0</v>
      </c>
      <c r="B13320" s="17">
        <f t="array" ref="B13320">SUM(1-'Sparkling Model'!D$2:D$38^A13320)</f>
        <v>36.99528397</v>
      </c>
      <c r="C13320" s="8">
        <f t="array" ref="C13320">PRODUCT(1-'Sparkling Model'!D$2:D$38^A13320)</f>
        <v>0.9952917033</v>
      </c>
    </row>
    <row r="13321">
      <c r="A13321" s="6">
        <v>13319.0</v>
      </c>
      <c r="B13321" s="17">
        <f t="array" ref="B13321">SUM(1-'Sparkling Model'!D$2:D$38^A13321)</f>
        <v>36.99528631</v>
      </c>
      <c r="C13321" s="8">
        <f t="array" ref="C13321">PRODUCT(1-'Sparkling Model'!D$2:D$38^A13321)</f>
        <v>0.9952940324</v>
      </c>
    </row>
    <row r="13322">
      <c r="A13322" s="6">
        <v>13320.0</v>
      </c>
      <c r="B13322" s="17">
        <f t="array" ref="B13322">SUM(1-'Sparkling Model'!D$2:D$38^A13322)</f>
        <v>36.99528864</v>
      </c>
      <c r="C13322" s="8">
        <f t="array" ref="C13322">PRODUCT(1-'Sparkling Model'!D$2:D$38^A13322)</f>
        <v>0.9952963604</v>
      </c>
    </row>
    <row r="13323">
      <c r="A13323" s="6">
        <v>13321.0</v>
      </c>
      <c r="B13323" s="17">
        <f t="array" ref="B13323">SUM(1-'Sparkling Model'!D$2:D$38^A13323)</f>
        <v>36.99529098</v>
      </c>
      <c r="C13323" s="8">
        <f t="array" ref="C13323">PRODUCT(1-'Sparkling Model'!D$2:D$38^A13323)</f>
        <v>0.9952986872</v>
      </c>
    </row>
    <row r="13324">
      <c r="A13324" s="6">
        <v>13322.0</v>
      </c>
      <c r="B13324" s="17">
        <f t="array" ref="B13324">SUM(1-'Sparkling Model'!D$2:D$38^A13324)</f>
        <v>36.99529331</v>
      </c>
      <c r="C13324" s="8">
        <f t="array" ref="C13324">PRODUCT(1-'Sparkling Model'!D$2:D$38^A13324)</f>
        <v>0.9953010129</v>
      </c>
    </row>
    <row r="13325">
      <c r="A13325" s="6">
        <v>13323.0</v>
      </c>
      <c r="B13325" s="17">
        <f t="array" ref="B13325">SUM(1-'Sparkling Model'!D$2:D$38^A13325)</f>
        <v>36.99529564</v>
      </c>
      <c r="C13325" s="8">
        <f t="array" ref="C13325">PRODUCT(1-'Sparkling Model'!D$2:D$38^A13325)</f>
        <v>0.9953033374</v>
      </c>
    </row>
    <row r="13326">
      <c r="A13326" s="6">
        <v>13324.0</v>
      </c>
      <c r="B13326" s="17">
        <f t="array" ref="B13326">SUM(1-'Sparkling Model'!D$2:D$38^A13326)</f>
        <v>36.99529798</v>
      </c>
      <c r="C13326" s="8">
        <f t="array" ref="C13326">PRODUCT(1-'Sparkling Model'!D$2:D$38^A13326)</f>
        <v>0.9953056608</v>
      </c>
    </row>
    <row r="13327">
      <c r="A13327" s="6">
        <v>13325.0</v>
      </c>
      <c r="B13327" s="17">
        <f t="array" ref="B13327">SUM(1-'Sparkling Model'!D$2:D$38^A13327)</f>
        <v>36.99530031</v>
      </c>
      <c r="C13327" s="8">
        <f t="array" ref="C13327">PRODUCT(1-'Sparkling Model'!D$2:D$38^A13327)</f>
        <v>0.995307983</v>
      </c>
    </row>
    <row r="13328">
      <c r="A13328" s="6">
        <v>13326.0</v>
      </c>
      <c r="B13328" s="17">
        <f t="array" ref="B13328">SUM(1-'Sparkling Model'!D$2:D$38^A13328)</f>
        <v>36.99530263</v>
      </c>
      <c r="C13328" s="8">
        <f t="array" ref="C13328">PRODUCT(1-'Sparkling Model'!D$2:D$38^A13328)</f>
        <v>0.9953103041</v>
      </c>
    </row>
    <row r="13329">
      <c r="A13329" s="6">
        <v>13327.0</v>
      </c>
      <c r="B13329" s="17">
        <f t="array" ref="B13329">SUM(1-'Sparkling Model'!D$2:D$38^A13329)</f>
        <v>36.99530496</v>
      </c>
      <c r="C13329" s="8">
        <f t="array" ref="C13329">PRODUCT(1-'Sparkling Model'!D$2:D$38^A13329)</f>
        <v>0.995312624</v>
      </c>
    </row>
    <row r="13330">
      <c r="A13330" s="6">
        <v>13328.0</v>
      </c>
      <c r="B13330" s="17">
        <f t="array" ref="B13330">SUM(1-'Sparkling Model'!D$2:D$38^A13330)</f>
        <v>36.99530729</v>
      </c>
      <c r="C13330" s="8">
        <f t="array" ref="C13330">PRODUCT(1-'Sparkling Model'!D$2:D$38^A13330)</f>
        <v>0.9953149427</v>
      </c>
    </row>
    <row r="13331">
      <c r="A13331" s="6">
        <v>13329.0</v>
      </c>
      <c r="B13331" s="17">
        <f t="array" ref="B13331">SUM(1-'Sparkling Model'!D$2:D$38^A13331)</f>
        <v>36.99530961</v>
      </c>
      <c r="C13331" s="8">
        <f t="array" ref="C13331">PRODUCT(1-'Sparkling Model'!D$2:D$38^A13331)</f>
        <v>0.9953172604</v>
      </c>
    </row>
    <row r="13332">
      <c r="A13332" s="6">
        <v>13330.0</v>
      </c>
      <c r="B13332" s="17">
        <f t="array" ref="B13332">SUM(1-'Sparkling Model'!D$2:D$38^A13332)</f>
        <v>36.99531194</v>
      </c>
      <c r="C13332" s="8">
        <f t="array" ref="C13332">PRODUCT(1-'Sparkling Model'!D$2:D$38^A13332)</f>
        <v>0.9953195768</v>
      </c>
    </row>
    <row r="13333">
      <c r="A13333" s="6">
        <v>13331.0</v>
      </c>
      <c r="B13333" s="17">
        <f t="array" ref="B13333">SUM(1-'Sparkling Model'!D$2:D$38^A13333)</f>
        <v>36.99531426</v>
      </c>
      <c r="C13333" s="8">
        <f t="array" ref="C13333">PRODUCT(1-'Sparkling Model'!D$2:D$38^A13333)</f>
        <v>0.9953218921</v>
      </c>
    </row>
    <row r="13334">
      <c r="A13334" s="6">
        <v>13332.0</v>
      </c>
      <c r="B13334" s="17">
        <f t="array" ref="B13334">SUM(1-'Sparkling Model'!D$2:D$38^A13334)</f>
        <v>36.99531658</v>
      </c>
      <c r="C13334" s="8">
        <f t="array" ref="C13334">PRODUCT(1-'Sparkling Model'!D$2:D$38^A13334)</f>
        <v>0.9953242063</v>
      </c>
    </row>
    <row r="13335">
      <c r="A13335" s="6">
        <v>13333.0</v>
      </c>
      <c r="B13335" s="17">
        <f t="array" ref="B13335">SUM(1-'Sparkling Model'!D$2:D$38^A13335)</f>
        <v>36.9953189</v>
      </c>
      <c r="C13335" s="8">
        <f t="array" ref="C13335">PRODUCT(1-'Sparkling Model'!D$2:D$38^A13335)</f>
        <v>0.9953265193</v>
      </c>
    </row>
    <row r="13336">
      <c r="A13336" s="6">
        <v>13334.0</v>
      </c>
      <c r="B13336" s="17">
        <f t="array" ref="B13336">SUM(1-'Sparkling Model'!D$2:D$38^A13336)</f>
        <v>36.99532122</v>
      </c>
      <c r="C13336" s="8">
        <f t="array" ref="C13336">PRODUCT(1-'Sparkling Model'!D$2:D$38^A13336)</f>
        <v>0.9953288311</v>
      </c>
    </row>
    <row r="13337">
      <c r="A13337" s="6">
        <v>13335.0</v>
      </c>
      <c r="B13337" s="17">
        <f t="array" ref="B13337">SUM(1-'Sparkling Model'!D$2:D$38^A13337)</f>
        <v>36.99532354</v>
      </c>
      <c r="C13337" s="8">
        <f t="array" ref="C13337">PRODUCT(1-'Sparkling Model'!D$2:D$38^A13337)</f>
        <v>0.9953311419</v>
      </c>
    </row>
    <row r="13338">
      <c r="A13338" s="6">
        <v>13336.0</v>
      </c>
      <c r="B13338" s="17">
        <f t="array" ref="B13338">SUM(1-'Sparkling Model'!D$2:D$38^A13338)</f>
        <v>36.99532586</v>
      </c>
      <c r="C13338" s="8">
        <f t="array" ref="C13338">PRODUCT(1-'Sparkling Model'!D$2:D$38^A13338)</f>
        <v>0.9953334514</v>
      </c>
    </row>
    <row r="13339">
      <c r="A13339" s="6">
        <v>13337.0</v>
      </c>
      <c r="B13339" s="17">
        <f t="array" ref="B13339">SUM(1-'Sparkling Model'!D$2:D$38^A13339)</f>
        <v>36.99532817</v>
      </c>
      <c r="C13339" s="8">
        <f t="array" ref="C13339">PRODUCT(1-'Sparkling Model'!D$2:D$38^A13339)</f>
        <v>0.9953357599</v>
      </c>
    </row>
    <row r="13340">
      <c r="A13340" s="6">
        <v>13338.0</v>
      </c>
      <c r="B13340" s="17">
        <f t="array" ref="B13340">SUM(1-'Sparkling Model'!D$2:D$38^A13340)</f>
        <v>36.99533049</v>
      </c>
      <c r="C13340" s="8">
        <f t="array" ref="C13340">PRODUCT(1-'Sparkling Model'!D$2:D$38^A13340)</f>
        <v>0.9953380671</v>
      </c>
    </row>
    <row r="13341">
      <c r="A13341" s="6">
        <v>13339.0</v>
      </c>
      <c r="B13341" s="17">
        <f t="array" ref="B13341">SUM(1-'Sparkling Model'!D$2:D$38^A13341)</f>
        <v>36.9953328</v>
      </c>
      <c r="C13341" s="8">
        <f t="array" ref="C13341">PRODUCT(1-'Sparkling Model'!D$2:D$38^A13341)</f>
        <v>0.9953403733</v>
      </c>
    </row>
    <row r="13342">
      <c r="A13342" s="6">
        <v>13340.0</v>
      </c>
      <c r="B13342" s="17">
        <f t="array" ref="B13342">SUM(1-'Sparkling Model'!D$2:D$38^A13342)</f>
        <v>36.99533511</v>
      </c>
      <c r="C13342" s="8">
        <f t="array" ref="C13342">PRODUCT(1-'Sparkling Model'!D$2:D$38^A13342)</f>
        <v>0.9953426783</v>
      </c>
    </row>
    <row r="13343">
      <c r="A13343" s="6">
        <v>13341.0</v>
      </c>
      <c r="B13343" s="17">
        <f t="array" ref="B13343">SUM(1-'Sparkling Model'!D$2:D$38^A13343)</f>
        <v>36.99533743</v>
      </c>
      <c r="C13343" s="8">
        <f t="array" ref="C13343">PRODUCT(1-'Sparkling Model'!D$2:D$38^A13343)</f>
        <v>0.9953449821</v>
      </c>
    </row>
    <row r="13344">
      <c r="A13344" s="6">
        <v>13342.0</v>
      </c>
      <c r="B13344" s="17">
        <f t="array" ref="B13344">SUM(1-'Sparkling Model'!D$2:D$38^A13344)</f>
        <v>36.99533974</v>
      </c>
      <c r="C13344" s="8">
        <f t="array" ref="C13344">PRODUCT(1-'Sparkling Model'!D$2:D$38^A13344)</f>
        <v>0.9953472848</v>
      </c>
    </row>
    <row r="13345">
      <c r="A13345" s="6">
        <v>13343.0</v>
      </c>
      <c r="B13345" s="17">
        <f t="array" ref="B13345">SUM(1-'Sparkling Model'!D$2:D$38^A13345)</f>
        <v>36.99534205</v>
      </c>
      <c r="C13345" s="8">
        <f t="array" ref="C13345">PRODUCT(1-'Sparkling Model'!D$2:D$38^A13345)</f>
        <v>0.9953495864</v>
      </c>
    </row>
    <row r="13346">
      <c r="A13346" s="6">
        <v>13344.0</v>
      </c>
      <c r="B13346" s="17">
        <f t="array" ref="B13346">SUM(1-'Sparkling Model'!D$2:D$38^A13346)</f>
        <v>36.99534435</v>
      </c>
      <c r="C13346" s="8">
        <f t="array" ref="C13346">PRODUCT(1-'Sparkling Model'!D$2:D$38^A13346)</f>
        <v>0.9953518868</v>
      </c>
    </row>
    <row r="13347">
      <c r="A13347" s="6">
        <v>13345.0</v>
      </c>
      <c r="B13347" s="17">
        <f t="array" ref="B13347">SUM(1-'Sparkling Model'!D$2:D$38^A13347)</f>
        <v>36.99534666</v>
      </c>
      <c r="C13347" s="8">
        <f t="array" ref="C13347">PRODUCT(1-'Sparkling Model'!D$2:D$38^A13347)</f>
        <v>0.995354186</v>
      </c>
    </row>
    <row r="13348">
      <c r="A13348" s="6">
        <v>13346.0</v>
      </c>
      <c r="B13348" s="17">
        <f t="array" ref="B13348">SUM(1-'Sparkling Model'!D$2:D$38^A13348)</f>
        <v>36.99534897</v>
      </c>
      <c r="C13348" s="8">
        <f t="array" ref="C13348">PRODUCT(1-'Sparkling Model'!D$2:D$38^A13348)</f>
        <v>0.9953564842</v>
      </c>
    </row>
    <row r="13349">
      <c r="A13349" s="6">
        <v>13347.0</v>
      </c>
      <c r="B13349" s="17">
        <f t="array" ref="B13349">SUM(1-'Sparkling Model'!D$2:D$38^A13349)</f>
        <v>36.99535127</v>
      </c>
      <c r="C13349" s="8">
        <f t="array" ref="C13349">PRODUCT(1-'Sparkling Model'!D$2:D$38^A13349)</f>
        <v>0.9953587812</v>
      </c>
    </row>
    <row r="13350">
      <c r="A13350" s="6">
        <v>13348.0</v>
      </c>
      <c r="B13350" s="17">
        <f t="array" ref="B13350">SUM(1-'Sparkling Model'!D$2:D$38^A13350)</f>
        <v>36.99535357</v>
      </c>
      <c r="C13350" s="8">
        <f t="array" ref="C13350">PRODUCT(1-'Sparkling Model'!D$2:D$38^A13350)</f>
        <v>0.995361077</v>
      </c>
    </row>
    <row r="13351">
      <c r="A13351" s="6">
        <v>13349.0</v>
      </c>
      <c r="B13351" s="17">
        <f t="array" ref="B13351">SUM(1-'Sparkling Model'!D$2:D$38^A13351)</f>
        <v>36.99535588</v>
      </c>
      <c r="C13351" s="8">
        <f t="array" ref="C13351">PRODUCT(1-'Sparkling Model'!D$2:D$38^A13351)</f>
        <v>0.9953633717</v>
      </c>
    </row>
    <row r="13352">
      <c r="A13352" s="6">
        <v>13350.0</v>
      </c>
      <c r="B13352" s="17">
        <f t="array" ref="B13352">SUM(1-'Sparkling Model'!D$2:D$38^A13352)</f>
        <v>36.99535818</v>
      </c>
      <c r="C13352" s="8">
        <f t="array" ref="C13352">PRODUCT(1-'Sparkling Model'!D$2:D$38^A13352)</f>
        <v>0.9953656653</v>
      </c>
    </row>
    <row r="13353">
      <c r="A13353" s="6">
        <v>13351.0</v>
      </c>
      <c r="B13353" s="17">
        <f t="array" ref="B13353">SUM(1-'Sparkling Model'!D$2:D$38^A13353)</f>
        <v>36.99536048</v>
      </c>
      <c r="C13353" s="8">
        <f t="array" ref="C13353">PRODUCT(1-'Sparkling Model'!D$2:D$38^A13353)</f>
        <v>0.9953679578</v>
      </c>
    </row>
    <row r="13354">
      <c r="A13354" s="6">
        <v>13352.0</v>
      </c>
      <c r="B13354" s="17">
        <f t="array" ref="B13354">SUM(1-'Sparkling Model'!D$2:D$38^A13354)</f>
        <v>36.99536278</v>
      </c>
      <c r="C13354" s="8">
        <f t="array" ref="C13354">PRODUCT(1-'Sparkling Model'!D$2:D$38^A13354)</f>
        <v>0.9953702491</v>
      </c>
    </row>
    <row r="13355">
      <c r="A13355" s="6">
        <v>13353.0</v>
      </c>
      <c r="B13355" s="17">
        <f t="array" ref="B13355">SUM(1-'Sparkling Model'!D$2:D$38^A13355)</f>
        <v>36.99536507</v>
      </c>
      <c r="C13355" s="8">
        <f t="array" ref="C13355">PRODUCT(1-'Sparkling Model'!D$2:D$38^A13355)</f>
        <v>0.9953725392</v>
      </c>
    </row>
    <row r="13356">
      <c r="A13356" s="6">
        <v>13354.0</v>
      </c>
      <c r="B13356" s="17">
        <f t="array" ref="B13356">SUM(1-'Sparkling Model'!D$2:D$38^A13356)</f>
        <v>36.99536737</v>
      </c>
      <c r="C13356" s="8">
        <f t="array" ref="C13356">PRODUCT(1-'Sparkling Model'!D$2:D$38^A13356)</f>
        <v>0.9953748283</v>
      </c>
    </row>
    <row r="13357">
      <c r="A13357" s="6">
        <v>13355.0</v>
      </c>
      <c r="B13357" s="17">
        <f t="array" ref="B13357">SUM(1-'Sparkling Model'!D$2:D$38^A13357)</f>
        <v>36.99536966</v>
      </c>
      <c r="C13357" s="8">
        <f t="array" ref="C13357">PRODUCT(1-'Sparkling Model'!D$2:D$38^A13357)</f>
        <v>0.9953771161</v>
      </c>
    </row>
    <row r="13358">
      <c r="A13358" s="6">
        <v>13356.0</v>
      </c>
      <c r="B13358" s="17">
        <f t="array" ref="B13358">SUM(1-'Sparkling Model'!D$2:D$38^A13358)</f>
        <v>36.99537196</v>
      </c>
      <c r="C13358" s="8">
        <f t="array" ref="C13358">PRODUCT(1-'Sparkling Model'!D$2:D$38^A13358)</f>
        <v>0.9953794029</v>
      </c>
    </row>
    <row r="13359">
      <c r="A13359" s="6">
        <v>13357.0</v>
      </c>
      <c r="B13359" s="17">
        <f t="array" ref="B13359">SUM(1-'Sparkling Model'!D$2:D$38^A13359)</f>
        <v>36.99537425</v>
      </c>
      <c r="C13359" s="8">
        <f t="array" ref="C13359">PRODUCT(1-'Sparkling Model'!D$2:D$38^A13359)</f>
        <v>0.9953816885</v>
      </c>
    </row>
    <row r="13360">
      <c r="A13360" s="6">
        <v>13358.0</v>
      </c>
      <c r="B13360" s="17">
        <f t="array" ref="B13360">SUM(1-'Sparkling Model'!D$2:D$38^A13360)</f>
        <v>36.99537654</v>
      </c>
      <c r="C13360" s="8">
        <f t="array" ref="C13360">PRODUCT(1-'Sparkling Model'!D$2:D$38^A13360)</f>
        <v>0.995383973</v>
      </c>
    </row>
    <row r="13361">
      <c r="A13361" s="6">
        <v>13359.0</v>
      </c>
      <c r="B13361" s="17">
        <f t="array" ref="B13361">SUM(1-'Sparkling Model'!D$2:D$38^A13361)</f>
        <v>36.99537883</v>
      </c>
      <c r="C13361" s="8">
        <f t="array" ref="C13361">PRODUCT(1-'Sparkling Model'!D$2:D$38^A13361)</f>
        <v>0.9953862564</v>
      </c>
    </row>
    <row r="13362">
      <c r="A13362" s="6">
        <v>13360.0</v>
      </c>
      <c r="B13362" s="17">
        <f t="array" ref="B13362">SUM(1-'Sparkling Model'!D$2:D$38^A13362)</f>
        <v>36.99538112</v>
      </c>
      <c r="C13362" s="8">
        <f t="array" ref="C13362">PRODUCT(1-'Sparkling Model'!D$2:D$38^A13362)</f>
        <v>0.9953885386</v>
      </c>
    </row>
    <row r="13363">
      <c r="A13363" s="6">
        <v>13361.0</v>
      </c>
      <c r="B13363" s="17">
        <f t="array" ref="B13363">SUM(1-'Sparkling Model'!D$2:D$38^A13363)</f>
        <v>36.99538341</v>
      </c>
      <c r="C13363" s="8">
        <f t="array" ref="C13363">PRODUCT(1-'Sparkling Model'!D$2:D$38^A13363)</f>
        <v>0.9953908197</v>
      </c>
    </row>
    <row r="13364">
      <c r="A13364" s="6">
        <v>13362.0</v>
      </c>
      <c r="B13364" s="17">
        <f t="array" ref="B13364">SUM(1-'Sparkling Model'!D$2:D$38^A13364)</f>
        <v>36.9953857</v>
      </c>
      <c r="C13364" s="8">
        <f t="array" ref="C13364">PRODUCT(1-'Sparkling Model'!D$2:D$38^A13364)</f>
        <v>0.9953930996</v>
      </c>
    </row>
    <row r="13365">
      <c r="A13365" s="6">
        <v>13363.0</v>
      </c>
      <c r="B13365" s="17">
        <f t="array" ref="B13365">SUM(1-'Sparkling Model'!D$2:D$38^A13365)</f>
        <v>36.99538799</v>
      </c>
      <c r="C13365" s="8">
        <f t="array" ref="C13365">PRODUCT(1-'Sparkling Model'!D$2:D$38^A13365)</f>
        <v>0.9953953785</v>
      </c>
    </row>
    <row r="13366">
      <c r="A13366" s="6">
        <v>13364.0</v>
      </c>
      <c r="B13366" s="17">
        <f t="array" ref="B13366">SUM(1-'Sparkling Model'!D$2:D$38^A13366)</f>
        <v>36.99539027</v>
      </c>
      <c r="C13366" s="8">
        <f t="array" ref="C13366">PRODUCT(1-'Sparkling Model'!D$2:D$38^A13366)</f>
        <v>0.9953976562</v>
      </c>
    </row>
    <row r="13367">
      <c r="A13367" s="6">
        <v>13365.0</v>
      </c>
      <c r="B13367" s="17">
        <f t="array" ref="B13367">SUM(1-'Sparkling Model'!D$2:D$38^A13367)</f>
        <v>36.99539256</v>
      </c>
      <c r="C13367" s="8">
        <f t="array" ref="C13367">PRODUCT(1-'Sparkling Model'!D$2:D$38^A13367)</f>
        <v>0.9953999327</v>
      </c>
    </row>
    <row r="13368">
      <c r="A13368" s="6">
        <v>13366.0</v>
      </c>
      <c r="B13368" s="17">
        <f t="array" ref="B13368">SUM(1-'Sparkling Model'!D$2:D$38^A13368)</f>
        <v>36.99539484</v>
      </c>
      <c r="C13368" s="8">
        <f t="array" ref="C13368">PRODUCT(1-'Sparkling Model'!D$2:D$38^A13368)</f>
        <v>0.9954022082</v>
      </c>
    </row>
    <row r="13369">
      <c r="A13369" s="6">
        <v>13367.0</v>
      </c>
      <c r="B13369" s="17">
        <f t="array" ref="B13369">SUM(1-'Sparkling Model'!D$2:D$38^A13369)</f>
        <v>36.99539712</v>
      </c>
      <c r="C13369" s="8">
        <f t="array" ref="C13369">PRODUCT(1-'Sparkling Model'!D$2:D$38^A13369)</f>
        <v>0.9954044825</v>
      </c>
    </row>
    <row r="13370">
      <c r="A13370" s="6">
        <v>13368.0</v>
      </c>
      <c r="B13370" s="17">
        <f t="array" ref="B13370">SUM(1-'Sparkling Model'!D$2:D$38^A13370)</f>
        <v>36.9953994</v>
      </c>
      <c r="C13370" s="8">
        <f t="array" ref="C13370">PRODUCT(1-'Sparkling Model'!D$2:D$38^A13370)</f>
        <v>0.9954067556</v>
      </c>
    </row>
    <row r="13371">
      <c r="A13371" s="6">
        <v>13369.0</v>
      </c>
      <c r="B13371" s="17">
        <f t="array" ref="B13371">SUM(1-'Sparkling Model'!D$2:D$38^A13371)</f>
        <v>36.99540168</v>
      </c>
      <c r="C13371" s="8">
        <f t="array" ref="C13371">PRODUCT(1-'Sparkling Model'!D$2:D$38^A13371)</f>
        <v>0.9954090277</v>
      </c>
    </row>
    <row r="13372">
      <c r="A13372" s="6">
        <v>13370.0</v>
      </c>
      <c r="B13372" s="17">
        <f t="array" ref="B13372">SUM(1-'Sparkling Model'!D$2:D$38^A13372)</f>
        <v>36.99540396</v>
      </c>
      <c r="C13372" s="8">
        <f t="array" ref="C13372">PRODUCT(1-'Sparkling Model'!D$2:D$38^A13372)</f>
        <v>0.9954112986</v>
      </c>
    </row>
    <row r="13373">
      <c r="A13373" s="6">
        <v>13371.0</v>
      </c>
      <c r="B13373" s="17">
        <f t="array" ref="B13373">SUM(1-'Sparkling Model'!D$2:D$38^A13373)</f>
        <v>36.99540623</v>
      </c>
      <c r="C13373" s="8">
        <f t="array" ref="C13373">PRODUCT(1-'Sparkling Model'!D$2:D$38^A13373)</f>
        <v>0.9954135684</v>
      </c>
    </row>
    <row r="13374">
      <c r="A13374" s="6">
        <v>13372.0</v>
      </c>
      <c r="B13374" s="17">
        <f t="array" ref="B13374">SUM(1-'Sparkling Model'!D$2:D$38^A13374)</f>
        <v>36.99540851</v>
      </c>
      <c r="C13374" s="8">
        <f t="array" ref="C13374">PRODUCT(1-'Sparkling Model'!D$2:D$38^A13374)</f>
        <v>0.9954158371</v>
      </c>
    </row>
    <row r="13375">
      <c r="A13375" s="6">
        <v>13373.0</v>
      </c>
      <c r="B13375" s="17">
        <f t="array" ref="B13375">SUM(1-'Sparkling Model'!D$2:D$38^A13375)</f>
        <v>36.99541079</v>
      </c>
      <c r="C13375" s="8">
        <f t="array" ref="C13375">PRODUCT(1-'Sparkling Model'!D$2:D$38^A13375)</f>
        <v>0.9954181046</v>
      </c>
    </row>
    <row r="13376">
      <c r="A13376" s="6">
        <v>13374.0</v>
      </c>
      <c r="B13376" s="17">
        <f t="array" ref="B13376">SUM(1-'Sparkling Model'!D$2:D$38^A13376)</f>
        <v>36.99541306</v>
      </c>
      <c r="C13376" s="8">
        <f t="array" ref="C13376">PRODUCT(1-'Sparkling Model'!D$2:D$38^A13376)</f>
        <v>0.9954203711</v>
      </c>
    </row>
    <row r="13377">
      <c r="A13377" s="6">
        <v>13375.0</v>
      </c>
      <c r="B13377" s="17">
        <f t="array" ref="B13377">SUM(1-'Sparkling Model'!D$2:D$38^A13377)</f>
        <v>36.99541533</v>
      </c>
      <c r="C13377" s="8">
        <f t="array" ref="C13377">PRODUCT(1-'Sparkling Model'!D$2:D$38^A13377)</f>
        <v>0.9954226364</v>
      </c>
    </row>
    <row r="13378">
      <c r="A13378" s="6">
        <v>13376.0</v>
      </c>
      <c r="B13378" s="17">
        <f t="array" ref="B13378">SUM(1-'Sparkling Model'!D$2:D$38^A13378)</f>
        <v>36.9954176</v>
      </c>
      <c r="C13378" s="8">
        <f t="array" ref="C13378">PRODUCT(1-'Sparkling Model'!D$2:D$38^A13378)</f>
        <v>0.9954249005</v>
      </c>
    </row>
    <row r="13379">
      <c r="A13379" s="6">
        <v>13377.0</v>
      </c>
      <c r="B13379" s="17">
        <f t="array" ref="B13379">SUM(1-'Sparkling Model'!D$2:D$38^A13379)</f>
        <v>36.99541987</v>
      </c>
      <c r="C13379" s="8">
        <f t="array" ref="C13379">PRODUCT(1-'Sparkling Model'!D$2:D$38^A13379)</f>
        <v>0.9954271636</v>
      </c>
    </row>
    <row r="13380">
      <c r="A13380" s="6">
        <v>13378.0</v>
      </c>
      <c r="B13380" s="17">
        <f t="array" ref="B13380">SUM(1-'Sparkling Model'!D$2:D$38^A13380)</f>
        <v>36.99542214</v>
      </c>
      <c r="C13380" s="8">
        <f t="array" ref="C13380">PRODUCT(1-'Sparkling Model'!D$2:D$38^A13380)</f>
        <v>0.9954294255</v>
      </c>
    </row>
    <row r="13381">
      <c r="A13381" s="6">
        <v>13379.0</v>
      </c>
      <c r="B13381" s="17">
        <f t="array" ref="B13381">SUM(1-'Sparkling Model'!D$2:D$38^A13381)</f>
        <v>36.99542441</v>
      </c>
      <c r="C13381" s="8">
        <f t="array" ref="C13381">PRODUCT(1-'Sparkling Model'!D$2:D$38^A13381)</f>
        <v>0.9954316863</v>
      </c>
    </row>
    <row r="13382">
      <c r="A13382" s="6">
        <v>13380.0</v>
      </c>
      <c r="B13382" s="17">
        <f t="array" ref="B13382">SUM(1-'Sparkling Model'!D$2:D$38^A13382)</f>
        <v>36.99542668</v>
      </c>
      <c r="C13382" s="8">
        <f t="array" ref="C13382">PRODUCT(1-'Sparkling Model'!D$2:D$38^A13382)</f>
        <v>0.995433946</v>
      </c>
    </row>
    <row r="13383">
      <c r="A13383" s="6">
        <v>13381.0</v>
      </c>
      <c r="B13383" s="17">
        <f t="array" ref="B13383">SUM(1-'Sparkling Model'!D$2:D$38^A13383)</f>
        <v>36.99542894</v>
      </c>
      <c r="C13383" s="8">
        <f t="array" ref="C13383">PRODUCT(1-'Sparkling Model'!D$2:D$38^A13383)</f>
        <v>0.9954362045</v>
      </c>
    </row>
    <row r="13384">
      <c r="A13384" s="6">
        <v>13382.0</v>
      </c>
      <c r="B13384" s="17">
        <f t="array" ref="B13384">SUM(1-'Sparkling Model'!D$2:D$38^A13384)</f>
        <v>36.99543121</v>
      </c>
      <c r="C13384" s="8">
        <f t="array" ref="C13384">PRODUCT(1-'Sparkling Model'!D$2:D$38^A13384)</f>
        <v>0.995438462</v>
      </c>
    </row>
    <row r="13385">
      <c r="A13385" s="6">
        <v>13383.0</v>
      </c>
      <c r="B13385" s="17">
        <f t="array" ref="B13385">SUM(1-'Sparkling Model'!D$2:D$38^A13385)</f>
        <v>36.99543347</v>
      </c>
      <c r="C13385" s="8">
        <f t="array" ref="C13385">PRODUCT(1-'Sparkling Model'!D$2:D$38^A13385)</f>
        <v>0.9954407183</v>
      </c>
    </row>
    <row r="13386">
      <c r="A13386" s="6">
        <v>13384.0</v>
      </c>
      <c r="B13386" s="17">
        <f t="array" ref="B13386">SUM(1-'Sparkling Model'!D$2:D$38^A13386)</f>
        <v>36.99543573</v>
      </c>
      <c r="C13386" s="8">
        <f t="array" ref="C13386">PRODUCT(1-'Sparkling Model'!D$2:D$38^A13386)</f>
        <v>0.9954429735</v>
      </c>
    </row>
    <row r="13387">
      <c r="A13387" s="6">
        <v>13385.0</v>
      </c>
      <c r="B13387" s="17">
        <f t="array" ref="B13387">SUM(1-'Sparkling Model'!D$2:D$38^A13387)</f>
        <v>36.995438</v>
      </c>
      <c r="C13387" s="8">
        <f t="array" ref="C13387">PRODUCT(1-'Sparkling Model'!D$2:D$38^A13387)</f>
        <v>0.9954452276</v>
      </c>
    </row>
    <row r="13388">
      <c r="A13388" s="6">
        <v>13386.0</v>
      </c>
      <c r="B13388" s="17">
        <f t="array" ref="B13388">SUM(1-'Sparkling Model'!D$2:D$38^A13388)</f>
        <v>36.99544026</v>
      </c>
      <c r="C13388" s="8">
        <f t="array" ref="C13388">PRODUCT(1-'Sparkling Model'!D$2:D$38^A13388)</f>
        <v>0.9954474805</v>
      </c>
    </row>
    <row r="13389">
      <c r="A13389" s="6">
        <v>13387.0</v>
      </c>
      <c r="B13389" s="17">
        <f t="array" ref="B13389">SUM(1-'Sparkling Model'!D$2:D$38^A13389)</f>
        <v>36.99544251</v>
      </c>
      <c r="C13389" s="8">
        <f t="array" ref="C13389">PRODUCT(1-'Sparkling Model'!D$2:D$38^A13389)</f>
        <v>0.9954497324</v>
      </c>
    </row>
    <row r="13390">
      <c r="A13390" s="6">
        <v>13388.0</v>
      </c>
      <c r="B13390" s="17">
        <f t="array" ref="B13390">SUM(1-'Sparkling Model'!D$2:D$38^A13390)</f>
        <v>36.99544477</v>
      </c>
      <c r="C13390" s="8">
        <f t="array" ref="C13390">PRODUCT(1-'Sparkling Model'!D$2:D$38^A13390)</f>
        <v>0.9954519831</v>
      </c>
    </row>
    <row r="13391">
      <c r="A13391" s="6">
        <v>13389.0</v>
      </c>
      <c r="B13391" s="17">
        <f t="array" ref="B13391">SUM(1-'Sparkling Model'!D$2:D$38^A13391)</f>
        <v>36.99544703</v>
      </c>
      <c r="C13391" s="8">
        <f t="array" ref="C13391">PRODUCT(1-'Sparkling Model'!D$2:D$38^A13391)</f>
        <v>0.9954542327</v>
      </c>
    </row>
    <row r="13392">
      <c r="A13392" s="6">
        <v>13390.0</v>
      </c>
      <c r="B13392" s="17">
        <f t="array" ref="B13392">SUM(1-'Sparkling Model'!D$2:D$38^A13392)</f>
        <v>36.99544929</v>
      </c>
      <c r="C13392" s="8">
        <f t="array" ref="C13392">PRODUCT(1-'Sparkling Model'!D$2:D$38^A13392)</f>
        <v>0.9954564812</v>
      </c>
    </row>
    <row r="13393">
      <c r="A13393" s="6">
        <v>13391.0</v>
      </c>
      <c r="B13393" s="17">
        <f t="array" ref="B13393">SUM(1-'Sparkling Model'!D$2:D$38^A13393)</f>
        <v>36.99545154</v>
      </c>
      <c r="C13393" s="8">
        <f t="array" ref="C13393">PRODUCT(1-'Sparkling Model'!D$2:D$38^A13393)</f>
        <v>0.9954587286</v>
      </c>
    </row>
    <row r="13394">
      <c r="A13394" s="6">
        <v>13392.0</v>
      </c>
      <c r="B13394" s="17">
        <f t="array" ref="B13394">SUM(1-'Sparkling Model'!D$2:D$38^A13394)</f>
        <v>36.99545379</v>
      </c>
      <c r="C13394" s="8">
        <f t="array" ref="C13394">PRODUCT(1-'Sparkling Model'!D$2:D$38^A13394)</f>
        <v>0.9954609749</v>
      </c>
    </row>
    <row r="13395">
      <c r="A13395" s="6">
        <v>13393.0</v>
      </c>
      <c r="B13395" s="17">
        <f t="array" ref="B13395">SUM(1-'Sparkling Model'!D$2:D$38^A13395)</f>
        <v>36.99545605</v>
      </c>
      <c r="C13395" s="8">
        <f t="array" ref="C13395">PRODUCT(1-'Sparkling Model'!D$2:D$38^A13395)</f>
        <v>0.99546322</v>
      </c>
    </row>
    <row r="13396">
      <c r="A13396" s="6">
        <v>13394.0</v>
      </c>
      <c r="B13396" s="17">
        <f t="array" ref="B13396">SUM(1-'Sparkling Model'!D$2:D$38^A13396)</f>
        <v>36.9954583</v>
      </c>
      <c r="C13396" s="8">
        <f t="array" ref="C13396">PRODUCT(1-'Sparkling Model'!D$2:D$38^A13396)</f>
        <v>0.9954654641</v>
      </c>
    </row>
    <row r="13397">
      <c r="A13397" s="6">
        <v>13395.0</v>
      </c>
      <c r="B13397" s="17">
        <f t="array" ref="B13397">SUM(1-'Sparkling Model'!D$2:D$38^A13397)</f>
        <v>36.99546055</v>
      </c>
      <c r="C13397" s="8">
        <f t="array" ref="C13397">PRODUCT(1-'Sparkling Model'!D$2:D$38^A13397)</f>
        <v>0.995467707</v>
      </c>
    </row>
    <row r="13398">
      <c r="A13398" s="6">
        <v>13396.0</v>
      </c>
      <c r="B13398" s="17">
        <f t="array" ref="B13398">SUM(1-'Sparkling Model'!D$2:D$38^A13398)</f>
        <v>36.9954628</v>
      </c>
      <c r="C13398" s="8">
        <f t="array" ref="C13398">PRODUCT(1-'Sparkling Model'!D$2:D$38^A13398)</f>
        <v>0.9954699488</v>
      </c>
    </row>
    <row r="13399">
      <c r="A13399" s="6">
        <v>13397.0</v>
      </c>
      <c r="B13399" s="17">
        <f t="array" ref="B13399">SUM(1-'Sparkling Model'!D$2:D$38^A13399)</f>
        <v>36.99546504</v>
      </c>
      <c r="C13399" s="8">
        <f t="array" ref="C13399">PRODUCT(1-'Sparkling Model'!D$2:D$38^A13399)</f>
        <v>0.9954721895</v>
      </c>
    </row>
    <row r="13400">
      <c r="A13400" s="6">
        <v>13398.0</v>
      </c>
      <c r="B13400" s="17">
        <f t="array" ref="B13400">SUM(1-'Sparkling Model'!D$2:D$38^A13400)</f>
        <v>36.99546729</v>
      </c>
      <c r="C13400" s="8">
        <f t="array" ref="C13400">PRODUCT(1-'Sparkling Model'!D$2:D$38^A13400)</f>
        <v>0.9954744291</v>
      </c>
    </row>
    <row r="13401">
      <c r="A13401" s="6">
        <v>13399.0</v>
      </c>
      <c r="B13401" s="17">
        <f t="array" ref="B13401">SUM(1-'Sparkling Model'!D$2:D$38^A13401)</f>
        <v>36.99546954</v>
      </c>
      <c r="C13401" s="8">
        <f t="array" ref="C13401">PRODUCT(1-'Sparkling Model'!D$2:D$38^A13401)</f>
        <v>0.9954766675</v>
      </c>
    </row>
    <row r="13402">
      <c r="A13402" s="6">
        <v>13400.0</v>
      </c>
      <c r="B13402" s="17">
        <f t="array" ref="B13402">SUM(1-'Sparkling Model'!D$2:D$38^A13402)</f>
        <v>36.99547178</v>
      </c>
      <c r="C13402" s="8">
        <f t="array" ref="C13402">PRODUCT(1-'Sparkling Model'!D$2:D$38^A13402)</f>
        <v>0.9954789049</v>
      </c>
    </row>
    <row r="13403">
      <c r="A13403" s="6">
        <v>13401.0</v>
      </c>
      <c r="B13403" s="17">
        <f t="array" ref="B13403">SUM(1-'Sparkling Model'!D$2:D$38^A13403)</f>
        <v>36.99547402</v>
      </c>
      <c r="C13403" s="8">
        <f t="array" ref="C13403">PRODUCT(1-'Sparkling Model'!D$2:D$38^A13403)</f>
        <v>0.9954811412</v>
      </c>
    </row>
    <row r="13404">
      <c r="A13404" s="6">
        <v>13402.0</v>
      </c>
      <c r="B13404" s="17">
        <f t="array" ref="B13404">SUM(1-'Sparkling Model'!D$2:D$38^A13404)</f>
        <v>36.99547627</v>
      </c>
      <c r="C13404" s="8">
        <f t="array" ref="C13404">PRODUCT(1-'Sparkling Model'!D$2:D$38^A13404)</f>
        <v>0.9954833763</v>
      </c>
    </row>
    <row r="13405">
      <c r="A13405" s="6">
        <v>13403.0</v>
      </c>
      <c r="B13405" s="17">
        <f t="array" ref="B13405">SUM(1-'Sparkling Model'!D$2:D$38^A13405)</f>
        <v>36.99547851</v>
      </c>
      <c r="C13405" s="8">
        <f t="array" ref="C13405">PRODUCT(1-'Sparkling Model'!D$2:D$38^A13405)</f>
        <v>0.9954856103</v>
      </c>
    </row>
    <row r="13406">
      <c r="A13406" s="6">
        <v>13404.0</v>
      </c>
      <c r="B13406" s="17">
        <f t="array" ref="B13406">SUM(1-'Sparkling Model'!D$2:D$38^A13406)</f>
        <v>36.99548075</v>
      </c>
      <c r="C13406" s="8">
        <f t="array" ref="C13406">PRODUCT(1-'Sparkling Model'!D$2:D$38^A13406)</f>
        <v>0.9954878433</v>
      </c>
    </row>
    <row r="13407">
      <c r="A13407" s="6">
        <v>13405.0</v>
      </c>
      <c r="B13407" s="17">
        <f t="array" ref="B13407">SUM(1-'Sparkling Model'!D$2:D$38^A13407)</f>
        <v>36.99548299</v>
      </c>
      <c r="C13407" s="8">
        <f t="array" ref="C13407">PRODUCT(1-'Sparkling Model'!D$2:D$38^A13407)</f>
        <v>0.9954900751</v>
      </c>
    </row>
    <row r="13408">
      <c r="A13408" s="6">
        <v>13406.0</v>
      </c>
      <c r="B13408" s="17">
        <f t="array" ref="B13408">SUM(1-'Sparkling Model'!D$2:D$38^A13408)</f>
        <v>36.99548522</v>
      </c>
      <c r="C13408" s="8">
        <f t="array" ref="C13408">PRODUCT(1-'Sparkling Model'!D$2:D$38^A13408)</f>
        <v>0.9954923058</v>
      </c>
    </row>
    <row r="13409">
      <c r="A13409" s="6">
        <v>13407.0</v>
      </c>
      <c r="B13409" s="17">
        <f t="array" ref="B13409">SUM(1-'Sparkling Model'!D$2:D$38^A13409)</f>
        <v>36.99548746</v>
      </c>
      <c r="C13409" s="8">
        <f t="array" ref="C13409">PRODUCT(1-'Sparkling Model'!D$2:D$38^A13409)</f>
        <v>0.9954945354</v>
      </c>
    </row>
    <row r="13410">
      <c r="A13410" s="6">
        <v>13408.0</v>
      </c>
      <c r="B13410" s="17">
        <f t="array" ref="B13410">SUM(1-'Sparkling Model'!D$2:D$38^A13410)</f>
        <v>36.9954897</v>
      </c>
      <c r="C13410" s="8">
        <f t="array" ref="C13410">PRODUCT(1-'Sparkling Model'!D$2:D$38^A13410)</f>
        <v>0.9954967639</v>
      </c>
    </row>
    <row r="13411">
      <c r="A13411" s="6">
        <v>13409.0</v>
      </c>
      <c r="B13411" s="17">
        <f t="array" ref="B13411">SUM(1-'Sparkling Model'!D$2:D$38^A13411)</f>
        <v>36.99549193</v>
      </c>
      <c r="C13411" s="8">
        <f t="array" ref="C13411">PRODUCT(1-'Sparkling Model'!D$2:D$38^A13411)</f>
        <v>0.9954989913</v>
      </c>
    </row>
    <row r="13412">
      <c r="A13412" s="6">
        <v>13410.0</v>
      </c>
      <c r="B13412" s="17">
        <f t="array" ref="B13412">SUM(1-'Sparkling Model'!D$2:D$38^A13412)</f>
        <v>36.99549416</v>
      </c>
      <c r="C13412" s="8">
        <f t="array" ref="C13412">PRODUCT(1-'Sparkling Model'!D$2:D$38^A13412)</f>
        <v>0.9955012176</v>
      </c>
    </row>
    <row r="13413">
      <c r="A13413" s="6">
        <v>13411.0</v>
      </c>
      <c r="B13413" s="17">
        <f t="array" ref="B13413">SUM(1-'Sparkling Model'!D$2:D$38^A13413)</f>
        <v>36.9954964</v>
      </c>
      <c r="C13413" s="8">
        <f t="array" ref="C13413">PRODUCT(1-'Sparkling Model'!D$2:D$38^A13413)</f>
        <v>0.9955034428</v>
      </c>
    </row>
    <row r="13414">
      <c r="A13414" s="6">
        <v>13412.0</v>
      </c>
      <c r="B13414" s="17">
        <f t="array" ref="B13414">SUM(1-'Sparkling Model'!D$2:D$38^A13414)</f>
        <v>36.99549863</v>
      </c>
      <c r="C13414" s="8">
        <f t="array" ref="C13414">PRODUCT(1-'Sparkling Model'!D$2:D$38^A13414)</f>
        <v>0.9955056668</v>
      </c>
    </row>
    <row r="13415">
      <c r="A13415" s="6">
        <v>13413.0</v>
      </c>
      <c r="B13415" s="17">
        <f t="array" ref="B13415">SUM(1-'Sparkling Model'!D$2:D$38^A13415)</f>
        <v>36.99550086</v>
      </c>
      <c r="C13415" s="8">
        <f t="array" ref="C13415">PRODUCT(1-'Sparkling Model'!D$2:D$38^A13415)</f>
        <v>0.9955078898</v>
      </c>
    </row>
    <row r="13416">
      <c r="A13416" s="6">
        <v>13414.0</v>
      </c>
      <c r="B13416" s="17">
        <f t="array" ref="B13416">SUM(1-'Sparkling Model'!D$2:D$38^A13416)</f>
        <v>36.99550309</v>
      </c>
      <c r="C13416" s="8">
        <f t="array" ref="C13416">PRODUCT(1-'Sparkling Model'!D$2:D$38^A13416)</f>
        <v>0.9955101117</v>
      </c>
    </row>
    <row r="13417">
      <c r="A13417" s="6">
        <v>13415.0</v>
      </c>
      <c r="B13417" s="17">
        <f t="array" ref="B13417">SUM(1-'Sparkling Model'!D$2:D$38^A13417)</f>
        <v>36.99550531</v>
      </c>
      <c r="C13417" s="8">
        <f t="array" ref="C13417">PRODUCT(1-'Sparkling Model'!D$2:D$38^A13417)</f>
        <v>0.9955123325</v>
      </c>
    </row>
    <row r="13418">
      <c r="A13418" s="6">
        <v>13416.0</v>
      </c>
      <c r="B13418" s="17">
        <f t="array" ref="B13418">SUM(1-'Sparkling Model'!D$2:D$38^A13418)</f>
        <v>36.99550754</v>
      </c>
      <c r="C13418" s="8">
        <f t="array" ref="C13418">PRODUCT(1-'Sparkling Model'!D$2:D$38^A13418)</f>
        <v>0.9955145521</v>
      </c>
    </row>
    <row r="13419">
      <c r="A13419" s="6">
        <v>13417.0</v>
      </c>
      <c r="B13419" s="17">
        <f t="array" ref="B13419">SUM(1-'Sparkling Model'!D$2:D$38^A13419)</f>
        <v>36.99550977</v>
      </c>
      <c r="C13419" s="8">
        <f t="array" ref="C13419">PRODUCT(1-'Sparkling Model'!D$2:D$38^A13419)</f>
        <v>0.9955167707</v>
      </c>
    </row>
    <row r="13420">
      <c r="A13420" s="6">
        <v>13418.0</v>
      </c>
      <c r="B13420" s="17">
        <f t="array" ref="B13420">SUM(1-'Sparkling Model'!D$2:D$38^A13420)</f>
        <v>36.99551199</v>
      </c>
      <c r="C13420" s="8">
        <f t="array" ref="C13420">PRODUCT(1-'Sparkling Model'!D$2:D$38^A13420)</f>
        <v>0.9955189882</v>
      </c>
    </row>
    <row r="13421">
      <c r="A13421" s="6">
        <v>13419.0</v>
      </c>
      <c r="B13421" s="17">
        <f t="array" ref="B13421">SUM(1-'Sparkling Model'!D$2:D$38^A13421)</f>
        <v>36.99551421</v>
      </c>
      <c r="C13421" s="8">
        <f t="array" ref="C13421">PRODUCT(1-'Sparkling Model'!D$2:D$38^A13421)</f>
        <v>0.9955212045</v>
      </c>
    </row>
    <row r="13422">
      <c r="A13422" s="6">
        <v>13420.0</v>
      </c>
      <c r="B13422" s="17">
        <f t="array" ref="B13422">SUM(1-'Sparkling Model'!D$2:D$38^A13422)</f>
        <v>36.99551644</v>
      </c>
      <c r="C13422" s="8">
        <f t="array" ref="C13422">PRODUCT(1-'Sparkling Model'!D$2:D$38^A13422)</f>
        <v>0.9955234198</v>
      </c>
    </row>
    <row r="13423">
      <c r="A13423" s="6">
        <v>13421.0</v>
      </c>
      <c r="B13423" s="17">
        <f t="array" ref="B13423">SUM(1-'Sparkling Model'!D$2:D$38^A13423)</f>
        <v>36.99551866</v>
      </c>
      <c r="C13423" s="8">
        <f t="array" ref="C13423">PRODUCT(1-'Sparkling Model'!D$2:D$38^A13423)</f>
        <v>0.995525634</v>
      </c>
    </row>
    <row r="13424">
      <c r="A13424" s="6">
        <v>13422.0</v>
      </c>
      <c r="B13424" s="17">
        <f t="array" ref="B13424">SUM(1-'Sparkling Model'!D$2:D$38^A13424)</f>
        <v>36.99552088</v>
      </c>
      <c r="C13424" s="8">
        <f t="array" ref="C13424">PRODUCT(1-'Sparkling Model'!D$2:D$38^A13424)</f>
        <v>0.995527847</v>
      </c>
    </row>
    <row r="13425">
      <c r="A13425" s="6">
        <v>13423.0</v>
      </c>
      <c r="B13425" s="17">
        <f t="array" ref="B13425">SUM(1-'Sparkling Model'!D$2:D$38^A13425)</f>
        <v>36.9955231</v>
      </c>
      <c r="C13425" s="8">
        <f t="array" ref="C13425">PRODUCT(1-'Sparkling Model'!D$2:D$38^A13425)</f>
        <v>0.995530059</v>
      </c>
    </row>
    <row r="13426">
      <c r="A13426" s="6">
        <v>13424.0</v>
      </c>
      <c r="B13426" s="17">
        <f t="array" ref="B13426">SUM(1-'Sparkling Model'!D$2:D$38^A13426)</f>
        <v>36.99552531</v>
      </c>
      <c r="C13426" s="8">
        <f t="array" ref="C13426">PRODUCT(1-'Sparkling Model'!D$2:D$38^A13426)</f>
        <v>0.9955322699</v>
      </c>
    </row>
    <row r="13427">
      <c r="A13427" s="6">
        <v>13425.0</v>
      </c>
      <c r="B13427" s="17">
        <f t="array" ref="B13427">SUM(1-'Sparkling Model'!D$2:D$38^A13427)</f>
        <v>36.99552753</v>
      </c>
      <c r="C13427" s="8">
        <f t="array" ref="C13427">PRODUCT(1-'Sparkling Model'!D$2:D$38^A13427)</f>
        <v>0.9955344797</v>
      </c>
    </row>
    <row r="13428">
      <c r="A13428" s="6">
        <v>13426.0</v>
      </c>
      <c r="B13428" s="17">
        <f t="array" ref="B13428">SUM(1-'Sparkling Model'!D$2:D$38^A13428)</f>
        <v>36.99552975</v>
      </c>
      <c r="C13428" s="8">
        <f t="array" ref="C13428">PRODUCT(1-'Sparkling Model'!D$2:D$38^A13428)</f>
        <v>0.9955366884</v>
      </c>
    </row>
    <row r="13429">
      <c r="A13429" s="6">
        <v>13427.0</v>
      </c>
      <c r="B13429" s="17">
        <f t="array" ref="B13429">SUM(1-'Sparkling Model'!D$2:D$38^A13429)</f>
        <v>36.99553196</v>
      </c>
      <c r="C13429" s="8">
        <f t="array" ref="C13429">PRODUCT(1-'Sparkling Model'!D$2:D$38^A13429)</f>
        <v>0.9955388959</v>
      </c>
    </row>
    <row r="13430">
      <c r="A13430" s="6">
        <v>13428.0</v>
      </c>
      <c r="B13430" s="17">
        <f t="array" ref="B13430">SUM(1-'Sparkling Model'!D$2:D$38^A13430)</f>
        <v>36.99553417</v>
      </c>
      <c r="C13430" s="8">
        <f t="array" ref="C13430">PRODUCT(1-'Sparkling Model'!D$2:D$38^A13430)</f>
        <v>0.9955411024</v>
      </c>
    </row>
    <row r="13431">
      <c r="A13431" s="6">
        <v>13429.0</v>
      </c>
      <c r="B13431" s="17">
        <f t="array" ref="B13431">SUM(1-'Sparkling Model'!D$2:D$38^A13431)</f>
        <v>36.99553639</v>
      </c>
      <c r="C13431" s="8">
        <f t="array" ref="C13431">PRODUCT(1-'Sparkling Model'!D$2:D$38^A13431)</f>
        <v>0.9955433078</v>
      </c>
    </row>
    <row r="13432">
      <c r="A13432" s="6">
        <v>13430.0</v>
      </c>
      <c r="B13432" s="17">
        <f t="array" ref="B13432">SUM(1-'Sparkling Model'!D$2:D$38^A13432)</f>
        <v>36.9955386</v>
      </c>
      <c r="C13432" s="8">
        <f t="array" ref="C13432">PRODUCT(1-'Sparkling Model'!D$2:D$38^A13432)</f>
        <v>0.9955455121</v>
      </c>
    </row>
    <row r="13433">
      <c r="A13433" s="6">
        <v>13431.0</v>
      </c>
      <c r="B13433" s="17">
        <f t="array" ref="B13433">SUM(1-'Sparkling Model'!D$2:D$38^A13433)</f>
        <v>36.99554081</v>
      </c>
      <c r="C13433" s="8">
        <f t="array" ref="C13433">PRODUCT(1-'Sparkling Model'!D$2:D$38^A13433)</f>
        <v>0.9955477153</v>
      </c>
    </row>
    <row r="13434">
      <c r="A13434" s="6">
        <v>13432.0</v>
      </c>
      <c r="B13434" s="17">
        <f t="array" ref="B13434">SUM(1-'Sparkling Model'!D$2:D$38^A13434)</f>
        <v>36.99554302</v>
      </c>
      <c r="C13434" s="8">
        <f t="array" ref="C13434">PRODUCT(1-'Sparkling Model'!D$2:D$38^A13434)</f>
        <v>0.9955499175</v>
      </c>
    </row>
    <row r="13435">
      <c r="A13435" s="6">
        <v>13433.0</v>
      </c>
      <c r="B13435" s="17">
        <f t="array" ref="B13435">SUM(1-'Sparkling Model'!D$2:D$38^A13435)</f>
        <v>36.99554522</v>
      </c>
      <c r="C13435" s="8">
        <f t="array" ref="C13435">PRODUCT(1-'Sparkling Model'!D$2:D$38^A13435)</f>
        <v>0.9955521185</v>
      </c>
    </row>
    <row r="13436">
      <c r="A13436" s="6">
        <v>13434.0</v>
      </c>
      <c r="B13436" s="17">
        <f t="array" ref="B13436">SUM(1-'Sparkling Model'!D$2:D$38^A13436)</f>
        <v>36.99554743</v>
      </c>
      <c r="C13436" s="8">
        <f t="array" ref="C13436">PRODUCT(1-'Sparkling Model'!D$2:D$38^A13436)</f>
        <v>0.9955543184</v>
      </c>
    </row>
    <row r="13437">
      <c r="A13437" s="6">
        <v>13435.0</v>
      </c>
      <c r="B13437" s="17">
        <f t="array" ref="B13437">SUM(1-'Sparkling Model'!D$2:D$38^A13437)</f>
        <v>36.99554964</v>
      </c>
      <c r="C13437" s="8">
        <f t="array" ref="C13437">PRODUCT(1-'Sparkling Model'!D$2:D$38^A13437)</f>
        <v>0.9955565172</v>
      </c>
    </row>
    <row r="13438">
      <c r="A13438" s="6">
        <v>13436.0</v>
      </c>
      <c r="B13438" s="17">
        <f t="array" ref="B13438">SUM(1-'Sparkling Model'!D$2:D$38^A13438)</f>
        <v>36.99555184</v>
      </c>
      <c r="C13438" s="8">
        <f t="array" ref="C13438">PRODUCT(1-'Sparkling Model'!D$2:D$38^A13438)</f>
        <v>0.995558715</v>
      </c>
    </row>
    <row r="13439">
      <c r="A13439" s="6">
        <v>13437.0</v>
      </c>
      <c r="B13439" s="17">
        <f t="array" ref="B13439">SUM(1-'Sparkling Model'!D$2:D$38^A13439)</f>
        <v>36.99555404</v>
      </c>
      <c r="C13439" s="8">
        <f t="array" ref="C13439">PRODUCT(1-'Sparkling Model'!D$2:D$38^A13439)</f>
        <v>0.9955609116</v>
      </c>
    </row>
    <row r="13440">
      <c r="A13440" s="6">
        <v>13438.0</v>
      </c>
      <c r="B13440" s="17">
        <f t="array" ref="B13440">SUM(1-'Sparkling Model'!D$2:D$38^A13440)</f>
        <v>36.99555625</v>
      </c>
      <c r="C13440" s="8">
        <f t="array" ref="C13440">PRODUCT(1-'Sparkling Model'!D$2:D$38^A13440)</f>
        <v>0.9955631072</v>
      </c>
    </row>
    <row r="13441">
      <c r="A13441" s="6">
        <v>13439.0</v>
      </c>
      <c r="B13441" s="17">
        <f t="array" ref="B13441">SUM(1-'Sparkling Model'!D$2:D$38^A13441)</f>
        <v>36.99555845</v>
      </c>
      <c r="C13441" s="8">
        <f t="array" ref="C13441">PRODUCT(1-'Sparkling Model'!D$2:D$38^A13441)</f>
        <v>0.9955653017</v>
      </c>
    </row>
    <row r="13442">
      <c r="A13442" s="6">
        <v>13440.0</v>
      </c>
      <c r="B13442" s="17">
        <f t="array" ref="B13442">SUM(1-'Sparkling Model'!D$2:D$38^A13442)</f>
        <v>36.99556065</v>
      </c>
      <c r="C13442" s="8">
        <f t="array" ref="C13442">PRODUCT(1-'Sparkling Model'!D$2:D$38^A13442)</f>
        <v>0.9955674951</v>
      </c>
    </row>
    <row r="13443">
      <c r="A13443" s="6">
        <v>13441.0</v>
      </c>
      <c r="B13443" s="17">
        <f t="array" ref="B13443">SUM(1-'Sparkling Model'!D$2:D$38^A13443)</f>
        <v>36.99556285</v>
      </c>
      <c r="C13443" s="8">
        <f t="array" ref="C13443">PRODUCT(1-'Sparkling Model'!D$2:D$38^A13443)</f>
        <v>0.9955696874</v>
      </c>
    </row>
    <row r="13444">
      <c r="A13444" s="6">
        <v>13442.0</v>
      </c>
      <c r="B13444" s="17">
        <f t="array" ref="B13444">SUM(1-'Sparkling Model'!D$2:D$38^A13444)</f>
        <v>36.99556505</v>
      </c>
      <c r="C13444" s="8">
        <f t="array" ref="C13444">PRODUCT(1-'Sparkling Model'!D$2:D$38^A13444)</f>
        <v>0.9955718786</v>
      </c>
    </row>
    <row r="13445">
      <c r="A13445" s="6">
        <v>13443.0</v>
      </c>
      <c r="B13445" s="17">
        <f t="array" ref="B13445">SUM(1-'Sparkling Model'!D$2:D$38^A13445)</f>
        <v>36.99556724</v>
      </c>
      <c r="C13445" s="8">
        <f t="array" ref="C13445">PRODUCT(1-'Sparkling Model'!D$2:D$38^A13445)</f>
        <v>0.9955740687</v>
      </c>
    </row>
    <row r="13446">
      <c r="A13446" s="6">
        <v>13444.0</v>
      </c>
      <c r="B13446" s="17">
        <f t="array" ref="B13446">SUM(1-'Sparkling Model'!D$2:D$38^A13446)</f>
        <v>36.99556944</v>
      </c>
      <c r="C13446" s="8">
        <f t="array" ref="C13446">PRODUCT(1-'Sparkling Model'!D$2:D$38^A13446)</f>
        <v>0.9955762578</v>
      </c>
    </row>
    <row r="13447">
      <c r="A13447" s="6">
        <v>13445.0</v>
      </c>
      <c r="B13447" s="17">
        <f t="array" ref="B13447">SUM(1-'Sparkling Model'!D$2:D$38^A13447)</f>
        <v>36.99557163</v>
      </c>
      <c r="C13447" s="8">
        <f t="array" ref="C13447">PRODUCT(1-'Sparkling Model'!D$2:D$38^A13447)</f>
        <v>0.9955784457</v>
      </c>
    </row>
    <row r="13448">
      <c r="A13448" s="6">
        <v>13446.0</v>
      </c>
      <c r="B13448" s="17">
        <f t="array" ref="B13448">SUM(1-'Sparkling Model'!D$2:D$38^A13448)</f>
        <v>36.99557383</v>
      </c>
      <c r="C13448" s="8">
        <f t="array" ref="C13448">PRODUCT(1-'Sparkling Model'!D$2:D$38^A13448)</f>
        <v>0.9955806326</v>
      </c>
    </row>
    <row r="13449">
      <c r="A13449" s="6">
        <v>13447.0</v>
      </c>
      <c r="B13449" s="17">
        <f t="array" ref="B13449">SUM(1-'Sparkling Model'!D$2:D$38^A13449)</f>
        <v>36.99557602</v>
      </c>
      <c r="C13449" s="8">
        <f t="array" ref="C13449">PRODUCT(1-'Sparkling Model'!D$2:D$38^A13449)</f>
        <v>0.9955828184</v>
      </c>
    </row>
    <row r="13450">
      <c r="A13450" s="6">
        <v>13448.0</v>
      </c>
      <c r="B13450" s="17">
        <f t="array" ref="B13450">SUM(1-'Sparkling Model'!D$2:D$38^A13450)</f>
        <v>36.99557821</v>
      </c>
      <c r="C13450" s="8">
        <f t="array" ref="C13450">PRODUCT(1-'Sparkling Model'!D$2:D$38^A13450)</f>
        <v>0.9955850031</v>
      </c>
    </row>
    <row r="13451">
      <c r="A13451" s="6">
        <v>13449.0</v>
      </c>
      <c r="B13451" s="17">
        <f t="array" ref="B13451">SUM(1-'Sparkling Model'!D$2:D$38^A13451)</f>
        <v>36.9955804</v>
      </c>
      <c r="C13451" s="8">
        <f t="array" ref="C13451">PRODUCT(1-'Sparkling Model'!D$2:D$38^A13451)</f>
        <v>0.9955871867</v>
      </c>
    </row>
    <row r="13452">
      <c r="A13452" s="6">
        <v>13450.0</v>
      </c>
      <c r="B13452" s="17">
        <f t="array" ref="B13452">SUM(1-'Sparkling Model'!D$2:D$38^A13452)</f>
        <v>36.99558259</v>
      </c>
      <c r="C13452" s="8">
        <f t="array" ref="C13452">PRODUCT(1-'Sparkling Model'!D$2:D$38^A13452)</f>
        <v>0.9955893692</v>
      </c>
    </row>
    <row r="13453">
      <c r="A13453" s="6">
        <v>13451.0</v>
      </c>
      <c r="B13453" s="17">
        <f t="array" ref="B13453">SUM(1-'Sparkling Model'!D$2:D$38^A13453)</f>
        <v>36.99558478</v>
      </c>
      <c r="C13453" s="8">
        <f t="array" ref="C13453">PRODUCT(1-'Sparkling Model'!D$2:D$38^A13453)</f>
        <v>0.9955915507</v>
      </c>
    </row>
    <row r="13454">
      <c r="A13454" s="6">
        <v>13452.0</v>
      </c>
      <c r="B13454" s="17">
        <f t="array" ref="B13454">SUM(1-'Sparkling Model'!D$2:D$38^A13454)</f>
        <v>36.99558697</v>
      </c>
      <c r="C13454" s="8">
        <f t="array" ref="C13454">PRODUCT(1-'Sparkling Model'!D$2:D$38^A13454)</f>
        <v>0.9955937311</v>
      </c>
    </row>
    <row r="13455">
      <c r="A13455" s="6">
        <v>13453.0</v>
      </c>
      <c r="B13455" s="17">
        <f t="array" ref="B13455">SUM(1-'Sparkling Model'!D$2:D$38^A13455)</f>
        <v>36.99558915</v>
      </c>
      <c r="C13455" s="8">
        <f t="array" ref="C13455">PRODUCT(1-'Sparkling Model'!D$2:D$38^A13455)</f>
        <v>0.9955959103</v>
      </c>
    </row>
    <row r="13456">
      <c r="A13456" s="6">
        <v>13454.0</v>
      </c>
      <c r="B13456" s="17">
        <f t="array" ref="B13456">SUM(1-'Sparkling Model'!D$2:D$38^A13456)</f>
        <v>36.99559134</v>
      </c>
      <c r="C13456" s="8">
        <f t="array" ref="C13456">PRODUCT(1-'Sparkling Model'!D$2:D$38^A13456)</f>
        <v>0.9955980885</v>
      </c>
    </row>
    <row r="13457">
      <c r="A13457" s="6">
        <v>13455.0</v>
      </c>
      <c r="B13457" s="17">
        <f t="array" ref="B13457">SUM(1-'Sparkling Model'!D$2:D$38^A13457)</f>
        <v>36.99559352</v>
      </c>
      <c r="C13457" s="8">
        <f t="array" ref="C13457">PRODUCT(1-'Sparkling Model'!D$2:D$38^A13457)</f>
        <v>0.9956002657</v>
      </c>
    </row>
    <row r="13458">
      <c r="A13458" s="6">
        <v>13456.0</v>
      </c>
      <c r="B13458" s="17">
        <f t="array" ref="B13458">SUM(1-'Sparkling Model'!D$2:D$38^A13458)</f>
        <v>36.9955957</v>
      </c>
      <c r="C13458" s="8">
        <f t="array" ref="C13458">PRODUCT(1-'Sparkling Model'!D$2:D$38^A13458)</f>
        <v>0.9956024417</v>
      </c>
    </row>
    <row r="13459">
      <c r="A13459" s="6">
        <v>13457.0</v>
      </c>
      <c r="B13459" s="17">
        <f t="array" ref="B13459">SUM(1-'Sparkling Model'!D$2:D$38^A13459)</f>
        <v>36.99559789</v>
      </c>
      <c r="C13459" s="8">
        <f t="array" ref="C13459">PRODUCT(1-'Sparkling Model'!D$2:D$38^A13459)</f>
        <v>0.9956046167</v>
      </c>
    </row>
    <row r="13460">
      <c r="A13460" s="6">
        <v>13458.0</v>
      </c>
      <c r="B13460" s="17">
        <f t="array" ref="B13460">SUM(1-'Sparkling Model'!D$2:D$38^A13460)</f>
        <v>36.99560007</v>
      </c>
      <c r="C13460" s="8">
        <f t="array" ref="C13460">PRODUCT(1-'Sparkling Model'!D$2:D$38^A13460)</f>
        <v>0.9956067906</v>
      </c>
    </row>
    <row r="13461">
      <c r="A13461" s="6">
        <v>13459.0</v>
      </c>
      <c r="B13461" s="17">
        <f t="array" ref="B13461">SUM(1-'Sparkling Model'!D$2:D$38^A13461)</f>
        <v>36.99560225</v>
      </c>
      <c r="C13461" s="8">
        <f t="array" ref="C13461">PRODUCT(1-'Sparkling Model'!D$2:D$38^A13461)</f>
        <v>0.9956089634</v>
      </c>
    </row>
    <row r="13462">
      <c r="A13462" s="6">
        <v>13460.0</v>
      </c>
      <c r="B13462" s="17">
        <f t="array" ref="B13462">SUM(1-'Sparkling Model'!D$2:D$38^A13462)</f>
        <v>36.99560442</v>
      </c>
      <c r="C13462" s="8">
        <f t="array" ref="C13462">PRODUCT(1-'Sparkling Model'!D$2:D$38^A13462)</f>
        <v>0.9956111351</v>
      </c>
    </row>
    <row r="13463">
      <c r="A13463" s="6">
        <v>13461.0</v>
      </c>
      <c r="B13463" s="17">
        <f t="array" ref="B13463">SUM(1-'Sparkling Model'!D$2:D$38^A13463)</f>
        <v>36.9956066</v>
      </c>
      <c r="C13463" s="8">
        <f t="array" ref="C13463">PRODUCT(1-'Sparkling Model'!D$2:D$38^A13463)</f>
        <v>0.9956133058</v>
      </c>
    </row>
    <row r="13464">
      <c r="A13464" s="6">
        <v>13462.0</v>
      </c>
      <c r="B13464" s="17">
        <f t="array" ref="B13464">SUM(1-'Sparkling Model'!D$2:D$38^A13464)</f>
        <v>36.99560878</v>
      </c>
      <c r="C13464" s="8">
        <f t="array" ref="C13464">PRODUCT(1-'Sparkling Model'!D$2:D$38^A13464)</f>
        <v>0.9956154753</v>
      </c>
    </row>
    <row r="13465">
      <c r="A13465" s="6">
        <v>13463.0</v>
      </c>
      <c r="B13465" s="17">
        <f t="array" ref="B13465">SUM(1-'Sparkling Model'!D$2:D$38^A13465)</f>
        <v>36.99561095</v>
      </c>
      <c r="C13465" s="8">
        <f t="array" ref="C13465">PRODUCT(1-'Sparkling Model'!D$2:D$38^A13465)</f>
        <v>0.9956176438</v>
      </c>
    </row>
    <row r="13466">
      <c r="A13466" s="6">
        <v>13464.0</v>
      </c>
      <c r="B13466" s="17">
        <f t="array" ref="B13466">SUM(1-'Sparkling Model'!D$2:D$38^A13466)</f>
        <v>36.99561313</v>
      </c>
      <c r="C13466" s="8">
        <f t="array" ref="C13466">PRODUCT(1-'Sparkling Model'!D$2:D$38^A13466)</f>
        <v>0.9956198113</v>
      </c>
    </row>
    <row r="13467">
      <c r="A13467" s="6">
        <v>13465.0</v>
      </c>
      <c r="B13467" s="17">
        <f t="array" ref="B13467">SUM(1-'Sparkling Model'!D$2:D$38^A13467)</f>
        <v>36.9956153</v>
      </c>
      <c r="C13467" s="8">
        <f t="array" ref="C13467">PRODUCT(1-'Sparkling Model'!D$2:D$38^A13467)</f>
        <v>0.9956219776</v>
      </c>
    </row>
    <row r="13468">
      <c r="A13468" s="6">
        <v>13466.0</v>
      </c>
      <c r="B13468" s="17">
        <f t="array" ref="B13468">SUM(1-'Sparkling Model'!D$2:D$38^A13468)</f>
        <v>36.99561747</v>
      </c>
      <c r="C13468" s="8">
        <f t="array" ref="C13468">PRODUCT(1-'Sparkling Model'!D$2:D$38^A13468)</f>
        <v>0.9956241429</v>
      </c>
    </row>
    <row r="13469">
      <c r="A13469" s="6">
        <v>13467.0</v>
      </c>
      <c r="B13469" s="17">
        <f t="array" ref="B13469">SUM(1-'Sparkling Model'!D$2:D$38^A13469)</f>
        <v>36.99561964</v>
      </c>
      <c r="C13469" s="8">
        <f t="array" ref="C13469">PRODUCT(1-'Sparkling Model'!D$2:D$38^A13469)</f>
        <v>0.9956263071</v>
      </c>
    </row>
    <row r="13470">
      <c r="A13470" s="6">
        <v>13468.0</v>
      </c>
      <c r="B13470" s="17">
        <f t="array" ref="B13470">SUM(1-'Sparkling Model'!D$2:D$38^A13470)</f>
        <v>36.99562181</v>
      </c>
      <c r="C13470" s="8">
        <f t="array" ref="C13470">PRODUCT(1-'Sparkling Model'!D$2:D$38^A13470)</f>
        <v>0.9956284702</v>
      </c>
    </row>
    <row r="13471">
      <c r="A13471" s="6">
        <v>13469.0</v>
      </c>
      <c r="B13471" s="17">
        <f t="array" ref="B13471">SUM(1-'Sparkling Model'!D$2:D$38^A13471)</f>
        <v>36.99562398</v>
      </c>
      <c r="C13471" s="8">
        <f t="array" ref="C13471">PRODUCT(1-'Sparkling Model'!D$2:D$38^A13471)</f>
        <v>0.9956306323</v>
      </c>
    </row>
    <row r="13472">
      <c r="A13472" s="6">
        <v>13470.0</v>
      </c>
      <c r="B13472" s="17">
        <f t="array" ref="B13472">SUM(1-'Sparkling Model'!D$2:D$38^A13472)</f>
        <v>36.99562615</v>
      </c>
      <c r="C13472" s="8">
        <f t="array" ref="C13472">PRODUCT(1-'Sparkling Model'!D$2:D$38^A13472)</f>
        <v>0.9956327932</v>
      </c>
    </row>
    <row r="13473">
      <c r="A13473" s="6">
        <v>13471.0</v>
      </c>
      <c r="B13473" s="17">
        <f t="array" ref="B13473">SUM(1-'Sparkling Model'!D$2:D$38^A13473)</f>
        <v>36.99562831</v>
      </c>
      <c r="C13473" s="8">
        <f t="array" ref="C13473">PRODUCT(1-'Sparkling Model'!D$2:D$38^A13473)</f>
        <v>0.9956349531</v>
      </c>
    </row>
    <row r="13474">
      <c r="A13474" s="6">
        <v>13472.0</v>
      </c>
      <c r="B13474" s="17">
        <f t="array" ref="B13474">SUM(1-'Sparkling Model'!D$2:D$38^A13474)</f>
        <v>36.99563048</v>
      </c>
      <c r="C13474" s="8">
        <f t="array" ref="C13474">PRODUCT(1-'Sparkling Model'!D$2:D$38^A13474)</f>
        <v>0.995637112</v>
      </c>
    </row>
    <row r="13475">
      <c r="A13475" s="6">
        <v>13473.0</v>
      </c>
      <c r="B13475" s="17">
        <f t="array" ref="B13475">SUM(1-'Sparkling Model'!D$2:D$38^A13475)</f>
        <v>36.99563264</v>
      </c>
      <c r="C13475" s="8">
        <f t="array" ref="C13475">PRODUCT(1-'Sparkling Model'!D$2:D$38^A13475)</f>
        <v>0.9956392697</v>
      </c>
    </row>
    <row r="13476">
      <c r="A13476" s="6">
        <v>13474.0</v>
      </c>
      <c r="B13476" s="17">
        <f t="array" ref="B13476">SUM(1-'Sparkling Model'!D$2:D$38^A13476)</f>
        <v>36.99563481</v>
      </c>
      <c r="C13476" s="8">
        <f t="array" ref="C13476">PRODUCT(1-'Sparkling Model'!D$2:D$38^A13476)</f>
        <v>0.9956414264</v>
      </c>
    </row>
    <row r="13477">
      <c r="A13477" s="6">
        <v>13475.0</v>
      </c>
      <c r="B13477" s="17">
        <f t="array" ref="B13477">SUM(1-'Sparkling Model'!D$2:D$38^A13477)</f>
        <v>36.99563697</v>
      </c>
      <c r="C13477" s="8">
        <f t="array" ref="C13477">PRODUCT(1-'Sparkling Model'!D$2:D$38^A13477)</f>
        <v>0.9956435821</v>
      </c>
    </row>
    <row r="13478">
      <c r="A13478" s="6">
        <v>13476.0</v>
      </c>
      <c r="B13478" s="17">
        <f t="array" ref="B13478">SUM(1-'Sparkling Model'!D$2:D$38^A13478)</f>
        <v>36.99563913</v>
      </c>
      <c r="C13478" s="8">
        <f t="array" ref="C13478">PRODUCT(1-'Sparkling Model'!D$2:D$38^A13478)</f>
        <v>0.9956457366</v>
      </c>
    </row>
    <row r="13479">
      <c r="A13479" s="6">
        <v>13477.0</v>
      </c>
      <c r="B13479" s="17">
        <f t="array" ref="B13479">SUM(1-'Sparkling Model'!D$2:D$38^A13479)</f>
        <v>36.99564129</v>
      </c>
      <c r="C13479" s="8">
        <f t="array" ref="C13479">PRODUCT(1-'Sparkling Model'!D$2:D$38^A13479)</f>
        <v>0.9956478901</v>
      </c>
    </row>
    <row r="13480">
      <c r="A13480" s="6">
        <v>13478.0</v>
      </c>
      <c r="B13480" s="17">
        <f t="array" ref="B13480">SUM(1-'Sparkling Model'!D$2:D$38^A13480)</f>
        <v>36.99564345</v>
      </c>
      <c r="C13480" s="8">
        <f t="array" ref="C13480">PRODUCT(1-'Sparkling Model'!D$2:D$38^A13480)</f>
        <v>0.9956500425</v>
      </c>
    </row>
    <row r="13481">
      <c r="A13481" s="6">
        <v>13479.0</v>
      </c>
      <c r="B13481" s="17">
        <f t="array" ref="B13481">SUM(1-'Sparkling Model'!D$2:D$38^A13481)</f>
        <v>36.99564561</v>
      </c>
      <c r="C13481" s="8">
        <f t="array" ref="C13481">PRODUCT(1-'Sparkling Model'!D$2:D$38^A13481)</f>
        <v>0.9956521939</v>
      </c>
    </row>
    <row r="13482">
      <c r="A13482" s="6">
        <v>13480.0</v>
      </c>
      <c r="B13482" s="17">
        <f t="array" ref="B13482">SUM(1-'Sparkling Model'!D$2:D$38^A13482)</f>
        <v>36.99564777</v>
      </c>
      <c r="C13482" s="8">
        <f t="array" ref="C13482">PRODUCT(1-'Sparkling Model'!D$2:D$38^A13482)</f>
        <v>0.9956543442</v>
      </c>
    </row>
    <row r="13483">
      <c r="A13483" s="6">
        <v>13481.0</v>
      </c>
      <c r="B13483" s="17">
        <f t="array" ref="B13483">SUM(1-'Sparkling Model'!D$2:D$38^A13483)</f>
        <v>36.99564992</v>
      </c>
      <c r="C13483" s="8">
        <f t="array" ref="C13483">PRODUCT(1-'Sparkling Model'!D$2:D$38^A13483)</f>
        <v>0.9956564934</v>
      </c>
    </row>
    <row r="13484">
      <c r="A13484" s="6">
        <v>13482.0</v>
      </c>
      <c r="B13484" s="17">
        <f t="array" ref="B13484">SUM(1-'Sparkling Model'!D$2:D$38^A13484)</f>
        <v>36.99565208</v>
      </c>
      <c r="C13484" s="8">
        <f t="array" ref="C13484">PRODUCT(1-'Sparkling Model'!D$2:D$38^A13484)</f>
        <v>0.9956586415</v>
      </c>
    </row>
    <row r="13485">
      <c r="A13485" s="6">
        <v>13483.0</v>
      </c>
      <c r="B13485" s="17">
        <f t="array" ref="B13485">SUM(1-'Sparkling Model'!D$2:D$38^A13485)</f>
        <v>36.99565423</v>
      </c>
      <c r="C13485" s="8">
        <f t="array" ref="C13485">PRODUCT(1-'Sparkling Model'!D$2:D$38^A13485)</f>
        <v>0.9956607886</v>
      </c>
    </row>
    <row r="13486">
      <c r="A13486" s="6">
        <v>13484.0</v>
      </c>
      <c r="B13486" s="17">
        <f t="array" ref="B13486">SUM(1-'Sparkling Model'!D$2:D$38^A13486)</f>
        <v>36.99565638</v>
      </c>
      <c r="C13486" s="8">
        <f t="array" ref="C13486">PRODUCT(1-'Sparkling Model'!D$2:D$38^A13486)</f>
        <v>0.9956629346</v>
      </c>
    </row>
    <row r="13487">
      <c r="A13487" s="6">
        <v>13485.0</v>
      </c>
      <c r="B13487" s="17">
        <f t="array" ref="B13487">SUM(1-'Sparkling Model'!D$2:D$38^A13487)</f>
        <v>36.99565853</v>
      </c>
      <c r="C13487" s="8">
        <f t="array" ref="C13487">PRODUCT(1-'Sparkling Model'!D$2:D$38^A13487)</f>
        <v>0.9956650796</v>
      </c>
    </row>
    <row r="13488">
      <c r="A13488" s="6">
        <v>13486.0</v>
      </c>
      <c r="B13488" s="17">
        <f t="array" ref="B13488">SUM(1-'Sparkling Model'!D$2:D$38^A13488)</f>
        <v>36.99566068</v>
      </c>
      <c r="C13488" s="8">
        <f t="array" ref="C13488">PRODUCT(1-'Sparkling Model'!D$2:D$38^A13488)</f>
        <v>0.9956672235</v>
      </c>
    </row>
    <row r="13489">
      <c r="A13489" s="6">
        <v>13487.0</v>
      </c>
      <c r="B13489" s="17">
        <f t="array" ref="B13489">SUM(1-'Sparkling Model'!D$2:D$38^A13489)</f>
        <v>36.99566283</v>
      </c>
      <c r="C13489" s="8">
        <f t="array" ref="C13489">PRODUCT(1-'Sparkling Model'!D$2:D$38^A13489)</f>
        <v>0.9956693663</v>
      </c>
    </row>
    <row r="13490">
      <c r="A13490" s="6">
        <v>13488.0</v>
      </c>
      <c r="B13490" s="17">
        <f t="array" ref="B13490">SUM(1-'Sparkling Model'!D$2:D$38^A13490)</f>
        <v>36.99566498</v>
      </c>
      <c r="C13490" s="8">
        <f t="array" ref="C13490">PRODUCT(1-'Sparkling Model'!D$2:D$38^A13490)</f>
        <v>0.9956715081</v>
      </c>
    </row>
    <row r="13491">
      <c r="A13491" s="6">
        <v>13489.0</v>
      </c>
      <c r="B13491" s="17">
        <f t="array" ref="B13491">SUM(1-'Sparkling Model'!D$2:D$38^A13491)</f>
        <v>36.99566713</v>
      </c>
      <c r="C13491" s="8">
        <f t="array" ref="C13491">PRODUCT(1-'Sparkling Model'!D$2:D$38^A13491)</f>
        <v>0.9956736488</v>
      </c>
    </row>
    <row r="13492">
      <c r="A13492" s="6">
        <v>13490.0</v>
      </c>
      <c r="B13492" s="17">
        <f t="array" ref="B13492">SUM(1-'Sparkling Model'!D$2:D$38^A13492)</f>
        <v>36.99566927</v>
      </c>
      <c r="C13492" s="8">
        <f t="array" ref="C13492">PRODUCT(1-'Sparkling Model'!D$2:D$38^A13492)</f>
        <v>0.9956757884</v>
      </c>
    </row>
    <row r="13493">
      <c r="A13493" s="6">
        <v>13491.0</v>
      </c>
      <c r="B13493" s="17">
        <f t="array" ref="B13493">SUM(1-'Sparkling Model'!D$2:D$38^A13493)</f>
        <v>36.99567142</v>
      </c>
      <c r="C13493" s="8">
        <f t="array" ref="C13493">PRODUCT(1-'Sparkling Model'!D$2:D$38^A13493)</f>
        <v>0.995677927</v>
      </c>
    </row>
    <row r="13494">
      <c r="A13494" s="6">
        <v>13492.0</v>
      </c>
      <c r="B13494" s="17">
        <f t="array" ref="B13494">SUM(1-'Sparkling Model'!D$2:D$38^A13494)</f>
        <v>36.99567356</v>
      </c>
      <c r="C13494" s="8">
        <f t="array" ref="C13494">PRODUCT(1-'Sparkling Model'!D$2:D$38^A13494)</f>
        <v>0.9956800645</v>
      </c>
    </row>
    <row r="13495">
      <c r="A13495" s="6">
        <v>13493.0</v>
      </c>
      <c r="B13495" s="17">
        <f t="array" ref="B13495">SUM(1-'Sparkling Model'!D$2:D$38^A13495)</f>
        <v>36.99567571</v>
      </c>
      <c r="C13495" s="8">
        <f t="array" ref="C13495">PRODUCT(1-'Sparkling Model'!D$2:D$38^A13495)</f>
        <v>0.995682201</v>
      </c>
    </row>
    <row r="13496">
      <c r="A13496" s="6">
        <v>13494.0</v>
      </c>
      <c r="B13496" s="17">
        <f t="array" ref="B13496">SUM(1-'Sparkling Model'!D$2:D$38^A13496)</f>
        <v>36.99567785</v>
      </c>
      <c r="C13496" s="8">
        <f t="array" ref="C13496">PRODUCT(1-'Sparkling Model'!D$2:D$38^A13496)</f>
        <v>0.9956843364</v>
      </c>
    </row>
    <row r="13497">
      <c r="A13497" s="6">
        <v>13495.0</v>
      </c>
      <c r="B13497" s="17">
        <f t="array" ref="B13497">SUM(1-'Sparkling Model'!D$2:D$38^A13497)</f>
        <v>36.99567999</v>
      </c>
      <c r="C13497" s="8">
        <f t="array" ref="C13497">PRODUCT(1-'Sparkling Model'!D$2:D$38^A13497)</f>
        <v>0.9956864707</v>
      </c>
    </row>
    <row r="13498">
      <c r="A13498" s="6">
        <v>13496.0</v>
      </c>
      <c r="B13498" s="17">
        <f t="array" ref="B13498">SUM(1-'Sparkling Model'!D$2:D$38^A13498)</f>
        <v>36.99568213</v>
      </c>
      <c r="C13498" s="8">
        <f t="array" ref="C13498">PRODUCT(1-'Sparkling Model'!D$2:D$38^A13498)</f>
        <v>0.995688604</v>
      </c>
    </row>
    <row r="13499">
      <c r="A13499" s="6">
        <v>13497.0</v>
      </c>
      <c r="B13499" s="17">
        <f t="array" ref="B13499">SUM(1-'Sparkling Model'!D$2:D$38^A13499)</f>
        <v>36.99568427</v>
      </c>
      <c r="C13499" s="8">
        <f t="array" ref="C13499">PRODUCT(1-'Sparkling Model'!D$2:D$38^A13499)</f>
        <v>0.9956907362</v>
      </c>
    </row>
    <row r="13500">
      <c r="A13500" s="6">
        <v>13498.0</v>
      </c>
      <c r="B13500" s="17">
        <f t="array" ref="B13500">SUM(1-'Sparkling Model'!D$2:D$38^A13500)</f>
        <v>36.99568641</v>
      </c>
      <c r="C13500" s="8">
        <f t="array" ref="C13500">PRODUCT(1-'Sparkling Model'!D$2:D$38^A13500)</f>
        <v>0.9956928674</v>
      </c>
    </row>
    <row r="13501">
      <c r="A13501" s="6">
        <v>13499.0</v>
      </c>
      <c r="B13501" s="17">
        <f t="array" ref="B13501">SUM(1-'Sparkling Model'!D$2:D$38^A13501)</f>
        <v>36.99568854</v>
      </c>
      <c r="C13501" s="8">
        <f t="array" ref="C13501">PRODUCT(1-'Sparkling Model'!D$2:D$38^A13501)</f>
        <v>0.9956949975</v>
      </c>
    </row>
    <row r="13502">
      <c r="A13502" s="6">
        <v>13500.0</v>
      </c>
      <c r="B13502" s="17">
        <f t="array" ref="B13502">SUM(1-'Sparkling Model'!D$2:D$38^A13502)</f>
        <v>36.99569068</v>
      </c>
      <c r="C13502" s="8">
        <f t="array" ref="C13502">PRODUCT(1-'Sparkling Model'!D$2:D$38^A13502)</f>
        <v>0.9956971265</v>
      </c>
    </row>
    <row r="13503">
      <c r="A13503" s="6">
        <v>13501.0</v>
      </c>
      <c r="B13503" s="17">
        <f t="array" ref="B13503">SUM(1-'Sparkling Model'!D$2:D$38^A13503)</f>
        <v>36.99569281</v>
      </c>
      <c r="C13503" s="8">
        <f t="array" ref="C13503">PRODUCT(1-'Sparkling Model'!D$2:D$38^A13503)</f>
        <v>0.9956992545</v>
      </c>
    </row>
    <row r="13504">
      <c r="A13504" s="6">
        <v>13502.0</v>
      </c>
      <c r="B13504" s="17">
        <f t="array" ref="B13504">SUM(1-'Sparkling Model'!D$2:D$38^A13504)</f>
        <v>36.99569495</v>
      </c>
      <c r="C13504" s="8">
        <f t="array" ref="C13504">PRODUCT(1-'Sparkling Model'!D$2:D$38^A13504)</f>
        <v>0.9957013815</v>
      </c>
    </row>
    <row r="13505">
      <c r="A13505" s="6">
        <v>13503.0</v>
      </c>
      <c r="B13505" s="17">
        <f t="array" ref="B13505">SUM(1-'Sparkling Model'!D$2:D$38^A13505)</f>
        <v>36.99569708</v>
      </c>
      <c r="C13505" s="8">
        <f t="array" ref="C13505">PRODUCT(1-'Sparkling Model'!D$2:D$38^A13505)</f>
        <v>0.9957035074</v>
      </c>
    </row>
    <row r="13506">
      <c r="A13506" s="6">
        <v>13504.0</v>
      </c>
      <c r="B13506" s="17">
        <f t="array" ref="B13506">SUM(1-'Sparkling Model'!D$2:D$38^A13506)</f>
        <v>36.99569921</v>
      </c>
      <c r="C13506" s="8">
        <f t="array" ref="C13506">PRODUCT(1-'Sparkling Model'!D$2:D$38^A13506)</f>
        <v>0.9957056322</v>
      </c>
    </row>
    <row r="13507">
      <c r="A13507" s="6">
        <v>13505.0</v>
      </c>
      <c r="B13507" s="17">
        <f t="array" ref="B13507">SUM(1-'Sparkling Model'!D$2:D$38^A13507)</f>
        <v>36.99570134</v>
      </c>
      <c r="C13507" s="8">
        <f t="array" ref="C13507">PRODUCT(1-'Sparkling Model'!D$2:D$38^A13507)</f>
        <v>0.995707756</v>
      </c>
    </row>
    <row r="13508">
      <c r="A13508" s="6">
        <v>13506.0</v>
      </c>
      <c r="B13508" s="17">
        <f t="array" ref="B13508">SUM(1-'Sparkling Model'!D$2:D$38^A13508)</f>
        <v>36.99570347</v>
      </c>
      <c r="C13508" s="8">
        <f t="array" ref="C13508">PRODUCT(1-'Sparkling Model'!D$2:D$38^A13508)</f>
        <v>0.9957098787</v>
      </c>
    </row>
    <row r="13509">
      <c r="A13509" s="6">
        <v>13507.0</v>
      </c>
      <c r="B13509" s="17">
        <f t="array" ref="B13509">SUM(1-'Sparkling Model'!D$2:D$38^A13509)</f>
        <v>36.9957056</v>
      </c>
      <c r="C13509" s="8">
        <f t="array" ref="C13509">PRODUCT(1-'Sparkling Model'!D$2:D$38^A13509)</f>
        <v>0.9957120004</v>
      </c>
    </row>
    <row r="13510">
      <c r="A13510" s="6">
        <v>13508.0</v>
      </c>
      <c r="B13510" s="17">
        <f t="array" ref="B13510">SUM(1-'Sparkling Model'!D$2:D$38^A13510)</f>
        <v>36.99570772</v>
      </c>
      <c r="C13510" s="8">
        <f t="array" ref="C13510">PRODUCT(1-'Sparkling Model'!D$2:D$38^A13510)</f>
        <v>0.995714121</v>
      </c>
    </row>
    <row r="13511">
      <c r="A13511" s="6">
        <v>13509.0</v>
      </c>
      <c r="B13511" s="17">
        <f t="array" ref="B13511">SUM(1-'Sparkling Model'!D$2:D$38^A13511)</f>
        <v>36.99570985</v>
      </c>
      <c r="C13511" s="8">
        <f t="array" ref="C13511">PRODUCT(1-'Sparkling Model'!D$2:D$38^A13511)</f>
        <v>0.9957162405</v>
      </c>
    </row>
    <row r="13512">
      <c r="A13512" s="6">
        <v>13510.0</v>
      </c>
      <c r="B13512" s="17">
        <f t="array" ref="B13512">SUM(1-'Sparkling Model'!D$2:D$38^A13512)</f>
        <v>36.99571197</v>
      </c>
      <c r="C13512" s="8">
        <f t="array" ref="C13512">PRODUCT(1-'Sparkling Model'!D$2:D$38^A13512)</f>
        <v>0.995718359</v>
      </c>
    </row>
    <row r="13513">
      <c r="A13513" s="6">
        <v>13511.0</v>
      </c>
      <c r="B13513" s="17">
        <f t="array" ref="B13513">SUM(1-'Sparkling Model'!D$2:D$38^A13513)</f>
        <v>36.9957141</v>
      </c>
      <c r="C13513" s="8">
        <f t="array" ref="C13513">PRODUCT(1-'Sparkling Model'!D$2:D$38^A13513)</f>
        <v>0.9957204765</v>
      </c>
    </row>
    <row r="13514">
      <c r="A13514" s="6">
        <v>13512.0</v>
      </c>
      <c r="B13514" s="17">
        <f t="array" ref="B13514">SUM(1-'Sparkling Model'!D$2:D$38^A13514)</f>
        <v>36.99571622</v>
      </c>
      <c r="C13514" s="8">
        <f t="array" ref="C13514">PRODUCT(1-'Sparkling Model'!D$2:D$38^A13514)</f>
        <v>0.9957225929</v>
      </c>
    </row>
    <row r="13515">
      <c r="A13515" s="6">
        <v>13513.0</v>
      </c>
      <c r="B13515" s="17">
        <f t="array" ref="B13515">SUM(1-'Sparkling Model'!D$2:D$38^A13515)</f>
        <v>36.99571834</v>
      </c>
      <c r="C13515" s="8">
        <f t="array" ref="C13515">PRODUCT(1-'Sparkling Model'!D$2:D$38^A13515)</f>
        <v>0.9957247083</v>
      </c>
    </row>
    <row r="13516">
      <c r="A13516" s="6">
        <v>13514.0</v>
      </c>
      <c r="B13516" s="17">
        <f t="array" ref="B13516">SUM(1-'Sparkling Model'!D$2:D$38^A13516)</f>
        <v>36.99572046</v>
      </c>
      <c r="C13516" s="8">
        <f t="array" ref="C13516">PRODUCT(1-'Sparkling Model'!D$2:D$38^A13516)</f>
        <v>0.9957268226</v>
      </c>
    </row>
    <row r="13517">
      <c r="A13517" s="6">
        <v>13515.0</v>
      </c>
      <c r="B13517" s="17">
        <f t="array" ref="B13517">SUM(1-'Sparkling Model'!D$2:D$38^A13517)</f>
        <v>36.99572258</v>
      </c>
      <c r="C13517" s="8">
        <f t="array" ref="C13517">PRODUCT(1-'Sparkling Model'!D$2:D$38^A13517)</f>
        <v>0.9957289359</v>
      </c>
    </row>
    <row r="13518">
      <c r="A13518" s="6">
        <v>13516.0</v>
      </c>
      <c r="B13518" s="17">
        <f t="array" ref="B13518">SUM(1-'Sparkling Model'!D$2:D$38^A13518)</f>
        <v>36.9957247</v>
      </c>
      <c r="C13518" s="8">
        <f t="array" ref="C13518">PRODUCT(1-'Sparkling Model'!D$2:D$38^A13518)</f>
        <v>0.9957310481</v>
      </c>
    </row>
    <row r="13519">
      <c r="A13519" s="6">
        <v>13517.0</v>
      </c>
      <c r="B13519" s="17">
        <f t="array" ref="B13519">SUM(1-'Sparkling Model'!D$2:D$38^A13519)</f>
        <v>36.99572682</v>
      </c>
      <c r="C13519" s="8">
        <f t="array" ref="C13519">PRODUCT(1-'Sparkling Model'!D$2:D$38^A13519)</f>
        <v>0.9957331592</v>
      </c>
    </row>
    <row r="13520">
      <c r="A13520" s="6">
        <v>13518.0</v>
      </c>
      <c r="B13520" s="17">
        <f t="array" ref="B13520">SUM(1-'Sparkling Model'!D$2:D$38^A13520)</f>
        <v>36.99572893</v>
      </c>
      <c r="C13520" s="8">
        <f t="array" ref="C13520">PRODUCT(1-'Sparkling Model'!D$2:D$38^A13520)</f>
        <v>0.9957352694</v>
      </c>
    </row>
    <row r="13521">
      <c r="A13521" s="6">
        <v>13519.0</v>
      </c>
      <c r="B13521" s="17">
        <f t="array" ref="B13521">SUM(1-'Sparkling Model'!D$2:D$38^A13521)</f>
        <v>36.99573105</v>
      </c>
      <c r="C13521" s="8">
        <f t="array" ref="C13521">PRODUCT(1-'Sparkling Model'!D$2:D$38^A13521)</f>
        <v>0.9957373784</v>
      </c>
    </row>
    <row r="13522">
      <c r="A13522" s="6">
        <v>13520.0</v>
      </c>
      <c r="B13522" s="17">
        <f t="array" ref="B13522">SUM(1-'Sparkling Model'!D$2:D$38^A13522)</f>
        <v>36.99573316</v>
      </c>
      <c r="C13522" s="8">
        <f t="array" ref="C13522">PRODUCT(1-'Sparkling Model'!D$2:D$38^A13522)</f>
        <v>0.9957394865</v>
      </c>
    </row>
    <row r="13523">
      <c r="A13523" s="6">
        <v>13521.0</v>
      </c>
      <c r="B13523" s="17">
        <f t="array" ref="B13523">SUM(1-'Sparkling Model'!D$2:D$38^A13523)</f>
        <v>36.99573528</v>
      </c>
      <c r="C13523" s="8">
        <f t="array" ref="C13523">PRODUCT(1-'Sparkling Model'!D$2:D$38^A13523)</f>
        <v>0.9957415934</v>
      </c>
    </row>
    <row r="13524">
      <c r="A13524" s="6">
        <v>13522.0</v>
      </c>
      <c r="B13524" s="17">
        <f t="array" ref="B13524">SUM(1-'Sparkling Model'!D$2:D$38^A13524)</f>
        <v>36.99573739</v>
      </c>
      <c r="C13524" s="8">
        <f t="array" ref="C13524">PRODUCT(1-'Sparkling Model'!D$2:D$38^A13524)</f>
        <v>0.9957436994</v>
      </c>
    </row>
    <row r="13525">
      <c r="A13525" s="6">
        <v>13523.0</v>
      </c>
      <c r="B13525" s="17">
        <f t="array" ref="B13525">SUM(1-'Sparkling Model'!D$2:D$38^A13525)</f>
        <v>36.9957395</v>
      </c>
      <c r="C13525" s="8">
        <f t="array" ref="C13525">PRODUCT(1-'Sparkling Model'!D$2:D$38^A13525)</f>
        <v>0.9957458043</v>
      </c>
    </row>
    <row r="13526">
      <c r="A13526" s="6">
        <v>13524.0</v>
      </c>
      <c r="B13526" s="17">
        <f t="array" ref="B13526">SUM(1-'Sparkling Model'!D$2:D$38^A13526)</f>
        <v>36.99574161</v>
      </c>
      <c r="C13526" s="8">
        <f t="array" ref="C13526">PRODUCT(1-'Sparkling Model'!D$2:D$38^A13526)</f>
        <v>0.9957479081</v>
      </c>
    </row>
    <row r="13527">
      <c r="A13527" s="6">
        <v>13525.0</v>
      </c>
      <c r="B13527" s="17">
        <f t="array" ref="B13527">SUM(1-'Sparkling Model'!D$2:D$38^A13527)</f>
        <v>36.99574372</v>
      </c>
      <c r="C13527" s="8">
        <f t="array" ref="C13527">PRODUCT(1-'Sparkling Model'!D$2:D$38^A13527)</f>
        <v>0.9957500109</v>
      </c>
    </row>
    <row r="13528">
      <c r="A13528" s="6">
        <v>13526.0</v>
      </c>
      <c r="B13528" s="17">
        <f t="array" ref="B13528">SUM(1-'Sparkling Model'!D$2:D$38^A13528)</f>
        <v>36.99574583</v>
      </c>
      <c r="C13528" s="8">
        <f t="array" ref="C13528">PRODUCT(1-'Sparkling Model'!D$2:D$38^A13528)</f>
        <v>0.9957521127</v>
      </c>
    </row>
    <row r="13529">
      <c r="A13529" s="6">
        <v>13527.0</v>
      </c>
      <c r="B13529" s="17">
        <f t="array" ref="B13529">SUM(1-'Sparkling Model'!D$2:D$38^A13529)</f>
        <v>36.99574794</v>
      </c>
      <c r="C13529" s="8">
        <f t="array" ref="C13529">PRODUCT(1-'Sparkling Model'!D$2:D$38^A13529)</f>
        <v>0.9957542134</v>
      </c>
    </row>
    <row r="13530">
      <c r="A13530" s="6">
        <v>13528.0</v>
      </c>
      <c r="B13530" s="17">
        <f t="array" ref="B13530">SUM(1-'Sparkling Model'!D$2:D$38^A13530)</f>
        <v>36.99575004</v>
      </c>
      <c r="C13530" s="8">
        <f t="array" ref="C13530">PRODUCT(1-'Sparkling Model'!D$2:D$38^A13530)</f>
        <v>0.9957563131</v>
      </c>
    </row>
    <row r="13531">
      <c r="A13531" s="6">
        <v>13529.0</v>
      </c>
      <c r="B13531" s="17">
        <f t="array" ref="B13531">SUM(1-'Sparkling Model'!D$2:D$38^A13531)</f>
        <v>36.99575215</v>
      </c>
      <c r="C13531" s="8">
        <f t="array" ref="C13531">PRODUCT(1-'Sparkling Model'!D$2:D$38^A13531)</f>
        <v>0.9957584117</v>
      </c>
    </row>
    <row r="13532">
      <c r="A13532" s="6">
        <v>13530.0</v>
      </c>
      <c r="B13532" s="17">
        <f t="array" ref="B13532">SUM(1-'Sparkling Model'!D$2:D$38^A13532)</f>
        <v>36.99575425</v>
      </c>
      <c r="C13532" s="8">
        <f t="array" ref="C13532">PRODUCT(1-'Sparkling Model'!D$2:D$38^A13532)</f>
        <v>0.9957605093</v>
      </c>
    </row>
    <row r="13533">
      <c r="A13533" s="6">
        <v>13531.0</v>
      </c>
      <c r="B13533" s="17">
        <f t="array" ref="B13533">SUM(1-'Sparkling Model'!D$2:D$38^A13533)</f>
        <v>36.99575635</v>
      </c>
      <c r="C13533" s="8">
        <f t="array" ref="C13533">PRODUCT(1-'Sparkling Model'!D$2:D$38^A13533)</f>
        <v>0.9957626059</v>
      </c>
    </row>
    <row r="13534">
      <c r="A13534" s="6">
        <v>13532.0</v>
      </c>
      <c r="B13534" s="17">
        <f t="array" ref="B13534">SUM(1-'Sparkling Model'!D$2:D$38^A13534)</f>
        <v>36.99575845</v>
      </c>
      <c r="C13534" s="8">
        <f t="array" ref="C13534">PRODUCT(1-'Sparkling Model'!D$2:D$38^A13534)</f>
        <v>0.9957647014</v>
      </c>
    </row>
    <row r="13535">
      <c r="A13535" s="6">
        <v>13533.0</v>
      </c>
      <c r="B13535" s="17">
        <f t="array" ref="B13535">SUM(1-'Sparkling Model'!D$2:D$38^A13535)</f>
        <v>36.99576056</v>
      </c>
      <c r="C13535" s="8">
        <f t="array" ref="C13535">PRODUCT(1-'Sparkling Model'!D$2:D$38^A13535)</f>
        <v>0.9957667959</v>
      </c>
    </row>
    <row r="13536">
      <c r="A13536" s="6">
        <v>13534.0</v>
      </c>
      <c r="B13536" s="17">
        <f t="array" ref="B13536">SUM(1-'Sparkling Model'!D$2:D$38^A13536)</f>
        <v>36.99576265</v>
      </c>
      <c r="C13536" s="8">
        <f t="array" ref="C13536">PRODUCT(1-'Sparkling Model'!D$2:D$38^A13536)</f>
        <v>0.9957688893</v>
      </c>
    </row>
    <row r="13537">
      <c r="A13537" s="6">
        <v>13535.0</v>
      </c>
      <c r="B13537" s="17">
        <f t="array" ref="B13537">SUM(1-'Sparkling Model'!D$2:D$38^A13537)</f>
        <v>36.99576475</v>
      </c>
      <c r="C13537" s="8">
        <f t="array" ref="C13537">PRODUCT(1-'Sparkling Model'!D$2:D$38^A13537)</f>
        <v>0.9957709817</v>
      </c>
    </row>
    <row r="13538">
      <c r="A13538" s="6">
        <v>13536.0</v>
      </c>
      <c r="B13538" s="17">
        <f t="array" ref="B13538">SUM(1-'Sparkling Model'!D$2:D$38^A13538)</f>
        <v>36.99576685</v>
      </c>
      <c r="C13538" s="8">
        <f t="array" ref="C13538">PRODUCT(1-'Sparkling Model'!D$2:D$38^A13538)</f>
        <v>0.995773073</v>
      </c>
    </row>
    <row r="13539">
      <c r="A13539" s="6">
        <v>13537.0</v>
      </c>
      <c r="B13539" s="17">
        <f t="array" ref="B13539">SUM(1-'Sparkling Model'!D$2:D$38^A13539)</f>
        <v>36.99576895</v>
      </c>
      <c r="C13539" s="8">
        <f t="array" ref="C13539">PRODUCT(1-'Sparkling Model'!D$2:D$38^A13539)</f>
        <v>0.9957751634</v>
      </c>
    </row>
    <row r="13540">
      <c r="A13540" s="6">
        <v>13538.0</v>
      </c>
      <c r="B13540" s="17">
        <f t="array" ref="B13540">SUM(1-'Sparkling Model'!D$2:D$38^A13540)</f>
        <v>36.99577104</v>
      </c>
      <c r="C13540" s="8">
        <f t="array" ref="C13540">PRODUCT(1-'Sparkling Model'!D$2:D$38^A13540)</f>
        <v>0.9957772527</v>
      </c>
    </row>
    <row r="13541">
      <c r="A13541" s="6">
        <v>13539.0</v>
      </c>
      <c r="B13541" s="17">
        <f t="array" ref="B13541">SUM(1-'Sparkling Model'!D$2:D$38^A13541)</f>
        <v>36.99577314</v>
      </c>
      <c r="C13541" s="8">
        <f t="array" ref="C13541">PRODUCT(1-'Sparkling Model'!D$2:D$38^A13541)</f>
        <v>0.9957793409</v>
      </c>
    </row>
    <row r="13542">
      <c r="A13542" s="6">
        <v>13540.0</v>
      </c>
      <c r="B13542" s="17">
        <f t="array" ref="B13542">SUM(1-'Sparkling Model'!D$2:D$38^A13542)</f>
        <v>36.99577523</v>
      </c>
      <c r="C13542" s="8">
        <f t="array" ref="C13542">PRODUCT(1-'Sparkling Model'!D$2:D$38^A13542)</f>
        <v>0.9957814281</v>
      </c>
    </row>
    <row r="13543">
      <c r="A13543" s="6">
        <v>13541.0</v>
      </c>
      <c r="B13543" s="17">
        <f t="array" ref="B13543">SUM(1-'Sparkling Model'!D$2:D$38^A13543)</f>
        <v>36.99577732</v>
      </c>
      <c r="C13543" s="8">
        <f t="array" ref="C13543">PRODUCT(1-'Sparkling Model'!D$2:D$38^A13543)</f>
        <v>0.9957835143</v>
      </c>
    </row>
    <row r="13544">
      <c r="A13544" s="6">
        <v>13542.0</v>
      </c>
      <c r="B13544" s="17">
        <f t="array" ref="B13544">SUM(1-'Sparkling Model'!D$2:D$38^A13544)</f>
        <v>36.99577941</v>
      </c>
      <c r="C13544" s="8">
        <f t="array" ref="C13544">PRODUCT(1-'Sparkling Model'!D$2:D$38^A13544)</f>
        <v>0.9957855994</v>
      </c>
    </row>
    <row r="13545">
      <c r="A13545" s="6">
        <v>13543.0</v>
      </c>
      <c r="B13545" s="17">
        <f t="array" ref="B13545">SUM(1-'Sparkling Model'!D$2:D$38^A13545)</f>
        <v>36.9957815</v>
      </c>
      <c r="C13545" s="8">
        <f t="array" ref="C13545">PRODUCT(1-'Sparkling Model'!D$2:D$38^A13545)</f>
        <v>0.9957876835</v>
      </c>
    </row>
    <row r="13546">
      <c r="A13546" s="6">
        <v>13544.0</v>
      </c>
      <c r="B13546" s="17">
        <f t="array" ref="B13546">SUM(1-'Sparkling Model'!D$2:D$38^A13546)</f>
        <v>36.99578359</v>
      </c>
      <c r="C13546" s="8">
        <f t="array" ref="C13546">PRODUCT(1-'Sparkling Model'!D$2:D$38^A13546)</f>
        <v>0.9957897666</v>
      </c>
    </row>
    <row r="13547">
      <c r="A13547" s="6">
        <v>13545.0</v>
      </c>
      <c r="B13547" s="17">
        <f t="array" ref="B13547">SUM(1-'Sparkling Model'!D$2:D$38^A13547)</f>
        <v>36.99578568</v>
      </c>
      <c r="C13547" s="8">
        <f t="array" ref="C13547">PRODUCT(1-'Sparkling Model'!D$2:D$38^A13547)</f>
        <v>0.9957918487</v>
      </c>
    </row>
    <row r="13548">
      <c r="A13548" s="6">
        <v>13546.0</v>
      </c>
      <c r="B13548" s="17">
        <f t="array" ref="B13548">SUM(1-'Sparkling Model'!D$2:D$38^A13548)</f>
        <v>36.99578777</v>
      </c>
      <c r="C13548" s="8">
        <f t="array" ref="C13548">PRODUCT(1-'Sparkling Model'!D$2:D$38^A13548)</f>
        <v>0.9957939297</v>
      </c>
    </row>
    <row r="13549">
      <c r="A13549" s="6">
        <v>13547.0</v>
      </c>
      <c r="B13549" s="17">
        <f t="array" ref="B13549">SUM(1-'Sparkling Model'!D$2:D$38^A13549)</f>
        <v>36.99578986</v>
      </c>
      <c r="C13549" s="8">
        <f t="array" ref="C13549">PRODUCT(1-'Sparkling Model'!D$2:D$38^A13549)</f>
        <v>0.9957960096</v>
      </c>
    </row>
    <row r="13550">
      <c r="A13550" s="6">
        <v>13548.0</v>
      </c>
      <c r="B13550" s="17">
        <f t="array" ref="B13550">SUM(1-'Sparkling Model'!D$2:D$38^A13550)</f>
        <v>36.99579194</v>
      </c>
      <c r="C13550" s="8">
        <f t="array" ref="C13550">PRODUCT(1-'Sparkling Model'!D$2:D$38^A13550)</f>
        <v>0.9957980886</v>
      </c>
    </row>
    <row r="13551">
      <c r="A13551" s="6">
        <v>13549.0</v>
      </c>
      <c r="B13551" s="17">
        <f t="array" ref="B13551">SUM(1-'Sparkling Model'!D$2:D$38^A13551)</f>
        <v>36.99579402</v>
      </c>
      <c r="C13551" s="8">
        <f t="array" ref="C13551">PRODUCT(1-'Sparkling Model'!D$2:D$38^A13551)</f>
        <v>0.9958001665</v>
      </c>
    </row>
    <row r="13552">
      <c r="A13552" s="6">
        <v>13550.0</v>
      </c>
      <c r="B13552" s="17">
        <f t="array" ref="B13552">SUM(1-'Sparkling Model'!D$2:D$38^A13552)</f>
        <v>36.99579611</v>
      </c>
      <c r="C13552" s="8">
        <f t="array" ref="C13552">PRODUCT(1-'Sparkling Model'!D$2:D$38^A13552)</f>
        <v>0.9958022434</v>
      </c>
    </row>
    <row r="13553">
      <c r="A13553" s="6">
        <v>13551.0</v>
      </c>
      <c r="B13553" s="17">
        <f t="array" ref="B13553">SUM(1-'Sparkling Model'!D$2:D$38^A13553)</f>
        <v>36.99579819</v>
      </c>
      <c r="C13553" s="8">
        <f t="array" ref="C13553">PRODUCT(1-'Sparkling Model'!D$2:D$38^A13553)</f>
        <v>0.9958043192</v>
      </c>
    </row>
    <row r="13554">
      <c r="A13554" s="6">
        <v>13552.0</v>
      </c>
      <c r="B13554" s="17">
        <f t="array" ref="B13554">SUM(1-'Sparkling Model'!D$2:D$38^A13554)</f>
        <v>36.99580027</v>
      </c>
      <c r="C13554" s="8">
        <f t="array" ref="C13554">PRODUCT(1-'Sparkling Model'!D$2:D$38^A13554)</f>
        <v>0.9958063941</v>
      </c>
    </row>
    <row r="13555">
      <c r="A13555" s="6">
        <v>13553.0</v>
      </c>
      <c r="B13555" s="17">
        <f t="array" ref="B13555">SUM(1-'Sparkling Model'!D$2:D$38^A13555)</f>
        <v>36.99580235</v>
      </c>
      <c r="C13555" s="8">
        <f t="array" ref="C13555">PRODUCT(1-'Sparkling Model'!D$2:D$38^A13555)</f>
        <v>0.9958084679</v>
      </c>
    </row>
    <row r="13556">
      <c r="A13556" s="6">
        <v>13554.0</v>
      </c>
      <c r="B13556" s="17">
        <f t="array" ref="B13556">SUM(1-'Sparkling Model'!D$2:D$38^A13556)</f>
        <v>36.99580443</v>
      </c>
      <c r="C13556" s="8">
        <f t="array" ref="C13556">PRODUCT(1-'Sparkling Model'!D$2:D$38^A13556)</f>
        <v>0.9958105406</v>
      </c>
    </row>
    <row r="13557">
      <c r="A13557" s="6">
        <v>13555.0</v>
      </c>
      <c r="B13557" s="17">
        <f t="array" ref="B13557">SUM(1-'Sparkling Model'!D$2:D$38^A13557)</f>
        <v>36.99580651</v>
      </c>
      <c r="C13557" s="8">
        <f t="array" ref="C13557">PRODUCT(1-'Sparkling Model'!D$2:D$38^A13557)</f>
        <v>0.9958126124</v>
      </c>
    </row>
    <row r="13558">
      <c r="A13558" s="6">
        <v>13556.0</v>
      </c>
      <c r="B13558" s="17">
        <f t="array" ref="B13558">SUM(1-'Sparkling Model'!D$2:D$38^A13558)</f>
        <v>36.99580858</v>
      </c>
      <c r="C13558" s="8">
        <f t="array" ref="C13558">PRODUCT(1-'Sparkling Model'!D$2:D$38^A13558)</f>
        <v>0.9958146831</v>
      </c>
    </row>
    <row r="13559">
      <c r="A13559" s="6">
        <v>13557.0</v>
      </c>
      <c r="B13559" s="17">
        <f t="array" ref="B13559">SUM(1-'Sparkling Model'!D$2:D$38^A13559)</f>
        <v>36.99581066</v>
      </c>
      <c r="C13559" s="8">
        <f t="array" ref="C13559">PRODUCT(1-'Sparkling Model'!D$2:D$38^A13559)</f>
        <v>0.9958167528</v>
      </c>
    </row>
    <row r="13560">
      <c r="A13560" s="6">
        <v>13558.0</v>
      </c>
      <c r="B13560" s="17">
        <f t="array" ref="B13560">SUM(1-'Sparkling Model'!D$2:D$38^A13560)</f>
        <v>36.99581273</v>
      </c>
      <c r="C13560" s="8">
        <f t="array" ref="C13560">PRODUCT(1-'Sparkling Model'!D$2:D$38^A13560)</f>
        <v>0.9958188214</v>
      </c>
    </row>
    <row r="13561">
      <c r="A13561" s="6">
        <v>13559.0</v>
      </c>
      <c r="B13561" s="17">
        <f t="array" ref="B13561">SUM(1-'Sparkling Model'!D$2:D$38^A13561)</f>
        <v>36.99581481</v>
      </c>
      <c r="C13561" s="8">
        <f t="array" ref="C13561">PRODUCT(1-'Sparkling Model'!D$2:D$38^A13561)</f>
        <v>0.995820889</v>
      </c>
    </row>
    <row r="13562">
      <c r="A13562" s="6">
        <v>13560.0</v>
      </c>
      <c r="B13562" s="17">
        <f t="array" ref="B13562">SUM(1-'Sparkling Model'!D$2:D$38^A13562)</f>
        <v>36.99581688</v>
      </c>
      <c r="C13562" s="8">
        <f t="array" ref="C13562">PRODUCT(1-'Sparkling Model'!D$2:D$38^A13562)</f>
        <v>0.9958229556</v>
      </c>
    </row>
    <row r="13563">
      <c r="A13563" s="6">
        <v>13561.0</v>
      </c>
      <c r="B13563" s="17">
        <f t="array" ref="B13563">SUM(1-'Sparkling Model'!D$2:D$38^A13563)</f>
        <v>36.99581895</v>
      </c>
      <c r="C13563" s="8">
        <f t="array" ref="C13563">PRODUCT(1-'Sparkling Model'!D$2:D$38^A13563)</f>
        <v>0.9958250212</v>
      </c>
    </row>
    <row r="13564">
      <c r="A13564" s="6">
        <v>13562.0</v>
      </c>
      <c r="B13564" s="17">
        <f t="array" ref="B13564">SUM(1-'Sparkling Model'!D$2:D$38^A13564)</f>
        <v>36.99582102</v>
      </c>
      <c r="C13564" s="8">
        <f t="array" ref="C13564">PRODUCT(1-'Sparkling Model'!D$2:D$38^A13564)</f>
        <v>0.9958270858</v>
      </c>
    </row>
    <row r="13565">
      <c r="A13565" s="6">
        <v>13563.0</v>
      </c>
      <c r="B13565" s="17">
        <f t="array" ref="B13565">SUM(1-'Sparkling Model'!D$2:D$38^A13565)</f>
        <v>36.99582309</v>
      </c>
      <c r="C13565" s="8">
        <f t="array" ref="C13565">PRODUCT(1-'Sparkling Model'!D$2:D$38^A13565)</f>
        <v>0.9958291493</v>
      </c>
    </row>
    <row r="13566">
      <c r="A13566" s="6">
        <v>13564.0</v>
      </c>
      <c r="B13566" s="17">
        <f t="array" ref="B13566">SUM(1-'Sparkling Model'!D$2:D$38^A13566)</f>
        <v>36.99582516</v>
      </c>
      <c r="C13566" s="8">
        <f t="array" ref="C13566">PRODUCT(1-'Sparkling Model'!D$2:D$38^A13566)</f>
        <v>0.9958312118</v>
      </c>
    </row>
    <row r="13567">
      <c r="A13567" s="6">
        <v>13565.0</v>
      </c>
      <c r="B13567" s="17">
        <f t="array" ref="B13567">SUM(1-'Sparkling Model'!D$2:D$38^A13567)</f>
        <v>36.99582723</v>
      </c>
      <c r="C13567" s="8">
        <f t="array" ref="C13567">PRODUCT(1-'Sparkling Model'!D$2:D$38^A13567)</f>
        <v>0.9958332733</v>
      </c>
    </row>
    <row r="13568">
      <c r="A13568" s="6">
        <v>13566.0</v>
      </c>
      <c r="B13568" s="17">
        <f t="array" ref="B13568">SUM(1-'Sparkling Model'!D$2:D$38^A13568)</f>
        <v>36.99582929</v>
      </c>
      <c r="C13568" s="8">
        <f t="array" ref="C13568">PRODUCT(1-'Sparkling Model'!D$2:D$38^A13568)</f>
        <v>0.9958353338</v>
      </c>
    </row>
    <row r="13569">
      <c r="A13569" s="6">
        <v>13567.0</v>
      </c>
      <c r="B13569" s="17">
        <f t="array" ref="B13569">SUM(1-'Sparkling Model'!D$2:D$38^A13569)</f>
        <v>36.99583136</v>
      </c>
      <c r="C13569" s="8">
        <f t="array" ref="C13569">PRODUCT(1-'Sparkling Model'!D$2:D$38^A13569)</f>
        <v>0.9958373932</v>
      </c>
    </row>
    <row r="13570">
      <c r="A13570" s="6">
        <v>13568.0</v>
      </c>
      <c r="B13570" s="17">
        <f t="array" ref="B13570">SUM(1-'Sparkling Model'!D$2:D$38^A13570)</f>
        <v>36.99583342</v>
      </c>
      <c r="C13570" s="8">
        <f t="array" ref="C13570">PRODUCT(1-'Sparkling Model'!D$2:D$38^A13570)</f>
        <v>0.9958394516</v>
      </c>
    </row>
    <row r="13571">
      <c r="A13571" s="6">
        <v>13569.0</v>
      </c>
      <c r="B13571" s="17">
        <f t="array" ref="B13571">SUM(1-'Sparkling Model'!D$2:D$38^A13571)</f>
        <v>36.99583549</v>
      </c>
      <c r="C13571" s="8">
        <f t="array" ref="C13571">PRODUCT(1-'Sparkling Model'!D$2:D$38^A13571)</f>
        <v>0.995841509</v>
      </c>
    </row>
    <row r="13572">
      <c r="A13572" s="6">
        <v>13570.0</v>
      </c>
      <c r="B13572" s="17">
        <f t="array" ref="B13572">SUM(1-'Sparkling Model'!D$2:D$38^A13572)</f>
        <v>36.99583755</v>
      </c>
      <c r="C13572" s="8">
        <f t="array" ref="C13572">PRODUCT(1-'Sparkling Model'!D$2:D$38^A13572)</f>
        <v>0.9958435654</v>
      </c>
    </row>
    <row r="13573">
      <c r="A13573" s="6">
        <v>13571.0</v>
      </c>
      <c r="B13573" s="17">
        <f t="array" ref="B13573">SUM(1-'Sparkling Model'!D$2:D$38^A13573)</f>
        <v>36.99583961</v>
      </c>
      <c r="C13573" s="8">
        <f t="array" ref="C13573">PRODUCT(1-'Sparkling Model'!D$2:D$38^A13573)</f>
        <v>0.9958456207</v>
      </c>
    </row>
    <row r="13574">
      <c r="A13574" s="6">
        <v>13572.0</v>
      </c>
      <c r="B13574" s="17">
        <f t="array" ref="B13574">SUM(1-'Sparkling Model'!D$2:D$38^A13574)</f>
        <v>36.99584167</v>
      </c>
      <c r="C13574" s="8">
        <f t="array" ref="C13574">PRODUCT(1-'Sparkling Model'!D$2:D$38^A13574)</f>
        <v>0.9958476751</v>
      </c>
    </row>
    <row r="13575">
      <c r="A13575" s="6">
        <v>13573.0</v>
      </c>
      <c r="B13575" s="17">
        <f t="array" ref="B13575">SUM(1-'Sparkling Model'!D$2:D$38^A13575)</f>
        <v>36.99584373</v>
      </c>
      <c r="C13575" s="8">
        <f t="array" ref="C13575">PRODUCT(1-'Sparkling Model'!D$2:D$38^A13575)</f>
        <v>0.9958497284</v>
      </c>
    </row>
    <row r="13576">
      <c r="A13576" s="6">
        <v>13574.0</v>
      </c>
      <c r="B13576" s="17">
        <f t="array" ref="B13576">SUM(1-'Sparkling Model'!D$2:D$38^A13576)</f>
        <v>36.99584579</v>
      </c>
      <c r="C13576" s="8">
        <f t="array" ref="C13576">PRODUCT(1-'Sparkling Model'!D$2:D$38^A13576)</f>
        <v>0.9958517807</v>
      </c>
    </row>
    <row r="13577">
      <c r="A13577" s="6">
        <v>13575.0</v>
      </c>
      <c r="B13577" s="17">
        <f t="array" ref="B13577">SUM(1-'Sparkling Model'!D$2:D$38^A13577)</f>
        <v>36.99584785</v>
      </c>
      <c r="C13577" s="8">
        <f t="array" ref="C13577">PRODUCT(1-'Sparkling Model'!D$2:D$38^A13577)</f>
        <v>0.995853832</v>
      </c>
    </row>
    <row r="13578">
      <c r="A13578" s="6">
        <v>13576.0</v>
      </c>
      <c r="B13578" s="17">
        <f t="array" ref="B13578">SUM(1-'Sparkling Model'!D$2:D$38^A13578)</f>
        <v>36.9958499</v>
      </c>
      <c r="C13578" s="8">
        <f t="array" ref="C13578">PRODUCT(1-'Sparkling Model'!D$2:D$38^A13578)</f>
        <v>0.9958558822</v>
      </c>
    </row>
    <row r="13579">
      <c r="A13579" s="6">
        <v>13577.0</v>
      </c>
      <c r="B13579" s="17">
        <f t="array" ref="B13579">SUM(1-'Sparkling Model'!D$2:D$38^A13579)</f>
        <v>36.99585196</v>
      </c>
      <c r="C13579" s="8">
        <f t="array" ref="C13579">PRODUCT(1-'Sparkling Model'!D$2:D$38^A13579)</f>
        <v>0.9958579315</v>
      </c>
    </row>
    <row r="13580">
      <c r="A13580" s="6">
        <v>13578.0</v>
      </c>
      <c r="B13580" s="17">
        <f t="array" ref="B13580">SUM(1-'Sparkling Model'!D$2:D$38^A13580)</f>
        <v>36.99585401</v>
      </c>
      <c r="C13580" s="8">
        <f t="array" ref="C13580">PRODUCT(1-'Sparkling Model'!D$2:D$38^A13580)</f>
        <v>0.9958599797</v>
      </c>
    </row>
    <row r="13581">
      <c r="A13581" s="6">
        <v>13579.0</v>
      </c>
      <c r="B13581" s="17">
        <f t="array" ref="B13581">SUM(1-'Sparkling Model'!D$2:D$38^A13581)</f>
        <v>36.99585607</v>
      </c>
      <c r="C13581" s="8">
        <f t="array" ref="C13581">PRODUCT(1-'Sparkling Model'!D$2:D$38^A13581)</f>
        <v>0.9958620269</v>
      </c>
    </row>
    <row r="13582">
      <c r="A13582" s="6">
        <v>13580.0</v>
      </c>
      <c r="B13582" s="17">
        <f t="array" ref="B13582">SUM(1-'Sparkling Model'!D$2:D$38^A13582)</f>
        <v>36.99585812</v>
      </c>
      <c r="C13582" s="8">
        <f t="array" ref="C13582">PRODUCT(1-'Sparkling Model'!D$2:D$38^A13582)</f>
        <v>0.9958640731</v>
      </c>
    </row>
    <row r="13583">
      <c r="A13583" s="6">
        <v>13581.0</v>
      </c>
      <c r="B13583" s="17">
        <f t="array" ref="B13583">SUM(1-'Sparkling Model'!D$2:D$38^A13583)</f>
        <v>36.99586017</v>
      </c>
      <c r="C13583" s="8">
        <f t="array" ref="C13583">PRODUCT(1-'Sparkling Model'!D$2:D$38^A13583)</f>
        <v>0.9958661183</v>
      </c>
    </row>
    <row r="13584">
      <c r="A13584" s="6">
        <v>13582.0</v>
      </c>
      <c r="B13584" s="17">
        <f t="array" ref="B13584">SUM(1-'Sparkling Model'!D$2:D$38^A13584)</f>
        <v>36.99586222</v>
      </c>
      <c r="C13584" s="8">
        <f t="array" ref="C13584">PRODUCT(1-'Sparkling Model'!D$2:D$38^A13584)</f>
        <v>0.9958681625</v>
      </c>
    </row>
    <row r="13585">
      <c r="A13585" s="6">
        <v>13583.0</v>
      </c>
      <c r="B13585" s="17">
        <f t="array" ref="B13585">SUM(1-'Sparkling Model'!D$2:D$38^A13585)</f>
        <v>36.99586427</v>
      </c>
      <c r="C13585" s="8">
        <f t="array" ref="C13585">PRODUCT(1-'Sparkling Model'!D$2:D$38^A13585)</f>
        <v>0.9958702057</v>
      </c>
    </row>
    <row r="13586">
      <c r="A13586" s="6">
        <v>13584.0</v>
      </c>
      <c r="B13586" s="17">
        <f t="array" ref="B13586">SUM(1-'Sparkling Model'!D$2:D$38^A13586)</f>
        <v>36.99586632</v>
      </c>
      <c r="C13586" s="8">
        <f t="array" ref="C13586">PRODUCT(1-'Sparkling Model'!D$2:D$38^A13586)</f>
        <v>0.9958722478</v>
      </c>
    </row>
    <row r="13587">
      <c r="A13587" s="6">
        <v>13585.0</v>
      </c>
      <c r="B13587" s="17">
        <f t="array" ref="B13587">SUM(1-'Sparkling Model'!D$2:D$38^A13587)</f>
        <v>36.99586836</v>
      </c>
      <c r="C13587" s="8">
        <f t="array" ref="C13587">PRODUCT(1-'Sparkling Model'!D$2:D$38^A13587)</f>
        <v>0.9958742889</v>
      </c>
    </row>
    <row r="13588">
      <c r="A13588" s="6">
        <v>13586.0</v>
      </c>
      <c r="B13588" s="17">
        <f t="array" ref="B13588">SUM(1-'Sparkling Model'!D$2:D$38^A13588)</f>
        <v>36.99587041</v>
      </c>
      <c r="C13588" s="8">
        <f t="array" ref="C13588">PRODUCT(1-'Sparkling Model'!D$2:D$38^A13588)</f>
        <v>0.995876329</v>
      </c>
    </row>
    <row r="13589">
      <c r="A13589" s="6">
        <v>13587.0</v>
      </c>
      <c r="B13589" s="17">
        <f t="array" ref="B13589">SUM(1-'Sparkling Model'!D$2:D$38^A13589)</f>
        <v>36.99587245</v>
      </c>
      <c r="C13589" s="8">
        <f t="array" ref="C13589">PRODUCT(1-'Sparkling Model'!D$2:D$38^A13589)</f>
        <v>0.9958783682</v>
      </c>
    </row>
    <row r="13590">
      <c r="A13590" s="6">
        <v>13588.0</v>
      </c>
      <c r="B13590" s="17">
        <f t="array" ref="B13590">SUM(1-'Sparkling Model'!D$2:D$38^A13590)</f>
        <v>36.9958745</v>
      </c>
      <c r="C13590" s="8">
        <f t="array" ref="C13590">PRODUCT(1-'Sparkling Model'!D$2:D$38^A13590)</f>
        <v>0.9958804062</v>
      </c>
    </row>
    <row r="13591">
      <c r="A13591" s="6">
        <v>13589.0</v>
      </c>
      <c r="B13591" s="17">
        <f t="array" ref="B13591">SUM(1-'Sparkling Model'!D$2:D$38^A13591)</f>
        <v>36.99587654</v>
      </c>
      <c r="C13591" s="8">
        <f t="array" ref="C13591">PRODUCT(1-'Sparkling Model'!D$2:D$38^A13591)</f>
        <v>0.9958824433</v>
      </c>
    </row>
    <row r="13592">
      <c r="A13592" s="6">
        <v>13590.0</v>
      </c>
      <c r="B13592" s="17">
        <f t="array" ref="B13592">SUM(1-'Sparkling Model'!D$2:D$38^A13592)</f>
        <v>36.99587858</v>
      </c>
      <c r="C13592" s="8">
        <f t="array" ref="C13592">PRODUCT(1-'Sparkling Model'!D$2:D$38^A13592)</f>
        <v>0.9958844794</v>
      </c>
    </row>
    <row r="13593">
      <c r="A13593" s="6">
        <v>13591.0</v>
      </c>
      <c r="B13593" s="17">
        <f t="array" ref="B13593">SUM(1-'Sparkling Model'!D$2:D$38^A13593)</f>
        <v>36.99588062</v>
      </c>
      <c r="C13593" s="8">
        <f t="array" ref="C13593">PRODUCT(1-'Sparkling Model'!D$2:D$38^A13593)</f>
        <v>0.9958865145</v>
      </c>
    </row>
    <row r="13594">
      <c r="A13594" s="6">
        <v>13592.0</v>
      </c>
      <c r="B13594" s="17">
        <f t="array" ref="B13594">SUM(1-'Sparkling Model'!D$2:D$38^A13594)</f>
        <v>36.99588266</v>
      </c>
      <c r="C13594" s="8">
        <f t="array" ref="C13594">PRODUCT(1-'Sparkling Model'!D$2:D$38^A13594)</f>
        <v>0.9958885485</v>
      </c>
    </row>
    <row r="13595">
      <c r="A13595" s="6">
        <v>13593.0</v>
      </c>
      <c r="B13595" s="17">
        <f t="array" ref="B13595">SUM(1-'Sparkling Model'!D$2:D$38^A13595)</f>
        <v>36.9958847</v>
      </c>
      <c r="C13595" s="8">
        <f t="array" ref="C13595">PRODUCT(1-'Sparkling Model'!D$2:D$38^A13595)</f>
        <v>0.9958905816</v>
      </c>
    </row>
    <row r="13596">
      <c r="A13596" s="6">
        <v>13594.0</v>
      </c>
      <c r="B13596" s="17">
        <f t="array" ref="B13596">SUM(1-'Sparkling Model'!D$2:D$38^A13596)</f>
        <v>36.99588674</v>
      </c>
      <c r="C13596" s="8">
        <f t="array" ref="C13596">PRODUCT(1-'Sparkling Model'!D$2:D$38^A13596)</f>
        <v>0.9958926136</v>
      </c>
    </row>
    <row r="13597">
      <c r="A13597" s="6">
        <v>13595.0</v>
      </c>
      <c r="B13597" s="17">
        <f t="array" ref="B13597">SUM(1-'Sparkling Model'!D$2:D$38^A13597)</f>
        <v>36.99588878</v>
      </c>
      <c r="C13597" s="8">
        <f t="array" ref="C13597">PRODUCT(1-'Sparkling Model'!D$2:D$38^A13597)</f>
        <v>0.9958946446</v>
      </c>
    </row>
    <row r="13598">
      <c r="A13598" s="6">
        <v>13596.0</v>
      </c>
      <c r="B13598" s="17">
        <f t="array" ref="B13598">SUM(1-'Sparkling Model'!D$2:D$38^A13598)</f>
        <v>36.99589081</v>
      </c>
      <c r="C13598" s="8">
        <f t="array" ref="C13598">PRODUCT(1-'Sparkling Model'!D$2:D$38^A13598)</f>
        <v>0.9958966747</v>
      </c>
    </row>
    <row r="13599">
      <c r="A13599" s="6">
        <v>13597.0</v>
      </c>
      <c r="B13599" s="17">
        <f t="array" ref="B13599">SUM(1-'Sparkling Model'!D$2:D$38^A13599)</f>
        <v>36.99589285</v>
      </c>
      <c r="C13599" s="8">
        <f t="array" ref="C13599">PRODUCT(1-'Sparkling Model'!D$2:D$38^A13599)</f>
        <v>0.9958987037</v>
      </c>
    </row>
    <row r="13600">
      <c r="A13600" s="6">
        <v>13598.0</v>
      </c>
      <c r="B13600" s="17">
        <f t="array" ref="B13600">SUM(1-'Sparkling Model'!D$2:D$38^A13600)</f>
        <v>36.99589488</v>
      </c>
      <c r="C13600" s="8">
        <f t="array" ref="C13600">PRODUCT(1-'Sparkling Model'!D$2:D$38^A13600)</f>
        <v>0.9959007317</v>
      </c>
    </row>
    <row r="13601">
      <c r="A13601" s="6">
        <v>13599.0</v>
      </c>
      <c r="B13601" s="17">
        <f t="array" ref="B13601">SUM(1-'Sparkling Model'!D$2:D$38^A13601)</f>
        <v>36.99589691</v>
      </c>
      <c r="C13601" s="8">
        <f t="array" ref="C13601">PRODUCT(1-'Sparkling Model'!D$2:D$38^A13601)</f>
        <v>0.9959027587</v>
      </c>
    </row>
    <row r="13602">
      <c r="A13602" s="6">
        <v>13600.0</v>
      </c>
      <c r="B13602" s="17">
        <f t="array" ref="B13602">SUM(1-'Sparkling Model'!D$2:D$38^A13602)</f>
        <v>36.99589895</v>
      </c>
      <c r="C13602" s="8">
        <f t="array" ref="C13602">PRODUCT(1-'Sparkling Model'!D$2:D$38^A13602)</f>
        <v>0.9959047847</v>
      </c>
    </row>
    <row r="13603">
      <c r="A13603" s="6">
        <v>13601.0</v>
      </c>
      <c r="B13603" s="17">
        <f t="array" ref="B13603">SUM(1-'Sparkling Model'!D$2:D$38^A13603)</f>
        <v>36.99590098</v>
      </c>
      <c r="C13603" s="8">
        <f t="array" ref="C13603">PRODUCT(1-'Sparkling Model'!D$2:D$38^A13603)</f>
        <v>0.9959068097</v>
      </c>
    </row>
    <row r="13604">
      <c r="A13604" s="6">
        <v>13602.0</v>
      </c>
      <c r="B13604" s="17">
        <f t="array" ref="B13604">SUM(1-'Sparkling Model'!D$2:D$38^A13604)</f>
        <v>36.99590301</v>
      </c>
      <c r="C13604" s="8">
        <f t="array" ref="C13604">PRODUCT(1-'Sparkling Model'!D$2:D$38^A13604)</f>
        <v>0.9959088337</v>
      </c>
    </row>
    <row r="13605">
      <c r="A13605" s="6">
        <v>13603.0</v>
      </c>
      <c r="B13605" s="17">
        <f t="array" ref="B13605">SUM(1-'Sparkling Model'!D$2:D$38^A13605)</f>
        <v>36.99590504</v>
      </c>
      <c r="C13605" s="8">
        <f t="array" ref="C13605">PRODUCT(1-'Sparkling Model'!D$2:D$38^A13605)</f>
        <v>0.9959108566</v>
      </c>
    </row>
    <row r="13606">
      <c r="A13606" s="6">
        <v>13604.0</v>
      </c>
      <c r="B13606" s="17">
        <f t="array" ref="B13606">SUM(1-'Sparkling Model'!D$2:D$38^A13606)</f>
        <v>36.99590706</v>
      </c>
      <c r="C13606" s="8">
        <f t="array" ref="C13606">PRODUCT(1-'Sparkling Model'!D$2:D$38^A13606)</f>
        <v>0.9959128786</v>
      </c>
    </row>
    <row r="13607">
      <c r="A13607" s="6">
        <v>13605.0</v>
      </c>
      <c r="B13607" s="17">
        <f t="array" ref="B13607">SUM(1-'Sparkling Model'!D$2:D$38^A13607)</f>
        <v>36.99590909</v>
      </c>
      <c r="C13607" s="8">
        <f t="array" ref="C13607">PRODUCT(1-'Sparkling Model'!D$2:D$38^A13607)</f>
        <v>0.9959148996</v>
      </c>
    </row>
    <row r="13608">
      <c r="A13608" s="6">
        <v>13606.0</v>
      </c>
      <c r="B13608" s="17">
        <f t="array" ref="B13608">SUM(1-'Sparkling Model'!D$2:D$38^A13608)</f>
        <v>36.99591112</v>
      </c>
      <c r="C13608" s="8">
        <f t="array" ref="C13608">PRODUCT(1-'Sparkling Model'!D$2:D$38^A13608)</f>
        <v>0.9959169196</v>
      </c>
    </row>
    <row r="13609">
      <c r="A13609" s="6">
        <v>13607.0</v>
      </c>
      <c r="B13609" s="17">
        <f t="array" ref="B13609">SUM(1-'Sparkling Model'!D$2:D$38^A13609)</f>
        <v>36.99591314</v>
      </c>
      <c r="C13609" s="8">
        <f t="array" ref="C13609">PRODUCT(1-'Sparkling Model'!D$2:D$38^A13609)</f>
        <v>0.9959189386</v>
      </c>
    </row>
    <row r="13610">
      <c r="A13610" s="6">
        <v>13608.0</v>
      </c>
      <c r="B13610" s="17">
        <f t="array" ref="B13610">SUM(1-'Sparkling Model'!D$2:D$38^A13610)</f>
        <v>36.99591516</v>
      </c>
      <c r="C13610" s="8">
        <f t="array" ref="C13610">PRODUCT(1-'Sparkling Model'!D$2:D$38^A13610)</f>
        <v>0.9959209565</v>
      </c>
    </row>
    <row r="13611">
      <c r="A13611" s="6">
        <v>13609.0</v>
      </c>
      <c r="B13611" s="17">
        <f t="array" ref="B13611">SUM(1-'Sparkling Model'!D$2:D$38^A13611)</f>
        <v>36.99591719</v>
      </c>
      <c r="C13611" s="8">
        <f t="array" ref="C13611">PRODUCT(1-'Sparkling Model'!D$2:D$38^A13611)</f>
        <v>0.9959229735</v>
      </c>
    </row>
    <row r="13612">
      <c r="A13612" s="6">
        <v>13610.0</v>
      </c>
      <c r="B13612" s="17">
        <f t="array" ref="B13612">SUM(1-'Sparkling Model'!D$2:D$38^A13612)</f>
        <v>36.99591921</v>
      </c>
      <c r="C13612" s="8">
        <f t="array" ref="C13612">PRODUCT(1-'Sparkling Model'!D$2:D$38^A13612)</f>
        <v>0.9959249895</v>
      </c>
    </row>
    <row r="13613">
      <c r="A13613" s="6">
        <v>13611.0</v>
      </c>
      <c r="B13613" s="17">
        <f t="array" ref="B13613">SUM(1-'Sparkling Model'!D$2:D$38^A13613)</f>
        <v>36.99592123</v>
      </c>
      <c r="C13613" s="8">
        <f t="array" ref="C13613">PRODUCT(1-'Sparkling Model'!D$2:D$38^A13613)</f>
        <v>0.9959270044</v>
      </c>
    </row>
    <row r="13614">
      <c r="A13614" s="6">
        <v>13612.0</v>
      </c>
      <c r="B13614" s="17">
        <f t="array" ref="B13614">SUM(1-'Sparkling Model'!D$2:D$38^A13614)</f>
        <v>36.99592325</v>
      </c>
      <c r="C13614" s="8">
        <f t="array" ref="C13614">PRODUCT(1-'Sparkling Model'!D$2:D$38^A13614)</f>
        <v>0.9959290184</v>
      </c>
    </row>
    <row r="13615">
      <c r="A13615" s="6">
        <v>13613.0</v>
      </c>
      <c r="B13615" s="17">
        <f t="array" ref="B13615">SUM(1-'Sparkling Model'!D$2:D$38^A13615)</f>
        <v>36.99592527</v>
      </c>
      <c r="C13615" s="8">
        <f t="array" ref="C13615">PRODUCT(1-'Sparkling Model'!D$2:D$38^A13615)</f>
        <v>0.9959310314</v>
      </c>
    </row>
    <row r="13616">
      <c r="A13616" s="6">
        <v>13614.0</v>
      </c>
      <c r="B13616" s="17">
        <f t="array" ref="B13616">SUM(1-'Sparkling Model'!D$2:D$38^A13616)</f>
        <v>36.99592729</v>
      </c>
      <c r="C13616" s="8">
        <f t="array" ref="C13616">PRODUCT(1-'Sparkling Model'!D$2:D$38^A13616)</f>
        <v>0.9959330434</v>
      </c>
    </row>
    <row r="13617">
      <c r="A13617" s="6">
        <v>13615.0</v>
      </c>
      <c r="B13617" s="17">
        <f t="array" ref="B13617">SUM(1-'Sparkling Model'!D$2:D$38^A13617)</f>
        <v>36.9959293</v>
      </c>
      <c r="C13617" s="8">
        <f t="array" ref="C13617">PRODUCT(1-'Sparkling Model'!D$2:D$38^A13617)</f>
        <v>0.9959350543</v>
      </c>
    </row>
    <row r="13618">
      <c r="A13618" s="6">
        <v>13616.0</v>
      </c>
      <c r="B13618" s="17">
        <f t="array" ref="B13618">SUM(1-'Sparkling Model'!D$2:D$38^A13618)</f>
        <v>36.99593132</v>
      </c>
      <c r="C13618" s="8">
        <f t="array" ref="C13618">PRODUCT(1-'Sparkling Model'!D$2:D$38^A13618)</f>
        <v>0.9959370643</v>
      </c>
    </row>
    <row r="13619">
      <c r="A13619" s="6">
        <v>13617.0</v>
      </c>
      <c r="B13619" s="17">
        <f t="array" ref="B13619">SUM(1-'Sparkling Model'!D$2:D$38^A13619)</f>
        <v>36.99593333</v>
      </c>
      <c r="C13619" s="8">
        <f t="array" ref="C13619">PRODUCT(1-'Sparkling Model'!D$2:D$38^A13619)</f>
        <v>0.9959390733</v>
      </c>
    </row>
    <row r="13620">
      <c r="A13620" s="6">
        <v>13618.0</v>
      </c>
      <c r="B13620" s="17">
        <f t="array" ref="B13620">SUM(1-'Sparkling Model'!D$2:D$38^A13620)</f>
        <v>36.99593535</v>
      </c>
      <c r="C13620" s="8">
        <f t="array" ref="C13620">PRODUCT(1-'Sparkling Model'!D$2:D$38^A13620)</f>
        <v>0.9959410813</v>
      </c>
    </row>
    <row r="13621">
      <c r="A13621" s="6">
        <v>13619.0</v>
      </c>
      <c r="B13621" s="17">
        <f t="array" ref="B13621">SUM(1-'Sparkling Model'!D$2:D$38^A13621)</f>
        <v>36.99593736</v>
      </c>
      <c r="C13621" s="8">
        <f t="array" ref="C13621">PRODUCT(1-'Sparkling Model'!D$2:D$38^A13621)</f>
        <v>0.9959430883</v>
      </c>
    </row>
    <row r="13622">
      <c r="A13622" s="6">
        <v>13620.0</v>
      </c>
      <c r="B13622" s="17">
        <f t="array" ref="B13622">SUM(1-'Sparkling Model'!D$2:D$38^A13622)</f>
        <v>36.99593937</v>
      </c>
      <c r="C13622" s="8">
        <f t="array" ref="C13622">PRODUCT(1-'Sparkling Model'!D$2:D$38^A13622)</f>
        <v>0.9959450943</v>
      </c>
    </row>
    <row r="13623">
      <c r="A13623" s="6">
        <v>13621.0</v>
      </c>
      <c r="B13623" s="17">
        <f t="array" ref="B13623">SUM(1-'Sparkling Model'!D$2:D$38^A13623)</f>
        <v>36.99594138</v>
      </c>
      <c r="C13623" s="8">
        <f t="array" ref="C13623">PRODUCT(1-'Sparkling Model'!D$2:D$38^A13623)</f>
        <v>0.9959470993</v>
      </c>
    </row>
    <row r="13624">
      <c r="A13624" s="6">
        <v>13622.0</v>
      </c>
      <c r="B13624" s="17">
        <f t="array" ref="B13624">SUM(1-'Sparkling Model'!D$2:D$38^A13624)</f>
        <v>36.99594339</v>
      </c>
      <c r="C13624" s="8">
        <f t="array" ref="C13624">PRODUCT(1-'Sparkling Model'!D$2:D$38^A13624)</f>
        <v>0.9959491033</v>
      </c>
    </row>
    <row r="13625">
      <c r="A13625" s="6">
        <v>13623.0</v>
      </c>
      <c r="B13625" s="17">
        <f t="array" ref="B13625">SUM(1-'Sparkling Model'!D$2:D$38^A13625)</f>
        <v>36.9959454</v>
      </c>
      <c r="C13625" s="8">
        <f t="array" ref="C13625">PRODUCT(1-'Sparkling Model'!D$2:D$38^A13625)</f>
        <v>0.9959511063</v>
      </c>
    </row>
    <row r="13626">
      <c r="A13626" s="6">
        <v>13624.0</v>
      </c>
      <c r="B13626" s="17">
        <f t="array" ref="B13626">SUM(1-'Sparkling Model'!D$2:D$38^A13626)</f>
        <v>36.99594741</v>
      </c>
      <c r="C13626" s="8">
        <f t="array" ref="C13626">PRODUCT(1-'Sparkling Model'!D$2:D$38^A13626)</f>
        <v>0.9959531083</v>
      </c>
    </row>
    <row r="13627">
      <c r="A13627" s="6">
        <v>13625.0</v>
      </c>
      <c r="B13627" s="17">
        <f t="array" ref="B13627">SUM(1-'Sparkling Model'!D$2:D$38^A13627)</f>
        <v>36.99594941</v>
      </c>
      <c r="C13627" s="8">
        <f t="array" ref="C13627">PRODUCT(1-'Sparkling Model'!D$2:D$38^A13627)</f>
        <v>0.9959551093</v>
      </c>
    </row>
    <row r="13628">
      <c r="A13628" s="6">
        <v>13626.0</v>
      </c>
      <c r="B13628" s="17">
        <f t="array" ref="B13628">SUM(1-'Sparkling Model'!D$2:D$38^A13628)</f>
        <v>36.99595142</v>
      </c>
      <c r="C13628" s="8">
        <f t="array" ref="C13628">PRODUCT(1-'Sparkling Model'!D$2:D$38^A13628)</f>
        <v>0.9959571094</v>
      </c>
    </row>
    <row r="13629">
      <c r="A13629" s="6">
        <v>13627.0</v>
      </c>
      <c r="B13629" s="17">
        <f t="array" ref="B13629">SUM(1-'Sparkling Model'!D$2:D$38^A13629)</f>
        <v>36.99595343</v>
      </c>
      <c r="C13629" s="8">
        <f t="array" ref="C13629">PRODUCT(1-'Sparkling Model'!D$2:D$38^A13629)</f>
        <v>0.9959591084</v>
      </c>
    </row>
    <row r="13630">
      <c r="A13630" s="6">
        <v>13628.0</v>
      </c>
      <c r="B13630" s="17">
        <f t="array" ref="B13630">SUM(1-'Sparkling Model'!D$2:D$38^A13630)</f>
        <v>36.99595543</v>
      </c>
      <c r="C13630" s="8">
        <f t="array" ref="C13630">PRODUCT(1-'Sparkling Model'!D$2:D$38^A13630)</f>
        <v>0.9959611065</v>
      </c>
    </row>
    <row r="13631">
      <c r="A13631" s="6">
        <v>13629.0</v>
      </c>
      <c r="B13631" s="17">
        <f t="array" ref="B13631">SUM(1-'Sparkling Model'!D$2:D$38^A13631)</f>
        <v>36.99595743</v>
      </c>
      <c r="C13631" s="8">
        <f t="array" ref="C13631">PRODUCT(1-'Sparkling Model'!D$2:D$38^A13631)</f>
        <v>0.9959631035</v>
      </c>
    </row>
    <row r="13632">
      <c r="A13632" s="6">
        <v>13630.0</v>
      </c>
      <c r="B13632" s="17">
        <f t="array" ref="B13632">SUM(1-'Sparkling Model'!D$2:D$38^A13632)</f>
        <v>36.99595943</v>
      </c>
      <c r="C13632" s="8">
        <f t="array" ref="C13632">PRODUCT(1-'Sparkling Model'!D$2:D$38^A13632)</f>
        <v>0.9959650996</v>
      </c>
    </row>
    <row r="13633">
      <c r="A13633" s="6">
        <v>13631.0</v>
      </c>
      <c r="B13633" s="17">
        <f t="array" ref="B13633">SUM(1-'Sparkling Model'!D$2:D$38^A13633)</f>
        <v>36.99596143</v>
      </c>
      <c r="C13633" s="8">
        <f t="array" ref="C13633">PRODUCT(1-'Sparkling Model'!D$2:D$38^A13633)</f>
        <v>0.9959670947</v>
      </c>
    </row>
    <row r="13634">
      <c r="A13634" s="6">
        <v>13632.0</v>
      </c>
      <c r="B13634" s="17">
        <f t="array" ref="B13634">SUM(1-'Sparkling Model'!D$2:D$38^A13634)</f>
        <v>36.99596343</v>
      </c>
      <c r="C13634" s="8">
        <f t="array" ref="C13634">PRODUCT(1-'Sparkling Model'!D$2:D$38^A13634)</f>
        <v>0.9959690888</v>
      </c>
    </row>
    <row r="13635">
      <c r="A13635" s="6">
        <v>13633.0</v>
      </c>
      <c r="B13635" s="17">
        <f t="array" ref="B13635">SUM(1-'Sparkling Model'!D$2:D$38^A13635)</f>
        <v>36.99596543</v>
      </c>
      <c r="C13635" s="8">
        <f t="array" ref="C13635">PRODUCT(1-'Sparkling Model'!D$2:D$38^A13635)</f>
        <v>0.9959710819</v>
      </c>
    </row>
    <row r="13636">
      <c r="A13636" s="6">
        <v>13634.0</v>
      </c>
      <c r="B13636" s="17">
        <f t="array" ref="B13636">SUM(1-'Sparkling Model'!D$2:D$38^A13636)</f>
        <v>36.99596743</v>
      </c>
      <c r="C13636" s="8">
        <f t="array" ref="C13636">PRODUCT(1-'Sparkling Model'!D$2:D$38^A13636)</f>
        <v>0.995973074</v>
      </c>
    </row>
    <row r="13637">
      <c r="A13637" s="6">
        <v>13635.0</v>
      </c>
      <c r="B13637" s="17">
        <f t="array" ref="B13637">SUM(1-'Sparkling Model'!D$2:D$38^A13637)</f>
        <v>36.99596943</v>
      </c>
      <c r="C13637" s="8">
        <f t="array" ref="C13637">PRODUCT(1-'Sparkling Model'!D$2:D$38^A13637)</f>
        <v>0.9959750651</v>
      </c>
    </row>
    <row r="13638">
      <c r="A13638" s="6">
        <v>13636.0</v>
      </c>
      <c r="B13638" s="17">
        <f t="array" ref="B13638">SUM(1-'Sparkling Model'!D$2:D$38^A13638)</f>
        <v>36.99597142</v>
      </c>
      <c r="C13638" s="8">
        <f t="array" ref="C13638">PRODUCT(1-'Sparkling Model'!D$2:D$38^A13638)</f>
        <v>0.9959770552</v>
      </c>
    </row>
    <row r="13639">
      <c r="A13639" s="6">
        <v>13637.0</v>
      </c>
      <c r="B13639" s="17">
        <f t="array" ref="B13639">SUM(1-'Sparkling Model'!D$2:D$38^A13639)</f>
        <v>36.99597342</v>
      </c>
      <c r="C13639" s="8">
        <f t="array" ref="C13639">PRODUCT(1-'Sparkling Model'!D$2:D$38^A13639)</f>
        <v>0.9959790444</v>
      </c>
    </row>
    <row r="13640">
      <c r="A13640" s="6">
        <v>13638.0</v>
      </c>
      <c r="B13640" s="17">
        <f t="array" ref="B13640">SUM(1-'Sparkling Model'!D$2:D$38^A13640)</f>
        <v>36.99597541</v>
      </c>
      <c r="C13640" s="8">
        <f t="array" ref="C13640">PRODUCT(1-'Sparkling Model'!D$2:D$38^A13640)</f>
        <v>0.9959810325</v>
      </c>
    </row>
    <row r="13641">
      <c r="A13641" s="6">
        <v>13639.0</v>
      </c>
      <c r="B13641" s="17">
        <f t="array" ref="B13641">SUM(1-'Sparkling Model'!D$2:D$38^A13641)</f>
        <v>36.9959774</v>
      </c>
      <c r="C13641" s="8">
        <f t="array" ref="C13641">PRODUCT(1-'Sparkling Model'!D$2:D$38^A13641)</f>
        <v>0.9959830197</v>
      </c>
    </row>
    <row r="13642">
      <c r="A13642" s="6">
        <v>13640.0</v>
      </c>
      <c r="B13642" s="17">
        <f t="array" ref="B13642">SUM(1-'Sparkling Model'!D$2:D$38^A13642)</f>
        <v>36.9959794</v>
      </c>
      <c r="C13642" s="8">
        <f t="array" ref="C13642">PRODUCT(1-'Sparkling Model'!D$2:D$38^A13642)</f>
        <v>0.9959850059</v>
      </c>
    </row>
    <row r="13643">
      <c r="A13643" s="6">
        <v>13641.0</v>
      </c>
      <c r="B13643" s="17">
        <f t="array" ref="B13643">SUM(1-'Sparkling Model'!D$2:D$38^A13643)</f>
        <v>36.99598139</v>
      </c>
      <c r="C13643" s="8">
        <f t="array" ref="C13643">PRODUCT(1-'Sparkling Model'!D$2:D$38^A13643)</f>
        <v>0.9959869911</v>
      </c>
    </row>
    <row r="13644">
      <c r="A13644" s="6">
        <v>13642.0</v>
      </c>
      <c r="B13644" s="17">
        <f t="array" ref="B13644">SUM(1-'Sparkling Model'!D$2:D$38^A13644)</f>
        <v>36.99598338</v>
      </c>
      <c r="C13644" s="8">
        <f t="array" ref="C13644">PRODUCT(1-'Sparkling Model'!D$2:D$38^A13644)</f>
        <v>0.9959889753</v>
      </c>
    </row>
    <row r="13645">
      <c r="A13645" s="6">
        <v>13643.0</v>
      </c>
      <c r="B13645" s="17">
        <f t="array" ref="B13645">SUM(1-'Sparkling Model'!D$2:D$38^A13645)</f>
        <v>36.99598537</v>
      </c>
      <c r="C13645" s="8">
        <f t="array" ref="C13645">PRODUCT(1-'Sparkling Model'!D$2:D$38^A13645)</f>
        <v>0.9959909586</v>
      </c>
    </row>
    <row r="13646">
      <c r="A13646" s="6">
        <v>13644.0</v>
      </c>
      <c r="B13646" s="17">
        <f t="array" ref="B13646">SUM(1-'Sparkling Model'!D$2:D$38^A13646)</f>
        <v>36.99598735</v>
      </c>
      <c r="C13646" s="8">
        <f t="array" ref="C13646">PRODUCT(1-'Sparkling Model'!D$2:D$38^A13646)</f>
        <v>0.9959929408</v>
      </c>
    </row>
    <row r="13647">
      <c r="A13647" s="6">
        <v>13645.0</v>
      </c>
      <c r="B13647" s="17">
        <f t="array" ref="B13647">SUM(1-'Sparkling Model'!D$2:D$38^A13647)</f>
        <v>36.99598934</v>
      </c>
      <c r="C13647" s="8">
        <f t="array" ref="C13647">PRODUCT(1-'Sparkling Model'!D$2:D$38^A13647)</f>
        <v>0.9959949221</v>
      </c>
    </row>
    <row r="13648">
      <c r="A13648" s="6">
        <v>13646.0</v>
      </c>
      <c r="B13648" s="17">
        <f t="array" ref="B13648">SUM(1-'Sparkling Model'!D$2:D$38^A13648)</f>
        <v>36.99599133</v>
      </c>
      <c r="C13648" s="8">
        <f t="array" ref="C13648">PRODUCT(1-'Sparkling Model'!D$2:D$38^A13648)</f>
        <v>0.9959969024</v>
      </c>
    </row>
    <row r="13649">
      <c r="A13649" s="6">
        <v>13647.0</v>
      </c>
      <c r="B13649" s="17">
        <f t="array" ref="B13649">SUM(1-'Sparkling Model'!D$2:D$38^A13649)</f>
        <v>36.99599331</v>
      </c>
      <c r="C13649" s="8">
        <f t="array" ref="C13649">PRODUCT(1-'Sparkling Model'!D$2:D$38^A13649)</f>
        <v>0.9959988817</v>
      </c>
    </row>
    <row r="13650">
      <c r="A13650" s="6">
        <v>13648.0</v>
      </c>
      <c r="B13650" s="17">
        <f t="array" ref="B13650">SUM(1-'Sparkling Model'!D$2:D$38^A13650)</f>
        <v>36.99599529</v>
      </c>
      <c r="C13650" s="8">
        <f t="array" ref="C13650">PRODUCT(1-'Sparkling Model'!D$2:D$38^A13650)</f>
        <v>0.99600086</v>
      </c>
    </row>
    <row r="13651">
      <c r="A13651" s="6">
        <v>13649.0</v>
      </c>
      <c r="B13651" s="17">
        <f t="array" ref="B13651">SUM(1-'Sparkling Model'!D$2:D$38^A13651)</f>
        <v>36.99599728</v>
      </c>
      <c r="C13651" s="8">
        <f t="array" ref="C13651">PRODUCT(1-'Sparkling Model'!D$2:D$38^A13651)</f>
        <v>0.9960028374</v>
      </c>
    </row>
    <row r="13652">
      <c r="A13652" s="6">
        <v>13650.0</v>
      </c>
      <c r="B13652" s="17">
        <f t="array" ref="B13652">SUM(1-'Sparkling Model'!D$2:D$38^A13652)</f>
        <v>36.99599926</v>
      </c>
      <c r="C13652" s="8">
        <f t="array" ref="C13652">PRODUCT(1-'Sparkling Model'!D$2:D$38^A13652)</f>
        <v>0.9960048137</v>
      </c>
    </row>
    <row r="13653">
      <c r="A13653" s="6">
        <v>13651.0</v>
      </c>
      <c r="B13653" s="17">
        <f t="array" ref="B13653">SUM(1-'Sparkling Model'!D$2:D$38^A13653)</f>
        <v>36.99600124</v>
      </c>
      <c r="C13653" s="8">
        <f t="array" ref="C13653">PRODUCT(1-'Sparkling Model'!D$2:D$38^A13653)</f>
        <v>0.9960067891</v>
      </c>
    </row>
    <row r="13654">
      <c r="A13654" s="6">
        <v>13652.0</v>
      </c>
      <c r="B13654" s="17">
        <f t="array" ref="B13654">SUM(1-'Sparkling Model'!D$2:D$38^A13654)</f>
        <v>36.99600322</v>
      </c>
      <c r="C13654" s="8">
        <f t="array" ref="C13654">PRODUCT(1-'Sparkling Model'!D$2:D$38^A13654)</f>
        <v>0.9960087635</v>
      </c>
    </row>
    <row r="13655">
      <c r="A13655" s="6">
        <v>13653.0</v>
      </c>
      <c r="B13655" s="17">
        <f t="array" ref="B13655">SUM(1-'Sparkling Model'!D$2:D$38^A13655)</f>
        <v>36.9960052</v>
      </c>
      <c r="C13655" s="8">
        <f t="array" ref="C13655">PRODUCT(1-'Sparkling Model'!D$2:D$38^A13655)</f>
        <v>0.9960107369</v>
      </c>
    </row>
    <row r="13656">
      <c r="A13656" s="6">
        <v>13654.0</v>
      </c>
      <c r="B13656" s="17">
        <f t="array" ref="B13656">SUM(1-'Sparkling Model'!D$2:D$38^A13656)</f>
        <v>36.99600718</v>
      </c>
      <c r="C13656" s="8">
        <f t="array" ref="C13656">PRODUCT(1-'Sparkling Model'!D$2:D$38^A13656)</f>
        <v>0.9960127094</v>
      </c>
    </row>
    <row r="13657">
      <c r="A13657" s="6">
        <v>13655.0</v>
      </c>
      <c r="B13657" s="17">
        <f t="array" ref="B13657">SUM(1-'Sparkling Model'!D$2:D$38^A13657)</f>
        <v>36.99600915</v>
      </c>
      <c r="C13657" s="8">
        <f t="array" ref="C13657">PRODUCT(1-'Sparkling Model'!D$2:D$38^A13657)</f>
        <v>0.9960146808</v>
      </c>
    </row>
    <row r="13658">
      <c r="A13658" s="6">
        <v>13656.0</v>
      </c>
      <c r="B13658" s="17">
        <f t="array" ref="B13658">SUM(1-'Sparkling Model'!D$2:D$38^A13658)</f>
        <v>36.99601113</v>
      </c>
      <c r="C13658" s="8">
        <f t="array" ref="C13658">PRODUCT(1-'Sparkling Model'!D$2:D$38^A13658)</f>
        <v>0.9960166513</v>
      </c>
    </row>
    <row r="13659">
      <c r="A13659" s="6">
        <v>13657.0</v>
      </c>
      <c r="B13659" s="17">
        <f t="array" ref="B13659">SUM(1-'Sparkling Model'!D$2:D$38^A13659)</f>
        <v>36.9960131</v>
      </c>
      <c r="C13659" s="8">
        <f t="array" ref="C13659">PRODUCT(1-'Sparkling Model'!D$2:D$38^A13659)</f>
        <v>0.9960186208</v>
      </c>
    </row>
    <row r="13660">
      <c r="A13660" s="6">
        <v>13658.0</v>
      </c>
      <c r="B13660" s="17">
        <f t="array" ref="B13660">SUM(1-'Sparkling Model'!D$2:D$38^A13660)</f>
        <v>36.99601508</v>
      </c>
      <c r="C13660" s="8">
        <f t="array" ref="C13660">PRODUCT(1-'Sparkling Model'!D$2:D$38^A13660)</f>
        <v>0.9960205894</v>
      </c>
    </row>
    <row r="13661">
      <c r="A13661" s="6">
        <v>13659.0</v>
      </c>
      <c r="B13661" s="17">
        <f t="array" ref="B13661">SUM(1-'Sparkling Model'!D$2:D$38^A13661)</f>
        <v>36.99601705</v>
      </c>
      <c r="C13661" s="8">
        <f t="array" ref="C13661">PRODUCT(1-'Sparkling Model'!D$2:D$38^A13661)</f>
        <v>0.9960225569</v>
      </c>
    </row>
    <row r="13662">
      <c r="A13662" s="6">
        <v>13660.0</v>
      </c>
      <c r="B13662" s="17">
        <f t="array" ref="B13662">SUM(1-'Sparkling Model'!D$2:D$38^A13662)</f>
        <v>36.99601902</v>
      </c>
      <c r="C13662" s="8">
        <f t="array" ref="C13662">PRODUCT(1-'Sparkling Model'!D$2:D$38^A13662)</f>
        <v>0.9960245235</v>
      </c>
    </row>
    <row r="13663">
      <c r="A13663" s="6">
        <v>13661.0</v>
      </c>
      <c r="B13663" s="17">
        <f t="array" ref="B13663">SUM(1-'Sparkling Model'!D$2:D$38^A13663)</f>
        <v>36.996021</v>
      </c>
      <c r="C13663" s="8">
        <f t="array" ref="C13663">PRODUCT(1-'Sparkling Model'!D$2:D$38^A13663)</f>
        <v>0.9960264891</v>
      </c>
    </row>
    <row r="13664">
      <c r="A13664" s="6">
        <v>13662.0</v>
      </c>
      <c r="B13664" s="17">
        <f t="array" ref="B13664">SUM(1-'Sparkling Model'!D$2:D$38^A13664)</f>
        <v>36.99602297</v>
      </c>
      <c r="C13664" s="8">
        <f t="array" ref="C13664">PRODUCT(1-'Sparkling Model'!D$2:D$38^A13664)</f>
        <v>0.9960284538</v>
      </c>
    </row>
    <row r="13665">
      <c r="A13665" s="6">
        <v>13663.0</v>
      </c>
      <c r="B13665" s="17">
        <f t="array" ref="B13665">SUM(1-'Sparkling Model'!D$2:D$38^A13665)</f>
        <v>36.99602493</v>
      </c>
      <c r="C13665" s="8">
        <f t="array" ref="C13665">PRODUCT(1-'Sparkling Model'!D$2:D$38^A13665)</f>
        <v>0.9960304174</v>
      </c>
    </row>
    <row r="13666">
      <c r="A13666" s="6">
        <v>13664.0</v>
      </c>
      <c r="B13666" s="17">
        <f t="array" ref="B13666">SUM(1-'Sparkling Model'!D$2:D$38^A13666)</f>
        <v>36.9960269</v>
      </c>
      <c r="C13666" s="8">
        <f t="array" ref="C13666">PRODUCT(1-'Sparkling Model'!D$2:D$38^A13666)</f>
        <v>0.9960323801</v>
      </c>
    </row>
    <row r="13667">
      <c r="A13667" s="6">
        <v>13665.0</v>
      </c>
      <c r="B13667" s="17">
        <f t="array" ref="B13667">SUM(1-'Sparkling Model'!D$2:D$38^A13667)</f>
        <v>36.99602887</v>
      </c>
      <c r="C13667" s="8">
        <f t="array" ref="C13667">PRODUCT(1-'Sparkling Model'!D$2:D$38^A13667)</f>
        <v>0.9960343418</v>
      </c>
    </row>
    <row r="13668">
      <c r="A13668" s="6">
        <v>13666.0</v>
      </c>
      <c r="B13668" s="17">
        <f t="array" ref="B13668">SUM(1-'Sparkling Model'!D$2:D$38^A13668)</f>
        <v>36.99603084</v>
      </c>
      <c r="C13668" s="8">
        <f t="array" ref="C13668">PRODUCT(1-'Sparkling Model'!D$2:D$38^A13668)</f>
        <v>0.9960363026</v>
      </c>
    </row>
    <row r="13669">
      <c r="A13669" s="6">
        <v>13667.0</v>
      </c>
      <c r="B13669" s="17">
        <f t="array" ref="B13669">SUM(1-'Sparkling Model'!D$2:D$38^A13669)</f>
        <v>36.9960328</v>
      </c>
      <c r="C13669" s="8">
        <f t="array" ref="C13669">PRODUCT(1-'Sparkling Model'!D$2:D$38^A13669)</f>
        <v>0.9960382623</v>
      </c>
    </row>
    <row r="13670">
      <c r="A13670" s="6">
        <v>13668.0</v>
      </c>
      <c r="B13670" s="17">
        <f t="array" ref="B13670">SUM(1-'Sparkling Model'!D$2:D$38^A13670)</f>
        <v>36.99603477</v>
      </c>
      <c r="C13670" s="8">
        <f t="array" ref="C13670">PRODUCT(1-'Sparkling Model'!D$2:D$38^A13670)</f>
        <v>0.9960402211</v>
      </c>
    </row>
    <row r="13671">
      <c r="A13671" s="6">
        <v>13669.0</v>
      </c>
      <c r="B13671" s="17">
        <f t="array" ref="B13671">SUM(1-'Sparkling Model'!D$2:D$38^A13671)</f>
        <v>36.99603673</v>
      </c>
      <c r="C13671" s="8">
        <f t="array" ref="C13671">PRODUCT(1-'Sparkling Model'!D$2:D$38^A13671)</f>
        <v>0.9960421789</v>
      </c>
    </row>
    <row r="13672">
      <c r="A13672" s="6">
        <v>13670.0</v>
      </c>
      <c r="B13672" s="17">
        <f t="array" ref="B13672">SUM(1-'Sparkling Model'!D$2:D$38^A13672)</f>
        <v>36.99603869</v>
      </c>
      <c r="C13672" s="8">
        <f t="array" ref="C13672">PRODUCT(1-'Sparkling Model'!D$2:D$38^A13672)</f>
        <v>0.9960441358</v>
      </c>
    </row>
    <row r="13673">
      <c r="A13673" s="6">
        <v>13671.0</v>
      </c>
      <c r="B13673" s="17">
        <f t="array" ref="B13673">SUM(1-'Sparkling Model'!D$2:D$38^A13673)</f>
        <v>36.99604065</v>
      </c>
      <c r="C13673" s="8">
        <f t="array" ref="C13673">PRODUCT(1-'Sparkling Model'!D$2:D$38^A13673)</f>
        <v>0.9960460917</v>
      </c>
    </row>
    <row r="13674">
      <c r="A13674" s="6">
        <v>13672.0</v>
      </c>
      <c r="B13674" s="17">
        <f t="array" ref="B13674">SUM(1-'Sparkling Model'!D$2:D$38^A13674)</f>
        <v>36.99604261</v>
      </c>
      <c r="C13674" s="8">
        <f t="array" ref="C13674">PRODUCT(1-'Sparkling Model'!D$2:D$38^A13674)</f>
        <v>0.9960480466</v>
      </c>
    </row>
    <row r="13675">
      <c r="A13675" s="6">
        <v>13673.0</v>
      </c>
      <c r="B13675" s="17">
        <f t="array" ref="B13675">SUM(1-'Sparkling Model'!D$2:D$38^A13675)</f>
        <v>36.99604457</v>
      </c>
      <c r="C13675" s="8">
        <f t="array" ref="C13675">PRODUCT(1-'Sparkling Model'!D$2:D$38^A13675)</f>
        <v>0.9960500005</v>
      </c>
    </row>
    <row r="13676">
      <c r="A13676" s="6">
        <v>13674.0</v>
      </c>
      <c r="B13676" s="17">
        <f t="array" ref="B13676">SUM(1-'Sparkling Model'!D$2:D$38^A13676)</f>
        <v>36.99604653</v>
      </c>
      <c r="C13676" s="8">
        <f t="array" ref="C13676">PRODUCT(1-'Sparkling Model'!D$2:D$38^A13676)</f>
        <v>0.9960519535</v>
      </c>
    </row>
    <row r="13677">
      <c r="A13677" s="6">
        <v>13675.0</v>
      </c>
      <c r="B13677" s="17">
        <f t="array" ref="B13677">SUM(1-'Sparkling Model'!D$2:D$38^A13677)</f>
        <v>36.99604849</v>
      </c>
      <c r="C13677" s="8">
        <f t="array" ref="C13677">PRODUCT(1-'Sparkling Model'!D$2:D$38^A13677)</f>
        <v>0.9960539055</v>
      </c>
    </row>
    <row r="13678">
      <c r="A13678" s="6">
        <v>13676.0</v>
      </c>
      <c r="B13678" s="17">
        <f t="array" ref="B13678">SUM(1-'Sparkling Model'!D$2:D$38^A13678)</f>
        <v>36.99605044</v>
      </c>
      <c r="C13678" s="8">
        <f t="array" ref="C13678">PRODUCT(1-'Sparkling Model'!D$2:D$38^A13678)</f>
        <v>0.9960558566</v>
      </c>
    </row>
    <row r="13679">
      <c r="A13679" s="6">
        <v>13677.0</v>
      </c>
      <c r="B13679" s="17">
        <f t="array" ref="B13679">SUM(1-'Sparkling Model'!D$2:D$38^A13679)</f>
        <v>36.9960524</v>
      </c>
      <c r="C13679" s="8">
        <f t="array" ref="C13679">PRODUCT(1-'Sparkling Model'!D$2:D$38^A13679)</f>
        <v>0.9960578066</v>
      </c>
    </row>
    <row r="13680">
      <c r="A13680" s="6">
        <v>13678.0</v>
      </c>
      <c r="B13680" s="17">
        <f t="array" ref="B13680">SUM(1-'Sparkling Model'!D$2:D$38^A13680)</f>
        <v>36.99605435</v>
      </c>
      <c r="C13680" s="8">
        <f t="array" ref="C13680">PRODUCT(1-'Sparkling Model'!D$2:D$38^A13680)</f>
        <v>0.9960597557</v>
      </c>
    </row>
    <row r="13681">
      <c r="A13681" s="6">
        <v>13679.0</v>
      </c>
      <c r="B13681" s="17">
        <f t="array" ref="B13681">SUM(1-'Sparkling Model'!D$2:D$38^A13681)</f>
        <v>36.99605631</v>
      </c>
      <c r="C13681" s="8">
        <f t="array" ref="C13681">PRODUCT(1-'Sparkling Model'!D$2:D$38^A13681)</f>
        <v>0.9960617039</v>
      </c>
    </row>
    <row r="13682">
      <c r="A13682" s="6">
        <v>13680.0</v>
      </c>
      <c r="B13682" s="17">
        <f t="array" ref="B13682">SUM(1-'Sparkling Model'!D$2:D$38^A13682)</f>
        <v>36.99605826</v>
      </c>
      <c r="C13682" s="8">
        <f t="array" ref="C13682">PRODUCT(1-'Sparkling Model'!D$2:D$38^A13682)</f>
        <v>0.996063651</v>
      </c>
    </row>
    <row r="13683">
      <c r="A13683" s="6">
        <v>13681.0</v>
      </c>
      <c r="B13683" s="17">
        <f t="array" ref="B13683">SUM(1-'Sparkling Model'!D$2:D$38^A13683)</f>
        <v>36.99606021</v>
      </c>
      <c r="C13683" s="8">
        <f t="array" ref="C13683">PRODUCT(1-'Sparkling Model'!D$2:D$38^A13683)</f>
        <v>0.9960655972</v>
      </c>
    </row>
    <row r="13684">
      <c r="A13684" s="6">
        <v>13682.0</v>
      </c>
      <c r="B13684" s="17">
        <f t="array" ref="B13684">SUM(1-'Sparkling Model'!D$2:D$38^A13684)</f>
        <v>36.99606216</v>
      </c>
      <c r="C13684" s="8">
        <f t="array" ref="C13684">PRODUCT(1-'Sparkling Model'!D$2:D$38^A13684)</f>
        <v>0.9960675425</v>
      </c>
    </row>
    <row r="13685">
      <c r="A13685" s="6">
        <v>13683.0</v>
      </c>
      <c r="B13685" s="17">
        <f t="array" ref="B13685">SUM(1-'Sparkling Model'!D$2:D$38^A13685)</f>
        <v>36.99606411</v>
      </c>
      <c r="C13685" s="8">
        <f t="array" ref="C13685">PRODUCT(1-'Sparkling Model'!D$2:D$38^A13685)</f>
        <v>0.9960694867</v>
      </c>
    </row>
    <row r="13686">
      <c r="A13686" s="6">
        <v>13684.0</v>
      </c>
      <c r="B13686" s="17">
        <f t="array" ref="B13686">SUM(1-'Sparkling Model'!D$2:D$38^A13686)</f>
        <v>36.99606606</v>
      </c>
      <c r="C13686" s="8">
        <f t="array" ref="C13686">PRODUCT(1-'Sparkling Model'!D$2:D$38^A13686)</f>
        <v>0.9960714301</v>
      </c>
    </row>
    <row r="13687">
      <c r="A13687" s="6">
        <v>13685.0</v>
      </c>
      <c r="B13687" s="17">
        <f t="array" ref="B13687">SUM(1-'Sparkling Model'!D$2:D$38^A13687)</f>
        <v>36.99606801</v>
      </c>
      <c r="C13687" s="8">
        <f t="array" ref="C13687">PRODUCT(1-'Sparkling Model'!D$2:D$38^A13687)</f>
        <v>0.9960733724</v>
      </c>
    </row>
    <row r="13688">
      <c r="A13688" s="6">
        <v>13686.0</v>
      </c>
      <c r="B13688" s="17">
        <f t="array" ref="B13688">SUM(1-'Sparkling Model'!D$2:D$38^A13688)</f>
        <v>36.99606995</v>
      </c>
      <c r="C13688" s="8">
        <f t="array" ref="C13688">PRODUCT(1-'Sparkling Model'!D$2:D$38^A13688)</f>
        <v>0.9960753138</v>
      </c>
    </row>
    <row r="13689">
      <c r="A13689" s="6">
        <v>13687.0</v>
      </c>
      <c r="B13689" s="17">
        <f t="array" ref="B13689">SUM(1-'Sparkling Model'!D$2:D$38^A13689)</f>
        <v>36.9960719</v>
      </c>
      <c r="C13689" s="8">
        <f t="array" ref="C13689">PRODUCT(1-'Sparkling Model'!D$2:D$38^A13689)</f>
        <v>0.9960772542</v>
      </c>
    </row>
    <row r="13690">
      <c r="A13690" s="6">
        <v>13688.0</v>
      </c>
      <c r="B13690" s="17">
        <f t="array" ref="B13690">SUM(1-'Sparkling Model'!D$2:D$38^A13690)</f>
        <v>36.99607385</v>
      </c>
      <c r="C13690" s="8">
        <f t="array" ref="C13690">PRODUCT(1-'Sparkling Model'!D$2:D$38^A13690)</f>
        <v>0.9960791937</v>
      </c>
    </row>
    <row r="13691">
      <c r="A13691" s="6">
        <v>13689.0</v>
      </c>
      <c r="B13691" s="17">
        <f t="array" ref="B13691">SUM(1-'Sparkling Model'!D$2:D$38^A13691)</f>
        <v>36.99607579</v>
      </c>
      <c r="C13691" s="8">
        <f t="array" ref="C13691">PRODUCT(1-'Sparkling Model'!D$2:D$38^A13691)</f>
        <v>0.9960811322</v>
      </c>
    </row>
    <row r="13692">
      <c r="A13692" s="6">
        <v>13690.0</v>
      </c>
      <c r="B13692" s="17">
        <f t="array" ref="B13692">SUM(1-'Sparkling Model'!D$2:D$38^A13692)</f>
        <v>36.99607773</v>
      </c>
      <c r="C13692" s="8">
        <f t="array" ref="C13692">PRODUCT(1-'Sparkling Model'!D$2:D$38^A13692)</f>
        <v>0.9960830697</v>
      </c>
    </row>
    <row r="13693">
      <c r="A13693" s="6">
        <v>13691.0</v>
      </c>
      <c r="B13693" s="17">
        <f t="array" ref="B13693">SUM(1-'Sparkling Model'!D$2:D$38^A13693)</f>
        <v>36.99607967</v>
      </c>
      <c r="C13693" s="8">
        <f t="array" ref="C13693">PRODUCT(1-'Sparkling Model'!D$2:D$38^A13693)</f>
        <v>0.9960850063</v>
      </c>
    </row>
    <row r="13694">
      <c r="A13694" s="6">
        <v>13692.0</v>
      </c>
      <c r="B13694" s="17">
        <f t="array" ref="B13694">SUM(1-'Sparkling Model'!D$2:D$38^A13694)</f>
        <v>36.99608161</v>
      </c>
      <c r="C13694" s="8">
        <f t="array" ref="C13694">PRODUCT(1-'Sparkling Model'!D$2:D$38^A13694)</f>
        <v>0.9960869419</v>
      </c>
    </row>
    <row r="13695">
      <c r="A13695" s="6">
        <v>13693.0</v>
      </c>
      <c r="B13695" s="17">
        <f t="array" ref="B13695">SUM(1-'Sparkling Model'!D$2:D$38^A13695)</f>
        <v>36.99608355</v>
      </c>
      <c r="C13695" s="8">
        <f t="array" ref="C13695">PRODUCT(1-'Sparkling Model'!D$2:D$38^A13695)</f>
        <v>0.9960888765</v>
      </c>
    </row>
    <row r="13696">
      <c r="A13696" s="6">
        <v>13694.0</v>
      </c>
      <c r="B13696" s="17">
        <f t="array" ref="B13696">SUM(1-'Sparkling Model'!D$2:D$38^A13696)</f>
        <v>36.99608549</v>
      </c>
      <c r="C13696" s="8">
        <f t="array" ref="C13696">PRODUCT(1-'Sparkling Model'!D$2:D$38^A13696)</f>
        <v>0.9960908102</v>
      </c>
    </row>
    <row r="13697">
      <c r="A13697" s="6">
        <v>13695.0</v>
      </c>
      <c r="B13697" s="17">
        <f t="array" ref="B13697">SUM(1-'Sparkling Model'!D$2:D$38^A13697)</f>
        <v>36.99608743</v>
      </c>
      <c r="C13697" s="8">
        <f t="array" ref="C13697">PRODUCT(1-'Sparkling Model'!D$2:D$38^A13697)</f>
        <v>0.996092743</v>
      </c>
    </row>
    <row r="13698">
      <c r="A13698" s="6">
        <v>13696.0</v>
      </c>
      <c r="B13698" s="17">
        <f t="array" ref="B13698">SUM(1-'Sparkling Model'!D$2:D$38^A13698)</f>
        <v>36.99608937</v>
      </c>
      <c r="C13698" s="8">
        <f t="array" ref="C13698">PRODUCT(1-'Sparkling Model'!D$2:D$38^A13698)</f>
        <v>0.9960946747</v>
      </c>
    </row>
    <row r="13699">
      <c r="A13699" s="6">
        <v>13697.0</v>
      </c>
      <c r="B13699" s="17">
        <f t="array" ref="B13699">SUM(1-'Sparkling Model'!D$2:D$38^A13699)</f>
        <v>36.9960913</v>
      </c>
      <c r="C13699" s="8">
        <f t="array" ref="C13699">PRODUCT(1-'Sparkling Model'!D$2:D$38^A13699)</f>
        <v>0.9960966056</v>
      </c>
    </row>
    <row r="13700">
      <c r="A13700" s="6">
        <v>13698.0</v>
      </c>
      <c r="B13700" s="17">
        <f t="array" ref="B13700">SUM(1-'Sparkling Model'!D$2:D$38^A13700)</f>
        <v>36.99609324</v>
      </c>
      <c r="C13700" s="8">
        <f t="array" ref="C13700">PRODUCT(1-'Sparkling Model'!D$2:D$38^A13700)</f>
        <v>0.9960985354</v>
      </c>
    </row>
    <row r="13701">
      <c r="A13701" s="6">
        <v>13699.0</v>
      </c>
      <c r="B13701" s="17">
        <f t="array" ref="B13701">SUM(1-'Sparkling Model'!D$2:D$38^A13701)</f>
        <v>36.99609517</v>
      </c>
      <c r="C13701" s="8">
        <f t="array" ref="C13701">PRODUCT(1-'Sparkling Model'!D$2:D$38^A13701)</f>
        <v>0.9961004643</v>
      </c>
    </row>
    <row r="13702">
      <c r="A13702" s="6">
        <v>13700.0</v>
      </c>
      <c r="B13702" s="17">
        <f t="array" ref="B13702">SUM(1-'Sparkling Model'!D$2:D$38^A13702)</f>
        <v>36.99609711</v>
      </c>
      <c r="C13702" s="8">
        <f t="array" ref="C13702">PRODUCT(1-'Sparkling Model'!D$2:D$38^A13702)</f>
        <v>0.9961023923</v>
      </c>
    </row>
    <row r="13703">
      <c r="A13703" s="6">
        <v>13701.0</v>
      </c>
      <c r="B13703" s="17">
        <f t="array" ref="B13703">SUM(1-'Sparkling Model'!D$2:D$38^A13703)</f>
        <v>36.99609904</v>
      </c>
      <c r="C13703" s="8">
        <f t="array" ref="C13703">PRODUCT(1-'Sparkling Model'!D$2:D$38^A13703)</f>
        <v>0.9961043193</v>
      </c>
    </row>
    <row r="13704">
      <c r="A13704" s="6">
        <v>13702.0</v>
      </c>
      <c r="B13704" s="17">
        <f t="array" ref="B13704">SUM(1-'Sparkling Model'!D$2:D$38^A13704)</f>
        <v>36.99610097</v>
      </c>
      <c r="C13704" s="8">
        <f t="array" ref="C13704">PRODUCT(1-'Sparkling Model'!D$2:D$38^A13704)</f>
        <v>0.9961062453</v>
      </c>
    </row>
    <row r="13705">
      <c r="A13705" s="6">
        <v>13703.0</v>
      </c>
      <c r="B13705" s="17">
        <f t="array" ref="B13705">SUM(1-'Sparkling Model'!D$2:D$38^A13705)</f>
        <v>36.9961029</v>
      </c>
      <c r="C13705" s="8">
        <f t="array" ref="C13705">PRODUCT(1-'Sparkling Model'!D$2:D$38^A13705)</f>
        <v>0.9961081704</v>
      </c>
    </row>
    <row r="13706">
      <c r="A13706" s="6">
        <v>13704.0</v>
      </c>
      <c r="B13706" s="17">
        <f t="array" ref="B13706">SUM(1-'Sparkling Model'!D$2:D$38^A13706)</f>
        <v>36.99610483</v>
      </c>
      <c r="C13706" s="8">
        <f t="array" ref="C13706">PRODUCT(1-'Sparkling Model'!D$2:D$38^A13706)</f>
        <v>0.9961100945</v>
      </c>
    </row>
    <row r="13707">
      <c r="A13707" s="6">
        <v>13705.0</v>
      </c>
      <c r="B13707" s="17">
        <f t="array" ref="B13707">SUM(1-'Sparkling Model'!D$2:D$38^A13707)</f>
        <v>36.99610676</v>
      </c>
      <c r="C13707" s="8">
        <f t="array" ref="C13707">PRODUCT(1-'Sparkling Model'!D$2:D$38^A13707)</f>
        <v>0.9961120177</v>
      </c>
    </row>
    <row r="13708">
      <c r="A13708" s="6">
        <v>13706.0</v>
      </c>
      <c r="B13708" s="17">
        <f t="array" ref="B13708">SUM(1-'Sparkling Model'!D$2:D$38^A13708)</f>
        <v>36.99610869</v>
      </c>
      <c r="C13708" s="8">
        <f t="array" ref="C13708">PRODUCT(1-'Sparkling Model'!D$2:D$38^A13708)</f>
        <v>0.9961139399</v>
      </c>
    </row>
    <row r="13709">
      <c r="A13709" s="6">
        <v>13707.0</v>
      </c>
      <c r="B13709" s="17">
        <f t="array" ref="B13709">SUM(1-'Sparkling Model'!D$2:D$38^A13709)</f>
        <v>36.99611061</v>
      </c>
      <c r="C13709" s="8">
        <f t="array" ref="C13709">PRODUCT(1-'Sparkling Model'!D$2:D$38^A13709)</f>
        <v>0.9961158612</v>
      </c>
    </row>
    <row r="13710">
      <c r="A13710" s="6">
        <v>13708.0</v>
      </c>
      <c r="B13710" s="17">
        <f t="array" ref="B13710">SUM(1-'Sparkling Model'!D$2:D$38^A13710)</f>
        <v>36.99611254</v>
      </c>
      <c r="C13710" s="8">
        <f t="array" ref="C13710">PRODUCT(1-'Sparkling Model'!D$2:D$38^A13710)</f>
        <v>0.9961177815</v>
      </c>
    </row>
    <row r="13711">
      <c r="A13711" s="6">
        <v>13709.0</v>
      </c>
      <c r="B13711" s="17">
        <f t="array" ref="B13711">SUM(1-'Sparkling Model'!D$2:D$38^A13711)</f>
        <v>36.99611446</v>
      </c>
      <c r="C13711" s="8">
        <f t="array" ref="C13711">PRODUCT(1-'Sparkling Model'!D$2:D$38^A13711)</f>
        <v>0.9961197008</v>
      </c>
    </row>
    <row r="13712">
      <c r="A13712" s="6">
        <v>13710.0</v>
      </c>
      <c r="B13712" s="17">
        <f t="array" ref="B13712">SUM(1-'Sparkling Model'!D$2:D$38^A13712)</f>
        <v>36.99611639</v>
      </c>
      <c r="C13712" s="8">
        <f t="array" ref="C13712">PRODUCT(1-'Sparkling Model'!D$2:D$38^A13712)</f>
        <v>0.9961216193</v>
      </c>
    </row>
    <row r="13713">
      <c r="A13713" s="6">
        <v>13711.0</v>
      </c>
      <c r="B13713" s="17">
        <f t="array" ref="B13713">SUM(1-'Sparkling Model'!D$2:D$38^A13713)</f>
        <v>36.99611831</v>
      </c>
      <c r="C13713" s="8">
        <f t="array" ref="C13713">PRODUCT(1-'Sparkling Model'!D$2:D$38^A13713)</f>
        <v>0.9961235367</v>
      </c>
    </row>
    <row r="13714">
      <c r="A13714" s="6">
        <v>13712.0</v>
      </c>
      <c r="B13714" s="17">
        <f t="array" ref="B13714">SUM(1-'Sparkling Model'!D$2:D$38^A13714)</f>
        <v>36.99612023</v>
      </c>
      <c r="C13714" s="8">
        <f t="array" ref="C13714">PRODUCT(1-'Sparkling Model'!D$2:D$38^A13714)</f>
        <v>0.9961254532</v>
      </c>
    </row>
    <row r="13715">
      <c r="A13715" s="6">
        <v>13713.0</v>
      </c>
      <c r="B13715" s="17">
        <f t="array" ref="B13715">SUM(1-'Sparkling Model'!D$2:D$38^A13715)</f>
        <v>36.99612215</v>
      </c>
      <c r="C13715" s="8">
        <f t="array" ref="C13715">PRODUCT(1-'Sparkling Model'!D$2:D$38^A13715)</f>
        <v>0.9961273688</v>
      </c>
    </row>
    <row r="13716">
      <c r="A13716" s="6">
        <v>13714.0</v>
      </c>
      <c r="B13716" s="17">
        <f t="array" ref="B13716">SUM(1-'Sparkling Model'!D$2:D$38^A13716)</f>
        <v>36.99612407</v>
      </c>
      <c r="C13716" s="8">
        <f t="array" ref="C13716">PRODUCT(1-'Sparkling Model'!D$2:D$38^A13716)</f>
        <v>0.9961292834</v>
      </c>
    </row>
    <row r="13717">
      <c r="A13717" s="6">
        <v>13715.0</v>
      </c>
      <c r="B13717" s="17">
        <f t="array" ref="B13717">SUM(1-'Sparkling Model'!D$2:D$38^A13717)</f>
        <v>36.99612599</v>
      </c>
      <c r="C13717" s="8">
        <f t="array" ref="C13717">PRODUCT(1-'Sparkling Model'!D$2:D$38^A13717)</f>
        <v>0.996131197</v>
      </c>
    </row>
    <row r="13718">
      <c r="A13718" s="6">
        <v>13716.0</v>
      </c>
      <c r="B13718" s="17">
        <f t="array" ref="B13718">SUM(1-'Sparkling Model'!D$2:D$38^A13718)</f>
        <v>36.99612791</v>
      </c>
      <c r="C13718" s="8">
        <f t="array" ref="C13718">PRODUCT(1-'Sparkling Model'!D$2:D$38^A13718)</f>
        <v>0.9961331098</v>
      </c>
    </row>
    <row r="13719">
      <c r="A13719" s="6">
        <v>13717.0</v>
      </c>
      <c r="B13719" s="17">
        <f t="array" ref="B13719">SUM(1-'Sparkling Model'!D$2:D$38^A13719)</f>
        <v>36.99612983</v>
      </c>
      <c r="C13719" s="8">
        <f t="array" ref="C13719">PRODUCT(1-'Sparkling Model'!D$2:D$38^A13719)</f>
        <v>0.9961350215</v>
      </c>
    </row>
    <row r="13720">
      <c r="A13720" s="6">
        <v>13718.0</v>
      </c>
      <c r="B13720" s="17">
        <f t="array" ref="B13720">SUM(1-'Sparkling Model'!D$2:D$38^A13720)</f>
        <v>36.99613174</v>
      </c>
      <c r="C13720" s="8">
        <f t="array" ref="C13720">PRODUCT(1-'Sparkling Model'!D$2:D$38^A13720)</f>
        <v>0.9961369323</v>
      </c>
    </row>
    <row r="13721">
      <c r="A13721" s="6">
        <v>13719.0</v>
      </c>
      <c r="B13721" s="17">
        <f t="array" ref="B13721">SUM(1-'Sparkling Model'!D$2:D$38^A13721)</f>
        <v>36.99613366</v>
      </c>
      <c r="C13721" s="8">
        <f t="array" ref="C13721">PRODUCT(1-'Sparkling Model'!D$2:D$38^A13721)</f>
        <v>0.9961388422</v>
      </c>
    </row>
    <row r="13722">
      <c r="A13722" s="6">
        <v>13720.0</v>
      </c>
      <c r="B13722" s="17">
        <f t="array" ref="B13722">SUM(1-'Sparkling Model'!D$2:D$38^A13722)</f>
        <v>36.99613557</v>
      </c>
      <c r="C13722" s="8">
        <f t="array" ref="C13722">PRODUCT(1-'Sparkling Model'!D$2:D$38^A13722)</f>
        <v>0.9961407511</v>
      </c>
    </row>
    <row r="13723">
      <c r="A13723" s="6">
        <v>13721.0</v>
      </c>
      <c r="B13723" s="17">
        <f t="array" ref="B13723">SUM(1-'Sparkling Model'!D$2:D$38^A13723)</f>
        <v>36.99613748</v>
      </c>
      <c r="C13723" s="8">
        <f t="array" ref="C13723">PRODUCT(1-'Sparkling Model'!D$2:D$38^A13723)</f>
        <v>0.9961426591</v>
      </c>
    </row>
    <row r="13724">
      <c r="A13724" s="6">
        <v>13722.0</v>
      </c>
      <c r="B13724" s="17">
        <f t="array" ref="B13724">SUM(1-'Sparkling Model'!D$2:D$38^A13724)</f>
        <v>36.9961394</v>
      </c>
      <c r="C13724" s="8">
        <f t="array" ref="C13724">PRODUCT(1-'Sparkling Model'!D$2:D$38^A13724)</f>
        <v>0.9961445661</v>
      </c>
    </row>
    <row r="13725">
      <c r="A13725" s="6">
        <v>13723.0</v>
      </c>
      <c r="B13725" s="17">
        <f t="array" ref="B13725">SUM(1-'Sparkling Model'!D$2:D$38^A13725)</f>
        <v>36.99614131</v>
      </c>
      <c r="C13725" s="8">
        <f t="array" ref="C13725">PRODUCT(1-'Sparkling Model'!D$2:D$38^A13725)</f>
        <v>0.9961464722</v>
      </c>
    </row>
    <row r="13726">
      <c r="A13726" s="6">
        <v>13724.0</v>
      </c>
      <c r="B13726" s="17">
        <f t="array" ref="B13726">SUM(1-'Sparkling Model'!D$2:D$38^A13726)</f>
        <v>36.99614322</v>
      </c>
      <c r="C13726" s="8">
        <f t="array" ref="C13726">PRODUCT(1-'Sparkling Model'!D$2:D$38^A13726)</f>
        <v>0.9961483773</v>
      </c>
    </row>
    <row r="13727">
      <c r="A13727" s="6">
        <v>13725.0</v>
      </c>
      <c r="B13727" s="17">
        <f t="array" ref="B13727">SUM(1-'Sparkling Model'!D$2:D$38^A13727)</f>
        <v>36.99614513</v>
      </c>
      <c r="C13727" s="8">
        <f t="array" ref="C13727">PRODUCT(1-'Sparkling Model'!D$2:D$38^A13727)</f>
        <v>0.9961502815</v>
      </c>
    </row>
    <row r="13728">
      <c r="A13728" s="6">
        <v>13726.0</v>
      </c>
      <c r="B13728" s="17">
        <f t="array" ref="B13728">SUM(1-'Sparkling Model'!D$2:D$38^A13728)</f>
        <v>36.99614703</v>
      </c>
      <c r="C13728" s="8">
        <f t="array" ref="C13728">PRODUCT(1-'Sparkling Model'!D$2:D$38^A13728)</f>
        <v>0.9961521847</v>
      </c>
    </row>
    <row r="13729">
      <c r="A13729" s="6">
        <v>13727.0</v>
      </c>
      <c r="B13729" s="17">
        <f t="array" ref="B13729">SUM(1-'Sparkling Model'!D$2:D$38^A13729)</f>
        <v>36.99614894</v>
      </c>
      <c r="C13729" s="8">
        <f t="array" ref="C13729">PRODUCT(1-'Sparkling Model'!D$2:D$38^A13729)</f>
        <v>0.996154087</v>
      </c>
    </row>
    <row r="13730">
      <c r="A13730" s="6">
        <v>13728.0</v>
      </c>
      <c r="B13730" s="17">
        <f t="array" ref="B13730">SUM(1-'Sparkling Model'!D$2:D$38^A13730)</f>
        <v>36.99615085</v>
      </c>
      <c r="C13730" s="8">
        <f t="array" ref="C13730">PRODUCT(1-'Sparkling Model'!D$2:D$38^A13730)</f>
        <v>0.9961559884</v>
      </c>
    </row>
    <row r="13731">
      <c r="A13731" s="6">
        <v>13729.0</v>
      </c>
      <c r="B13731" s="17">
        <f t="array" ref="B13731">SUM(1-'Sparkling Model'!D$2:D$38^A13731)</f>
        <v>36.99615275</v>
      </c>
      <c r="C13731" s="8">
        <f t="array" ref="C13731">PRODUCT(1-'Sparkling Model'!D$2:D$38^A13731)</f>
        <v>0.9961578888</v>
      </c>
    </row>
    <row r="13732">
      <c r="A13732" s="6">
        <v>13730.0</v>
      </c>
      <c r="B13732" s="17">
        <f t="array" ref="B13732">SUM(1-'Sparkling Model'!D$2:D$38^A13732)</f>
        <v>36.99615466</v>
      </c>
      <c r="C13732" s="8">
        <f t="array" ref="C13732">PRODUCT(1-'Sparkling Model'!D$2:D$38^A13732)</f>
        <v>0.9961597883</v>
      </c>
    </row>
    <row r="13733">
      <c r="A13733" s="6">
        <v>13731.0</v>
      </c>
      <c r="B13733" s="17">
        <f t="array" ref="B13733">SUM(1-'Sparkling Model'!D$2:D$38^A13733)</f>
        <v>36.99615656</v>
      </c>
      <c r="C13733" s="8">
        <f t="array" ref="C13733">PRODUCT(1-'Sparkling Model'!D$2:D$38^A13733)</f>
        <v>0.9961616868</v>
      </c>
    </row>
    <row r="13734">
      <c r="A13734" s="6">
        <v>13732.0</v>
      </c>
      <c r="B13734" s="17">
        <f t="array" ref="B13734">SUM(1-'Sparkling Model'!D$2:D$38^A13734)</f>
        <v>36.99615847</v>
      </c>
      <c r="C13734" s="8">
        <f t="array" ref="C13734">PRODUCT(1-'Sparkling Model'!D$2:D$38^A13734)</f>
        <v>0.9961635844</v>
      </c>
    </row>
    <row r="13735">
      <c r="A13735" s="6">
        <v>13733.0</v>
      </c>
      <c r="B13735" s="17">
        <f t="array" ref="B13735">SUM(1-'Sparkling Model'!D$2:D$38^A13735)</f>
        <v>36.99616037</v>
      </c>
      <c r="C13735" s="8">
        <f t="array" ref="C13735">PRODUCT(1-'Sparkling Model'!D$2:D$38^A13735)</f>
        <v>0.9961654811</v>
      </c>
    </row>
    <row r="13736">
      <c r="A13736" s="6">
        <v>13734.0</v>
      </c>
      <c r="B13736" s="17">
        <f t="array" ref="B13736">SUM(1-'Sparkling Model'!D$2:D$38^A13736)</f>
        <v>36.99616227</v>
      </c>
      <c r="C13736" s="8">
        <f t="array" ref="C13736">PRODUCT(1-'Sparkling Model'!D$2:D$38^A13736)</f>
        <v>0.9961673768</v>
      </c>
    </row>
    <row r="13737">
      <c r="A13737" s="6">
        <v>13735.0</v>
      </c>
      <c r="B13737" s="17">
        <f t="array" ref="B13737">SUM(1-'Sparkling Model'!D$2:D$38^A13737)</f>
        <v>36.99616417</v>
      </c>
      <c r="C13737" s="8">
        <f t="array" ref="C13737">PRODUCT(1-'Sparkling Model'!D$2:D$38^A13737)</f>
        <v>0.9961692715</v>
      </c>
    </row>
    <row r="13738">
      <c r="A13738" s="6">
        <v>13736.0</v>
      </c>
      <c r="B13738" s="17">
        <f t="array" ref="B13738">SUM(1-'Sparkling Model'!D$2:D$38^A13738)</f>
        <v>36.99616607</v>
      </c>
      <c r="C13738" s="8">
        <f t="array" ref="C13738">PRODUCT(1-'Sparkling Model'!D$2:D$38^A13738)</f>
        <v>0.9961711654</v>
      </c>
    </row>
    <row r="13739">
      <c r="A13739" s="6">
        <v>13737.0</v>
      </c>
      <c r="B13739" s="17">
        <f t="array" ref="B13739">SUM(1-'Sparkling Model'!D$2:D$38^A13739)</f>
        <v>36.99616796</v>
      </c>
      <c r="C13739" s="8">
        <f t="array" ref="C13739">PRODUCT(1-'Sparkling Model'!D$2:D$38^A13739)</f>
        <v>0.9961730583</v>
      </c>
    </row>
    <row r="13740">
      <c r="A13740" s="6">
        <v>13738.0</v>
      </c>
      <c r="B13740" s="17">
        <f t="array" ref="B13740">SUM(1-'Sparkling Model'!D$2:D$38^A13740)</f>
        <v>36.99616986</v>
      </c>
      <c r="C13740" s="8">
        <f t="array" ref="C13740">PRODUCT(1-'Sparkling Model'!D$2:D$38^A13740)</f>
        <v>0.9961749502</v>
      </c>
    </row>
    <row r="13741">
      <c r="A13741" s="6">
        <v>13739.0</v>
      </c>
      <c r="B13741" s="17">
        <f t="array" ref="B13741">SUM(1-'Sparkling Model'!D$2:D$38^A13741)</f>
        <v>36.99617176</v>
      </c>
      <c r="C13741" s="8">
        <f t="array" ref="C13741">PRODUCT(1-'Sparkling Model'!D$2:D$38^A13741)</f>
        <v>0.9961768412</v>
      </c>
    </row>
    <row r="13742">
      <c r="A13742" s="6">
        <v>13740.0</v>
      </c>
      <c r="B13742" s="17">
        <f t="array" ref="B13742">SUM(1-'Sparkling Model'!D$2:D$38^A13742)</f>
        <v>36.99617365</v>
      </c>
      <c r="C13742" s="8">
        <f t="array" ref="C13742">PRODUCT(1-'Sparkling Model'!D$2:D$38^A13742)</f>
        <v>0.9961787313</v>
      </c>
    </row>
    <row r="13743">
      <c r="A13743" s="6">
        <v>13741.0</v>
      </c>
      <c r="B13743" s="17">
        <f t="array" ref="B13743">SUM(1-'Sparkling Model'!D$2:D$38^A13743)</f>
        <v>36.99617555</v>
      </c>
      <c r="C13743" s="8">
        <f t="array" ref="C13743">PRODUCT(1-'Sparkling Model'!D$2:D$38^A13743)</f>
        <v>0.9961806204</v>
      </c>
    </row>
    <row r="13744">
      <c r="A13744" s="6">
        <v>13742.0</v>
      </c>
      <c r="B13744" s="17">
        <f t="array" ref="B13744">SUM(1-'Sparkling Model'!D$2:D$38^A13744)</f>
        <v>36.99617744</v>
      </c>
      <c r="C13744" s="8">
        <f t="array" ref="C13744">PRODUCT(1-'Sparkling Model'!D$2:D$38^A13744)</f>
        <v>0.9961825086</v>
      </c>
    </row>
    <row r="13745">
      <c r="A13745" s="6">
        <v>13743.0</v>
      </c>
      <c r="B13745" s="17">
        <f t="array" ref="B13745">SUM(1-'Sparkling Model'!D$2:D$38^A13745)</f>
        <v>36.99617933</v>
      </c>
      <c r="C13745" s="8">
        <f t="array" ref="C13745">PRODUCT(1-'Sparkling Model'!D$2:D$38^A13745)</f>
        <v>0.9961843959</v>
      </c>
    </row>
    <row r="13746">
      <c r="A13746" s="6">
        <v>13744.0</v>
      </c>
      <c r="B13746" s="17">
        <f t="array" ref="B13746">SUM(1-'Sparkling Model'!D$2:D$38^A13746)</f>
        <v>36.99618122</v>
      </c>
      <c r="C13746" s="8">
        <f t="array" ref="C13746">PRODUCT(1-'Sparkling Model'!D$2:D$38^A13746)</f>
        <v>0.9961862822</v>
      </c>
    </row>
    <row r="13747">
      <c r="A13747" s="6">
        <v>13745.0</v>
      </c>
      <c r="B13747" s="17">
        <f t="array" ref="B13747">SUM(1-'Sparkling Model'!D$2:D$38^A13747)</f>
        <v>36.99618311</v>
      </c>
      <c r="C13747" s="8">
        <f t="array" ref="C13747">PRODUCT(1-'Sparkling Model'!D$2:D$38^A13747)</f>
        <v>0.9961881676</v>
      </c>
    </row>
    <row r="13748">
      <c r="A13748" s="6">
        <v>13746.0</v>
      </c>
      <c r="B13748" s="17">
        <f t="array" ref="B13748">SUM(1-'Sparkling Model'!D$2:D$38^A13748)</f>
        <v>36.996185</v>
      </c>
      <c r="C13748" s="8">
        <f t="array" ref="C13748">PRODUCT(1-'Sparkling Model'!D$2:D$38^A13748)</f>
        <v>0.9961900521</v>
      </c>
    </row>
    <row r="13749">
      <c r="A13749" s="6">
        <v>13747.0</v>
      </c>
      <c r="B13749" s="17">
        <f t="array" ref="B13749">SUM(1-'Sparkling Model'!D$2:D$38^A13749)</f>
        <v>36.99618689</v>
      </c>
      <c r="C13749" s="8">
        <f t="array" ref="C13749">PRODUCT(1-'Sparkling Model'!D$2:D$38^A13749)</f>
        <v>0.9961919356</v>
      </c>
    </row>
    <row r="13750">
      <c r="A13750" s="6">
        <v>13748.0</v>
      </c>
      <c r="B13750" s="17">
        <f t="array" ref="B13750">SUM(1-'Sparkling Model'!D$2:D$38^A13750)</f>
        <v>36.99618878</v>
      </c>
      <c r="C13750" s="8">
        <f t="array" ref="C13750">PRODUCT(1-'Sparkling Model'!D$2:D$38^A13750)</f>
        <v>0.9961938182</v>
      </c>
    </row>
    <row r="13751">
      <c r="A13751" s="6">
        <v>13749.0</v>
      </c>
      <c r="B13751" s="17">
        <f t="array" ref="B13751">SUM(1-'Sparkling Model'!D$2:D$38^A13751)</f>
        <v>36.99619067</v>
      </c>
      <c r="C13751" s="8">
        <f t="array" ref="C13751">PRODUCT(1-'Sparkling Model'!D$2:D$38^A13751)</f>
        <v>0.9961956998</v>
      </c>
    </row>
    <row r="13752">
      <c r="A13752" s="6">
        <v>13750.0</v>
      </c>
      <c r="B13752" s="17">
        <f t="array" ref="B13752">SUM(1-'Sparkling Model'!D$2:D$38^A13752)</f>
        <v>36.99619255</v>
      </c>
      <c r="C13752" s="8">
        <f t="array" ref="C13752">PRODUCT(1-'Sparkling Model'!D$2:D$38^A13752)</f>
        <v>0.9961975806</v>
      </c>
    </row>
    <row r="13753">
      <c r="A13753" s="6">
        <v>13751.0</v>
      </c>
      <c r="B13753" s="17">
        <f t="array" ref="B13753">SUM(1-'Sparkling Model'!D$2:D$38^A13753)</f>
        <v>36.99619444</v>
      </c>
      <c r="C13753" s="8">
        <f t="array" ref="C13753">PRODUCT(1-'Sparkling Model'!D$2:D$38^A13753)</f>
        <v>0.9961994604</v>
      </c>
    </row>
    <row r="13754">
      <c r="A13754" s="6">
        <v>13752.0</v>
      </c>
      <c r="B13754" s="17">
        <f t="array" ref="B13754">SUM(1-'Sparkling Model'!D$2:D$38^A13754)</f>
        <v>36.99619632</v>
      </c>
      <c r="C13754" s="8">
        <f t="array" ref="C13754">PRODUCT(1-'Sparkling Model'!D$2:D$38^A13754)</f>
        <v>0.9962013392</v>
      </c>
    </row>
    <row r="13755">
      <c r="A13755" s="6">
        <v>13753.0</v>
      </c>
      <c r="B13755" s="17">
        <f t="array" ref="B13755">SUM(1-'Sparkling Model'!D$2:D$38^A13755)</f>
        <v>36.9961982</v>
      </c>
      <c r="C13755" s="8">
        <f t="array" ref="C13755">PRODUCT(1-'Sparkling Model'!D$2:D$38^A13755)</f>
        <v>0.9962032171</v>
      </c>
    </row>
    <row r="13756">
      <c r="A13756" s="6">
        <v>13754.0</v>
      </c>
      <c r="B13756" s="17">
        <f t="array" ref="B13756">SUM(1-'Sparkling Model'!D$2:D$38^A13756)</f>
        <v>36.99620009</v>
      </c>
      <c r="C13756" s="8">
        <f t="array" ref="C13756">PRODUCT(1-'Sparkling Model'!D$2:D$38^A13756)</f>
        <v>0.9962050941</v>
      </c>
    </row>
    <row r="13757">
      <c r="A13757" s="6">
        <v>13755.0</v>
      </c>
      <c r="B13757" s="17">
        <f t="array" ref="B13757">SUM(1-'Sparkling Model'!D$2:D$38^A13757)</f>
        <v>36.99620197</v>
      </c>
      <c r="C13757" s="8">
        <f t="array" ref="C13757">PRODUCT(1-'Sparkling Model'!D$2:D$38^A13757)</f>
        <v>0.9962069702</v>
      </c>
    </row>
    <row r="13758">
      <c r="A13758" s="6">
        <v>13756.0</v>
      </c>
      <c r="B13758" s="17">
        <f t="array" ref="B13758">SUM(1-'Sparkling Model'!D$2:D$38^A13758)</f>
        <v>36.99620385</v>
      </c>
      <c r="C13758" s="8">
        <f t="array" ref="C13758">PRODUCT(1-'Sparkling Model'!D$2:D$38^A13758)</f>
        <v>0.9962088453</v>
      </c>
    </row>
    <row r="13759">
      <c r="A13759" s="6">
        <v>13757.0</v>
      </c>
      <c r="B13759" s="17">
        <f t="array" ref="B13759">SUM(1-'Sparkling Model'!D$2:D$38^A13759)</f>
        <v>36.99620573</v>
      </c>
      <c r="C13759" s="8">
        <f t="array" ref="C13759">PRODUCT(1-'Sparkling Model'!D$2:D$38^A13759)</f>
        <v>0.9962107195</v>
      </c>
    </row>
    <row r="13760">
      <c r="A13760" s="6">
        <v>13758.0</v>
      </c>
      <c r="B13760" s="17">
        <f t="array" ref="B13760">SUM(1-'Sparkling Model'!D$2:D$38^A13760)</f>
        <v>36.9962076</v>
      </c>
      <c r="C13760" s="8">
        <f t="array" ref="C13760">PRODUCT(1-'Sparkling Model'!D$2:D$38^A13760)</f>
        <v>0.9962125928</v>
      </c>
    </row>
    <row r="13761">
      <c r="A13761" s="6">
        <v>13759.0</v>
      </c>
      <c r="B13761" s="17">
        <f t="array" ref="B13761">SUM(1-'Sparkling Model'!D$2:D$38^A13761)</f>
        <v>36.99620948</v>
      </c>
      <c r="C13761" s="8">
        <f t="array" ref="C13761">PRODUCT(1-'Sparkling Model'!D$2:D$38^A13761)</f>
        <v>0.9962144652</v>
      </c>
    </row>
    <row r="13762">
      <c r="A13762" s="6">
        <v>13760.0</v>
      </c>
      <c r="B13762" s="17">
        <f t="array" ref="B13762">SUM(1-'Sparkling Model'!D$2:D$38^A13762)</f>
        <v>36.99621136</v>
      </c>
      <c r="C13762" s="8">
        <f t="array" ref="C13762">PRODUCT(1-'Sparkling Model'!D$2:D$38^A13762)</f>
        <v>0.9962163366</v>
      </c>
    </row>
    <row r="13763">
      <c r="A13763" s="6">
        <v>13761.0</v>
      </c>
      <c r="B13763" s="17">
        <f t="array" ref="B13763">SUM(1-'Sparkling Model'!D$2:D$38^A13763)</f>
        <v>36.99621323</v>
      </c>
      <c r="C13763" s="8">
        <f t="array" ref="C13763">PRODUCT(1-'Sparkling Model'!D$2:D$38^A13763)</f>
        <v>0.9962182071</v>
      </c>
    </row>
    <row r="13764">
      <c r="A13764" s="6">
        <v>13762.0</v>
      </c>
      <c r="B13764" s="17">
        <f t="array" ref="B13764">SUM(1-'Sparkling Model'!D$2:D$38^A13764)</f>
        <v>36.99621511</v>
      </c>
      <c r="C13764" s="8">
        <f t="array" ref="C13764">PRODUCT(1-'Sparkling Model'!D$2:D$38^A13764)</f>
        <v>0.9962200766</v>
      </c>
    </row>
    <row r="13765">
      <c r="A13765" s="6">
        <v>13763.0</v>
      </c>
      <c r="B13765" s="17">
        <f t="array" ref="B13765">SUM(1-'Sparkling Model'!D$2:D$38^A13765)</f>
        <v>36.99621698</v>
      </c>
      <c r="C13765" s="8">
        <f t="array" ref="C13765">PRODUCT(1-'Sparkling Model'!D$2:D$38^A13765)</f>
        <v>0.9962219453</v>
      </c>
    </row>
    <row r="13766">
      <c r="A13766" s="6">
        <v>13764.0</v>
      </c>
      <c r="B13766" s="17">
        <f t="array" ref="B13766">SUM(1-'Sparkling Model'!D$2:D$38^A13766)</f>
        <v>36.99621885</v>
      </c>
      <c r="C13766" s="8">
        <f t="array" ref="C13766">PRODUCT(1-'Sparkling Model'!D$2:D$38^A13766)</f>
        <v>0.996223813</v>
      </c>
    </row>
    <row r="13767">
      <c r="A13767" s="6">
        <v>13765.0</v>
      </c>
      <c r="B13767" s="17">
        <f t="array" ref="B13767">SUM(1-'Sparkling Model'!D$2:D$38^A13767)</f>
        <v>36.99622073</v>
      </c>
      <c r="C13767" s="8">
        <f t="array" ref="C13767">PRODUCT(1-'Sparkling Model'!D$2:D$38^A13767)</f>
        <v>0.9962256798</v>
      </c>
    </row>
    <row r="13768">
      <c r="A13768" s="6">
        <v>13766.0</v>
      </c>
      <c r="B13768" s="17">
        <f t="array" ref="B13768">SUM(1-'Sparkling Model'!D$2:D$38^A13768)</f>
        <v>36.9962226</v>
      </c>
      <c r="C13768" s="8">
        <f t="array" ref="C13768">PRODUCT(1-'Sparkling Model'!D$2:D$38^A13768)</f>
        <v>0.9962275456</v>
      </c>
    </row>
    <row r="13769">
      <c r="A13769" s="6">
        <v>13767.0</v>
      </c>
      <c r="B13769" s="17">
        <f t="array" ref="B13769">SUM(1-'Sparkling Model'!D$2:D$38^A13769)</f>
        <v>36.99622447</v>
      </c>
      <c r="C13769" s="8">
        <f t="array" ref="C13769">PRODUCT(1-'Sparkling Model'!D$2:D$38^A13769)</f>
        <v>0.9962294106</v>
      </c>
    </row>
    <row r="13770">
      <c r="A13770" s="6">
        <v>13768.0</v>
      </c>
      <c r="B13770" s="17">
        <f t="array" ref="B13770">SUM(1-'Sparkling Model'!D$2:D$38^A13770)</f>
        <v>36.99622634</v>
      </c>
      <c r="C13770" s="8">
        <f t="array" ref="C13770">PRODUCT(1-'Sparkling Model'!D$2:D$38^A13770)</f>
        <v>0.9962312746</v>
      </c>
    </row>
    <row r="13771">
      <c r="A13771" s="6">
        <v>13769.0</v>
      </c>
      <c r="B13771" s="17">
        <f t="array" ref="B13771">SUM(1-'Sparkling Model'!D$2:D$38^A13771)</f>
        <v>36.9962282</v>
      </c>
      <c r="C13771" s="8">
        <f t="array" ref="C13771">PRODUCT(1-'Sparkling Model'!D$2:D$38^A13771)</f>
        <v>0.9962331377</v>
      </c>
    </row>
    <row r="13772">
      <c r="A13772" s="6">
        <v>13770.0</v>
      </c>
      <c r="B13772" s="17">
        <f t="array" ref="B13772">SUM(1-'Sparkling Model'!D$2:D$38^A13772)</f>
        <v>36.99623007</v>
      </c>
      <c r="C13772" s="8">
        <f t="array" ref="C13772">PRODUCT(1-'Sparkling Model'!D$2:D$38^A13772)</f>
        <v>0.9962349998</v>
      </c>
    </row>
    <row r="13773">
      <c r="A13773" s="6">
        <v>13771.0</v>
      </c>
      <c r="B13773" s="17">
        <f t="array" ref="B13773">SUM(1-'Sparkling Model'!D$2:D$38^A13773)</f>
        <v>36.99623194</v>
      </c>
      <c r="C13773" s="8">
        <f t="array" ref="C13773">PRODUCT(1-'Sparkling Model'!D$2:D$38^A13773)</f>
        <v>0.9962368611</v>
      </c>
    </row>
    <row r="13774">
      <c r="A13774" s="6">
        <v>13772.0</v>
      </c>
      <c r="B13774" s="17">
        <f t="array" ref="B13774">SUM(1-'Sparkling Model'!D$2:D$38^A13774)</f>
        <v>36.9962338</v>
      </c>
      <c r="C13774" s="8">
        <f t="array" ref="C13774">PRODUCT(1-'Sparkling Model'!D$2:D$38^A13774)</f>
        <v>0.9962387214</v>
      </c>
    </row>
    <row r="13775">
      <c r="A13775" s="6">
        <v>13773.0</v>
      </c>
      <c r="B13775" s="17">
        <f t="array" ref="B13775">SUM(1-'Sparkling Model'!D$2:D$38^A13775)</f>
        <v>36.99623567</v>
      </c>
      <c r="C13775" s="8">
        <f t="array" ref="C13775">PRODUCT(1-'Sparkling Model'!D$2:D$38^A13775)</f>
        <v>0.9962405808</v>
      </c>
    </row>
    <row r="13776">
      <c r="A13776" s="6">
        <v>13774.0</v>
      </c>
      <c r="B13776" s="17">
        <f t="array" ref="B13776">SUM(1-'Sparkling Model'!D$2:D$38^A13776)</f>
        <v>36.99623753</v>
      </c>
      <c r="C13776" s="8">
        <f t="array" ref="C13776">PRODUCT(1-'Sparkling Model'!D$2:D$38^A13776)</f>
        <v>0.9962424392</v>
      </c>
    </row>
    <row r="13777">
      <c r="A13777" s="6">
        <v>13775.0</v>
      </c>
      <c r="B13777" s="17">
        <f t="array" ref="B13777">SUM(1-'Sparkling Model'!D$2:D$38^A13777)</f>
        <v>36.99623939</v>
      </c>
      <c r="C13777" s="8">
        <f t="array" ref="C13777">PRODUCT(1-'Sparkling Model'!D$2:D$38^A13777)</f>
        <v>0.9962442968</v>
      </c>
    </row>
    <row r="13778">
      <c r="A13778" s="6">
        <v>13776.0</v>
      </c>
      <c r="B13778" s="17">
        <f t="array" ref="B13778">SUM(1-'Sparkling Model'!D$2:D$38^A13778)</f>
        <v>36.99624125</v>
      </c>
      <c r="C13778" s="8">
        <f t="array" ref="C13778">PRODUCT(1-'Sparkling Model'!D$2:D$38^A13778)</f>
        <v>0.9962461534</v>
      </c>
    </row>
    <row r="13779">
      <c r="A13779" s="6">
        <v>13777.0</v>
      </c>
      <c r="B13779" s="17">
        <f t="array" ref="B13779">SUM(1-'Sparkling Model'!D$2:D$38^A13779)</f>
        <v>36.99624311</v>
      </c>
      <c r="C13779" s="8">
        <f t="array" ref="C13779">PRODUCT(1-'Sparkling Model'!D$2:D$38^A13779)</f>
        <v>0.9962480091</v>
      </c>
    </row>
    <row r="13780">
      <c r="A13780" s="6">
        <v>13778.0</v>
      </c>
      <c r="B13780" s="17">
        <f t="array" ref="B13780">SUM(1-'Sparkling Model'!D$2:D$38^A13780)</f>
        <v>36.99624497</v>
      </c>
      <c r="C13780" s="8">
        <f t="array" ref="C13780">PRODUCT(1-'Sparkling Model'!D$2:D$38^A13780)</f>
        <v>0.9962498639</v>
      </c>
    </row>
    <row r="13781">
      <c r="A13781" s="6">
        <v>13779.0</v>
      </c>
      <c r="B13781" s="17">
        <f t="array" ref="B13781">SUM(1-'Sparkling Model'!D$2:D$38^A13781)</f>
        <v>36.99624683</v>
      </c>
      <c r="C13781" s="8">
        <f t="array" ref="C13781">PRODUCT(1-'Sparkling Model'!D$2:D$38^A13781)</f>
        <v>0.9962517178</v>
      </c>
    </row>
    <row r="13782">
      <c r="A13782" s="6">
        <v>13780.0</v>
      </c>
      <c r="B13782" s="17">
        <f t="array" ref="B13782">SUM(1-'Sparkling Model'!D$2:D$38^A13782)</f>
        <v>36.99624869</v>
      </c>
      <c r="C13782" s="8">
        <f t="array" ref="C13782">PRODUCT(1-'Sparkling Model'!D$2:D$38^A13782)</f>
        <v>0.9962535707</v>
      </c>
    </row>
    <row r="13783">
      <c r="A13783" s="6">
        <v>13781.0</v>
      </c>
      <c r="B13783" s="17">
        <f t="array" ref="B13783">SUM(1-'Sparkling Model'!D$2:D$38^A13783)</f>
        <v>36.99625055</v>
      </c>
      <c r="C13783" s="8">
        <f t="array" ref="C13783">PRODUCT(1-'Sparkling Model'!D$2:D$38^A13783)</f>
        <v>0.9962554227</v>
      </c>
    </row>
    <row r="13784">
      <c r="A13784" s="6">
        <v>13782.0</v>
      </c>
      <c r="B13784" s="17">
        <f t="array" ref="B13784">SUM(1-'Sparkling Model'!D$2:D$38^A13784)</f>
        <v>36.9962524</v>
      </c>
      <c r="C13784" s="8">
        <f t="array" ref="C13784">PRODUCT(1-'Sparkling Model'!D$2:D$38^A13784)</f>
        <v>0.9962572738</v>
      </c>
    </row>
    <row r="13785">
      <c r="A13785" s="6">
        <v>13783.0</v>
      </c>
      <c r="B13785" s="17">
        <f t="array" ref="B13785">SUM(1-'Sparkling Model'!D$2:D$38^A13785)</f>
        <v>36.99625426</v>
      </c>
      <c r="C13785" s="8">
        <f t="array" ref="C13785">PRODUCT(1-'Sparkling Model'!D$2:D$38^A13785)</f>
        <v>0.996259124</v>
      </c>
    </row>
    <row r="13786">
      <c r="A13786" s="6">
        <v>13784.0</v>
      </c>
      <c r="B13786" s="17">
        <f t="array" ref="B13786">SUM(1-'Sparkling Model'!D$2:D$38^A13786)</f>
        <v>36.99625611</v>
      </c>
      <c r="C13786" s="8">
        <f t="array" ref="C13786">PRODUCT(1-'Sparkling Model'!D$2:D$38^A13786)</f>
        <v>0.9962609733</v>
      </c>
    </row>
    <row r="13787">
      <c r="A13787" s="6">
        <v>13785.0</v>
      </c>
      <c r="B13787" s="17">
        <f t="array" ref="B13787">SUM(1-'Sparkling Model'!D$2:D$38^A13787)</f>
        <v>36.99625797</v>
      </c>
      <c r="C13787" s="8">
        <f t="array" ref="C13787">PRODUCT(1-'Sparkling Model'!D$2:D$38^A13787)</f>
        <v>0.9962628217</v>
      </c>
    </row>
    <row r="13788">
      <c r="A13788" s="6">
        <v>13786.0</v>
      </c>
      <c r="B13788" s="17">
        <f t="array" ref="B13788">SUM(1-'Sparkling Model'!D$2:D$38^A13788)</f>
        <v>36.99625982</v>
      </c>
      <c r="C13788" s="8">
        <f t="array" ref="C13788">PRODUCT(1-'Sparkling Model'!D$2:D$38^A13788)</f>
        <v>0.9962646691</v>
      </c>
    </row>
    <row r="13789">
      <c r="A13789" s="6">
        <v>13787.0</v>
      </c>
      <c r="B13789" s="17">
        <f t="array" ref="B13789">SUM(1-'Sparkling Model'!D$2:D$38^A13789)</f>
        <v>36.99626167</v>
      </c>
      <c r="C13789" s="8">
        <f t="array" ref="C13789">PRODUCT(1-'Sparkling Model'!D$2:D$38^A13789)</f>
        <v>0.9962665156</v>
      </c>
    </row>
    <row r="13790">
      <c r="A13790" s="6">
        <v>13788.0</v>
      </c>
      <c r="B13790" s="17">
        <f t="array" ref="B13790">SUM(1-'Sparkling Model'!D$2:D$38^A13790)</f>
        <v>36.99626352</v>
      </c>
      <c r="C13790" s="8">
        <f t="array" ref="C13790">PRODUCT(1-'Sparkling Model'!D$2:D$38^A13790)</f>
        <v>0.9962683613</v>
      </c>
    </row>
    <row r="13791">
      <c r="A13791" s="6">
        <v>13789.0</v>
      </c>
      <c r="B13791" s="17">
        <f t="array" ref="B13791">SUM(1-'Sparkling Model'!D$2:D$38^A13791)</f>
        <v>36.99626537</v>
      </c>
      <c r="C13791" s="8">
        <f t="array" ref="C13791">PRODUCT(1-'Sparkling Model'!D$2:D$38^A13791)</f>
        <v>0.9962702059</v>
      </c>
    </row>
    <row r="13792">
      <c r="A13792" s="6">
        <v>13790.0</v>
      </c>
      <c r="B13792" s="17">
        <f t="array" ref="B13792">SUM(1-'Sparkling Model'!D$2:D$38^A13792)</f>
        <v>36.99626722</v>
      </c>
      <c r="C13792" s="8">
        <f t="array" ref="C13792">PRODUCT(1-'Sparkling Model'!D$2:D$38^A13792)</f>
        <v>0.9962720497</v>
      </c>
    </row>
    <row r="13793">
      <c r="A13793" s="6">
        <v>13791.0</v>
      </c>
      <c r="B13793" s="17">
        <f t="array" ref="B13793">SUM(1-'Sparkling Model'!D$2:D$38^A13793)</f>
        <v>36.99626907</v>
      </c>
      <c r="C13793" s="8">
        <f t="array" ref="C13793">PRODUCT(1-'Sparkling Model'!D$2:D$38^A13793)</f>
        <v>0.9962738926</v>
      </c>
    </row>
    <row r="13794">
      <c r="A13794" s="6">
        <v>13792.0</v>
      </c>
      <c r="B13794" s="17">
        <f t="array" ref="B13794">SUM(1-'Sparkling Model'!D$2:D$38^A13794)</f>
        <v>36.99627091</v>
      </c>
      <c r="C13794" s="8">
        <f t="array" ref="C13794">PRODUCT(1-'Sparkling Model'!D$2:D$38^A13794)</f>
        <v>0.9962757345</v>
      </c>
    </row>
    <row r="13795">
      <c r="A13795" s="6">
        <v>13793.0</v>
      </c>
      <c r="B13795" s="17">
        <f t="array" ref="B13795">SUM(1-'Sparkling Model'!D$2:D$38^A13795)</f>
        <v>36.99627276</v>
      </c>
      <c r="C13795" s="8">
        <f t="array" ref="C13795">PRODUCT(1-'Sparkling Model'!D$2:D$38^A13795)</f>
        <v>0.9962775756</v>
      </c>
    </row>
    <row r="13796">
      <c r="A13796" s="6">
        <v>13794.0</v>
      </c>
      <c r="B13796" s="17">
        <f t="array" ref="B13796">SUM(1-'Sparkling Model'!D$2:D$38^A13796)</f>
        <v>36.9962746</v>
      </c>
      <c r="C13796" s="8">
        <f t="array" ref="C13796">PRODUCT(1-'Sparkling Model'!D$2:D$38^A13796)</f>
        <v>0.9962794157</v>
      </c>
    </row>
    <row r="13797">
      <c r="A13797" s="6">
        <v>13795.0</v>
      </c>
      <c r="B13797" s="17">
        <f t="array" ref="B13797">SUM(1-'Sparkling Model'!D$2:D$38^A13797)</f>
        <v>36.99627645</v>
      </c>
      <c r="C13797" s="8">
        <f t="array" ref="C13797">PRODUCT(1-'Sparkling Model'!D$2:D$38^A13797)</f>
        <v>0.9962812549</v>
      </c>
    </row>
    <row r="13798">
      <c r="A13798" s="6">
        <v>13796.0</v>
      </c>
      <c r="B13798" s="17">
        <f t="array" ref="B13798">SUM(1-'Sparkling Model'!D$2:D$38^A13798)</f>
        <v>36.99627829</v>
      </c>
      <c r="C13798" s="8">
        <f t="array" ref="C13798">PRODUCT(1-'Sparkling Model'!D$2:D$38^A13798)</f>
        <v>0.9962830932</v>
      </c>
    </row>
    <row r="13799">
      <c r="A13799" s="6">
        <v>13797.0</v>
      </c>
      <c r="B13799" s="17">
        <f t="array" ref="B13799">SUM(1-'Sparkling Model'!D$2:D$38^A13799)</f>
        <v>36.99628013</v>
      </c>
      <c r="C13799" s="8">
        <f t="array" ref="C13799">PRODUCT(1-'Sparkling Model'!D$2:D$38^A13799)</f>
        <v>0.9962849306</v>
      </c>
    </row>
    <row r="13800">
      <c r="A13800" s="6">
        <v>13798.0</v>
      </c>
      <c r="B13800" s="17">
        <f t="array" ref="B13800">SUM(1-'Sparkling Model'!D$2:D$38^A13800)</f>
        <v>36.99628197</v>
      </c>
      <c r="C13800" s="8">
        <f t="array" ref="C13800">PRODUCT(1-'Sparkling Model'!D$2:D$38^A13800)</f>
        <v>0.9962867671</v>
      </c>
    </row>
    <row r="13801">
      <c r="A13801" s="6">
        <v>13799.0</v>
      </c>
      <c r="B13801" s="17">
        <f t="array" ref="B13801">SUM(1-'Sparkling Model'!D$2:D$38^A13801)</f>
        <v>36.99628381</v>
      </c>
      <c r="C13801" s="8">
        <f t="array" ref="C13801">PRODUCT(1-'Sparkling Model'!D$2:D$38^A13801)</f>
        <v>0.9962886027</v>
      </c>
    </row>
    <row r="13802">
      <c r="A13802" s="6">
        <v>13800.0</v>
      </c>
      <c r="B13802" s="17">
        <f t="array" ref="B13802">SUM(1-'Sparkling Model'!D$2:D$38^A13802)</f>
        <v>36.99628565</v>
      </c>
      <c r="C13802" s="8">
        <f t="array" ref="C13802">PRODUCT(1-'Sparkling Model'!D$2:D$38^A13802)</f>
        <v>0.9962904373</v>
      </c>
    </row>
    <row r="13803">
      <c r="A13803" s="6">
        <v>13801.0</v>
      </c>
      <c r="B13803" s="17">
        <f t="array" ref="B13803">SUM(1-'Sparkling Model'!D$2:D$38^A13803)</f>
        <v>36.99628749</v>
      </c>
      <c r="C13803" s="8">
        <f t="array" ref="C13803">PRODUCT(1-'Sparkling Model'!D$2:D$38^A13803)</f>
        <v>0.9962922711</v>
      </c>
    </row>
    <row r="13804">
      <c r="A13804" s="6">
        <v>13802.0</v>
      </c>
      <c r="B13804" s="17">
        <f t="array" ref="B13804">SUM(1-'Sparkling Model'!D$2:D$38^A13804)</f>
        <v>36.99628933</v>
      </c>
      <c r="C13804" s="8">
        <f t="array" ref="C13804">PRODUCT(1-'Sparkling Model'!D$2:D$38^A13804)</f>
        <v>0.9962941039</v>
      </c>
    </row>
    <row r="13805">
      <c r="A13805" s="6">
        <v>13803.0</v>
      </c>
      <c r="B13805" s="17">
        <f t="array" ref="B13805">SUM(1-'Sparkling Model'!D$2:D$38^A13805)</f>
        <v>36.99629117</v>
      </c>
      <c r="C13805" s="8">
        <f t="array" ref="C13805">PRODUCT(1-'Sparkling Model'!D$2:D$38^A13805)</f>
        <v>0.9962959358</v>
      </c>
    </row>
    <row r="13806">
      <c r="A13806" s="6">
        <v>13804.0</v>
      </c>
      <c r="B13806" s="17">
        <f t="array" ref="B13806">SUM(1-'Sparkling Model'!D$2:D$38^A13806)</f>
        <v>36.996293</v>
      </c>
      <c r="C13806" s="8">
        <f t="array" ref="C13806">PRODUCT(1-'Sparkling Model'!D$2:D$38^A13806)</f>
        <v>0.9962977669</v>
      </c>
    </row>
    <row r="13807">
      <c r="A13807" s="6">
        <v>13805.0</v>
      </c>
      <c r="B13807" s="17">
        <f t="array" ref="B13807">SUM(1-'Sparkling Model'!D$2:D$38^A13807)</f>
        <v>36.99629484</v>
      </c>
      <c r="C13807" s="8">
        <f t="array" ref="C13807">PRODUCT(1-'Sparkling Model'!D$2:D$38^A13807)</f>
        <v>0.996299597</v>
      </c>
    </row>
    <row r="13808">
      <c r="A13808" s="6">
        <v>13806.0</v>
      </c>
      <c r="B13808" s="17">
        <f t="array" ref="B13808">SUM(1-'Sparkling Model'!D$2:D$38^A13808)</f>
        <v>36.99629667</v>
      </c>
      <c r="C13808" s="8">
        <f t="array" ref="C13808">PRODUCT(1-'Sparkling Model'!D$2:D$38^A13808)</f>
        <v>0.9963014262</v>
      </c>
    </row>
    <row r="13809">
      <c r="A13809" s="6">
        <v>13807.0</v>
      </c>
      <c r="B13809" s="17">
        <f t="array" ref="B13809">SUM(1-'Sparkling Model'!D$2:D$38^A13809)</f>
        <v>36.9962985</v>
      </c>
      <c r="C13809" s="8">
        <f t="array" ref="C13809">PRODUCT(1-'Sparkling Model'!D$2:D$38^A13809)</f>
        <v>0.9963032545</v>
      </c>
    </row>
    <row r="13810">
      <c r="A13810" s="6">
        <v>13808.0</v>
      </c>
      <c r="B13810" s="17">
        <f t="array" ref="B13810">SUM(1-'Sparkling Model'!D$2:D$38^A13810)</f>
        <v>36.99630034</v>
      </c>
      <c r="C13810" s="8">
        <f t="array" ref="C13810">PRODUCT(1-'Sparkling Model'!D$2:D$38^A13810)</f>
        <v>0.9963050819</v>
      </c>
    </row>
    <row r="13811">
      <c r="A13811" s="6">
        <v>13809.0</v>
      </c>
      <c r="B13811" s="17">
        <f t="array" ref="B13811">SUM(1-'Sparkling Model'!D$2:D$38^A13811)</f>
        <v>36.99630217</v>
      </c>
      <c r="C13811" s="8">
        <f t="array" ref="C13811">PRODUCT(1-'Sparkling Model'!D$2:D$38^A13811)</f>
        <v>0.9963069084</v>
      </c>
    </row>
    <row r="13812">
      <c r="A13812" s="6">
        <v>13810.0</v>
      </c>
      <c r="B13812" s="17">
        <f t="array" ref="B13812">SUM(1-'Sparkling Model'!D$2:D$38^A13812)</f>
        <v>36.996304</v>
      </c>
      <c r="C13812" s="8">
        <f t="array" ref="C13812">PRODUCT(1-'Sparkling Model'!D$2:D$38^A13812)</f>
        <v>0.996308734</v>
      </c>
    </row>
    <row r="13813">
      <c r="A13813" s="6">
        <v>13811.0</v>
      </c>
      <c r="B13813" s="17">
        <f t="array" ref="B13813">SUM(1-'Sparkling Model'!D$2:D$38^A13813)</f>
        <v>36.99630583</v>
      </c>
      <c r="C13813" s="8">
        <f t="array" ref="C13813">PRODUCT(1-'Sparkling Model'!D$2:D$38^A13813)</f>
        <v>0.9963105586</v>
      </c>
    </row>
    <row r="13814">
      <c r="A13814" s="6">
        <v>13812.0</v>
      </c>
      <c r="B13814" s="17">
        <f t="array" ref="B13814">SUM(1-'Sparkling Model'!D$2:D$38^A13814)</f>
        <v>36.99630765</v>
      </c>
      <c r="C13814" s="8">
        <f t="array" ref="C13814">PRODUCT(1-'Sparkling Model'!D$2:D$38^A13814)</f>
        <v>0.9963123824</v>
      </c>
    </row>
    <row r="13815">
      <c r="A13815" s="6">
        <v>13813.0</v>
      </c>
      <c r="B13815" s="17">
        <f t="array" ref="B13815">SUM(1-'Sparkling Model'!D$2:D$38^A13815)</f>
        <v>36.99630948</v>
      </c>
      <c r="C13815" s="8">
        <f t="array" ref="C13815">PRODUCT(1-'Sparkling Model'!D$2:D$38^A13815)</f>
        <v>0.9963142053</v>
      </c>
    </row>
    <row r="13816">
      <c r="A13816" s="6">
        <v>13814.0</v>
      </c>
      <c r="B13816" s="17">
        <f t="array" ref="B13816">SUM(1-'Sparkling Model'!D$2:D$38^A13816)</f>
        <v>36.99631131</v>
      </c>
      <c r="C13816" s="8">
        <f t="array" ref="C13816">PRODUCT(1-'Sparkling Model'!D$2:D$38^A13816)</f>
        <v>0.9963160272</v>
      </c>
    </row>
    <row r="13817">
      <c r="A13817" s="6">
        <v>13815.0</v>
      </c>
      <c r="B13817" s="17">
        <f t="array" ref="B13817">SUM(1-'Sparkling Model'!D$2:D$38^A13817)</f>
        <v>36.99631313</v>
      </c>
      <c r="C13817" s="8">
        <f t="array" ref="C13817">PRODUCT(1-'Sparkling Model'!D$2:D$38^A13817)</f>
        <v>0.9963178483</v>
      </c>
    </row>
    <row r="13818">
      <c r="A13818" s="6">
        <v>13816.0</v>
      </c>
      <c r="B13818" s="17">
        <f t="array" ref="B13818">SUM(1-'Sparkling Model'!D$2:D$38^A13818)</f>
        <v>36.99631496</v>
      </c>
      <c r="C13818" s="8">
        <f t="array" ref="C13818">PRODUCT(1-'Sparkling Model'!D$2:D$38^A13818)</f>
        <v>0.9963196685</v>
      </c>
    </row>
    <row r="13819">
      <c r="A13819" s="6">
        <v>13817.0</v>
      </c>
      <c r="B13819" s="17">
        <f t="array" ref="B13819">SUM(1-'Sparkling Model'!D$2:D$38^A13819)</f>
        <v>36.99631678</v>
      </c>
      <c r="C13819" s="8">
        <f t="array" ref="C13819">PRODUCT(1-'Sparkling Model'!D$2:D$38^A13819)</f>
        <v>0.9963214877</v>
      </c>
    </row>
    <row r="13820">
      <c r="A13820" s="6">
        <v>13818.0</v>
      </c>
      <c r="B13820" s="17">
        <f t="array" ref="B13820">SUM(1-'Sparkling Model'!D$2:D$38^A13820)</f>
        <v>36.99631861</v>
      </c>
      <c r="C13820" s="8">
        <f t="array" ref="C13820">PRODUCT(1-'Sparkling Model'!D$2:D$38^A13820)</f>
        <v>0.9963233061</v>
      </c>
    </row>
    <row r="13821">
      <c r="A13821" s="6">
        <v>13819.0</v>
      </c>
      <c r="B13821" s="17">
        <f t="array" ref="B13821">SUM(1-'Sparkling Model'!D$2:D$38^A13821)</f>
        <v>36.99632043</v>
      </c>
      <c r="C13821" s="8">
        <f t="array" ref="C13821">PRODUCT(1-'Sparkling Model'!D$2:D$38^A13821)</f>
        <v>0.9963251235</v>
      </c>
    </row>
    <row r="13822">
      <c r="A13822" s="6">
        <v>13820.0</v>
      </c>
      <c r="B13822" s="17">
        <f t="array" ref="B13822">SUM(1-'Sparkling Model'!D$2:D$38^A13822)</f>
        <v>36.99632225</v>
      </c>
      <c r="C13822" s="8">
        <f t="array" ref="C13822">PRODUCT(1-'Sparkling Model'!D$2:D$38^A13822)</f>
        <v>0.9963269401</v>
      </c>
    </row>
    <row r="13823">
      <c r="A13823" s="6">
        <v>13821.0</v>
      </c>
      <c r="B13823" s="17">
        <f t="array" ref="B13823">SUM(1-'Sparkling Model'!D$2:D$38^A13823)</f>
        <v>36.99632407</v>
      </c>
      <c r="C13823" s="8">
        <f t="array" ref="C13823">PRODUCT(1-'Sparkling Model'!D$2:D$38^A13823)</f>
        <v>0.9963287557</v>
      </c>
    </row>
    <row r="13824">
      <c r="A13824" s="6">
        <v>13822.0</v>
      </c>
      <c r="B13824" s="17">
        <f t="array" ref="B13824">SUM(1-'Sparkling Model'!D$2:D$38^A13824)</f>
        <v>36.99632589</v>
      </c>
      <c r="C13824" s="8">
        <f t="array" ref="C13824">PRODUCT(1-'Sparkling Model'!D$2:D$38^A13824)</f>
        <v>0.9963305705</v>
      </c>
    </row>
    <row r="13825">
      <c r="A13825" s="6">
        <v>13823.0</v>
      </c>
      <c r="B13825" s="17">
        <f t="array" ref="B13825">SUM(1-'Sparkling Model'!D$2:D$38^A13825)</f>
        <v>36.99632771</v>
      </c>
      <c r="C13825" s="8">
        <f t="array" ref="C13825">PRODUCT(1-'Sparkling Model'!D$2:D$38^A13825)</f>
        <v>0.9963323843</v>
      </c>
    </row>
    <row r="13826">
      <c r="A13826" s="6">
        <v>13824.0</v>
      </c>
      <c r="B13826" s="17">
        <f t="array" ref="B13826">SUM(1-'Sparkling Model'!D$2:D$38^A13826)</f>
        <v>36.99632953</v>
      </c>
      <c r="C13826" s="8">
        <f t="array" ref="C13826">PRODUCT(1-'Sparkling Model'!D$2:D$38^A13826)</f>
        <v>0.9963341973</v>
      </c>
    </row>
    <row r="13827">
      <c r="A13827" s="6">
        <v>13825.0</v>
      </c>
      <c r="B13827" s="17">
        <f t="array" ref="B13827">SUM(1-'Sparkling Model'!D$2:D$38^A13827)</f>
        <v>36.99633134</v>
      </c>
      <c r="C13827" s="8">
        <f t="array" ref="C13827">PRODUCT(1-'Sparkling Model'!D$2:D$38^A13827)</f>
        <v>0.9963360093</v>
      </c>
    </row>
    <row r="13828">
      <c r="A13828" s="6">
        <v>13826.0</v>
      </c>
      <c r="B13828" s="17">
        <f t="array" ref="B13828">SUM(1-'Sparkling Model'!D$2:D$38^A13828)</f>
        <v>36.99633316</v>
      </c>
      <c r="C13828" s="8">
        <f t="array" ref="C13828">PRODUCT(1-'Sparkling Model'!D$2:D$38^A13828)</f>
        <v>0.9963378205</v>
      </c>
    </row>
    <row r="13829">
      <c r="A13829" s="6">
        <v>13827.0</v>
      </c>
      <c r="B13829" s="17">
        <f t="array" ref="B13829">SUM(1-'Sparkling Model'!D$2:D$38^A13829)</f>
        <v>36.99633497</v>
      </c>
      <c r="C13829" s="8">
        <f t="array" ref="C13829">PRODUCT(1-'Sparkling Model'!D$2:D$38^A13829)</f>
        <v>0.9963396308</v>
      </c>
    </row>
    <row r="13830">
      <c r="A13830" s="6">
        <v>13828.0</v>
      </c>
      <c r="B13830" s="17">
        <f t="array" ref="B13830">SUM(1-'Sparkling Model'!D$2:D$38^A13830)</f>
        <v>36.99633679</v>
      </c>
      <c r="C13830" s="8">
        <f t="array" ref="C13830">PRODUCT(1-'Sparkling Model'!D$2:D$38^A13830)</f>
        <v>0.9963414401</v>
      </c>
    </row>
    <row r="13831">
      <c r="A13831" s="6">
        <v>13829.0</v>
      </c>
      <c r="B13831" s="17">
        <f t="array" ref="B13831">SUM(1-'Sparkling Model'!D$2:D$38^A13831)</f>
        <v>36.9963386</v>
      </c>
      <c r="C13831" s="8">
        <f t="array" ref="C13831">PRODUCT(1-'Sparkling Model'!D$2:D$38^A13831)</f>
        <v>0.9963432486</v>
      </c>
    </row>
    <row r="13832">
      <c r="A13832" s="6">
        <v>13830.0</v>
      </c>
      <c r="B13832" s="17">
        <f t="array" ref="B13832">SUM(1-'Sparkling Model'!D$2:D$38^A13832)</f>
        <v>36.99634041</v>
      </c>
      <c r="C13832" s="8">
        <f t="array" ref="C13832">PRODUCT(1-'Sparkling Model'!D$2:D$38^A13832)</f>
        <v>0.9963450561</v>
      </c>
    </row>
    <row r="13833">
      <c r="A13833" s="6">
        <v>13831.0</v>
      </c>
      <c r="B13833" s="17">
        <f t="array" ref="B13833">SUM(1-'Sparkling Model'!D$2:D$38^A13833)</f>
        <v>36.99634222</v>
      </c>
      <c r="C13833" s="8">
        <f t="array" ref="C13833">PRODUCT(1-'Sparkling Model'!D$2:D$38^A13833)</f>
        <v>0.9963468628</v>
      </c>
    </row>
    <row r="13834">
      <c r="A13834" s="6">
        <v>13832.0</v>
      </c>
      <c r="B13834" s="17">
        <f t="array" ref="B13834">SUM(1-'Sparkling Model'!D$2:D$38^A13834)</f>
        <v>36.99634403</v>
      </c>
      <c r="C13834" s="8">
        <f t="array" ref="C13834">PRODUCT(1-'Sparkling Model'!D$2:D$38^A13834)</f>
        <v>0.9963486686</v>
      </c>
    </row>
    <row r="13835">
      <c r="A13835" s="6">
        <v>13833.0</v>
      </c>
      <c r="B13835" s="17">
        <f t="array" ref="B13835">SUM(1-'Sparkling Model'!D$2:D$38^A13835)</f>
        <v>36.99634584</v>
      </c>
      <c r="C13835" s="8">
        <f t="array" ref="C13835">PRODUCT(1-'Sparkling Model'!D$2:D$38^A13835)</f>
        <v>0.9963504735</v>
      </c>
    </row>
    <row r="13836">
      <c r="A13836" s="6">
        <v>13834.0</v>
      </c>
      <c r="B13836" s="17">
        <f t="array" ref="B13836">SUM(1-'Sparkling Model'!D$2:D$38^A13836)</f>
        <v>36.99634765</v>
      </c>
      <c r="C13836" s="8">
        <f t="array" ref="C13836">PRODUCT(1-'Sparkling Model'!D$2:D$38^A13836)</f>
        <v>0.9963522775</v>
      </c>
    </row>
    <row r="13837">
      <c r="A13837" s="6">
        <v>13835.0</v>
      </c>
      <c r="B13837" s="17">
        <f t="array" ref="B13837">SUM(1-'Sparkling Model'!D$2:D$38^A13837)</f>
        <v>36.99634946</v>
      </c>
      <c r="C13837" s="8">
        <f t="array" ref="C13837">PRODUCT(1-'Sparkling Model'!D$2:D$38^A13837)</f>
        <v>0.9963540805</v>
      </c>
    </row>
    <row r="13838">
      <c r="A13838" s="6">
        <v>13836.0</v>
      </c>
      <c r="B13838" s="17">
        <f t="array" ref="B13838">SUM(1-'Sparkling Model'!D$2:D$38^A13838)</f>
        <v>36.99635127</v>
      </c>
      <c r="C13838" s="8">
        <f t="array" ref="C13838">PRODUCT(1-'Sparkling Model'!D$2:D$38^A13838)</f>
        <v>0.9963558827</v>
      </c>
    </row>
    <row r="13839">
      <c r="A13839" s="6">
        <v>13837.0</v>
      </c>
      <c r="B13839" s="17">
        <f t="array" ref="B13839">SUM(1-'Sparkling Model'!D$2:D$38^A13839)</f>
        <v>36.99635307</v>
      </c>
      <c r="C13839" s="8">
        <f t="array" ref="C13839">PRODUCT(1-'Sparkling Model'!D$2:D$38^A13839)</f>
        <v>0.996357684</v>
      </c>
    </row>
    <row r="13840">
      <c r="A13840" s="6">
        <v>13838.0</v>
      </c>
      <c r="B13840" s="17">
        <f t="array" ref="B13840">SUM(1-'Sparkling Model'!D$2:D$38^A13840)</f>
        <v>36.99635488</v>
      </c>
      <c r="C13840" s="8">
        <f t="array" ref="C13840">PRODUCT(1-'Sparkling Model'!D$2:D$38^A13840)</f>
        <v>0.9963594844</v>
      </c>
    </row>
    <row r="13841">
      <c r="A13841" s="6">
        <v>13839.0</v>
      </c>
      <c r="B13841" s="17">
        <f t="array" ref="B13841">SUM(1-'Sparkling Model'!D$2:D$38^A13841)</f>
        <v>36.99635668</v>
      </c>
      <c r="C13841" s="8">
        <f t="array" ref="C13841">PRODUCT(1-'Sparkling Model'!D$2:D$38^A13841)</f>
        <v>0.996361284</v>
      </c>
    </row>
    <row r="13842">
      <c r="A13842" s="6">
        <v>13840.0</v>
      </c>
      <c r="B13842" s="17">
        <f t="array" ref="B13842">SUM(1-'Sparkling Model'!D$2:D$38^A13842)</f>
        <v>36.99635849</v>
      </c>
      <c r="C13842" s="8">
        <f t="array" ref="C13842">PRODUCT(1-'Sparkling Model'!D$2:D$38^A13842)</f>
        <v>0.9963630826</v>
      </c>
    </row>
    <row r="13843">
      <c r="A13843" s="6">
        <v>13841.0</v>
      </c>
      <c r="B13843" s="17">
        <f t="array" ref="B13843">SUM(1-'Sparkling Model'!D$2:D$38^A13843)</f>
        <v>36.99636029</v>
      </c>
      <c r="C13843" s="8">
        <f t="array" ref="C13843">PRODUCT(1-'Sparkling Model'!D$2:D$38^A13843)</f>
        <v>0.9963648803</v>
      </c>
    </row>
    <row r="13844">
      <c r="A13844" s="6">
        <v>13842.0</v>
      </c>
      <c r="B13844" s="17">
        <f t="array" ref="B13844">SUM(1-'Sparkling Model'!D$2:D$38^A13844)</f>
        <v>36.99636209</v>
      </c>
      <c r="C13844" s="8">
        <f t="array" ref="C13844">PRODUCT(1-'Sparkling Model'!D$2:D$38^A13844)</f>
        <v>0.9963666772</v>
      </c>
    </row>
    <row r="13845">
      <c r="A13845" s="6">
        <v>13843.0</v>
      </c>
      <c r="B13845" s="17">
        <f t="array" ref="B13845">SUM(1-'Sparkling Model'!D$2:D$38^A13845)</f>
        <v>36.99636389</v>
      </c>
      <c r="C13845" s="8">
        <f t="array" ref="C13845">PRODUCT(1-'Sparkling Model'!D$2:D$38^A13845)</f>
        <v>0.9963684731</v>
      </c>
    </row>
    <row r="13846">
      <c r="A13846" s="6">
        <v>13844.0</v>
      </c>
      <c r="B13846" s="17">
        <f t="array" ref="B13846">SUM(1-'Sparkling Model'!D$2:D$38^A13846)</f>
        <v>36.99636569</v>
      </c>
      <c r="C13846" s="8">
        <f t="array" ref="C13846">PRODUCT(1-'Sparkling Model'!D$2:D$38^A13846)</f>
        <v>0.9963702682</v>
      </c>
    </row>
    <row r="13847">
      <c r="A13847" s="6">
        <v>13845.0</v>
      </c>
      <c r="B13847" s="17">
        <f t="array" ref="B13847">SUM(1-'Sparkling Model'!D$2:D$38^A13847)</f>
        <v>36.99636749</v>
      </c>
      <c r="C13847" s="8">
        <f t="array" ref="C13847">PRODUCT(1-'Sparkling Model'!D$2:D$38^A13847)</f>
        <v>0.9963720623</v>
      </c>
    </row>
    <row r="13848">
      <c r="A13848" s="6">
        <v>13846.0</v>
      </c>
      <c r="B13848" s="17">
        <f t="array" ref="B13848">SUM(1-'Sparkling Model'!D$2:D$38^A13848)</f>
        <v>36.99636929</v>
      </c>
      <c r="C13848" s="8">
        <f t="array" ref="C13848">PRODUCT(1-'Sparkling Model'!D$2:D$38^A13848)</f>
        <v>0.9963738556</v>
      </c>
    </row>
    <row r="13849">
      <c r="A13849" s="6">
        <v>13847.0</v>
      </c>
      <c r="B13849" s="17">
        <f t="array" ref="B13849">SUM(1-'Sparkling Model'!D$2:D$38^A13849)</f>
        <v>36.99637108</v>
      </c>
      <c r="C13849" s="8">
        <f t="array" ref="C13849">PRODUCT(1-'Sparkling Model'!D$2:D$38^A13849)</f>
        <v>0.996375648</v>
      </c>
    </row>
    <row r="13850">
      <c r="A13850" s="6">
        <v>13848.0</v>
      </c>
      <c r="B13850" s="17">
        <f t="array" ref="B13850">SUM(1-'Sparkling Model'!D$2:D$38^A13850)</f>
        <v>36.99637288</v>
      </c>
      <c r="C13850" s="8">
        <f t="array" ref="C13850">PRODUCT(1-'Sparkling Model'!D$2:D$38^A13850)</f>
        <v>0.9963774395</v>
      </c>
    </row>
    <row r="13851">
      <c r="A13851" s="6">
        <v>13849.0</v>
      </c>
      <c r="B13851" s="17">
        <f t="array" ref="B13851">SUM(1-'Sparkling Model'!D$2:D$38^A13851)</f>
        <v>36.99637467</v>
      </c>
      <c r="C13851" s="8">
        <f t="array" ref="C13851">PRODUCT(1-'Sparkling Model'!D$2:D$38^A13851)</f>
        <v>0.9963792301</v>
      </c>
    </row>
    <row r="13852">
      <c r="A13852" s="6">
        <v>13850.0</v>
      </c>
      <c r="B13852" s="17">
        <f t="array" ref="B13852">SUM(1-'Sparkling Model'!D$2:D$38^A13852)</f>
        <v>36.99637647</v>
      </c>
      <c r="C13852" s="8">
        <f t="array" ref="C13852">PRODUCT(1-'Sparkling Model'!D$2:D$38^A13852)</f>
        <v>0.9963810199</v>
      </c>
    </row>
    <row r="13853">
      <c r="A13853" s="6">
        <v>13851.0</v>
      </c>
      <c r="B13853" s="17">
        <f t="array" ref="B13853">SUM(1-'Sparkling Model'!D$2:D$38^A13853)</f>
        <v>36.99637826</v>
      </c>
      <c r="C13853" s="8">
        <f t="array" ref="C13853">PRODUCT(1-'Sparkling Model'!D$2:D$38^A13853)</f>
        <v>0.9963828087</v>
      </c>
    </row>
    <row r="13854">
      <c r="A13854" s="6">
        <v>13852.0</v>
      </c>
      <c r="B13854" s="17">
        <f t="array" ref="B13854">SUM(1-'Sparkling Model'!D$2:D$38^A13854)</f>
        <v>36.99638005</v>
      </c>
      <c r="C13854" s="8">
        <f t="array" ref="C13854">PRODUCT(1-'Sparkling Model'!D$2:D$38^A13854)</f>
        <v>0.9963845967</v>
      </c>
    </row>
    <row r="13855">
      <c r="A13855" s="6">
        <v>13853.0</v>
      </c>
      <c r="B13855" s="17">
        <f t="array" ref="B13855">SUM(1-'Sparkling Model'!D$2:D$38^A13855)</f>
        <v>36.99638185</v>
      </c>
      <c r="C13855" s="8">
        <f t="array" ref="C13855">PRODUCT(1-'Sparkling Model'!D$2:D$38^A13855)</f>
        <v>0.9963863837</v>
      </c>
    </row>
    <row r="13856">
      <c r="A13856" s="6">
        <v>13854.0</v>
      </c>
      <c r="B13856" s="17">
        <f t="array" ref="B13856">SUM(1-'Sparkling Model'!D$2:D$38^A13856)</f>
        <v>36.99638364</v>
      </c>
      <c r="C13856" s="8">
        <f t="array" ref="C13856">PRODUCT(1-'Sparkling Model'!D$2:D$38^A13856)</f>
        <v>0.9963881699</v>
      </c>
    </row>
    <row r="13857">
      <c r="A13857" s="6">
        <v>13855.0</v>
      </c>
      <c r="B13857" s="17">
        <f t="array" ref="B13857">SUM(1-'Sparkling Model'!D$2:D$38^A13857)</f>
        <v>36.99638543</v>
      </c>
      <c r="C13857" s="8">
        <f t="array" ref="C13857">PRODUCT(1-'Sparkling Model'!D$2:D$38^A13857)</f>
        <v>0.9963899552</v>
      </c>
    </row>
    <row r="13858">
      <c r="A13858" s="6">
        <v>13856.0</v>
      </c>
      <c r="B13858" s="17">
        <f t="array" ref="B13858">SUM(1-'Sparkling Model'!D$2:D$38^A13858)</f>
        <v>36.99638721</v>
      </c>
      <c r="C13858" s="8">
        <f t="array" ref="C13858">PRODUCT(1-'Sparkling Model'!D$2:D$38^A13858)</f>
        <v>0.9963917396</v>
      </c>
    </row>
    <row r="13859">
      <c r="A13859" s="6">
        <v>13857.0</v>
      </c>
      <c r="B13859" s="17">
        <f t="array" ref="B13859">SUM(1-'Sparkling Model'!D$2:D$38^A13859)</f>
        <v>36.996389</v>
      </c>
      <c r="C13859" s="8">
        <f t="array" ref="C13859">PRODUCT(1-'Sparkling Model'!D$2:D$38^A13859)</f>
        <v>0.9963935231</v>
      </c>
    </row>
    <row r="13860">
      <c r="A13860" s="6">
        <v>13858.0</v>
      </c>
      <c r="B13860" s="17">
        <f t="array" ref="B13860">SUM(1-'Sparkling Model'!D$2:D$38^A13860)</f>
        <v>36.99639079</v>
      </c>
      <c r="C13860" s="8">
        <f t="array" ref="C13860">PRODUCT(1-'Sparkling Model'!D$2:D$38^A13860)</f>
        <v>0.9963953058</v>
      </c>
    </row>
    <row r="13861">
      <c r="A13861" s="6">
        <v>13859.0</v>
      </c>
      <c r="B13861" s="17">
        <f t="array" ref="B13861">SUM(1-'Sparkling Model'!D$2:D$38^A13861)</f>
        <v>36.99639258</v>
      </c>
      <c r="C13861" s="8">
        <f t="array" ref="C13861">PRODUCT(1-'Sparkling Model'!D$2:D$38^A13861)</f>
        <v>0.9963970875</v>
      </c>
    </row>
    <row r="13862">
      <c r="A13862" s="6">
        <v>13860.0</v>
      </c>
      <c r="B13862" s="17">
        <f t="array" ref="B13862">SUM(1-'Sparkling Model'!D$2:D$38^A13862)</f>
        <v>36.99639436</v>
      </c>
      <c r="C13862" s="8">
        <f t="array" ref="C13862">PRODUCT(1-'Sparkling Model'!D$2:D$38^A13862)</f>
        <v>0.9963988684</v>
      </c>
    </row>
    <row r="13863">
      <c r="A13863" s="6">
        <v>13861.0</v>
      </c>
      <c r="B13863" s="17">
        <f t="array" ref="B13863">SUM(1-'Sparkling Model'!D$2:D$38^A13863)</f>
        <v>36.99639615</v>
      </c>
      <c r="C13863" s="8">
        <f t="array" ref="C13863">PRODUCT(1-'Sparkling Model'!D$2:D$38^A13863)</f>
        <v>0.9964006484</v>
      </c>
    </row>
    <row r="13864">
      <c r="A13864" s="6">
        <v>13862.0</v>
      </c>
      <c r="B13864" s="17">
        <f t="array" ref="B13864">SUM(1-'Sparkling Model'!D$2:D$38^A13864)</f>
        <v>36.99639793</v>
      </c>
      <c r="C13864" s="8">
        <f t="array" ref="C13864">PRODUCT(1-'Sparkling Model'!D$2:D$38^A13864)</f>
        <v>0.9964024275</v>
      </c>
    </row>
    <row r="13865">
      <c r="A13865" s="6">
        <v>13863.0</v>
      </c>
      <c r="B13865" s="17">
        <f t="array" ref="B13865">SUM(1-'Sparkling Model'!D$2:D$38^A13865)</f>
        <v>36.99639971</v>
      </c>
      <c r="C13865" s="8">
        <f t="array" ref="C13865">PRODUCT(1-'Sparkling Model'!D$2:D$38^A13865)</f>
        <v>0.9964042057</v>
      </c>
    </row>
    <row r="13866">
      <c r="A13866" s="6">
        <v>13864.0</v>
      </c>
      <c r="B13866" s="17">
        <f t="array" ref="B13866">SUM(1-'Sparkling Model'!D$2:D$38^A13866)</f>
        <v>36.99640149</v>
      </c>
      <c r="C13866" s="8">
        <f t="array" ref="C13866">PRODUCT(1-'Sparkling Model'!D$2:D$38^A13866)</f>
        <v>0.9964059831</v>
      </c>
    </row>
    <row r="13867">
      <c r="A13867" s="6">
        <v>13865.0</v>
      </c>
      <c r="B13867" s="17">
        <f t="array" ref="B13867">SUM(1-'Sparkling Model'!D$2:D$38^A13867)</f>
        <v>36.99640327</v>
      </c>
      <c r="C13867" s="8">
        <f t="array" ref="C13867">PRODUCT(1-'Sparkling Model'!D$2:D$38^A13867)</f>
        <v>0.9964077595</v>
      </c>
    </row>
    <row r="13868">
      <c r="A13868" s="6">
        <v>13866.0</v>
      </c>
      <c r="B13868" s="17">
        <f t="array" ref="B13868">SUM(1-'Sparkling Model'!D$2:D$38^A13868)</f>
        <v>36.99640505</v>
      </c>
      <c r="C13868" s="8">
        <f t="array" ref="C13868">PRODUCT(1-'Sparkling Model'!D$2:D$38^A13868)</f>
        <v>0.9964095351</v>
      </c>
    </row>
    <row r="13869">
      <c r="A13869" s="6">
        <v>13867.0</v>
      </c>
      <c r="B13869" s="17">
        <f t="array" ref="B13869">SUM(1-'Sparkling Model'!D$2:D$38^A13869)</f>
        <v>36.99640683</v>
      </c>
      <c r="C13869" s="8">
        <f t="array" ref="C13869">PRODUCT(1-'Sparkling Model'!D$2:D$38^A13869)</f>
        <v>0.9964113098</v>
      </c>
    </row>
    <row r="13870">
      <c r="A13870" s="6">
        <v>13868.0</v>
      </c>
      <c r="B13870" s="17">
        <f t="array" ref="B13870">SUM(1-'Sparkling Model'!D$2:D$38^A13870)</f>
        <v>36.99640861</v>
      </c>
      <c r="C13870" s="8">
        <f t="array" ref="C13870">PRODUCT(1-'Sparkling Model'!D$2:D$38^A13870)</f>
        <v>0.9964130836</v>
      </c>
    </row>
    <row r="13871">
      <c r="A13871" s="6">
        <v>13869.0</v>
      </c>
      <c r="B13871" s="17">
        <f t="array" ref="B13871">SUM(1-'Sparkling Model'!D$2:D$38^A13871)</f>
        <v>36.99641039</v>
      </c>
      <c r="C13871" s="8">
        <f t="array" ref="C13871">PRODUCT(1-'Sparkling Model'!D$2:D$38^A13871)</f>
        <v>0.9964148566</v>
      </c>
    </row>
    <row r="13872">
      <c r="A13872" s="6">
        <v>13870.0</v>
      </c>
      <c r="B13872" s="17">
        <f t="array" ref="B13872">SUM(1-'Sparkling Model'!D$2:D$38^A13872)</f>
        <v>36.99641217</v>
      </c>
      <c r="C13872" s="8">
        <f t="array" ref="C13872">PRODUCT(1-'Sparkling Model'!D$2:D$38^A13872)</f>
        <v>0.9964166287</v>
      </c>
    </row>
    <row r="13873">
      <c r="A13873" s="6">
        <v>13871.0</v>
      </c>
      <c r="B13873" s="17">
        <f t="array" ref="B13873">SUM(1-'Sparkling Model'!D$2:D$38^A13873)</f>
        <v>36.99641394</v>
      </c>
      <c r="C13873" s="8">
        <f t="array" ref="C13873">PRODUCT(1-'Sparkling Model'!D$2:D$38^A13873)</f>
        <v>0.9964183998</v>
      </c>
    </row>
    <row r="13874">
      <c r="A13874" s="6">
        <v>13872.0</v>
      </c>
      <c r="B13874" s="17">
        <f t="array" ref="B13874">SUM(1-'Sparkling Model'!D$2:D$38^A13874)</f>
        <v>36.99641572</v>
      </c>
      <c r="C13874" s="8">
        <f t="array" ref="C13874">PRODUCT(1-'Sparkling Model'!D$2:D$38^A13874)</f>
        <v>0.9964201701</v>
      </c>
    </row>
    <row r="13875">
      <c r="A13875" s="6">
        <v>13873.0</v>
      </c>
      <c r="B13875" s="17">
        <f t="array" ref="B13875">SUM(1-'Sparkling Model'!D$2:D$38^A13875)</f>
        <v>36.99641749</v>
      </c>
      <c r="C13875" s="8">
        <f t="array" ref="C13875">PRODUCT(1-'Sparkling Model'!D$2:D$38^A13875)</f>
        <v>0.9964219396</v>
      </c>
    </row>
    <row r="13876">
      <c r="A13876" s="6">
        <v>13874.0</v>
      </c>
      <c r="B13876" s="17">
        <f t="array" ref="B13876">SUM(1-'Sparkling Model'!D$2:D$38^A13876)</f>
        <v>36.99641926</v>
      </c>
      <c r="C13876" s="8">
        <f t="array" ref="C13876">PRODUCT(1-'Sparkling Model'!D$2:D$38^A13876)</f>
        <v>0.9964237081</v>
      </c>
    </row>
    <row r="13877">
      <c r="A13877" s="6">
        <v>13875.0</v>
      </c>
      <c r="B13877" s="17">
        <f t="array" ref="B13877">SUM(1-'Sparkling Model'!D$2:D$38^A13877)</f>
        <v>36.99642104</v>
      </c>
      <c r="C13877" s="8">
        <f t="array" ref="C13877">PRODUCT(1-'Sparkling Model'!D$2:D$38^A13877)</f>
        <v>0.9964254758</v>
      </c>
    </row>
    <row r="13878">
      <c r="A13878" s="6">
        <v>13876.0</v>
      </c>
      <c r="B13878" s="17">
        <f t="array" ref="B13878">SUM(1-'Sparkling Model'!D$2:D$38^A13878)</f>
        <v>36.99642281</v>
      </c>
      <c r="C13878" s="8">
        <f t="array" ref="C13878">PRODUCT(1-'Sparkling Model'!D$2:D$38^A13878)</f>
        <v>0.9964272426</v>
      </c>
    </row>
    <row r="13879">
      <c r="A13879" s="6">
        <v>13877.0</v>
      </c>
      <c r="B13879" s="17">
        <f t="array" ref="B13879">SUM(1-'Sparkling Model'!D$2:D$38^A13879)</f>
        <v>36.99642458</v>
      </c>
      <c r="C13879" s="8">
        <f t="array" ref="C13879">PRODUCT(1-'Sparkling Model'!D$2:D$38^A13879)</f>
        <v>0.9964290085</v>
      </c>
    </row>
    <row r="13880">
      <c r="A13880" s="6">
        <v>13878.0</v>
      </c>
      <c r="B13880" s="17">
        <f t="array" ref="B13880">SUM(1-'Sparkling Model'!D$2:D$38^A13880)</f>
        <v>36.99642635</v>
      </c>
      <c r="C13880" s="8">
        <f t="array" ref="C13880">PRODUCT(1-'Sparkling Model'!D$2:D$38^A13880)</f>
        <v>0.9964307736</v>
      </c>
    </row>
    <row r="13881">
      <c r="A13881" s="6">
        <v>13879.0</v>
      </c>
      <c r="B13881" s="17">
        <f t="array" ref="B13881">SUM(1-'Sparkling Model'!D$2:D$38^A13881)</f>
        <v>36.99642812</v>
      </c>
      <c r="C13881" s="8">
        <f t="array" ref="C13881">PRODUCT(1-'Sparkling Model'!D$2:D$38^A13881)</f>
        <v>0.9964325378</v>
      </c>
    </row>
    <row r="13882">
      <c r="A13882" s="6">
        <v>13880.0</v>
      </c>
      <c r="B13882" s="17">
        <f t="array" ref="B13882">SUM(1-'Sparkling Model'!D$2:D$38^A13882)</f>
        <v>36.99642988</v>
      </c>
      <c r="C13882" s="8">
        <f t="array" ref="C13882">PRODUCT(1-'Sparkling Model'!D$2:D$38^A13882)</f>
        <v>0.9964343011</v>
      </c>
    </row>
    <row r="13883">
      <c r="A13883" s="6">
        <v>13881.0</v>
      </c>
      <c r="B13883" s="17">
        <f t="array" ref="B13883">SUM(1-'Sparkling Model'!D$2:D$38^A13883)</f>
        <v>36.99643165</v>
      </c>
      <c r="C13883" s="8">
        <f t="array" ref="C13883">PRODUCT(1-'Sparkling Model'!D$2:D$38^A13883)</f>
        <v>0.9964360635</v>
      </c>
    </row>
    <row r="13884">
      <c r="A13884" s="6">
        <v>13882.0</v>
      </c>
      <c r="B13884" s="17">
        <f t="array" ref="B13884">SUM(1-'Sparkling Model'!D$2:D$38^A13884)</f>
        <v>36.99643342</v>
      </c>
      <c r="C13884" s="8">
        <f t="array" ref="C13884">PRODUCT(1-'Sparkling Model'!D$2:D$38^A13884)</f>
        <v>0.996437825</v>
      </c>
    </row>
    <row r="13885">
      <c r="A13885" s="6">
        <v>13883.0</v>
      </c>
      <c r="B13885" s="17">
        <f t="array" ref="B13885">SUM(1-'Sparkling Model'!D$2:D$38^A13885)</f>
        <v>36.99643518</v>
      </c>
      <c r="C13885" s="8">
        <f t="array" ref="C13885">PRODUCT(1-'Sparkling Model'!D$2:D$38^A13885)</f>
        <v>0.9964395857</v>
      </c>
    </row>
    <row r="13886">
      <c r="A13886" s="6">
        <v>13884.0</v>
      </c>
      <c r="B13886" s="17">
        <f t="array" ref="B13886">SUM(1-'Sparkling Model'!D$2:D$38^A13886)</f>
        <v>36.99643694</v>
      </c>
      <c r="C13886" s="8">
        <f t="array" ref="C13886">PRODUCT(1-'Sparkling Model'!D$2:D$38^A13886)</f>
        <v>0.9964413455</v>
      </c>
    </row>
    <row r="13887">
      <c r="A13887" s="6">
        <v>13885.0</v>
      </c>
      <c r="B13887" s="17">
        <f t="array" ref="B13887">SUM(1-'Sparkling Model'!D$2:D$38^A13887)</f>
        <v>36.99643871</v>
      </c>
      <c r="C13887" s="8">
        <f t="array" ref="C13887">PRODUCT(1-'Sparkling Model'!D$2:D$38^A13887)</f>
        <v>0.9964431044</v>
      </c>
    </row>
    <row r="13888">
      <c r="A13888" s="6">
        <v>13886.0</v>
      </c>
      <c r="B13888" s="17">
        <f t="array" ref="B13888">SUM(1-'Sparkling Model'!D$2:D$38^A13888)</f>
        <v>36.99644047</v>
      </c>
      <c r="C13888" s="8">
        <f t="array" ref="C13888">PRODUCT(1-'Sparkling Model'!D$2:D$38^A13888)</f>
        <v>0.9964448625</v>
      </c>
    </row>
    <row r="13889">
      <c r="A13889" s="6">
        <v>13887.0</v>
      </c>
      <c r="B13889" s="17">
        <f t="array" ref="B13889">SUM(1-'Sparkling Model'!D$2:D$38^A13889)</f>
        <v>36.99644223</v>
      </c>
      <c r="C13889" s="8">
        <f t="array" ref="C13889">PRODUCT(1-'Sparkling Model'!D$2:D$38^A13889)</f>
        <v>0.9964466197</v>
      </c>
    </row>
    <row r="13890">
      <c r="A13890" s="6">
        <v>13888.0</v>
      </c>
      <c r="B13890" s="17">
        <f t="array" ref="B13890">SUM(1-'Sparkling Model'!D$2:D$38^A13890)</f>
        <v>36.99644399</v>
      </c>
      <c r="C13890" s="8">
        <f t="array" ref="C13890">PRODUCT(1-'Sparkling Model'!D$2:D$38^A13890)</f>
        <v>0.996448376</v>
      </c>
    </row>
    <row r="13891">
      <c r="A13891" s="6">
        <v>13889.0</v>
      </c>
      <c r="B13891" s="17">
        <f t="array" ref="B13891">SUM(1-'Sparkling Model'!D$2:D$38^A13891)</f>
        <v>36.99644575</v>
      </c>
      <c r="C13891" s="8">
        <f t="array" ref="C13891">PRODUCT(1-'Sparkling Model'!D$2:D$38^A13891)</f>
        <v>0.9964501315</v>
      </c>
    </row>
    <row r="13892">
      <c r="A13892" s="6">
        <v>13890.0</v>
      </c>
      <c r="B13892" s="17">
        <f t="array" ref="B13892">SUM(1-'Sparkling Model'!D$2:D$38^A13892)</f>
        <v>36.99644751</v>
      </c>
      <c r="C13892" s="8">
        <f t="array" ref="C13892">PRODUCT(1-'Sparkling Model'!D$2:D$38^A13892)</f>
        <v>0.996451886</v>
      </c>
    </row>
    <row r="13893">
      <c r="A13893" s="6">
        <v>13891.0</v>
      </c>
      <c r="B13893" s="17">
        <f t="array" ref="B13893">SUM(1-'Sparkling Model'!D$2:D$38^A13893)</f>
        <v>36.99644927</v>
      </c>
      <c r="C13893" s="8">
        <f t="array" ref="C13893">PRODUCT(1-'Sparkling Model'!D$2:D$38^A13893)</f>
        <v>0.9964536397</v>
      </c>
    </row>
    <row r="13894">
      <c r="A13894" s="6">
        <v>13892.0</v>
      </c>
      <c r="B13894" s="17">
        <f t="array" ref="B13894">SUM(1-'Sparkling Model'!D$2:D$38^A13894)</f>
        <v>36.99645103</v>
      </c>
      <c r="C13894" s="8">
        <f t="array" ref="C13894">PRODUCT(1-'Sparkling Model'!D$2:D$38^A13894)</f>
        <v>0.9964553926</v>
      </c>
    </row>
    <row r="13895">
      <c r="A13895" s="6">
        <v>13893.0</v>
      </c>
      <c r="B13895" s="17">
        <f t="array" ref="B13895">SUM(1-'Sparkling Model'!D$2:D$38^A13895)</f>
        <v>36.99645278</v>
      </c>
      <c r="C13895" s="8">
        <f t="array" ref="C13895">PRODUCT(1-'Sparkling Model'!D$2:D$38^A13895)</f>
        <v>0.9964571446</v>
      </c>
    </row>
    <row r="13896">
      <c r="A13896" s="6">
        <v>13894.0</v>
      </c>
      <c r="B13896" s="17">
        <f t="array" ref="B13896">SUM(1-'Sparkling Model'!D$2:D$38^A13896)</f>
        <v>36.99645454</v>
      </c>
      <c r="C13896" s="8">
        <f t="array" ref="C13896">PRODUCT(1-'Sparkling Model'!D$2:D$38^A13896)</f>
        <v>0.9964588957</v>
      </c>
    </row>
    <row r="13897">
      <c r="A13897" s="6">
        <v>13895.0</v>
      </c>
      <c r="B13897" s="17">
        <f t="array" ref="B13897">SUM(1-'Sparkling Model'!D$2:D$38^A13897)</f>
        <v>36.99645629</v>
      </c>
      <c r="C13897" s="8">
        <f t="array" ref="C13897">PRODUCT(1-'Sparkling Model'!D$2:D$38^A13897)</f>
        <v>0.9964606459</v>
      </c>
    </row>
    <row r="13898">
      <c r="A13898" s="6">
        <v>13896.0</v>
      </c>
      <c r="B13898" s="17">
        <f t="array" ref="B13898">SUM(1-'Sparkling Model'!D$2:D$38^A13898)</f>
        <v>36.99645805</v>
      </c>
      <c r="C13898" s="8">
        <f t="array" ref="C13898">PRODUCT(1-'Sparkling Model'!D$2:D$38^A13898)</f>
        <v>0.9964623952</v>
      </c>
    </row>
    <row r="13899">
      <c r="A13899" s="6">
        <v>13897.0</v>
      </c>
      <c r="B13899" s="17">
        <f t="array" ref="B13899">SUM(1-'Sparkling Model'!D$2:D$38^A13899)</f>
        <v>36.9964598</v>
      </c>
      <c r="C13899" s="8">
        <f t="array" ref="C13899">PRODUCT(1-'Sparkling Model'!D$2:D$38^A13899)</f>
        <v>0.9964641437</v>
      </c>
    </row>
    <row r="13900">
      <c r="A13900" s="6">
        <v>13898.0</v>
      </c>
      <c r="B13900" s="17">
        <f t="array" ref="B13900">SUM(1-'Sparkling Model'!D$2:D$38^A13900)</f>
        <v>36.99646155</v>
      </c>
      <c r="C13900" s="8">
        <f t="array" ref="C13900">PRODUCT(1-'Sparkling Model'!D$2:D$38^A13900)</f>
        <v>0.9964658914</v>
      </c>
    </row>
    <row r="13901">
      <c r="A13901" s="6">
        <v>13899.0</v>
      </c>
      <c r="B13901" s="17">
        <f t="array" ref="B13901">SUM(1-'Sparkling Model'!D$2:D$38^A13901)</f>
        <v>36.9964633</v>
      </c>
      <c r="C13901" s="8">
        <f t="array" ref="C13901">PRODUCT(1-'Sparkling Model'!D$2:D$38^A13901)</f>
        <v>0.9964676381</v>
      </c>
    </row>
    <row r="13902">
      <c r="A13902" s="6">
        <v>13900.0</v>
      </c>
      <c r="B13902" s="17">
        <f t="array" ref="B13902">SUM(1-'Sparkling Model'!D$2:D$38^A13902)</f>
        <v>36.99646505</v>
      </c>
      <c r="C13902" s="8">
        <f t="array" ref="C13902">PRODUCT(1-'Sparkling Model'!D$2:D$38^A13902)</f>
        <v>0.996469384</v>
      </c>
    </row>
    <row r="13903">
      <c r="A13903" s="6">
        <v>13901.0</v>
      </c>
      <c r="B13903" s="17">
        <f t="array" ref="B13903">SUM(1-'Sparkling Model'!D$2:D$38^A13903)</f>
        <v>36.9964668</v>
      </c>
      <c r="C13903" s="8">
        <f t="array" ref="C13903">PRODUCT(1-'Sparkling Model'!D$2:D$38^A13903)</f>
        <v>0.9964711291</v>
      </c>
    </row>
    <row r="13904">
      <c r="A13904" s="6">
        <v>13902.0</v>
      </c>
      <c r="B13904" s="17">
        <f t="array" ref="B13904">SUM(1-'Sparkling Model'!D$2:D$38^A13904)</f>
        <v>36.99646855</v>
      </c>
      <c r="C13904" s="8">
        <f t="array" ref="C13904">PRODUCT(1-'Sparkling Model'!D$2:D$38^A13904)</f>
        <v>0.9964728732</v>
      </c>
    </row>
    <row r="13905">
      <c r="A13905" s="6">
        <v>13903.0</v>
      </c>
      <c r="B13905" s="17">
        <f t="array" ref="B13905">SUM(1-'Sparkling Model'!D$2:D$38^A13905)</f>
        <v>36.9964703</v>
      </c>
      <c r="C13905" s="8">
        <f t="array" ref="C13905">PRODUCT(1-'Sparkling Model'!D$2:D$38^A13905)</f>
        <v>0.9964746165</v>
      </c>
    </row>
    <row r="13906">
      <c r="A13906" s="6">
        <v>13904.0</v>
      </c>
      <c r="B13906" s="17">
        <f t="array" ref="B13906">SUM(1-'Sparkling Model'!D$2:D$38^A13906)</f>
        <v>36.99647205</v>
      </c>
      <c r="C13906" s="8">
        <f t="array" ref="C13906">PRODUCT(1-'Sparkling Model'!D$2:D$38^A13906)</f>
        <v>0.996476359</v>
      </c>
    </row>
    <row r="13907">
      <c r="A13907" s="6">
        <v>13905.0</v>
      </c>
      <c r="B13907" s="17">
        <f t="array" ref="B13907">SUM(1-'Sparkling Model'!D$2:D$38^A13907)</f>
        <v>36.99647379</v>
      </c>
      <c r="C13907" s="8">
        <f t="array" ref="C13907">PRODUCT(1-'Sparkling Model'!D$2:D$38^A13907)</f>
        <v>0.9964781006</v>
      </c>
    </row>
    <row r="13908">
      <c r="A13908" s="6">
        <v>13906.0</v>
      </c>
      <c r="B13908" s="17">
        <f t="array" ref="B13908">SUM(1-'Sparkling Model'!D$2:D$38^A13908)</f>
        <v>36.99647554</v>
      </c>
      <c r="C13908" s="8">
        <f t="array" ref="C13908">PRODUCT(1-'Sparkling Model'!D$2:D$38^A13908)</f>
        <v>0.9964798413</v>
      </c>
    </row>
    <row r="13909">
      <c r="A13909" s="6">
        <v>13907.0</v>
      </c>
      <c r="B13909" s="17">
        <f t="array" ref="B13909">SUM(1-'Sparkling Model'!D$2:D$38^A13909)</f>
        <v>36.99647728</v>
      </c>
      <c r="C13909" s="8">
        <f t="array" ref="C13909">PRODUCT(1-'Sparkling Model'!D$2:D$38^A13909)</f>
        <v>0.9964815811</v>
      </c>
    </row>
    <row r="13910">
      <c r="A13910" s="6">
        <v>13908.0</v>
      </c>
      <c r="B13910" s="17">
        <f t="array" ref="B13910">SUM(1-'Sparkling Model'!D$2:D$38^A13910)</f>
        <v>36.99647902</v>
      </c>
      <c r="C13910" s="8">
        <f t="array" ref="C13910">PRODUCT(1-'Sparkling Model'!D$2:D$38^A13910)</f>
        <v>0.9964833201</v>
      </c>
    </row>
    <row r="13911">
      <c r="A13911" s="6">
        <v>13909.0</v>
      </c>
      <c r="B13911" s="17">
        <f t="array" ref="B13911">SUM(1-'Sparkling Model'!D$2:D$38^A13911)</f>
        <v>36.99648077</v>
      </c>
      <c r="C13911" s="8">
        <f t="array" ref="C13911">PRODUCT(1-'Sparkling Model'!D$2:D$38^A13911)</f>
        <v>0.9964850582</v>
      </c>
    </row>
    <row r="13912">
      <c r="A13912" s="6">
        <v>13910.0</v>
      </c>
      <c r="B13912" s="17">
        <f t="array" ref="B13912">SUM(1-'Sparkling Model'!D$2:D$38^A13912)</f>
        <v>36.99648251</v>
      </c>
      <c r="C13912" s="8">
        <f t="array" ref="C13912">PRODUCT(1-'Sparkling Model'!D$2:D$38^A13912)</f>
        <v>0.9964867955</v>
      </c>
    </row>
    <row r="13913">
      <c r="A13913" s="6">
        <v>13911.0</v>
      </c>
      <c r="B13913" s="17">
        <f t="array" ref="B13913">SUM(1-'Sparkling Model'!D$2:D$38^A13913)</f>
        <v>36.99648425</v>
      </c>
      <c r="C13913" s="8">
        <f t="array" ref="C13913">PRODUCT(1-'Sparkling Model'!D$2:D$38^A13913)</f>
        <v>0.9964885319</v>
      </c>
    </row>
    <row r="13914">
      <c r="A13914" s="6">
        <v>13912.0</v>
      </c>
      <c r="B13914" s="17">
        <f t="array" ref="B13914">SUM(1-'Sparkling Model'!D$2:D$38^A13914)</f>
        <v>36.99648599</v>
      </c>
      <c r="C13914" s="8">
        <f t="array" ref="C13914">PRODUCT(1-'Sparkling Model'!D$2:D$38^A13914)</f>
        <v>0.9964902674</v>
      </c>
    </row>
    <row r="13915">
      <c r="A13915" s="6">
        <v>13913.0</v>
      </c>
      <c r="B13915" s="17">
        <f t="array" ref="B13915">SUM(1-'Sparkling Model'!D$2:D$38^A13915)</f>
        <v>36.99648773</v>
      </c>
      <c r="C13915" s="8">
        <f t="array" ref="C13915">PRODUCT(1-'Sparkling Model'!D$2:D$38^A13915)</f>
        <v>0.9964920021</v>
      </c>
    </row>
    <row r="13916">
      <c r="A13916" s="6">
        <v>13914.0</v>
      </c>
      <c r="B13916" s="17">
        <f t="array" ref="B13916">SUM(1-'Sparkling Model'!D$2:D$38^A13916)</f>
        <v>36.99648946</v>
      </c>
      <c r="C13916" s="8">
        <f t="array" ref="C13916">PRODUCT(1-'Sparkling Model'!D$2:D$38^A13916)</f>
        <v>0.9964937359</v>
      </c>
    </row>
    <row r="13917">
      <c r="A13917" s="6">
        <v>13915.0</v>
      </c>
      <c r="B13917" s="17">
        <f t="array" ref="B13917">SUM(1-'Sparkling Model'!D$2:D$38^A13917)</f>
        <v>36.9964912</v>
      </c>
      <c r="C13917" s="8">
        <f t="array" ref="C13917">PRODUCT(1-'Sparkling Model'!D$2:D$38^A13917)</f>
        <v>0.9964954689</v>
      </c>
    </row>
    <row r="13918">
      <c r="A13918" s="6">
        <v>13916.0</v>
      </c>
      <c r="B13918" s="17">
        <f t="array" ref="B13918">SUM(1-'Sparkling Model'!D$2:D$38^A13918)</f>
        <v>36.99649294</v>
      </c>
      <c r="C13918" s="8">
        <f t="array" ref="C13918">PRODUCT(1-'Sparkling Model'!D$2:D$38^A13918)</f>
        <v>0.996497201</v>
      </c>
    </row>
    <row r="13919">
      <c r="A13919" s="6">
        <v>13917.0</v>
      </c>
      <c r="B13919" s="17">
        <f t="array" ref="B13919">SUM(1-'Sparkling Model'!D$2:D$38^A13919)</f>
        <v>36.99649467</v>
      </c>
      <c r="C13919" s="8">
        <f t="array" ref="C13919">PRODUCT(1-'Sparkling Model'!D$2:D$38^A13919)</f>
        <v>0.9964989322</v>
      </c>
    </row>
    <row r="13920">
      <c r="A13920" s="6">
        <v>13918.0</v>
      </c>
      <c r="B13920" s="17">
        <f t="array" ref="B13920">SUM(1-'Sparkling Model'!D$2:D$38^A13920)</f>
        <v>36.99649641</v>
      </c>
      <c r="C13920" s="8">
        <f t="array" ref="C13920">PRODUCT(1-'Sparkling Model'!D$2:D$38^A13920)</f>
        <v>0.9965006626</v>
      </c>
    </row>
    <row r="13921">
      <c r="A13921" s="6">
        <v>13919.0</v>
      </c>
      <c r="B13921" s="17">
        <f t="array" ref="B13921">SUM(1-'Sparkling Model'!D$2:D$38^A13921)</f>
        <v>36.99649814</v>
      </c>
      <c r="C13921" s="8">
        <f t="array" ref="C13921">PRODUCT(1-'Sparkling Model'!D$2:D$38^A13921)</f>
        <v>0.9965023922</v>
      </c>
    </row>
    <row r="13922">
      <c r="A13922" s="6">
        <v>13920.0</v>
      </c>
      <c r="B13922" s="17">
        <f t="array" ref="B13922">SUM(1-'Sparkling Model'!D$2:D$38^A13922)</f>
        <v>36.99649988</v>
      </c>
      <c r="C13922" s="8">
        <f t="array" ref="C13922">PRODUCT(1-'Sparkling Model'!D$2:D$38^A13922)</f>
        <v>0.9965041208</v>
      </c>
    </row>
    <row r="13923">
      <c r="A13923" s="6">
        <v>13921.0</v>
      </c>
      <c r="B13923" s="17">
        <f t="array" ref="B13923">SUM(1-'Sparkling Model'!D$2:D$38^A13923)</f>
        <v>36.99650161</v>
      </c>
      <c r="C13923" s="8">
        <f t="array" ref="C13923">PRODUCT(1-'Sparkling Model'!D$2:D$38^A13923)</f>
        <v>0.9965058486</v>
      </c>
    </row>
    <row r="13924">
      <c r="A13924" s="6">
        <v>13922.0</v>
      </c>
      <c r="B13924" s="17">
        <f t="array" ref="B13924">SUM(1-'Sparkling Model'!D$2:D$38^A13924)</f>
        <v>36.99650334</v>
      </c>
      <c r="C13924" s="8">
        <f t="array" ref="C13924">PRODUCT(1-'Sparkling Model'!D$2:D$38^A13924)</f>
        <v>0.9965075756</v>
      </c>
    </row>
    <row r="13925">
      <c r="A13925" s="6">
        <v>13923.0</v>
      </c>
      <c r="B13925" s="17">
        <f t="array" ref="B13925">SUM(1-'Sparkling Model'!D$2:D$38^A13925)</f>
        <v>36.99650507</v>
      </c>
      <c r="C13925" s="8">
        <f t="array" ref="C13925">PRODUCT(1-'Sparkling Model'!D$2:D$38^A13925)</f>
        <v>0.9965093017</v>
      </c>
    </row>
    <row r="13926">
      <c r="A13926" s="6">
        <v>13924.0</v>
      </c>
      <c r="B13926" s="17">
        <f t="array" ref="B13926">SUM(1-'Sparkling Model'!D$2:D$38^A13926)</f>
        <v>36.9965068</v>
      </c>
      <c r="C13926" s="8">
        <f t="array" ref="C13926">PRODUCT(1-'Sparkling Model'!D$2:D$38^A13926)</f>
        <v>0.9965110269</v>
      </c>
    </row>
    <row r="13927">
      <c r="A13927" s="6">
        <v>13925.0</v>
      </c>
      <c r="B13927" s="17">
        <f t="array" ref="B13927">SUM(1-'Sparkling Model'!D$2:D$38^A13927)</f>
        <v>36.99650853</v>
      </c>
      <c r="C13927" s="8">
        <f t="array" ref="C13927">PRODUCT(1-'Sparkling Model'!D$2:D$38^A13927)</f>
        <v>0.9965127513</v>
      </c>
    </row>
    <row r="13928">
      <c r="A13928" s="6">
        <v>13926.0</v>
      </c>
      <c r="B13928" s="17">
        <f t="array" ref="B13928">SUM(1-'Sparkling Model'!D$2:D$38^A13928)</f>
        <v>36.99651025</v>
      </c>
      <c r="C13928" s="8">
        <f t="array" ref="C13928">PRODUCT(1-'Sparkling Model'!D$2:D$38^A13928)</f>
        <v>0.9965144749</v>
      </c>
    </row>
    <row r="13929">
      <c r="A13929" s="6">
        <v>13927.0</v>
      </c>
      <c r="B13929" s="17">
        <f t="array" ref="B13929">SUM(1-'Sparkling Model'!D$2:D$38^A13929)</f>
        <v>36.99651198</v>
      </c>
      <c r="C13929" s="8">
        <f t="array" ref="C13929">PRODUCT(1-'Sparkling Model'!D$2:D$38^A13929)</f>
        <v>0.9965161975</v>
      </c>
    </row>
    <row r="13930">
      <c r="A13930" s="6">
        <v>13928.0</v>
      </c>
      <c r="B13930" s="17">
        <f t="array" ref="B13930">SUM(1-'Sparkling Model'!D$2:D$38^A13930)</f>
        <v>36.99651371</v>
      </c>
      <c r="C13930" s="8">
        <f t="array" ref="C13930">PRODUCT(1-'Sparkling Model'!D$2:D$38^A13930)</f>
        <v>0.9965179194</v>
      </c>
    </row>
    <row r="13931">
      <c r="A13931" s="6">
        <v>13929.0</v>
      </c>
      <c r="B13931" s="17">
        <f t="array" ref="B13931">SUM(1-'Sparkling Model'!D$2:D$38^A13931)</f>
        <v>36.99651543</v>
      </c>
      <c r="C13931" s="8">
        <f t="array" ref="C13931">PRODUCT(1-'Sparkling Model'!D$2:D$38^A13931)</f>
        <v>0.9965196403</v>
      </c>
    </row>
    <row r="13932">
      <c r="A13932" s="6">
        <v>13930.0</v>
      </c>
      <c r="B13932" s="17">
        <f t="array" ref="B13932">SUM(1-'Sparkling Model'!D$2:D$38^A13932)</f>
        <v>36.99651716</v>
      </c>
      <c r="C13932" s="8">
        <f t="array" ref="C13932">PRODUCT(1-'Sparkling Model'!D$2:D$38^A13932)</f>
        <v>0.9965213605</v>
      </c>
    </row>
    <row r="13933">
      <c r="A13933" s="6">
        <v>13931.0</v>
      </c>
      <c r="B13933" s="17">
        <f t="array" ref="B13933">SUM(1-'Sparkling Model'!D$2:D$38^A13933)</f>
        <v>36.99651888</v>
      </c>
      <c r="C13933" s="8">
        <f t="array" ref="C13933">PRODUCT(1-'Sparkling Model'!D$2:D$38^A13933)</f>
        <v>0.9965230797</v>
      </c>
    </row>
    <row r="13934">
      <c r="A13934" s="6">
        <v>13932.0</v>
      </c>
      <c r="B13934" s="17">
        <f t="array" ref="B13934">SUM(1-'Sparkling Model'!D$2:D$38^A13934)</f>
        <v>36.9965206</v>
      </c>
      <c r="C13934" s="8">
        <f t="array" ref="C13934">PRODUCT(1-'Sparkling Model'!D$2:D$38^A13934)</f>
        <v>0.9965247982</v>
      </c>
    </row>
    <row r="13935">
      <c r="A13935" s="6">
        <v>13933.0</v>
      </c>
      <c r="B13935" s="17">
        <f t="array" ref="B13935">SUM(1-'Sparkling Model'!D$2:D$38^A13935)</f>
        <v>36.99652232</v>
      </c>
      <c r="C13935" s="8">
        <f t="array" ref="C13935">PRODUCT(1-'Sparkling Model'!D$2:D$38^A13935)</f>
        <v>0.9965265157</v>
      </c>
    </row>
    <row r="13936">
      <c r="A13936" s="6">
        <v>13934.0</v>
      </c>
      <c r="B13936" s="17">
        <f t="array" ref="B13936">SUM(1-'Sparkling Model'!D$2:D$38^A13936)</f>
        <v>36.99652405</v>
      </c>
      <c r="C13936" s="8">
        <f t="array" ref="C13936">PRODUCT(1-'Sparkling Model'!D$2:D$38^A13936)</f>
        <v>0.9965282324</v>
      </c>
    </row>
    <row r="13937">
      <c r="A13937" s="6">
        <v>13935.0</v>
      </c>
      <c r="B13937" s="17">
        <f t="array" ref="B13937">SUM(1-'Sparkling Model'!D$2:D$38^A13937)</f>
        <v>36.99652577</v>
      </c>
      <c r="C13937" s="8">
        <f t="array" ref="C13937">PRODUCT(1-'Sparkling Model'!D$2:D$38^A13937)</f>
        <v>0.9965299483</v>
      </c>
    </row>
    <row r="13938">
      <c r="A13938" s="6">
        <v>13936.0</v>
      </c>
      <c r="B13938" s="17">
        <f t="array" ref="B13938">SUM(1-'Sparkling Model'!D$2:D$38^A13938)</f>
        <v>36.99652748</v>
      </c>
      <c r="C13938" s="8">
        <f t="array" ref="C13938">PRODUCT(1-'Sparkling Model'!D$2:D$38^A13938)</f>
        <v>0.9965316633</v>
      </c>
    </row>
    <row r="13939">
      <c r="A13939" s="6">
        <v>13937.0</v>
      </c>
      <c r="B13939" s="17">
        <f t="array" ref="B13939">SUM(1-'Sparkling Model'!D$2:D$38^A13939)</f>
        <v>36.9965292</v>
      </c>
      <c r="C13939" s="8">
        <f t="array" ref="C13939">PRODUCT(1-'Sparkling Model'!D$2:D$38^A13939)</f>
        <v>0.9965333775</v>
      </c>
    </row>
    <row r="13940">
      <c r="A13940" s="6">
        <v>13938.0</v>
      </c>
      <c r="B13940" s="17">
        <f t="array" ref="B13940">SUM(1-'Sparkling Model'!D$2:D$38^A13940)</f>
        <v>36.99653092</v>
      </c>
      <c r="C13940" s="8">
        <f t="array" ref="C13940">PRODUCT(1-'Sparkling Model'!D$2:D$38^A13940)</f>
        <v>0.9965350908</v>
      </c>
    </row>
    <row r="13941">
      <c r="A13941" s="6">
        <v>13939.0</v>
      </c>
      <c r="B13941" s="17">
        <f t="array" ref="B13941">SUM(1-'Sparkling Model'!D$2:D$38^A13941)</f>
        <v>36.99653264</v>
      </c>
      <c r="C13941" s="8">
        <f t="array" ref="C13941">PRODUCT(1-'Sparkling Model'!D$2:D$38^A13941)</f>
        <v>0.9965368032</v>
      </c>
    </row>
    <row r="13942">
      <c r="A13942" s="6">
        <v>13940.0</v>
      </c>
      <c r="B13942" s="17">
        <f t="array" ref="B13942">SUM(1-'Sparkling Model'!D$2:D$38^A13942)</f>
        <v>36.99653435</v>
      </c>
      <c r="C13942" s="8">
        <f t="array" ref="C13942">PRODUCT(1-'Sparkling Model'!D$2:D$38^A13942)</f>
        <v>0.9965385148</v>
      </c>
    </row>
    <row r="13943">
      <c r="A13943" s="6">
        <v>13941.0</v>
      </c>
      <c r="B13943" s="17">
        <f t="array" ref="B13943">SUM(1-'Sparkling Model'!D$2:D$38^A13943)</f>
        <v>36.99653607</v>
      </c>
      <c r="C13943" s="8">
        <f t="array" ref="C13943">PRODUCT(1-'Sparkling Model'!D$2:D$38^A13943)</f>
        <v>0.9965402256</v>
      </c>
    </row>
    <row r="13944">
      <c r="A13944" s="6">
        <v>13942.0</v>
      </c>
      <c r="B13944" s="17">
        <f t="array" ref="B13944">SUM(1-'Sparkling Model'!D$2:D$38^A13944)</f>
        <v>36.99653778</v>
      </c>
      <c r="C13944" s="8">
        <f t="array" ref="C13944">PRODUCT(1-'Sparkling Model'!D$2:D$38^A13944)</f>
        <v>0.9965419355</v>
      </c>
    </row>
    <row r="13945">
      <c r="A13945" s="6">
        <v>13943.0</v>
      </c>
      <c r="B13945" s="17">
        <f t="array" ref="B13945">SUM(1-'Sparkling Model'!D$2:D$38^A13945)</f>
        <v>36.99653949</v>
      </c>
      <c r="C13945" s="8">
        <f t="array" ref="C13945">PRODUCT(1-'Sparkling Model'!D$2:D$38^A13945)</f>
        <v>0.9965436446</v>
      </c>
    </row>
    <row r="13946">
      <c r="A13946" s="6">
        <v>13944.0</v>
      </c>
      <c r="B13946" s="17">
        <f t="array" ref="B13946">SUM(1-'Sparkling Model'!D$2:D$38^A13946)</f>
        <v>36.99654121</v>
      </c>
      <c r="C13946" s="8">
        <f t="array" ref="C13946">PRODUCT(1-'Sparkling Model'!D$2:D$38^A13946)</f>
        <v>0.9965453528</v>
      </c>
    </row>
    <row r="13947">
      <c r="A13947" s="6">
        <v>13945.0</v>
      </c>
      <c r="B13947" s="17">
        <f t="array" ref="B13947">SUM(1-'Sparkling Model'!D$2:D$38^A13947)</f>
        <v>36.99654292</v>
      </c>
      <c r="C13947" s="8">
        <f t="array" ref="C13947">PRODUCT(1-'Sparkling Model'!D$2:D$38^A13947)</f>
        <v>0.9965470602</v>
      </c>
    </row>
    <row r="13948">
      <c r="A13948" s="6">
        <v>13946.0</v>
      </c>
      <c r="B13948" s="17">
        <f t="array" ref="B13948">SUM(1-'Sparkling Model'!D$2:D$38^A13948)</f>
        <v>36.99654463</v>
      </c>
      <c r="C13948" s="8">
        <f t="array" ref="C13948">PRODUCT(1-'Sparkling Model'!D$2:D$38^A13948)</f>
        <v>0.9965487667</v>
      </c>
    </row>
    <row r="13949">
      <c r="A13949" s="6">
        <v>13947.0</v>
      </c>
      <c r="B13949" s="17">
        <f t="array" ref="B13949">SUM(1-'Sparkling Model'!D$2:D$38^A13949)</f>
        <v>36.99654634</v>
      </c>
      <c r="C13949" s="8">
        <f t="array" ref="C13949">PRODUCT(1-'Sparkling Model'!D$2:D$38^A13949)</f>
        <v>0.9965504724</v>
      </c>
    </row>
    <row r="13950">
      <c r="A13950" s="6">
        <v>13948.0</v>
      </c>
      <c r="B13950" s="17">
        <f t="array" ref="B13950">SUM(1-'Sparkling Model'!D$2:D$38^A13950)</f>
        <v>36.99654805</v>
      </c>
      <c r="C13950" s="8">
        <f t="array" ref="C13950">PRODUCT(1-'Sparkling Model'!D$2:D$38^A13950)</f>
        <v>0.9965521772</v>
      </c>
    </row>
    <row r="13951">
      <c r="A13951" s="6">
        <v>13949.0</v>
      </c>
      <c r="B13951" s="17">
        <f t="array" ref="B13951">SUM(1-'Sparkling Model'!D$2:D$38^A13951)</f>
        <v>36.99654976</v>
      </c>
      <c r="C13951" s="8">
        <f t="array" ref="C13951">PRODUCT(1-'Sparkling Model'!D$2:D$38^A13951)</f>
        <v>0.9965538812</v>
      </c>
    </row>
    <row r="13952">
      <c r="A13952" s="6">
        <v>13950.0</v>
      </c>
      <c r="B13952" s="17">
        <f t="array" ref="B13952">SUM(1-'Sparkling Model'!D$2:D$38^A13952)</f>
        <v>36.99655146</v>
      </c>
      <c r="C13952" s="8">
        <f t="array" ref="C13952">PRODUCT(1-'Sparkling Model'!D$2:D$38^A13952)</f>
        <v>0.9965555844</v>
      </c>
    </row>
    <row r="13953">
      <c r="A13953" s="6">
        <v>13951.0</v>
      </c>
      <c r="B13953" s="17">
        <f t="array" ref="B13953">SUM(1-'Sparkling Model'!D$2:D$38^A13953)</f>
        <v>36.99655317</v>
      </c>
      <c r="C13953" s="8">
        <f t="array" ref="C13953">PRODUCT(1-'Sparkling Model'!D$2:D$38^A13953)</f>
        <v>0.9965572867</v>
      </c>
    </row>
    <row r="13954">
      <c r="A13954" s="6">
        <v>13952.0</v>
      </c>
      <c r="B13954" s="17">
        <f t="array" ref="B13954">SUM(1-'Sparkling Model'!D$2:D$38^A13954)</f>
        <v>36.99655488</v>
      </c>
      <c r="C13954" s="8">
        <f t="array" ref="C13954">PRODUCT(1-'Sparkling Model'!D$2:D$38^A13954)</f>
        <v>0.9965589881</v>
      </c>
    </row>
    <row r="13955">
      <c r="A13955" s="6">
        <v>13953.0</v>
      </c>
      <c r="B13955" s="17">
        <f t="array" ref="B13955">SUM(1-'Sparkling Model'!D$2:D$38^A13955)</f>
        <v>36.99655658</v>
      </c>
      <c r="C13955" s="8">
        <f t="array" ref="C13955">PRODUCT(1-'Sparkling Model'!D$2:D$38^A13955)</f>
        <v>0.9965606888</v>
      </c>
    </row>
    <row r="13956">
      <c r="A13956" s="6">
        <v>13954.0</v>
      </c>
      <c r="B13956" s="17">
        <f t="array" ref="B13956">SUM(1-'Sparkling Model'!D$2:D$38^A13956)</f>
        <v>36.99655828</v>
      </c>
      <c r="C13956" s="8">
        <f t="array" ref="C13956">PRODUCT(1-'Sparkling Model'!D$2:D$38^A13956)</f>
        <v>0.9965623885</v>
      </c>
    </row>
    <row r="13957">
      <c r="A13957" s="6">
        <v>13955.0</v>
      </c>
      <c r="B13957" s="17">
        <f t="array" ref="B13957">SUM(1-'Sparkling Model'!D$2:D$38^A13957)</f>
        <v>36.99655999</v>
      </c>
      <c r="C13957" s="8">
        <f t="array" ref="C13957">PRODUCT(1-'Sparkling Model'!D$2:D$38^A13957)</f>
        <v>0.9965640875</v>
      </c>
    </row>
    <row r="13958">
      <c r="A13958" s="6">
        <v>13956.0</v>
      </c>
      <c r="B13958" s="17">
        <f t="array" ref="B13958">SUM(1-'Sparkling Model'!D$2:D$38^A13958)</f>
        <v>36.99656169</v>
      </c>
      <c r="C13958" s="8">
        <f t="array" ref="C13958">PRODUCT(1-'Sparkling Model'!D$2:D$38^A13958)</f>
        <v>0.9965657855</v>
      </c>
    </row>
    <row r="13959">
      <c r="A13959" s="6">
        <v>13957.0</v>
      </c>
      <c r="B13959" s="17">
        <f t="array" ref="B13959">SUM(1-'Sparkling Model'!D$2:D$38^A13959)</f>
        <v>36.99656339</v>
      </c>
      <c r="C13959" s="8">
        <f t="array" ref="C13959">PRODUCT(1-'Sparkling Model'!D$2:D$38^A13959)</f>
        <v>0.9965674828</v>
      </c>
    </row>
    <row r="13960">
      <c r="A13960" s="6">
        <v>13958.0</v>
      </c>
      <c r="B13960" s="17">
        <f t="array" ref="B13960">SUM(1-'Sparkling Model'!D$2:D$38^A13960)</f>
        <v>36.99656509</v>
      </c>
      <c r="C13960" s="8">
        <f t="array" ref="C13960">PRODUCT(1-'Sparkling Model'!D$2:D$38^A13960)</f>
        <v>0.9965691792</v>
      </c>
    </row>
    <row r="13961">
      <c r="A13961" s="6">
        <v>13959.0</v>
      </c>
      <c r="B13961" s="17">
        <f t="array" ref="B13961">SUM(1-'Sparkling Model'!D$2:D$38^A13961)</f>
        <v>36.99656679</v>
      </c>
      <c r="C13961" s="8">
        <f t="array" ref="C13961">PRODUCT(1-'Sparkling Model'!D$2:D$38^A13961)</f>
        <v>0.9965708748</v>
      </c>
    </row>
    <row r="13962">
      <c r="A13962" s="6">
        <v>13960.0</v>
      </c>
      <c r="B13962" s="17">
        <f t="array" ref="B13962">SUM(1-'Sparkling Model'!D$2:D$38^A13962)</f>
        <v>36.99656849</v>
      </c>
      <c r="C13962" s="8">
        <f t="array" ref="C13962">PRODUCT(1-'Sparkling Model'!D$2:D$38^A13962)</f>
        <v>0.9965725695</v>
      </c>
    </row>
    <row r="13963">
      <c r="A13963" s="6">
        <v>13961.0</v>
      </c>
      <c r="B13963" s="17">
        <f t="array" ref="B13963">SUM(1-'Sparkling Model'!D$2:D$38^A13963)</f>
        <v>36.99657019</v>
      </c>
      <c r="C13963" s="8">
        <f t="array" ref="C13963">PRODUCT(1-'Sparkling Model'!D$2:D$38^A13963)</f>
        <v>0.9965742634</v>
      </c>
    </row>
    <row r="13964">
      <c r="A13964" s="6">
        <v>13962.0</v>
      </c>
      <c r="B13964" s="17">
        <f t="array" ref="B13964">SUM(1-'Sparkling Model'!D$2:D$38^A13964)</f>
        <v>36.99657188</v>
      </c>
      <c r="C13964" s="8">
        <f t="array" ref="C13964">PRODUCT(1-'Sparkling Model'!D$2:D$38^A13964)</f>
        <v>0.9965759564</v>
      </c>
    </row>
    <row r="13965">
      <c r="A13965" s="6">
        <v>13963.0</v>
      </c>
      <c r="B13965" s="17">
        <f t="array" ref="B13965">SUM(1-'Sparkling Model'!D$2:D$38^A13965)</f>
        <v>36.99657358</v>
      </c>
      <c r="C13965" s="8">
        <f t="array" ref="C13965">PRODUCT(1-'Sparkling Model'!D$2:D$38^A13965)</f>
        <v>0.9965776486</v>
      </c>
    </row>
    <row r="13966">
      <c r="A13966" s="6">
        <v>13964.0</v>
      </c>
      <c r="B13966" s="17">
        <f t="array" ref="B13966">SUM(1-'Sparkling Model'!D$2:D$38^A13966)</f>
        <v>36.99657528</v>
      </c>
      <c r="C13966" s="8">
        <f t="array" ref="C13966">PRODUCT(1-'Sparkling Model'!D$2:D$38^A13966)</f>
        <v>0.99657934</v>
      </c>
    </row>
    <row r="13967">
      <c r="A13967" s="6">
        <v>13965.0</v>
      </c>
      <c r="B13967" s="17">
        <f t="array" ref="B13967">SUM(1-'Sparkling Model'!D$2:D$38^A13967)</f>
        <v>36.99657697</v>
      </c>
      <c r="C13967" s="8">
        <f t="array" ref="C13967">PRODUCT(1-'Sparkling Model'!D$2:D$38^A13967)</f>
        <v>0.9965810305</v>
      </c>
    </row>
    <row r="13968">
      <c r="A13968" s="6">
        <v>13966.0</v>
      </c>
      <c r="B13968" s="17">
        <f t="array" ref="B13968">SUM(1-'Sparkling Model'!D$2:D$38^A13968)</f>
        <v>36.99657866</v>
      </c>
      <c r="C13968" s="8">
        <f t="array" ref="C13968">PRODUCT(1-'Sparkling Model'!D$2:D$38^A13968)</f>
        <v>0.9965827202</v>
      </c>
    </row>
    <row r="13969">
      <c r="A13969" s="6">
        <v>13967.0</v>
      </c>
      <c r="B13969" s="17">
        <f t="array" ref="B13969">SUM(1-'Sparkling Model'!D$2:D$38^A13969)</f>
        <v>36.99658036</v>
      </c>
      <c r="C13969" s="8">
        <f t="array" ref="C13969">PRODUCT(1-'Sparkling Model'!D$2:D$38^A13969)</f>
        <v>0.996584409</v>
      </c>
    </row>
    <row r="13970">
      <c r="A13970" s="6">
        <v>13968.0</v>
      </c>
      <c r="B13970" s="17">
        <f t="array" ref="B13970">SUM(1-'Sparkling Model'!D$2:D$38^A13970)</f>
        <v>36.99658205</v>
      </c>
      <c r="C13970" s="8">
        <f t="array" ref="C13970">PRODUCT(1-'Sparkling Model'!D$2:D$38^A13970)</f>
        <v>0.9965860971</v>
      </c>
    </row>
    <row r="13971">
      <c r="A13971" s="6">
        <v>13969.0</v>
      </c>
      <c r="B13971" s="17">
        <f t="array" ref="B13971">SUM(1-'Sparkling Model'!D$2:D$38^A13971)</f>
        <v>36.99658374</v>
      </c>
      <c r="C13971" s="8">
        <f t="array" ref="C13971">PRODUCT(1-'Sparkling Model'!D$2:D$38^A13971)</f>
        <v>0.9965877842</v>
      </c>
    </row>
    <row r="13972">
      <c r="A13972" s="6">
        <v>13970.0</v>
      </c>
      <c r="B13972" s="17">
        <f t="array" ref="B13972">SUM(1-'Sparkling Model'!D$2:D$38^A13972)</f>
        <v>36.99658543</v>
      </c>
      <c r="C13972" s="8">
        <f t="array" ref="C13972">PRODUCT(1-'Sparkling Model'!D$2:D$38^A13972)</f>
        <v>0.9965894706</v>
      </c>
    </row>
    <row r="13973">
      <c r="A13973" s="6">
        <v>13971.0</v>
      </c>
      <c r="B13973" s="17">
        <f t="array" ref="B13973">SUM(1-'Sparkling Model'!D$2:D$38^A13973)</f>
        <v>36.99658712</v>
      </c>
      <c r="C13973" s="8">
        <f t="array" ref="C13973">PRODUCT(1-'Sparkling Model'!D$2:D$38^A13973)</f>
        <v>0.9965911561</v>
      </c>
    </row>
    <row r="13974">
      <c r="A13974" s="6">
        <v>13972.0</v>
      </c>
      <c r="B13974" s="17">
        <f t="array" ref="B13974">SUM(1-'Sparkling Model'!D$2:D$38^A13974)</f>
        <v>36.99658881</v>
      </c>
      <c r="C13974" s="8">
        <f t="array" ref="C13974">PRODUCT(1-'Sparkling Model'!D$2:D$38^A13974)</f>
        <v>0.9965928408</v>
      </c>
    </row>
    <row r="13975">
      <c r="A13975" s="6">
        <v>13973.0</v>
      </c>
      <c r="B13975" s="17">
        <f t="array" ref="B13975">SUM(1-'Sparkling Model'!D$2:D$38^A13975)</f>
        <v>36.9965905</v>
      </c>
      <c r="C13975" s="8">
        <f t="array" ref="C13975">PRODUCT(1-'Sparkling Model'!D$2:D$38^A13975)</f>
        <v>0.9965945246</v>
      </c>
    </row>
    <row r="13976">
      <c r="A13976" s="6">
        <v>13974.0</v>
      </c>
      <c r="B13976" s="17">
        <f t="array" ref="B13976">SUM(1-'Sparkling Model'!D$2:D$38^A13976)</f>
        <v>36.99659218</v>
      </c>
      <c r="C13976" s="8">
        <f t="array" ref="C13976">PRODUCT(1-'Sparkling Model'!D$2:D$38^A13976)</f>
        <v>0.9965962076</v>
      </c>
    </row>
    <row r="13977">
      <c r="A13977" s="6">
        <v>13975.0</v>
      </c>
      <c r="B13977" s="17">
        <f t="array" ref="B13977">SUM(1-'Sparkling Model'!D$2:D$38^A13977)</f>
        <v>36.99659387</v>
      </c>
      <c r="C13977" s="8">
        <f t="array" ref="C13977">PRODUCT(1-'Sparkling Model'!D$2:D$38^A13977)</f>
        <v>0.9965978898</v>
      </c>
    </row>
    <row r="13978">
      <c r="A13978" s="6">
        <v>13976.0</v>
      </c>
      <c r="B13978" s="17">
        <f t="array" ref="B13978">SUM(1-'Sparkling Model'!D$2:D$38^A13978)</f>
        <v>36.99659556</v>
      </c>
      <c r="C13978" s="8">
        <f t="array" ref="C13978">PRODUCT(1-'Sparkling Model'!D$2:D$38^A13978)</f>
        <v>0.9965995711</v>
      </c>
    </row>
    <row r="13979">
      <c r="A13979" s="6">
        <v>13977.0</v>
      </c>
      <c r="B13979" s="17">
        <f t="array" ref="B13979">SUM(1-'Sparkling Model'!D$2:D$38^A13979)</f>
        <v>36.99659724</v>
      </c>
      <c r="C13979" s="8">
        <f t="array" ref="C13979">PRODUCT(1-'Sparkling Model'!D$2:D$38^A13979)</f>
        <v>0.9966012516</v>
      </c>
    </row>
    <row r="13980">
      <c r="A13980" s="6">
        <v>13978.0</v>
      </c>
      <c r="B13980" s="17">
        <f t="array" ref="B13980">SUM(1-'Sparkling Model'!D$2:D$38^A13980)</f>
        <v>36.99659892</v>
      </c>
      <c r="C13980" s="8">
        <f t="array" ref="C13980">PRODUCT(1-'Sparkling Model'!D$2:D$38^A13980)</f>
        <v>0.9966029313</v>
      </c>
    </row>
    <row r="13981">
      <c r="A13981" s="6">
        <v>13979.0</v>
      </c>
      <c r="B13981" s="17">
        <f t="array" ref="B13981">SUM(1-'Sparkling Model'!D$2:D$38^A13981)</f>
        <v>36.99660061</v>
      </c>
      <c r="C13981" s="8">
        <f t="array" ref="C13981">PRODUCT(1-'Sparkling Model'!D$2:D$38^A13981)</f>
        <v>0.9966046101</v>
      </c>
    </row>
    <row r="13982">
      <c r="A13982" s="6">
        <v>13980.0</v>
      </c>
      <c r="B13982" s="17">
        <f t="array" ref="B13982">SUM(1-'Sparkling Model'!D$2:D$38^A13982)</f>
        <v>36.99660229</v>
      </c>
      <c r="C13982" s="8">
        <f t="array" ref="C13982">PRODUCT(1-'Sparkling Model'!D$2:D$38^A13982)</f>
        <v>0.9966062881</v>
      </c>
    </row>
    <row r="13983">
      <c r="A13983" s="6">
        <v>13981.0</v>
      </c>
      <c r="B13983" s="17">
        <f t="array" ref="B13983">SUM(1-'Sparkling Model'!D$2:D$38^A13983)</f>
        <v>36.99660397</v>
      </c>
      <c r="C13983" s="8">
        <f t="array" ref="C13983">PRODUCT(1-'Sparkling Model'!D$2:D$38^A13983)</f>
        <v>0.9966079653</v>
      </c>
    </row>
    <row r="13984">
      <c r="A13984" s="6">
        <v>13982.0</v>
      </c>
      <c r="B13984" s="17">
        <f t="array" ref="B13984">SUM(1-'Sparkling Model'!D$2:D$38^A13984)</f>
        <v>36.99660565</v>
      </c>
      <c r="C13984" s="8">
        <f t="array" ref="C13984">PRODUCT(1-'Sparkling Model'!D$2:D$38^A13984)</f>
        <v>0.9966096416</v>
      </c>
    </row>
    <row r="13985">
      <c r="A13985" s="6">
        <v>13983.0</v>
      </c>
      <c r="B13985" s="17">
        <f t="array" ref="B13985">SUM(1-'Sparkling Model'!D$2:D$38^A13985)</f>
        <v>36.99660733</v>
      </c>
      <c r="C13985" s="8">
        <f t="array" ref="C13985">PRODUCT(1-'Sparkling Model'!D$2:D$38^A13985)</f>
        <v>0.9966113171</v>
      </c>
    </row>
    <row r="13986">
      <c r="A13986" s="6">
        <v>13984.0</v>
      </c>
      <c r="B13986" s="17">
        <f t="array" ref="B13986">SUM(1-'Sparkling Model'!D$2:D$38^A13986)</f>
        <v>36.99660901</v>
      </c>
      <c r="C13986" s="8">
        <f t="array" ref="C13986">PRODUCT(1-'Sparkling Model'!D$2:D$38^A13986)</f>
        <v>0.9966129918</v>
      </c>
    </row>
    <row r="13987">
      <c r="A13987" s="6">
        <v>13985.0</v>
      </c>
      <c r="B13987" s="17">
        <f t="array" ref="B13987">SUM(1-'Sparkling Model'!D$2:D$38^A13987)</f>
        <v>36.99661069</v>
      </c>
      <c r="C13987" s="8">
        <f t="array" ref="C13987">PRODUCT(1-'Sparkling Model'!D$2:D$38^A13987)</f>
        <v>0.9966146656</v>
      </c>
    </row>
    <row r="13988">
      <c r="A13988" s="6">
        <v>13986.0</v>
      </c>
      <c r="B13988" s="17">
        <f t="array" ref="B13988">SUM(1-'Sparkling Model'!D$2:D$38^A13988)</f>
        <v>36.99661236</v>
      </c>
      <c r="C13988" s="8">
        <f t="array" ref="C13988">PRODUCT(1-'Sparkling Model'!D$2:D$38^A13988)</f>
        <v>0.9966163387</v>
      </c>
    </row>
    <row r="13989">
      <c r="A13989" s="6">
        <v>13987.0</v>
      </c>
      <c r="B13989" s="17">
        <f t="array" ref="B13989">SUM(1-'Sparkling Model'!D$2:D$38^A13989)</f>
        <v>36.99661404</v>
      </c>
      <c r="C13989" s="8">
        <f t="array" ref="C13989">PRODUCT(1-'Sparkling Model'!D$2:D$38^A13989)</f>
        <v>0.9966180108</v>
      </c>
    </row>
    <row r="13990">
      <c r="A13990" s="6">
        <v>13988.0</v>
      </c>
      <c r="B13990" s="17">
        <f t="array" ref="B13990">SUM(1-'Sparkling Model'!D$2:D$38^A13990)</f>
        <v>36.99661571</v>
      </c>
      <c r="C13990" s="8">
        <f t="array" ref="C13990">PRODUCT(1-'Sparkling Model'!D$2:D$38^A13990)</f>
        <v>0.9966196822</v>
      </c>
    </row>
    <row r="13991">
      <c r="A13991" s="6">
        <v>13989.0</v>
      </c>
      <c r="B13991" s="17">
        <f t="array" ref="B13991">SUM(1-'Sparkling Model'!D$2:D$38^A13991)</f>
        <v>36.99661739</v>
      </c>
      <c r="C13991" s="8">
        <f t="array" ref="C13991">PRODUCT(1-'Sparkling Model'!D$2:D$38^A13991)</f>
        <v>0.9966213527</v>
      </c>
    </row>
    <row r="13992">
      <c r="A13992" s="6">
        <v>13990.0</v>
      </c>
      <c r="B13992" s="17">
        <f t="array" ref="B13992">SUM(1-'Sparkling Model'!D$2:D$38^A13992)</f>
        <v>36.99661906</v>
      </c>
      <c r="C13992" s="8">
        <f t="array" ref="C13992">PRODUCT(1-'Sparkling Model'!D$2:D$38^A13992)</f>
        <v>0.9966230224</v>
      </c>
    </row>
    <row r="13993">
      <c r="A13993" s="6">
        <v>13991.0</v>
      </c>
      <c r="B13993" s="17">
        <f t="array" ref="B13993">SUM(1-'Sparkling Model'!D$2:D$38^A13993)</f>
        <v>36.99662073</v>
      </c>
      <c r="C13993" s="8">
        <f t="array" ref="C13993">PRODUCT(1-'Sparkling Model'!D$2:D$38^A13993)</f>
        <v>0.9966246913</v>
      </c>
    </row>
    <row r="13994">
      <c r="A13994" s="6">
        <v>13992.0</v>
      </c>
      <c r="B13994" s="17">
        <f t="array" ref="B13994">SUM(1-'Sparkling Model'!D$2:D$38^A13994)</f>
        <v>36.99662241</v>
      </c>
      <c r="C13994" s="8">
        <f t="array" ref="C13994">PRODUCT(1-'Sparkling Model'!D$2:D$38^A13994)</f>
        <v>0.9966263594</v>
      </c>
    </row>
    <row r="13995">
      <c r="A13995" s="6">
        <v>13993.0</v>
      </c>
      <c r="B13995" s="17">
        <f t="array" ref="B13995">SUM(1-'Sparkling Model'!D$2:D$38^A13995)</f>
        <v>36.99662408</v>
      </c>
      <c r="C13995" s="8">
        <f t="array" ref="C13995">PRODUCT(1-'Sparkling Model'!D$2:D$38^A13995)</f>
        <v>0.9966280266</v>
      </c>
    </row>
    <row r="13996">
      <c r="A13996" s="6">
        <v>13994.0</v>
      </c>
      <c r="B13996" s="17">
        <f t="array" ref="B13996">SUM(1-'Sparkling Model'!D$2:D$38^A13996)</f>
        <v>36.99662575</v>
      </c>
      <c r="C13996" s="8">
        <f t="array" ref="C13996">PRODUCT(1-'Sparkling Model'!D$2:D$38^A13996)</f>
        <v>0.996629693</v>
      </c>
    </row>
    <row r="13997">
      <c r="A13997" s="6">
        <v>13995.0</v>
      </c>
      <c r="B13997" s="17">
        <f t="array" ref="B13997">SUM(1-'Sparkling Model'!D$2:D$38^A13997)</f>
        <v>36.99662742</v>
      </c>
      <c r="C13997" s="8">
        <f t="array" ref="C13997">PRODUCT(1-'Sparkling Model'!D$2:D$38^A13997)</f>
        <v>0.9966313586</v>
      </c>
    </row>
    <row r="13998">
      <c r="A13998" s="6">
        <v>13996.0</v>
      </c>
      <c r="B13998" s="17">
        <f t="array" ref="B13998">SUM(1-'Sparkling Model'!D$2:D$38^A13998)</f>
        <v>36.99662909</v>
      </c>
      <c r="C13998" s="8">
        <f t="array" ref="C13998">PRODUCT(1-'Sparkling Model'!D$2:D$38^A13998)</f>
        <v>0.9966330233</v>
      </c>
    </row>
    <row r="13999">
      <c r="A13999" s="6">
        <v>13997.0</v>
      </c>
      <c r="B13999" s="17">
        <f t="array" ref="B13999">SUM(1-'Sparkling Model'!D$2:D$38^A13999)</f>
        <v>36.99663075</v>
      </c>
      <c r="C13999" s="8">
        <f t="array" ref="C13999">PRODUCT(1-'Sparkling Model'!D$2:D$38^A13999)</f>
        <v>0.9966346872</v>
      </c>
    </row>
    <row r="14000">
      <c r="A14000" s="6">
        <v>13998.0</v>
      </c>
      <c r="B14000" s="17">
        <f t="array" ref="B14000">SUM(1-'Sparkling Model'!D$2:D$38^A14000)</f>
        <v>36.99663242</v>
      </c>
      <c r="C14000" s="8">
        <f t="array" ref="C14000">PRODUCT(1-'Sparkling Model'!D$2:D$38^A14000)</f>
        <v>0.9966363503</v>
      </c>
    </row>
    <row r="14001">
      <c r="A14001" s="6">
        <v>13999.0</v>
      </c>
      <c r="B14001" s="17">
        <f t="array" ref="B14001">SUM(1-'Sparkling Model'!D$2:D$38^A14001)</f>
        <v>36.99663409</v>
      </c>
      <c r="C14001" s="8">
        <f t="array" ref="C14001">PRODUCT(1-'Sparkling Model'!D$2:D$38^A14001)</f>
        <v>0.9966380126</v>
      </c>
    </row>
    <row r="14002">
      <c r="A14002" s="6">
        <v>14000.0</v>
      </c>
      <c r="B14002" s="17">
        <f t="array" ref="B14002">SUM(1-'Sparkling Model'!D$2:D$38^A14002)</f>
        <v>36.99663575</v>
      </c>
      <c r="C14002" s="8">
        <f t="array" ref="C14002">PRODUCT(1-'Sparkling Model'!D$2:D$38^A14002)</f>
        <v>0.996639674</v>
      </c>
    </row>
    <row r="14003">
      <c r="A14003" s="6">
        <v>14001.0</v>
      </c>
      <c r="B14003" s="17">
        <f t="array" ref="B14003">SUM(1-'Sparkling Model'!D$2:D$38^A14003)</f>
        <v>36.99663742</v>
      </c>
      <c r="C14003" s="8">
        <f t="array" ref="C14003">PRODUCT(1-'Sparkling Model'!D$2:D$38^A14003)</f>
        <v>0.9966413346</v>
      </c>
    </row>
    <row r="14004">
      <c r="A14004" s="6">
        <v>14002.0</v>
      </c>
      <c r="B14004" s="17">
        <f t="array" ref="B14004">SUM(1-'Sparkling Model'!D$2:D$38^A14004)</f>
        <v>36.99663908</v>
      </c>
      <c r="C14004" s="8">
        <f t="array" ref="C14004">PRODUCT(1-'Sparkling Model'!D$2:D$38^A14004)</f>
        <v>0.9966429944</v>
      </c>
    </row>
    <row r="14005">
      <c r="A14005" s="6">
        <v>14003.0</v>
      </c>
      <c r="B14005" s="17">
        <f t="array" ref="B14005">SUM(1-'Sparkling Model'!D$2:D$38^A14005)</f>
        <v>36.99664074</v>
      </c>
      <c r="C14005" s="8">
        <f t="array" ref="C14005">PRODUCT(1-'Sparkling Model'!D$2:D$38^A14005)</f>
        <v>0.9966446534</v>
      </c>
    </row>
    <row r="14006">
      <c r="A14006" s="6">
        <v>14004.0</v>
      </c>
      <c r="B14006" s="17">
        <f t="array" ref="B14006">SUM(1-'Sparkling Model'!D$2:D$38^A14006)</f>
        <v>36.99664241</v>
      </c>
      <c r="C14006" s="8">
        <f t="array" ref="C14006">PRODUCT(1-'Sparkling Model'!D$2:D$38^A14006)</f>
        <v>0.9966463116</v>
      </c>
    </row>
    <row r="14007">
      <c r="A14007" s="6">
        <v>14005.0</v>
      </c>
      <c r="B14007" s="17">
        <f t="array" ref="B14007">SUM(1-'Sparkling Model'!D$2:D$38^A14007)</f>
        <v>36.99664407</v>
      </c>
      <c r="C14007" s="8">
        <f t="array" ref="C14007">PRODUCT(1-'Sparkling Model'!D$2:D$38^A14007)</f>
        <v>0.9966479689</v>
      </c>
    </row>
    <row r="14008">
      <c r="A14008" s="6">
        <v>14006.0</v>
      </c>
      <c r="B14008" s="17">
        <f t="array" ref="B14008">SUM(1-'Sparkling Model'!D$2:D$38^A14008)</f>
        <v>36.99664573</v>
      </c>
      <c r="C14008" s="8">
        <f t="array" ref="C14008">PRODUCT(1-'Sparkling Model'!D$2:D$38^A14008)</f>
        <v>0.9966496254</v>
      </c>
    </row>
    <row r="14009">
      <c r="A14009" s="6">
        <v>14007.0</v>
      </c>
      <c r="B14009" s="17">
        <f t="array" ref="B14009">SUM(1-'Sparkling Model'!D$2:D$38^A14009)</f>
        <v>36.99664739</v>
      </c>
      <c r="C14009" s="8">
        <f t="array" ref="C14009">PRODUCT(1-'Sparkling Model'!D$2:D$38^A14009)</f>
        <v>0.9966512811</v>
      </c>
    </row>
    <row r="14010">
      <c r="A14010" s="6">
        <v>14008.0</v>
      </c>
      <c r="B14010" s="17">
        <f t="array" ref="B14010">SUM(1-'Sparkling Model'!D$2:D$38^A14010)</f>
        <v>36.99664905</v>
      </c>
      <c r="C14010" s="8">
        <f t="array" ref="C14010">PRODUCT(1-'Sparkling Model'!D$2:D$38^A14010)</f>
        <v>0.996652936</v>
      </c>
    </row>
    <row r="14011">
      <c r="A14011" s="6">
        <v>14009.0</v>
      </c>
      <c r="B14011" s="17">
        <f t="array" ref="B14011">SUM(1-'Sparkling Model'!D$2:D$38^A14011)</f>
        <v>36.9966507</v>
      </c>
      <c r="C14011" s="8">
        <f t="array" ref="C14011">PRODUCT(1-'Sparkling Model'!D$2:D$38^A14011)</f>
        <v>0.99665459</v>
      </c>
    </row>
    <row r="14012">
      <c r="A14012" s="6">
        <v>14010.0</v>
      </c>
      <c r="B14012" s="17">
        <f t="array" ref="B14012">SUM(1-'Sparkling Model'!D$2:D$38^A14012)</f>
        <v>36.99665236</v>
      </c>
      <c r="C14012" s="8">
        <f t="array" ref="C14012">PRODUCT(1-'Sparkling Model'!D$2:D$38^A14012)</f>
        <v>0.9966562433</v>
      </c>
    </row>
    <row r="14013">
      <c r="A14013" s="6">
        <v>14011.0</v>
      </c>
      <c r="B14013" s="17">
        <f t="array" ref="B14013">SUM(1-'Sparkling Model'!D$2:D$38^A14013)</f>
        <v>36.99665402</v>
      </c>
      <c r="C14013" s="8">
        <f t="array" ref="C14013">PRODUCT(1-'Sparkling Model'!D$2:D$38^A14013)</f>
        <v>0.9966578957</v>
      </c>
    </row>
    <row r="14014">
      <c r="A14014" s="6">
        <v>14012.0</v>
      </c>
      <c r="B14014" s="17">
        <f t="array" ref="B14014">SUM(1-'Sparkling Model'!D$2:D$38^A14014)</f>
        <v>36.99665567</v>
      </c>
      <c r="C14014" s="8">
        <f t="array" ref="C14014">PRODUCT(1-'Sparkling Model'!D$2:D$38^A14014)</f>
        <v>0.9966595473</v>
      </c>
    </row>
    <row r="14015">
      <c r="A14015" s="6">
        <v>14013.0</v>
      </c>
      <c r="B14015" s="17">
        <f t="array" ref="B14015">SUM(1-'Sparkling Model'!D$2:D$38^A14015)</f>
        <v>36.99665733</v>
      </c>
      <c r="C14015" s="8">
        <f t="array" ref="C14015">PRODUCT(1-'Sparkling Model'!D$2:D$38^A14015)</f>
        <v>0.996661198</v>
      </c>
    </row>
    <row r="14016">
      <c r="A14016" s="6">
        <v>14014.0</v>
      </c>
      <c r="B14016" s="17">
        <f t="array" ref="B14016">SUM(1-'Sparkling Model'!D$2:D$38^A14016)</f>
        <v>36.99665898</v>
      </c>
      <c r="C14016" s="8">
        <f t="array" ref="C14016">PRODUCT(1-'Sparkling Model'!D$2:D$38^A14016)</f>
        <v>0.996662848</v>
      </c>
    </row>
    <row r="14017">
      <c r="A14017" s="6">
        <v>14015.0</v>
      </c>
      <c r="B14017" s="17">
        <f t="array" ref="B14017">SUM(1-'Sparkling Model'!D$2:D$38^A14017)</f>
        <v>36.99666063</v>
      </c>
      <c r="C14017" s="8">
        <f t="array" ref="C14017">PRODUCT(1-'Sparkling Model'!D$2:D$38^A14017)</f>
        <v>0.9966644971</v>
      </c>
    </row>
    <row r="14018">
      <c r="A14018" s="6">
        <v>14016.0</v>
      </c>
      <c r="B14018" s="17">
        <f t="array" ref="B14018">SUM(1-'Sparkling Model'!D$2:D$38^A14018)</f>
        <v>36.99666229</v>
      </c>
      <c r="C14018" s="8">
        <f t="array" ref="C14018">PRODUCT(1-'Sparkling Model'!D$2:D$38^A14018)</f>
        <v>0.9966661454</v>
      </c>
    </row>
    <row r="14019">
      <c r="A14019" s="6">
        <v>14017.0</v>
      </c>
      <c r="B14019" s="17">
        <f t="array" ref="B14019">SUM(1-'Sparkling Model'!D$2:D$38^A14019)</f>
        <v>36.99666394</v>
      </c>
      <c r="C14019" s="8">
        <f t="array" ref="C14019">PRODUCT(1-'Sparkling Model'!D$2:D$38^A14019)</f>
        <v>0.9966677929</v>
      </c>
    </row>
    <row r="14020">
      <c r="A14020" s="6">
        <v>14018.0</v>
      </c>
      <c r="B14020" s="17">
        <f t="array" ref="B14020">SUM(1-'Sparkling Model'!D$2:D$38^A14020)</f>
        <v>36.99666559</v>
      </c>
      <c r="C14020" s="8">
        <f t="array" ref="C14020">PRODUCT(1-'Sparkling Model'!D$2:D$38^A14020)</f>
        <v>0.9966694396</v>
      </c>
    </row>
    <row r="14021">
      <c r="A14021" s="6">
        <v>14019.0</v>
      </c>
      <c r="B14021" s="17">
        <f t="array" ref="B14021">SUM(1-'Sparkling Model'!D$2:D$38^A14021)</f>
        <v>36.99666724</v>
      </c>
      <c r="C14021" s="8">
        <f t="array" ref="C14021">PRODUCT(1-'Sparkling Model'!D$2:D$38^A14021)</f>
        <v>0.9966710855</v>
      </c>
    </row>
    <row r="14022">
      <c r="A14022" s="6">
        <v>14020.0</v>
      </c>
      <c r="B14022" s="17">
        <f t="array" ref="B14022">SUM(1-'Sparkling Model'!D$2:D$38^A14022)</f>
        <v>36.99666889</v>
      </c>
      <c r="C14022" s="8">
        <f t="array" ref="C14022">PRODUCT(1-'Sparkling Model'!D$2:D$38^A14022)</f>
        <v>0.9966727305</v>
      </c>
    </row>
    <row r="14023">
      <c r="A14023" s="6">
        <v>14021.0</v>
      </c>
      <c r="B14023" s="17">
        <f t="array" ref="B14023">SUM(1-'Sparkling Model'!D$2:D$38^A14023)</f>
        <v>36.99667053</v>
      </c>
      <c r="C14023" s="8">
        <f t="array" ref="C14023">PRODUCT(1-'Sparkling Model'!D$2:D$38^A14023)</f>
        <v>0.9966743748</v>
      </c>
    </row>
    <row r="14024">
      <c r="A14024" s="6">
        <v>14022.0</v>
      </c>
      <c r="B14024" s="17">
        <f t="array" ref="B14024">SUM(1-'Sparkling Model'!D$2:D$38^A14024)</f>
        <v>36.99667218</v>
      </c>
      <c r="C14024" s="8">
        <f t="array" ref="C14024">PRODUCT(1-'Sparkling Model'!D$2:D$38^A14024)</f>
        <v>0.9966760182</v>
      </c>
    </row>
    <row r="14025">
      <c r="A14025" s="6">
        <v>14023.0</v>
      </c>
      <c r="B14025" s="17">
        <f t="array" ref="B14025">SUM(1-'Sparkling Model'!D$2:D$38^A14025)</f>
        <v>36.99667383</v>
      </c>
      <c r="C14025" s="8">
        <f t="array" ref="C14025">PRODUCT(1-'Sparkling Model'!D$2:D$38^A14025)</f>
        <v>0.9966776608</v>
      </c>
    </row>
    <row r="14026">
      <c r="A14026" s="6">
        <v>14024.0</v>
      </c>
      <c r="B14026" s="17">
        <f t="array" ref="B14026">SUM(1-'Sparkling Model'!D$2:D$38^A14026)</f>
        <v>36.99667547</v>
      </c>
      <c r="C14026" s="8">
        <f t="array" ref="C14026">PRODUCT(1-'Sparkling Model'!D$2:D$38^A14026)</f>
        <v>0.9966793026</v>
      </c>
    </row>
    <row r="14027">
      <c r="A14027" s="6">
        <v>14025.0</v>
      </c>
      <c r="B14027" s="17">
        <f t="array" ref="B14027">SUM(1-'Sparkling Model'!D$2:D$38^A14027)</f>
        <v>36.99667712</v>
      </c>
      <c r="C14027" s="8">
        <f t="array" ref="C14027">PRODUCT(1-'Sparkling Model'!D$2:D$38^A14027)</f>
        <v>0.9966809436</v>
      </c>
    </row>
    <row r="14028">
      <c r="A14028" s="6">
        <v>14026.0</v>
      </c>
      <c r="B14028" s="17">
        <f t="array" ref="B14028">SUM(1-'Sparkling Model'!D$2:D$38^A14028)</f>
        <v>36.99667876</v>
      </c>
      <c r="C14028" s="8">
        <f t="array" ref="C14028">PRODUCT(1-'Sparkling Model'!D$2:D$38^A14028)</f>
        <v>0.9966825838</v>
      </c>
    </row>
    <row r="14029">
      <c r="A14029" s="6">
        <v>14027.0</v>
      </c>
      <c r="B14029" s="17">
        <f t="array" ref="B14029">SUM(1-'Sparkling Model'!D$2:D$38^A14029)</f>
        <v>36.99668041</v>
      </c>
      <c r="C14029" s="8">
        <f t="array" ref="C14029">PRODUCT(1-'Sparkling Model'!D$2:D$38^A14029)</f>
        <v>0.9966842231</v>
      </c>
    </row>
    <row r="14030">
      <c r="A14030" s="6">
        <v>14028.0</v>
      </c>
      <c r="B14030" s="17">
        <f t="array" ref="B14030">SUM(1-'Sparkling Model'!D$2:D$38^A14030)</f>
        <v>36.99668205</v>
      </c>
      <c r="C14030" s="8">
        <f t="array" ref="C14030">PRODUCT(1-'Sparkling Model'!D$2:D$38^A14030)</f>
        <v>0.9966858617</v>
      </c>
    </row>
    <row r="14031">
      <c r="A14031" s="6">
        <v>14029.0</v>
      </c>
      <c r="B14031" s="17">
        <f t="array" ref="B14031">SUM(1-'Sparkling Model'!D$2:D$38^A14031)</f>
        <v>36.99668369</v>
      </c>
      <c r="C14031" s="8">
        <f t="array" ref="C14031">PRODUCT(1-'Sparkling Model'!D$2:D$38^A14031)</f>
        <v>0.9966874994</v>
      </c>
    </row>
    <row r="14032">
      <c r="A14032" s="6">
        <v>14030.0</v>
      </c>
      <c r="B14032" s="17">
        <f t="array" ref="B14032">SUM(1-'Sparkling Model'!D$2:D$38^A14032)</f>
        <v>36.99668533</v>
      </c>
      <c r="C14032" s="8">
        <f t="array" ref="C14032">PRODUCT(1-'Sparkling Model'!D$2:D$38^A14032)</f>
        <v>0.9966891363</v>
      </c>
    </row>
    <row r="14033">
      <c r="A14033" s="6">
        <v>14031.0</v>
      </c>
      <c r="B14033" s="17">
        <f t="array" ref="B14033">SUM(1-'Sparkling Model'!D$2:D$38^A14033)</f>
        <v>36.99668697</v>
      </c>
      <c r="C14033" s="8">
        <f t="array" ref="C14033">PRODUCT(1-'Sparkling Model'!D$2:D$38^A14033)</f>
        <v>0.9966907724</v>
      </c>
    </row>
    <row r="14034">
      <c r="A14034" s="6">
        <v>14032.0</v>
      </c>
      <c r="B14034" s="17">
        <f t="array" ref="B14034">SUM(1-'Sparkling Model'!D$2:D$38^A14034)</f>
        <v>36.99668861</v>
      </c>
      <c r="C14034" s="8">
        <f t="array" ref="C14034">PRODUCT(1-'Sparkling Model'!D$2:D$38^A14034)</f>
        <v>0.9966924077</v>
      </c>
    </row>
    <row r="14035">
      <c r="A14035" s="6">
        <v>14033.0</v>
      </c>
      <c r="B14035" s="17">
        <f t="array" ref="B14035">SUM(1-'Sparkling Model'!D$2:D$38^A14035)</f>
        <v>36.99669025</v>
      </c>
      <c r="C14035" s="8">
        <f t="array" ref="C14035">PRODUCT(1-'Sparkling Model'!D$2:D$38^A14035)</f>
        <v>0.9966940422</v>
      </c>
    </row>
    <row r="14036">
      <c r="A14036" s="6">
        <v>14034.0</v>
      </c>
      <c r="B14036" s="17">
        <f t="array" ref="B14036">SUM(1-'Sparkling Model'!D$2:D$38^A14036)</f>
        <v>36.99669189</v>
      </c>
      <c r="C14036" s="8">
        <f t="array" ref="C14036">PRODUCT(1-'Sparkling Model'!D$2:D$38^A14036)</f>
        <v>0.9966956759</v>
      </c>
    </row>
    <row r="14037">
      <c r="A14037" s="6">
        <v>14035.0</v>
      </c>
      <c r="B14037" s="17">
        <f t="array" ref="B14037">SUM(1-'Sparkling Model'!D$2:D$38^A14037)</f>
        <v>36.99669352</v>
      </c>
      <c r="C14037" s="8">
        <f t="array" ref="C14037">PRODUCT(1-'Sparkling Model'!D$2:D$38^A14037)</f>
        <v>0.9966973087</v>
      </c>
    </row>
    <row r="14038">
      <c r="A14038" s="6">
        <v>14036.0</v>
      </c>
      <c r="B14038" s="17">
        <f t="array" ref="B14038">SUM(1-'Sparkling Model'!D$2:D$38^A14038)</f>
        <v>36.99669516</v>
      </c>
      <c r="C14038" s="8">
        <f t="array" ref="C14038">PRODUCT(1-'Sparkling Model'!D$2:D$38^A14038)</f>
        <v>0.9966989408</v>
      </c>
    </row>
    <row r="14039">
      <c r="A14039" s="6">
        <v>14037.0</v>
      </c>
      <c r="B14039" s="17">
        <f t="array" ref="B14039">SUM(1-'Sparkling Model'!D$2:D$38^A14039)</f>
        <v>36.99669679</v>
      </c>
      <c r="C14039" s="8">
        <f t="array" ref="C14039">PRODUCT(1-'Sparkling Model'!D$2:D$38^A14039)</f>
        <v>0.996700572</v>
      </c>
    </row>
    <row r="14040">
      <c r="A14040" s="6">
        <v>14038.0</v>
      </c>
      <c r="B14040" s="17">
        <f t="array" ref="B14040">SUM(1-'Sparkling Model'!D$2:D$38^A14040)</f>
        <v>36.99669843</v>
      </c>
      <c r="C14040" s="8">
        <f t="array" ref="C14040">PRODUCT(1-'Sparkling Model'!D$2:D$38^A14040)</f>
        <v>0.9967022025</v>
      </c>
    </row>
    <row r="14041">
      <c r="A14041" s="6">
        <v>14039.0</v>
      </c>
      <c r="B14041" s="17">
        <f t="array" ref="B14041">SUM(1-'Sparkling Model'!D$2:D$38^A14041)</f>
        <v>36.99670006</v>
      </c>
      <c r="C14041" s="8">
        <f t="array" ref="C14041">PRODUCT(1-'Sparkling Model'!D$2:D$38^A14041)</f>
        <v>0.9967038321</v>
      </c>
    </row>
    <row r="14042">
      <c r="A14042" s="6">
        <v>14040.0</v>
      </c>
      <c r="B14042" s="17">
        <f t="array" ref="B14042">SUM(1-'Sparkling Model'!D$2:D$38^A14042)</f>
        <v>36.99670169</v>
      </c>
      <c r="C14042" s="8">
        <f t="array" ref="C14042">PRODUCT(1-'Sparkling Model'!D$2:D$38^A14042)</f>
        <v>0.9967054609</v>
      </c>
    </row>
    <row r="14043">
      <c r="A14043" s="6">
        <v>14041.0</v>
      </c>
      <c r="B14043" s="17">
        <f t="array" ref="B14043">SUM(1-'Sparkling Model'!D$2:D$38^A14043)</f>
        <v>36.99670332</v>
      </c>
      <c r="C14043" s="8">
        <f t="array" ref="C14043">PRODUCT(1-'Sparkling Model'!D$2:D$38^A14043)</f>
        <v>0.996707089</v>
      </c>
    </row>
    <row r="14044">
      <c r="A14044" s="6">
        <v>14042.0</v>
      </c>
      <c r="B14044" s="17">
        <f t="array" ref="B14044">SUM(1-'Sparkling Model'!D$2:D$38^A14044)</f>
        <v>36.99670496</v>
      </c>
      <c r="C14044" s="8">
        <f t="array" ref="C14044">PRODUCT(1-'Sparkling Model'!D$2:D$38^A14044)</f>
        <v>0.9967087162</v>
      </c>
    </row>
    <row r="14045">
      <c r="A14045" s="6">
        <v>14043.0</v>
      </c>
      <c r="B14045" s="17">
        <f t="array" ref="B14045">SUM(1-'Sparkling Model'!D$2:D$38^A14045)</f>
        <v>36.99670659</v>
      </c>
      <c r="C14045" s="8">
        <f t="array" ref="C14045">PRODUCT(1-'Sparkling Model'!D$2:D$38^A14045)</f>
        <v>0.9967103426</v>
      </c>
    </row>
    <row r="14046">
      <c r="A14046" s="6">
        <v>14044.0</v>
      </c>
      <c r="B14046" s="17">
        <f t="array" ref="B14046">SUM(1-'Sparkling Model'!D$2:D$38^A14046)</f>
        <v>36.99670821</v>
      </c>
      <c r="C14046" s="8">
        <f t="array" ref="C14046">PRODUCT(1-'Sparkling Model'!D$2:D$38^A14046)</f>
        <v>0.9967119682</v>
      </c>
    </row>
    <row r="14047">
      <c r="A14047" s="6">
        <v>14045.0</v>
      </c>
      <c r="B14047" s="17">
        <f t="array" ref="B14047">SUM(1-'Sparkling Model'!D$2:D$38^A14047)</f>
        <v>36.99670984</v>
      </c>
      <c r="C14047" s="8">
        <f t="array" ref="C14047">PRODUCT(1-'Sparkling Model'!D$2:D$38^A14047)</f>
        <v>0.996713593</v>
      </c>
    </row>
    <row r="14048">
      <c r="A14048" s="6">
        <v>14046.0</v>
      </c>
      <c r="B14048" s="17">
        <f t="array" ref="B14048">SUM(1-'Sparkling Model'!D$2:D$38^A14048)</f>
        <v>36.99671147</v>
      </c>
      <c r="C14048" s="8">
        <f t="array" ref="C14048">PRODUCT(1-'Sparkling Model'!D$2:D$38^A14048)</f>
        <v>0.9967152169</v>
      </c>
    </row>
    <row r="14049">
      <c r="A14049" s="6">
        <v>14047.0</v>
      </c>
      <c r="B14049" s="17">
        <f t="array" ref="B14049">SUM(1-'Sparkling Model'!D$2:D$38^A14049)</f>
        <v>36.9967131</v>
      </c>
      <c r="C14049" s="8">
        <f t="array" ref="C14049">PRODUCT(1-'Sparkling Model'!D$2:D$38^A14049)</f>
        <v>0.9967168401</v>
      </c>
    </row>
    <row r="14050">
      <c r="A14050" s="6">
        <v>14048.0</v>
      </c>
      <c r="B14050" s="17">
        <f t="array" ref="B14050">SUM(1-'Sparkling Model'!D$2:D$38^A14050)</f>
        <v>36.99671472</v>
      </c>
      <c r="C14050" s="8">
        <f t="array" ref="C14050">PRODUCT(1-'Sparkling Model'!D$2:D$38^A14050)</f>
        <v>0.9967184625</v>
      </c>
    </row>
    <row r="14051">
      <c r="A14051" s="6">
        <v>14049.0</v>
      </c>
      <c r="B14051" s="17">
        <f t="array" ref="B14051">SUM(1-'Sparkling Model'!D$2:D$38^A14051)</f>
        <v>36.99671635</v>
      </c>
      <c r="C14051" s="8">
        <f t="array" ref="C14051">PRODUCT(1-'Sparkling Model'!D$2:D$38^A14051)</f>
        <v>0.9967200841</v>
      </c>
    </row>
    <row r="14052">
      <c r="A14052" s="6">
        <v>14050.0</v>
      </c>
      <c r="B14052" s="17">
        <f t="array" ref="B14052">SUM(1-'Sparkling Model'!D$2:D$38^A14052)</f>
        <v>36.99671797</v>
      </c>
      <c r="C14052" s="8">
        <f t="array" ref="C14052">PRODUCT(1-'Sparkling Model'!D$2:D$38^A14052)</f>
        <v>0.9967217048</v>
      </c>
    </row>
    <row r="14053">
      <c r="A14053" s="6">
        <v>14051.0</v>
      </c>
      <c r="B14053" s="17">
        <f t="array" ref="B14053">SUM(1-'Sparkling Model'!D$2:D$38^A14053)</f>
        <v>36.9967196</v>
      </c>
      <c r="C14053" s="8">
        <f t="array" ref="C14053">PRODUCT(1-'Sparkling Model'!D$2:D$38^A14053)</f>
        <v>0.9967233248</v>
      </c>
    </row>
    <row r="14054">
      <c r="A14054" s="6">
        <v>14052.0</v>
      </c>
      <c r="B14054" s="17">
        <f t="array" ref="B14054">SUM(1-'Sparkling Model'!D$2:D$38^A14054)</f>
        <v>36.99672122</v>
      </c>
      <c r="C14054" s="8">
        <f t="array" ref="C14054">PRODUCT(1-'Sparkling Model'!D$2:D$38^A14054)</f>
        <v>0.996724944</v>
      </c>
    </row>
    <row r="14055">
      <c r="A14055" s="6">
        <v>14053.0</v>
      </c>
      <c r="B14055" s="17">
        <f t="array" ref="B14055">SUM(1-'Sparkling Model'!D$2:D$38^A14055)</f>
        <v>36.99672284</v>
      </c>
      <c r="C14055" s="8">
        <f t="array" ref="C14055">PRODUCT(1-'Sparkling Model'!D$2:D$38^A14055)</f>
        <v>0.9967265623</v>
      </c>
    </row>
    <row r="14056">
      <c r="A14056" s="6">
        <v>14054.0</v>
      </c>
      <c r="B14056" s="17">
        <f t="array" ref="B14056">SUM(1-'Sparkling Model'!D$2:D$38^A14056)</f>
        <v>36.99672446</v>
      </c>
      <c r="C14056" s="8">
        <f t="array" ref="C14056">PRODUCT(1-'Sparkling Model'!D$2:D$38^A14056)</f>
        <v>0.9967281799</v>
      </c>
    </row>
    <row r="14057">
      <c r="A14057" s="6">
        <v>14055.0</v>
      </c>
      <c r="B14057" s="17">
        <f t="array" ref="B14057">SUM(1-'Sparkling Model'!D$2:D$38^A14057)</f>
        <v>36.99672608</v>
      </c>
      <c r="C14057" s="8">
        <f t="array" ref="C14057">PRODUCT(1-'Sparkling Model'!D$2:D$38^A14057)</f>
        <v>0.9967297966</v>
      </c>
    </row>
    <row r="14058">
      <c r="A14058" s="6">
        <v>14056.0</v>
      </c>
      <c r="B14058" s="17">
        <f t="array" ref="B14058">SUM(1-'Sparkling Model'!D$2:D$38^A14058)</f>
        <v>36.9967277</v>
      </c>
      <c r="C14058" s="8">
        <f t="array" ref="C14058">PRODUCT(1-'Sparkling Model'!D$2:D$38^A14058)</f>
        <v>0.9967314126</v>
      </c>
    </row>
    <row r="14059">
      <c r="A14059" s="6">
        <v>14057.0</v>
      </c>
      <c r="B14059" s="17">
        <f t="array" ref="B14059">SUM(1-'Sparkling Model'!D$2:D$38^A14059)</f>
        <v>36.99672932</v>
      </c>
      <c r="C14059" s="8">
        <f t="array" ref="C14059">PRODUCT(1-'Sparkling Model'!D$2:D$38^A14059)</f>
        <v>0.9967330278</v>
      </c>
    </row>
    <row r="14060">
      <c r="A14060" s="6">
        <v>14058.0</v>
      </c>
      <c r="B14060" s="17">
        <f t="array" ref="B14060">SUM(1-'Sparkling Model'!D$2:D$38^A14060)</f>
        <v>36.99673094</v>
      </c>
      <c r="C14060" s="8">
        <f t="array" ref="C14060">PRODUCT(1-'Sparkling Model'!D$2:D$38^A14060)</f>
        <v>0.9967346421</v>
      </c>
    </row>
    <row r="14061">
      <c r="A14061" s="6">
        <v>14059.0</v>
      </c>
      <c r="B14061" s="17">
        <f t="array" ref="B14061">SUM(1-'Sparkling Model'!D$2:D$38^A14061)</f>
        <v>36.99673256</v>
      </c>
      <c r="C14061" s="8">
        <f t="array" ref="C14061">PRODUCT(1-'Sparkling Model'!D$2:D$38^A14061)</f>
        <v>0.9967362557</v>
      </c>
    </row>
    <row r="14062">
      <c r="A14062" s="6">
        <v>14060.0</v>
      </c>
      <c r="B14062" s="17">
        <f t="array" ref="B14062">SUM(1-'Sparkling Model'!D$2:D$38^A14062)</f>
        <v>36.99673417</v>
      </c>
      <c r="C14062" s="8">
        <f t="array" ref="C14062">PRODUCT(1-'Sparkling Model'!D$2:D$38^A14062)</f>
        <v>0.9967378684</v>
      </c>
    </row>
    <row r="14063">
      <c r="A14063" s="6">
        <v>14061.0</v>
      </c>
      <c r="B14063" s="17">
        <f t="array" ref="B14063">SUM(1-'Sparkling Model'!D$2:D$38^A14063)</f>
        <v>36.99673579</v>
      </c>
      <c r="C14063" s="8">
        <f t="array" ref="C14063">PRODUCT(1-'Sparkling Model'!D$2:D$38^A14063)</f>
        <v>0.9967394804</v>
      </c>
    </row>
    <row r="14064">
      <c r="A14064" s="6">
        <v>14062.0</v>
      </c>
      <c r="B14064" s="17">
        <f t="array" ref="B14064">SUM(1-'Sparkling Model'!D$2:D$38^A14064)</f>
        <v>36.9967374</v>
      </c>
      <c r="C14064" s="8">
        <f t="array" ref="C14064">PRODUCT(1-'Sparkling Model'!D$2:D$38^A14064)</f>
        <v>0.9967410915</v>
      </c>
    </row>
    <row r="14065">
      <c r="A14065" s="6">
        <v>14063.0</v>
      </c>
      <c r="B14065" s="17">
        <f t="array" ref="B14065">SUM(1-'Sparkling Model'!D$2:D$38^A14065)</f>
        <v>36.99673902</v>
      </c>
      <c r="C14065" s="8">
        <f t="array" ref="C14065">PRODUCT(1-'Sparkling Model'!D$2:D$38^A14065)</f>
        <v>0.9967427019</v>
      </c>
    </row>
    <row r="14066">
      <c r="A14066" s="6">
        <v>14064.0</v>
      </c>
      <c r="B14066" s="17">
        <f t="array" ref="B14066">SUM(1-'Sparkling Model'!D$2:D$38^A14066)</f>
        <v>36.99674063</v>
      </c>
      <c r="C14066" s="8">
        <f t="array" ref="C14066">PRODUCT(1-'Sparkling Model'!D$2:D$38^A14066)</f>
        <v>0.9967443114</v>
      </c>
    </row>
    <row r="14067">
      <c r="A14067" s="6">
        <v>14065.0</v>
      </c>
      <c r="B14067" s="17">
        <f t="array" ref="B14067">SUM(1-'Sparkling Model'!D$2:D$38^A14067)</f>
        <v>36.99674224</v>
      </c>
      <c r="C14067" s="8">
        <f t="array" ref="C14067">PRODUCT(1-'Sparkling Model'!D$2:D$38^A14067)</f>
        <v>0.9967459202</v>
      </c>
    </row>
    <row r="14068">
      <c r="A14068" s="6">
        <v>14066.0</v>
      </c>
      <c r="B14068" s="17">
        <f t="array" ref="B14068">SUM(1-'Sparkling Model'!D$2:D$38^A14068)</f>
        <v>36.99674386</v>
      </c>
      <c r="C14068" s="8">
        <f t="array" ref="C14068">PRODUCT(1-'Sparkling Model'!D$2:D$38^A14068)</f>
        <v>0.9967475282</v>
      </c>
    </row>
    <row r="14069">
      <c r="A14069" s="6">
        <v>14067.0</v>
      </c>
      <c r="B14069" s="17">
        <f t="array" ref="B14069">SUM(1-'Sparkling Model'!D$2:D$38^A14069)</f>
        <v>36.99674547</v>
      </c>
      <c r="C14069" s="8">
        <f t="array" ref="C14069">PRODUCT(1-'Sparkling Model'!D$2:D$38^A14069)</f>
        <v>0.9967491353</v>
      </c>
    </row>
    <row r="14070">
      <c r="A14070" s="6">
        <v>14068.0</v>
      </c>
      <c r="B14070" s="17">
        <f t="array" ref="B14070">SUM(1-'Sparkling Model'!D$2:D$38^A14070)</f>
        <v>36.99674708</v>
      </c>
      <c r="C14070" s="8">
        <f t="array" ref="C14070">PRODUCT(1-'Sparkling Model'!D$2:D$38^A14070)</f>
        <v>0.9967507417</v>
      </c>
    </row>
    <row r="14071">
      <c r="A14071" s="6">
        <v>14069.0</v>
      </c>
      <c r="B14071" s="17">
        <f t="array" ref="B14071">SUM(1-'Sparkling Model'!D$2:D$38^A14071)</f>
        <v>36.99674869</v>
      </c>
      <c r="C14071" s="8">
        <f t="array" ref="C14071">PRODUCT(1-'Sparkling Model'!D$2:D$38^A14071)</f>
        <v>0.9967523473</v>
      </c>
    </row>
    <row r="14072">
      <c r="A14072" s="6">
        <v>14070.0</v>
      </c>
      <c r="B14072" s="17">
        <f t="array" ref="B14072">SUM(1-'Sparkling Model'!D$2:D$38^A14072)</f>
        <v>36.99675029</v>
      </c>
      <c r="C14072" s="8">
        <f t="array" ref="C14072">PRODUCT(1-'Sparkling Model'!D$2:D$38^A14072)</f>
        <v>0.9967539521</v>
      </c>
    </row>
    <row r="14073">
      <c r="A14073" s="6">
        <v>14071.0</v>
      </c>
      <c r="B14073" s="17">
        <f t="array" ref="B14073">SUM(1-'Sparkling Model'!D$2:D$38^A14073)</f>
        <v>36.9967519</v>
      </c>
      <c r="C14073" s="8">
        <f t="array" ref="C14073">PRODUCT(1-'Sparkling Model'!D$2:D$38^A14073)</f>
        <v>0.996755556</v>
      </c>
    </row>
    <row r="14074">
      <c r="A14074" s="6">
        <v>14072.0</v>
      </c>
      <c r="B14074" s="17">
        <f t="array" ref="B14074">SUM(1-'Sparkling Model'!D$2:D$38^A14074)</f>
        <v>36.99675351</v>
      </c>
      <c r="C14074" s="8">
        <f t="array" ref="C14074">PRODUCT(1-'Sparkling Model'!D$2:D$38^A14074)</f>
        <v>0.9967571592</v>
      </c>
    </row>
    <row r="14075">
      <c r="A14075" s="6">
        <v>14073.0</v>
      </c>
      <c r="B14075" s="17">
        <f t="array" ref="B14075">SUM(1-'Sparkling Model'!D$2:D$38^A14075)</f>
        <v>36.99675512</v>
      </c>
      <c r="C14075" s="8">
        <f t="array" ref="C14075">PRODUCT(1-'Sparkling Model'!D$2:D$38^A14075)</f>
        <v>0.9967587616</v>
      </c>
    </row>
    <row r="14076">
      <c r="A14076" s="6">
        <v>14074.0</v>
      </c>
      <c r="B14076" s="17">
        <f t="array" ref="B14076">SUM(1-'Sparkling Model'!D$2:D$38^A14076)</f>
        <v>36.99675672</v>
      </c>
      <c r="C14076" s="8">
        <f t="array" ref="C14076">PRODUCT(1-'Sparkling Model'!D$2:D$38^A14076)</f>
        <v>0.9967603632</v>
      </c>
    </row>
    <row r="14077">
      <c r="A14077" s="6">
        <v>14075.0</v>
      </c>
      <c r="B14077" s="17">
        <f t="array" ref="B14077">SUM(1-'Sparkling Model'!D$2:D$38^A14077)</f>
        <v>36.99675832</v>
      </c>
      <c r="C14077" s="8">
        <f t="array" ref="C14077">PRODUCT(1-'Sparkling Model'!D$2:D$38^A14077)</f>
        <v>0.996761964</v>
      </c>
    </row>
    <row r="14078">
      <c r="A14078" s="6">
        <v>14076.0</v>
      </c>
      <c r="B14078" s="17">
        <f t="array" ref="B14078">SUM(1-'Sparkling Model'!D$2:D$38^A14078)</f>
        <v>36.99675993</v>
      </c>
      <c r="C14078" s="8">
        <f t="array" ref="C14078">PRODUCT(1-'Sparkling Model'!D$2:D$38^A14078)</f>
        <v>0.996763564</v>
      </c>
    </row>
    <row r="14079">
      <c r="A14079" s="6">
        <v>14077.0</v>
      </c>
      <c r="B14079" s="17">
        <f t="array" ref="B14079">SUM(1-'Sparkling Model'!D$2:D$38^A14079)</f>
        <v>36.99676153</v>
      </c>
      <c r="C14079" s="8">
        <f t="array" ref="C14079">PRODUCT(1-'Sparkling Model'!D$2:D$38^A14079)</f>
        <v>0.9967651633</v>
      </c>
    </row>
    <row r="14080">
      <c r="A14080" s="6">
        <v>14078.0</v>
      </c>
      <c r="B14080" s="17">
        <f t="array" ref="B14080">SUM(1-'Sparkling Model'!D$2:D$38^A14080)</f>
        <v>36.99676313</v>
      </c>
      <c r="C14080" s="8">
        <f t="array" ref="C14080">PRODUCT(1-'Sparkling Model'!D$2:D$38^A14080)</f>
        <v>0.9967667617</v>
      </c>
    </row>
    <row r="14081">
      <c r="A14081" s="6">
        <v>14079.0</v>
      </c>
      <c r="B14081" s="17">
        <f t="array" ref="B14081">SUM(1-'Sparkling Model'!D$2:D$38^A14081)</f>
        <v>36.99676473</v>
      </c>
      <c r="C14081" s="8">
        <f t="array" ref="C14081">PRODUCT(1-'Sparkling Model'!D$2:D$38^A14081)</f>
        <v>0.9967683593</v>
      </c>
    </row>
    <row r="14082">
      <c r="A14082" s="6">
        <v>14080.0</v>
      </c>
      <c r="B14082" s="17">
        <f t="array" ref="B14082">SUM(1-'Sparkling Model'!D$2:D$38^A14082)</f>
        <v>36.99676633</v>
      </c>
      <c r="C14082" s="8">
        <f t="array" ref="C14082">PRODUCT(1-'Sparkling Model'!D$2:D$38^A14082)</f>
        <v>0.9967699562</v>
      </c>
    </row>
    <row r="14083">
      <c r="A14083" s="6">
        <v>14081.0</v>
      </c>
      <c r="B14083" s="17">
        <f t="array" ref="B14083">SUM(1-'Sparkling Model'!D$2:D$38^A14083)</f>
        <v>36.99676793</v>
      </c>
      <c r="C14083" s="8">
        <f t="array" ref="C14083">PRODUCT(1-'Sparkling Model'!D$2:D$38^A14083)</f>
        <v>0.9967715522</v>
      </c>
    </row>
    <row r="14084">
      <c r="A14084" s="6">
        <v>14082.0</v>
      </c>
      <c r="B14084" s="17">
        <f t="array" ref="B14084">SUM(1-'Sparkling Model'!D$2:D$38^A14084)</f>
        <v>36.99676953</v>
      </c>
      <c r="C14084" s="8">
        <f t="array" ref="C14084">PRODUCT(1-'Sparkling Model'!D$2:D$38^A14084)</f>
        <v>0.9967731475</v>
      </c>
    </row>
    <row r="14085">
      <c r="A14085" s="6">
        <v>14083.0</v>
      </c>
      <c r="B14085" s="17">
        <f t="array" ref="B14085">SUM(1-'Sparkling Model'!D$2:D$38^A14085)</f>
        <v>36.99677113</v>
      </c>
      <c r="C14085" s="8">
        <f t="array" ref="C14085">PRODUCT(1-'Sparkling Model'!D$2:D$38^A14085)</f>
        <v>0.996774742</v>
      </c>
    </row>
    <row r="14086">
      <c r="A14086" s="6">
        <v>14084.0</v>
      </c>
      <c r="B14086" s="17">
        <f t="array" ref="B14086">SUM(1-'Sparkling Model'!D$2:D$38^A14086)</f>
        <v>36.99677273</v>
      </c>
      <c r="C14086" s="8">
        <f t="array" ref="C14086">PRODUCT(1-'Sparkling Model'!D$2:D$38^A14086)</f>
        <v>0.9967763356</v>
      </c>
    </row>
    <row r="14087">
      <c r="A14087" s="6">
        <v>14085.0</v>
      </c>
      <c r="B14087" s="17">
        <f t="array" ref="B14087">SUM(1-'Sparkling Model'!D$2:D$38^A14087)</f>
        <v>36.99677433</v>
      </c>
      <c r="C14087" s="8">
        <f t="array" ref="C14087">PRODUCT(1-'Sparkling Model'!D$2:D$38^A14087)</f>
        <v>0.9967779285</v>
      </c>
    </row>
    <row r="14088">
      <c r="A14088" s="6">
        <v>14086.0</v>
      </c>
      <c r="B14088" s="17">
        <f t="array" ref="B14088">SUM(1-'Sparkling Model'!D$2:D$38^A14088)</f>
        <v>36.99677592</v>
      </c>
      <c r="C14088" s="8">
        <f t="array" ref="C14088">PRODUCT(1-'Sparkling Model'!D$2:D$38^A14088)</f>
        <v>0.9967795206</v>
      </c>
    </row>
    <row r="14089">
      <c r="A14089" s="6">
        <v>14087.0</v>
      </c>
      <c r="B14089" s="17">
        <f t="array" ref="B14089">SUM(1-'Sparkling Model'!D$2:D$38^A14089)</f>
        <v>36.99677752</v>
      </c>
      <c r="C14089" s="8">
        <f t="array" ref="C14089">PRODUCT(1-'Sparkling Model'!D$2:D$38^A14089)</f>
        <v>0.9967811119</v>
      </c>
    </row>
    <row r="14090">
      <c r="A14090" s="6">
        <v>14088.0</v>
      </c>
      <c r="B14090" s="17">
        <f t="array" ref="B14090">SUM(1-'Sparkling Model'!D$2:D$38^A14090)</f>
        <v>36.99677911</v>
      </c>
      <c r="C14090" s="8">
        <f t="array" ref="C14090">PRODUCT(1-'Sparkling Model'!D$2:D$38^A14090)</f>
        <v>0.9967827025</v>
      </c>
    </row>
    <row r="14091">
      <c r="A14091" s="6">
        <v>14089.0</v>
      </c>
      <c r="B14091" s="17">
        <f t="array" ref="B14091">SUM(1-'Sparkling Model'!D$2:D$38^A14091)</f>
        <v>36.9967807</v>
      </c>
      <c r="C14091" s="8">
        <f t="array" ref="C14091">PRODUCT(1-'Sparkling Model'!D$2:D$38^A14091)</f>
        <v>0.9967842922</v>
      </c>
    </row>
    <row r="14092">
      <c r="A14092" s="6">
        <v>14090.0</v>
      </c>
      <c r="B14092" s="17">
        <f t="array" ref="B14092">SUM(1-'Sparkling Model'!D$2:D$38^A14092)</f>
        <v>36.9967823</v>
      </c>
      <c r="C14092" s="8">
        <f t="array" ref="C14092">PRODUCT(1-'Sparkling Model'!D$2:D$38^A14092)</f>
        <v>0.9967858812</v>
      </c>
    </row>
    <row r="14093">
      <c r="A14093" s="6">
        <v>14091.0</v>
      </c>
      <c r="B14093" s="17">
        <f t="array" ref="B14093">SUM(1-'Sparkling Model'!D$2:D$38^A14093)</f>
        <v>36.99678389</v>
      </c>
      <c r="C14093" s="8">
        <f t="array" ref="C14093">PRODUCT(1-'Sparkling Model'!D$2:D$38^A14093)</f>
        <v>0.9967874693</v>
      </c>
    </row>
    <row r="14094">
      <c r="A14094" s="6">
        <v>14092.0</v>
      </c>
      <c r="B14094" s="17">
        <f t="array" ref="B14094">SUM(1-'Sparkling Model'!D$2:D$38^A14094)</f>
        <v>36.99678548</v>
      </c>
      <c r="C14094" s="8">
        <f t="array" ref="C14094">PRODUCT(1-'Sparkling Model'!D$2:D$38^A14094)</f>
        <v>0.9967890567</v>
      </c>
    </row>
    <row r="14095">
      <c r="A14095" s="6">
        <v>14093.0</v>
      </c>
      <c r="B14095" s="17">
        <f t="array" ref="B14095">SUM(1-'Sparkling Model'!D$2:D$38^A14095)</f>
        <v>36.99678707</v>
      </c>
      <c r="C14095" s="8">
        <f t="array" ref="C14095">PRODUCT(1-'Sparkling Model'!D$2:D$38^A14095)</f>
        <v>0.9967906433</v>
      </c>
    </row>
    <row r="14096">
      <c r="A14096" s="6">
        <v>14094.0</v>
      </c>
      <c r="B14096" s="17">
        <f t="array" ref="B14096">SUM(1-'Sparkling Model'!D$2:D$38^A14096)</f>
        <v>36.99678866</v>
      </c>
      <c r="C14096" s="8">
        <f t="array" ref="C14096">PRODUCT(1-'Sparkling Model'!D$2:D$38^A14096)</f>
        <v>0.9967922291</v>
      </c>
    </row>
    <row r="14097">
      <c r="A14097" s="6">
        <v>14095.0</v>
      </c>
      <c r="B14097" s="17">
        <f t="array" ref="B14097">SUM(1-'Sparkling Model'!D$2:D$38^A14097)</f>
        <v>36.99679025</v>
      </c>
      <c r="C14097" s="8">
        <f t="array" ref="C14097">PRODUCT(1-'Sparkling Model'!D$2:D$38^A14097)</f>
        <v>0.9967938141</v>
      </c>
    </row>
    <row r="14098">
      <c r="A14098" s="6">
        <v>14096.0</v>
      </c>
      <c r="B14098" s="17">
        <f t="array" ref="B14098">SUM(1-'Sparkling Model'!D$2:D$38^A14098)</f>
        <v>36.99679183</v>
      </c>
      <c r="C14098" s="8">
        <f t="array" ref="C14098">PRODUCT(1-'Sparkling Model'!D$2:D$38^A14098)</f>
        <v>0.9967953983</v>
      </c>
    </row>
    <row r="14099">
      <c r="A14099" s="6">
        <v>14097.0</v>
      </c>
      <c r="B14099" s="17">
        <f t="array" ref="B14099">SUM(1-'Sparkling Model'!D$2:D$38^A14099)</f>
        <v>36.99679342</v>
      </c>
      <c r="C14099" s="8">
        <f t="array" ref="C14099">PRODUCT(1-'Sparkling Model'!D$2:D$38^A14099)</f>
        <v>0.9967969818</v>
      </c>
    </row>
    <row r="14100">
      <c r="A14100" s="6">
        <v>14098.0</v>
      </c>
      <c r="B14100" s="17">
        <f t="array" ref="B14100">SUM(1-'Sparkling Model'!D$2:D$38^A14100)</f>
        <v>36.99679501</v>
      </c>
      <c r="C14100" s="8">
        <f t="array" ref="C14100">PRODUCT(1-'Sparkling Model'!D$2:D$38^A14100)</f>
        <v>0.9967985644</v>
      </c>
    </row>
    <row r="14101">
      <c r="A14101" s="6">
        <v>14099.0</v>
      </c>
      <c r="B14101" s="17">
        <f t="array" ref="B14101">SUM(1-'Sparkling Model'!D$2:D$38^A14101)</f>
        <v>36.99679659</v>
      </c>
      <c r="C14101" s="8">
        <f t="array" ref="C14101">PRODUCT(1-'Sparkling Model'!D$2:D$38^A14101)</f>
        <v>0.9968001463</v>
      </c>
    </row>
    <row r="14102">
      <c r="A14102" s="6">
        <v>14100.0</v>
      </c>
      <c r="B14102" s="17">
        <f t="array" ref="B14102">SUM(1-'Sparkling Model'!D$2:D$38^A14102)</f>
        <v>36.99679818</v>
      </c>
      <c r="C14102" s="8">
        <f t="array" ref="C14102">PRODUCT(1-'Sparkling Model'!D$2:D$38^A14102)</f>
        <v>0.9968017274</v>
      </c>
    </row>
    <row r="14103">
      <c r="A14103" s="6">
        <v>14101.0</v>
      </c>
      <c r="B14103" s="17">
        <f t="array" ref="B14103">SUM(1-'Sparkling Model'!D$2:D$38^A14103)</f>
        <v>36.99679976</v>
      </c>
      <c r="C14103" s="8">
        <f t="array" ref="C14103">PRODUCT(1-'Sparkling Model'!D$2:D$38^A14103)</f>
        <v>0.9968033077</v>
      </c>
    </row>
    <row r="14104">
      <c r="A14104" s="6">
        <v>14102.0</v>
      </c>
      <c r="B14104" s="17">
        <f t="array" ref="B14104">SUM(1-'Sparkling Model'!D$2:D$38^A14104)</f>
        <v>36.99680134</v>
      </c>
      <c r="C14104" s="8">
        <f t="array" ref="C14104">PRODUCT(1-'Sparkling Model'!D$2:D$38^A14104)</f>
        <v>0.9968048872</v>
      </c>
    </row>
    <row r="14105">
      <c r="A14105" s="6">
        <v>14103.0</v>
      </c>
      <c r="B14105" s="17">
        <f t="array" ref="B14105">SUM(1-'Sparkling Model'!D$2:D$38^A14105)</f>
        <v>36.99680293</v>
      </c>
      <c r="C14105" s="8">
        <f t="array" ref="C14105">PRODUCT(1-'Sparkling Model'!D$2:D$38^A14105)</f>
        <v>0.996806466</v>
      </c>
    </row>
    <row r="14106">
      <c r="A14106" s="6">
        <v>14104.0</v>
      </c>
      <c r="B14106" s="17">
        <f t="array" ref="B14106">SUM(1-'Sparkling Model'!D$2:D$38^A14106)</f>
        <v>36.99680451</v>
      </c>
      <c r="C14106" s="8">
        <f t="array" ref="C14106">PRODUCT(1-'Sparkling Model'!D$2:D$38^A14106)</f>
        <v>0.9968080439</v>
      </c>
    </row>
    <row r="14107">
      <c r="A14107" s="6">
        <v>14105.0</v>
      </c>
      <c r="B14107" s="17">
        <f t="array" ref="B14107">SUM(1-'Sparkling Model'!D$2:D$38^A14107)</f>
        <v>36.99680609</v>
      </c>
      <c r="C14107" s="8">
        <f t="array" ref="C14107">PRODUCT(1-'Sparkling Model'!D$2:D$38^A14107)</f>
        <v>0.9968096211</v>
      </c>
    </row>
    <row r="14108">
      <c r="A14108" s="6">
        <v>14106.0</v>
      </c>
      <c r="B14108" s="17">
        <f t="array" ref="B14108">SUM(1-'Sparkling Model'!D$2:D$38^A14108)</f>
        <v>36.99680767</v>
      </c>
      <c r="C14108" s="8">
        <f t="array" ref="C14108">PRODUCT(1-'Sparkling Model'!D$2:D$38^A14108)</f>
        <v>0.9968111975</v>
      </c>
    </row>
    <row r="14109">
      <c r="A14109" s="6">
        <v>14107.0</v>
      </c>
      <c r="B14109" s="17">
        <f t="array" ref="B14109">SUM(1-'Sparkling Model'!D$2:D$38^A14109)</f>
        <v>36.99680925</v>
      </c>
      <c r="C14109" s="8">
        <f t="array" ref="C14109">PRODUCT(1-'Sparkling Model'!D$2:D$38^A14109)</f>
        <v>0.9968127731</v>
      </c>
    </row>
    <row r="14110">
      <c r="A14110" s="6">
        <v>14108.0</v>
      </c>
      <c r="B14110" s="17">
        <f t="array" ref="B14110">SUM(1-'Sparkling Model'!D$2:D$38^A14110)</f>
        <v>36.99681083</v>
      </c>
      <c r="C14110" s="8">
        <f t="array" ref="C14110">PRODUCT(1-'Sparkling Model'!D$2:D$38^A14110)</f>
        <v>0.9968143479</v>
      </c>
    </row>
    <row r="14111">
      <c r="A14111" s="6">
        <v>14109.0</v>
      </c>
      <c r="B14111" s="17">
        <f t="array" ref="B14111">SUM(1-'Sparkling Model'!D$2:D$38^A14111)</f>
        <v>36.9968124</v>
      </c>
      <c r="C14111" s="8">
        <f t="array" ref="C14111">PRODUCT(1-'Sparkling Model'!D$2:D$38^A14111)</f>
        <v>0.996815922</v>
      </c>
    </row>
    <row r="14112">
      <c r="A14112" s="6">
        <v>14110.0</v>
      </c>
      <c r="B14112" s="17">
        <f t="array" ref="B14112">SUM(1-'Sparkling Model'!D$2:D$38^A14112)</f>
        <v>36.99681398</v>
      </c>
      <c r="C14112" s="8">
        <f t="array" ref="C14112">PRODUCT(1-'Sparkling Model'!D$2:D$38^A14112)</f>
        <v>0.9968174953</v>
      </c>
    </row>
    <row r="14113">
      <c r="A14113" s="6">
        <v>14111.0</v>
      </c>
      <c r="B14113" s="17">
        <f t="array" ref="B14113">SUM(1-'Sparkling Model'!D$2:D$38^A14113)</f>
        <v>36.99681556</v>
      </c>
      <c r="C14113" s="8">
        <f t="array" ref="C14113">PRODUCT(1-'Sparkling Model'!D$2:D$38^A14113)</f>
        <v>0.9968190678</v>
      </c>
    </row>
    <row r="14114">
      <c r="A14114" s="6">
        <v>14112.0</v>
      </c>
      <c r="B14114" s="17">
        <f t="array" ref="B14114">SUM(1-'Sparkling Model'!D$2:D$38^A14114)</f>
        <v>36.99681713</v>
      </c>
      <c r="C14114" s="8">
        <f t="array" ref="C14114">PRODUCT(1-'Sparkling Model'!D$2:D$38^A14114)</f>
        <v>0.9968206395</v>
      </c>
    </row>
    <row r="14115">
      <c r="A14115" s="6">
        <v>14113.0</v>
      </c>
      <c r="B14115" s="17">
        <f t="array" ref="B14115">SUM(1-'Sparkling Model'!D$2:D$38^A14115)</f>
        <v>36.99681871</v>
      </c>
      <c r="C14115" s="8">
        <f t="array" ref="C14115">PRODUCT(1-'Sparkling Model'!D$2:D$38^A14115)</f>
        <v>0.9968222104</v>
      </c>
    </row>
    <row r="14116">
      <c r="A14116" s="6">
        <v>14114.0</v>
      </c>
      <c r="B14116" s="17">
        <f t="array" ref="B14116">SUM(1-'Sparkling Model'!D$2:D$38^A14116)</f>
        <v>36.99682028</v>
      </c>
      <c r="C14116" s="8">
        <f t="array" ref="C14116">PRODUCT(1-'Sparkling Model'!D$2:D$38^A14116)</f>
        <v>0.9968237806</v>
      </c>
    </row>
    <row r="14117">
      <c r="A14117" s="6">
        <v>14115.0</v>
      </c>
      <c r="B14117" s="17">
        <f t="array" ref="B14117">SUM(1-'Sparkling Model'!D$2:D$38^A14117)</f>
        <v>36.99682185</v>
      </c>
      <c r="C14117" s="8">
        <f t="array" ref="C14117">PRODUCT(1-'Sparkling Model'!D$2:D$38^A14117)</f>
        <v>0.9968253499</v>
      </c>
    </row>
    <row r="14118">
      <c r="A14118" s="6">
        <v>14116.0</v>
      </c>
      <c r="B14118" s="17">
        <f t="array" ref="B14118">SUM(1-'Sparkling Model'!D$2:D$38^A14118)</f>
        <v>36.99682342</v>
      </c>
      <c r="C14118" s="8">
        <f t="array" ref="C14118">PRODUCT(1-'Sparkling Model'!D$2:D$38^A14118)</f>
        <v>0.9968269186</v>
      </c>
    </row>
    <row r="14119">
      <c r="A14119" s="6">
        <v>14117.0</v>
      </c>
      <c r="B14119" s="17">
        <f t="array" ref="B14119">SUM(1-'Sparkling Model'!D$2:D$38^A14119)</f>
        <v>36.996825</v>
      </c>
      <c r="C14119" s="8">
        <f t="array" ref="C14119">PRODUCT(1-'Sparkling Model'!D$2:D$38^A14119)</f>
        <v>0.9968284864</v>
      </c>
    </row>
    <row r="14120">
      <c r="A14120" s="6">
        <v>14118.0</v>
      </c>
      <c r="B14120" s="17">
        <f t="array" ref="B14120">SUM(1-'Sparkling Model'!D$2:D$38^A14120)</f>
        <v>36.99682657</v>
      </c>
      <c r="C14120" s="8">
        <f t="array" ref="C14120">PRODUCT(1-'Sparkling Model'!D$2:D$38^A14120)</f>
        <v>0.9968300534</v>
      </c>
    </row>
    <row r="14121">
      <c r="A14121" s="6">
        <v>14119.0</v>
      </c>
      <c r="B14121" s="17">
        <f t="array" ref="B14121">SUM(1-'Sparkling Model'!D$2:D$38^A14121)</f>
        <v>36.99682814</v>
      </c>
      <c r="C14121" s="8">
        <f t="array" ref="C14121">PRODUCT(1-'Sparkling Model'!D$2:D$38^A14121)</f>
        <v>0.9968316197</v>
      </c>
    </row>
    <row r="14122">
      <c r="A14122" s="6">
        <v>14120.0</v>
      </c>
      <c r="B14122" s="17">
        <f t="array" ref="B14122">SUM(1-'Sparkling Model'!D$2:D$38^A14122)</f>
        <v>36.99682971</v>
      </c>
      <c r="C14122" s="8">
        <f t="array" ref="C14122">PRODUCT(1-'Sparkling Model'!D$2:D$38^A14122)</f>
        <v>0.9968331852</v>
      </c>
    </row>
    <row r="14123">
      <c r="A14123" s="6">
        <v>14121.0</v>
      </c>
      <c r="B14123" s="17">
        <f t="array" ref="B14123">SUM(1-'Sparkling Model'!D$2:D$38^A14123)</f>
        <v>36.99683127</v>
      </c>
      <c r="C14123" s="8">
        <f t="array" ref="C14123">PRODUCT(1-'Sparkling Model'!D$2:D$38^A14123)</f>
        <v>0.9968347499</v>
      </c>
    </row>
    <row r="14124">
      <c r="A14124" s="6">
        <v>14122.0</v>
      </c>
      <c r="B14124" s="17">
        <f t="array" ref="B14124">SUM(1-'Sparkling Model'!D$2:D$38^A14124)</f>
        <v>36.99683284</v>
      </c>
      <c r="C14124" s="8">
        <f t="array" ref="C14124">PRODUCT(1-'Sparkling Model'!D$2:D$38^A14124)</f>
        <v>0.9968363138</v>
      </c>
    </row>
    <row r="14125">
      <c r="A14125" s="6">
        <v>14123.0</v>
      </c>
      <c r="B14125" s="17">
        <f t="array" ref="B14125">SUM(1-'Sparkling Model'!D$2:D$38^A14125)</f>
        <v>36.99683441</v>
      </c>
      <c r="C14125" s="8">
        <f t="array" ref="C14125">PRODUCT(1-'Sparkling Model'!D$2:D$38^A14125)</f>
        <v>0.996837877</v>
      </c>
    </row>
    <row r="14126">
      <c r="A14126" s="6">
        <v>14124.0</v>
      </c>
      <c r="B14126" s="17">
        <f t="array" ref="B14126">SUM(1-'Sparkling Model'!D$2:D$38^A14126)</f>
        <v>36.99683597</v>
      </c>
      <c r="C14126" s="8">
        <f t="array" ref="C14126">PRODUCT(1-'Sparkling Model'!D$2:D$38^A14126)</f>
        <v>0.9968394394</v>
      </c>
    </row>
    <row r="14127">
      <c r="A14127" s="6">
        <v>14125.0</v>
      </c>
      <c r="B14127" s="17">
        <f t="array" ref="B14127">SUM(1-'Sparkling Model'!D$2:D$38^A14127)</f>
        <v>36.99683754</v>
      </c>
      <c r="C14127" s="8">
        <f t="array" ref="C14127">PRODUCT(1-'Sparkling Model'!D$2:D$38^A14127)</f>
        <v>0.996841001</v>
      </c>
    </row>
    <row r="14128">
      <c r="A14128" s="6">
        <v>14126.0</v>
      </c>
      <c r="B14128" s="17">
        <f t="array" ref="B14128">SUM(1-'Sparkling Model'!D$2:D$38^A14128)</f>
        <v>36.9968391</v>
      </c>
      <c r="C14128" s="8">
        <f t="array" ref="C14128">PRODUCT(1-'Sparkling Model'!D$2:D$38^A14128)</f>
        <v>0.9968425619</v>
      </c>
    </row>
    <row r="14129">
      <c r="A14129" s="6">
        <v>14127.0</v>
      </c>
      <c r="B14129" s="17">
        <f t="array" ref="B14129">SUM(1-'Sparkling Model'!D$2:D$38^A14129)</f>
        <v>36.99684067</v>
      </c>
      <c r="C14129" s="8">
        <f t="array" ref="C14129">PRODUCT(1-'Sparkling Model'!D$2:D$38^A14129)</f>
        <v>0.9968441219</v>
      </c>
    </row>
    <row r="14130">
      <c r="A14130" s="6">
        <v>14128.0</v>
      </c>
      <c r="B14130" s="17">
        <f t="array" ref="B14130">SUM(1-'Sparkling Model'!D$2:D$38^A14130)</f>
        <v>36.99684223</v>
      </c>
      <c r="C14130" s="8">
        <f t="array" ref="C14130">PRODUCT(1-'Sparkling Model'!D$2:D$38^A14130)</f>
        <v>0.9968456812</v>
      </c>
    </row>
    <row r="14131">
      <c r="A14131" s="6">
        <v>14129.0</v>
      </c>
      <c r="B14131" s="17">
        <f t="array" ref="B14131">SUM(1-'Sparkling Model'!D$2:D$38^A14131)</f>
        <v>36.99684379</v>
      </c>
      <c r="C14131" s="8">
        <f t="array" ref="C14131">PRODUCT(1-'Sparkling Model'!D$2:D$38^A14131)</f>
        <v>0.9968472398</v>
      </c>
    </row>
    <row r="14132">
      <c r="A14132" s="6">
        <v>14130.0</v>
      </c>
      <c r="B14132" s="17">
        <f t="array" ref="B14132">SUM(1-'Sparkling Model'!D$2:D$38^A14132)</f>
        <v>36.99684535</v>
      </c>
      <c r="C14132" s="8">
        <f t="array" ref="C14132">PRODUCT(1-'Sparkling Model'!D$2:D$38^A14132)</f>
        <v>0.9968487975</v>
      </c>
    </row>
    <row r="14133">
      <c r="A14133" s="6">
        <v>14131.0</v>
      </c>
      <c r="B14133" s="17">
        <f t="array" ref="B14133">SUM(1-'Sparkling Model'!D$2:D$38^A14133)</f>
        <v>36.99684691</v>
      </c>
      <c r="C14133" s="8">
        <f t="array" ref="C14133">PRODUCT(1-'Sparkling Model'!D$2:D$38^A14133)</f>
        <v>0.9968503545</v>
      </c>
    </row>
    <row r="14134">
      <c r="A14134" s="6">
        <v>14132.0</v>
      </c>
      <c r="B14134" s="17">
        <f t="array" ref="B14134">SUM(1-'Sparkling Model'!D$2:D$38^A14134)</f>
        <v>36.99684847</v>
      </c>
      <c r="C14134" s="8">
        <f t="array" ref="C14134">PRODUCT(1-'Sparkling Model'!D$2:D$38^A14134)</f>
        <v>0.9968519107</v>
      </c>
    </row>
    <row r="14135">
      <c r="A14135" s="6">
        <v>14133.0</v>
      </c>
      <c r="B14135" s="17">
        <f t="array" ref="B14135">SUM(1-'Sparkling Model'!D$2:D$38^A14135)</f>
        <v>36.99685003</v>
      </c>
      <c r="C14135" s="8">
        <f t="array" ref="C14135">PRODUCT(1-'Sparkling Model'!D$2:D$38^A14135)</f>
        <v>0.9968534662</v>
      </c>
    </row>
    <row r="14136">
      <c r="A14136" s="6">
        <v>14134.0</v>
      </c>
      <c r="B14136" s="17">
        <f t="array" ref="B14136">SUM(1-'Sparkling Model'!D$2:D$38^A14136)</f>
        <v>36.99685159</v>
      </c>
      <c r="C14136" s="8">
        <f t="array" ref="C14136">PRODUCT(1-'Sparkling Model'!D$2:D$38^A14136)</f>
        <v>0.9968550208</v>
      </c>
    </row>
    <row r="14137">
      <c r="A14137" s="6">
        <v>14135.0</v>
      </c>
      <c r="B14137" s="17">
        <f t="array" ref="B14137">SUM(1-'Sparkling Model'!D$2:D$38^A14137)</f>
        <v>36.99685315</v>
      </c>
      <c r="C14137" s="8">
        <f t="array" ref="C14137">PRODUCT(1-'Sparkling Model'!D$2:D$38^A14137)</f>
        <v>0.9968565747</v>
      </c>
    </row>
    <row r="14138">
      <c r="A14138" s="6">
        <v>14136.0</v>
      </c>
      <c r="B14138" s="17">
        <f t="array" ref="B14138">SUM(1-'Sparkling Model'!D$2:D$38^A14138)</f>
        <v>36.9968547</v>
      </c>
      <c r="C14138" s="8">
        <f t="array" ref="C14138">PRODUCT(1-'Sparkling Model'!D$2:D$38^A14138)</f>
        <v>0.9968581278</v>
      </c>
    </row>
    <row r="14139">
      <c r="A14139" s="6">
        <v>14137.0</v>
      </c>
      <c r="B14139" s="17">
        <f t="array" ref="B14139">SUM(1-'Sparkling Model'!D$2:D$38^A14139)</f>
        <v>36.99685626</v>
      </c>
      <c r="C14139" s="8">
        <f t="array" ref="C14139">PRODUCT(1-'Sparkling Model'!D$2:D$38^A14139)</f>
        <v>0.9968596802</v>
      </c>
    </row>
    <row r="14140">
      <c r="A14140" s="6">
        <v>14138.0</v>
      </c>
      <c r="B14140" s="17">
        <f t="array" ref="B14140">SUM(1-'Sparkling Model'!D$2:D$38^A14140)</f>
        <v>36.99685781</v>
      </c>
      <c r="C14140" s="8">
        <f t="array" ref="C14140">PRODUCT(1-'Sparkling Model'!D$2:D$38^A14140)</f>
        <v>0.9968612318</v>
      </c>
    </row>
    <row r="14141">
      <c r="A14141" s="6">
        <v>14139.0</v>
      </c>
      <c r="B14141" s="17">
        <f t="array" ref="B14141">SUM(1-'Sparkling Model'!D$2:D$38^A14141)</f>
        <v>36.99685937</v>
      </c>
      <c r="C14141" s="8">
        <f t="array" ref="C14141">PRODUCT(1-'Sparkling Model'!D$2:D$38^A14141)</f>
        <v>0.9968627826</v>
      </c>
    </row>
    <row r="14142">
      <c r="A14142" s="6">
        <v>14140.0</v>
      </c>
      <c r="B14142" s="17">
        <f t="array" ref="B14142">SUM(1-'Sparkling Model'!D$2:D$38^A14142)</f>
        <v>36.99686092</v>
      </c>
      <c r="C14142" s="8">
        <f t="array" ref="C14142">PRODUCT(1-'Sparkling Model'!D$2:D$38^A14142)</f>
        <v>0.9968643327</v>
      </c>
    </row>
    <row r="14143">
      <c r="A14143" s="6">
        <v>14141.0</v>
      </c>
      <c r="B14143" s="17">
        <f t="array" ref="B14143">SUM(1-'Sparkling Model'!D$2:D$38^A14143)</f>
        <v>36.99686247</v>
      </c>
      <c r="C14143" s="8">
        <f t="array" ref="C14143">PRODUCT(1-'Sparkling Model'!D$2:D$38^A14143)</f>
        <v>0.996865882</v>
      </c>
    </row>
    <row r="14144">
      <c r="A14144" s="6">
        <v>14142.0</v>
      </c>
      <c r="B14144" s="17">
        <f t="array" ref="B14144">SUM(1-'Sparkling Model'!D$2:D$38^A14144)</f>
        <v>36.99686403</v>
      </c>
      <c r="C14144" s="8">
        <f t="array" ref="C14144">PRODUCT(1-'Sparkling Model'!D$2:D$38^A14144)</f>
        <v>0.9968674305</v>
      </c>
    </row>
    <row r="14145">
      <c r="A14145" s="6">
        <v>14143.0</v>
      </c>
      <c r="B14145" s="17">
        <f t="array" ref="B14145">SUM(1-'Sparkling Model'!D$2:D$38^A14145)</f>
        <v>36.99686558</v>
      </c>
      <c r="C14145" s="8">
        <f t="array" ref="C14145">PRODUCT(1-'Sparkling Model'!D$2:D$38^A14145)</f>
        <v>0.9968689782</v>
      </c>
    </row>
    <row r="14146">
      <c r="A14146" s="6">
        <v>14144.0</v>
      </c>
      <c r="B14146" s="17">
        <f t="array" ref="B14146">SUM(1-'Sparkling Model'!D$2:D$38^A14146)</f>
        <v>36.99686713</v>
      </c>
      <c r="C14146" s="8">
        <f t="array" ref="C14146">PRODUCT(1-'Sparkling Model'!D$2:D$38^A14146)</f>
        <v>0.9968705252</v>
      </c>
    </row>
    <row r="14147">
      <c r="A14147" s="6">
        <v>14145.0</v>
      </c>
      <c r="B14147" s="17">
        <f t="array" ref="B14147">SUM(1-'Sparkling Model'!D$2:D$38^A14147)</f>
        <v>36.99686868</v>
      </c>
      <c r="C14147" s="8">
        <f t="array" ref="C14147">PRODUCT(1-'Sparkling Model'!D$2:D$38^A14147)</f>
        <v>0.9968720714</v>
      </c>
    </row>
    <row r="14148">
      <c r="A14148" s="6">
        <v>14146.0</v>
      </c>
      <c r="B14148" s="17">
        <f t="array" ref="B14148">SUM(1-'Sparkling Model'!D$2:D$38^A14148)</f>
        <v>36.99687023</v>
      </c>
      <c r="C14148" s="8">
        <f t="array" ref="C14148">PRODUCT(1-'Sparkling Model'!D$2:D$38^A14148)</f>
        <v>0.9968736169</v>
      </c>
    </row>
    <row r="14149">
      <c r="A14149" s="6">
        <v>14147.0</v>
      </c>
      <c r="B14149" s="17">
        <f t="array" ref="B14149">SUM(1-'Sparkling Model'!D$2:D$38^A14149)</f>
        <v>36.99687177</v>
      </c>
      <c r="C14149" s="8">
        <f t="array" ref="C14149">PRODUCT(1-'Sparkling Model'!D$2:D$38^A14149)</f>
        <v>0.9968751615</v>
      </c>
    </row>
    <row r="14150">
      <c r="A14150" s="6">
        <v>14148.0</v>
      </c>
      <c r="B14150" s="17">
        <f t="array" ref="B14150">SUM(1-'Sparkling Model'!D$2:D$38^A14150)</f>
        <v>36.99687332</v>
      </c>
      <c r="C14150" s="8">
        <f t="array" ref="C14150">PRODUCT(1-'Sparkling Model'!D$2:D$38^A14150)</f>
        <v>0.9968767055</v>
      </c>
    </row>
    <row r="14151">
      <c r="A14151" s="6">
        <v>14149.0</v>
      </c>
      <c r="B14151" s="17">
        <f t="array" ref="B14151">SUM(1-'Sparkling Model'!D$2:D$38^A14151)</f>
        <v>36.99687487</v>
      </c>
      <c r="C14151" s="8">
        <f t="array" ref="C14151">PRODUCT(1-'Sparkling Model'!D$2:D$38^A14151)</f>
        <v>0.9968782486</v>
      </c>
    </row>
    <row r="14152">
      <c r="A14152" s="6">
        <v>14150.0</v>
      </c>
      <c r="B14152" s="17">
        <f t="array" ref="B14152">SUM(1-'Sparkling Model'!D$2:D$38^A14152)</f>
        <v>36.99687641</v>
      </c>
      <c r="C14152" s="8">
        <f t="array" ref="C14152">PRODUCT(1-'Sparkling Model'!D$2:D$38^A14152)</f>
        <v>0.996879791</v>
      </c>
    </row>
    <row r="14153">
      <c r="A14153" s="6">
        <v>14151.0</v>
      </c>
      <c r="B14153" s="17">
        <f t="array" ref="B14153">SUM(1-'Sparkling Model'!D$2:D$38^A14153)</f>
        <v>36.99687796</v>
      </c>
      <c r="C14153" s="8">
        <f t="array" ref="C14153">PRODUCT(1-'Sparkling Model'!D$2:D$38^A14153)</f>
        <v>0.9968813326</v>
      </c>
    </row>
    <row r="14154">
      <c r="A14154" s="6">
        <v>14152.0</v>
      </c>
      <c r="B14154" s="17">
        <f t="array" ref="B14154">SUM(1-'Sparkling Model'!D$2:D$38^A14154)</f>
        <v>36.9968795</v>
      </c>
      <c r="C14154" s="8">
        <f t="array" ref="C14154">PRODUCT(1-'Sparkling Model'!D$2:D$38^A14154)</f>
        <v>0.9968828735</v>
      </c>
    </row>
    <row r="14155">
      <c r="A14155" s="6">
        <v>14153.0</v>
      </c>
      <c r="B14155" s="17">
        <f t="array" ref="B14155">SUM(1-'Sparkling Model'!D$2:D$38^A14155)</f>
        <v>36.99688105</v>
      </c>
      <c r="C14155" s="8">
        <f t="array" ref="C14155">PRODUCT(1-'Sparkling Model'!D$2:D$38^A14155)</f>
        <v>0.9968844136</v>
      </c>
    </row>
    <row r="14156">
      <c r="A14156" s="6">
        <v>14154.0</v>
      </c>
      <c r="B14156" s="17">
        <f t="array" ref="B14156">SUM(1-'Sparkling Model'!D$2:D$38^A14156)</f>
        <v>36.99688259</v>
      </c>
      <c r="C14156" s="8">
        <f t="array" ref="C14156">PRODUCT(1-'Sparkling Model'!D$2:D$38^A14156)</f>
        <v>0.9968859529</v>
      </c>
    </row>
    <row r="14157">
      <c r="A14157" s="6">
        <v>14155.0</v>
      </c>
      <c r="B14157" s="17">
        <f t="array" ref="B14157">SUM(1-'Sparkling Model'!D$2:D$38^A14157)</f>
        <v>36.99688413</v>
      </c>
      <c r="C14157" s="8">
        <f t="array" ref="C14157">PRODUCT(1-'Sparkling Model'!D$2:D$38^A14157)</f>
        <v>0.9968874915</v>
      </c>
    </row>
    <row r="14158">
      <c r="A14158" s="6">
        <v>14156.0</v>
      </c>
      <c r="B14158" s="17">
        <f t="array" ref="B14158">SUM(1-'Sparkling Model'!D$2:D$38^A14158)</f>
        <v>36.99688567</v>
      </c>
      <c r="C14158" s="8">
        <f t="array" ref="C14158">PRODUCT(1-'Sparkling Model'!D$2:D$38^A14158)</f>
        <v>0.9968890293</v>
      </c>
    </row>
    <row r="14159">
      <c r="A14159" s="6">
        <v>14157.0</v>
      </c>
      <c r="B14159" s="17">
        <f t="array" ref="B14159">SUM(1-'Sparkling Model'!D$2:D$38^A14159)</f>
        <v>36.99688721</v>
      </c>
      <c r="C14159" s="8">
        <f t="array" ref="C14159">PRODUCT(1-'Sparkling Model'!D$2:D$38^A14159)</f>
        <v>0.9968905663</v>
      </c>
    </row>
    <row r="14160">
      <c r="A14160" s="6">
        <v>14158.0</v>
      </c>
      <c r="B14160" s="17">
        <f t="array" ref="B14160">SUM(1-'Sparkling Model'!D$2:D$38^A14160)</f>
        <v>36.99688875</v>
      </c>
      <c r="C14160" s="8">
        <f t="array" ref="C14160">PRODUCT(1-'Sparkling Model'!D$2:D$38^A14160)</f>
        <v>0.9968921026</v>
      </c>
    </row>
    <row r="14161">
      <c r="A14161" s="6">
        <v>14159.0</v>
      </c>
      <c r="B14161" s="17">
        <f t="array" ref="B14161">SUM(1-'Sparkling Model'!D$2:D$38^A14161)</f>
        <v>36.99689029</v>
      </c>
      <c r="C14161" s="8">
        <f t="array" ref="C14161">PRODUCT(1-'Sparkling Model'!D$2:D$38^A14161)</f>
        <v>0.9968936381</v>
      </c>
    </row>
    <row r="14162">
      <c r="A14162" s="6">
        <v>14160.0</v>
      </c>
      <c r="B14162" s="17">
        <f t="array" ref="B14162">SUM(1-'Sparkling Model'!D$2:D$38^A14162)</f>
        <v>36.99689183</v>
      </c>
      <c r="C14162" s="8">
        <f t="array" ref="C14162">PRODUCT(1-'Sparkling Model'!D$2:D$38^A14162)</f>
        <v>0.9968951729</v>
      </c>
    </row>
    <row r="14163">
      <c r="A14163" s="6">
        <v>14161.0</v>
      </c>
      <c r="B14163" s="17">
        <f t="array" ref="B14163">SUM(1-'Sparkling Model'!D$2:D$38^A14163)</f>
        <v>36.99689337</v>
      </c>
      <c r="C14163" s="8">
        <f t="array" ref="C14163">PRODUCT(1-'Sparkling Model'!D$2:D$38^A14163)</f>
        <v>0.9968967069</v>
      </c>
    </row>
    <row r="14164">
      <c r="A14164" s="6">
        <v>14162.0</v>
      </c>
      <c r="B14164" s="17">
        <f t="array" ref="B14164">SUM(1-'Sparkling Model'!D$2:D$38^A14164)</f>
        <v>36.9968949</v>
      </c>
      <c r="C14164" s="8">
        <f t="array" ref="C14164">PRODUCT(1-'Sparkling Model'!D$2:D$38^A14164)</f>
        <v>0.9968982401</v>
      </c>
    </row>
    <row r="14165">
      <c r="A14165" s="6">
        <v>14163.0</v>
      </c>
      <c r="B14165" s="17">
        <f t="array" ref="B14165">SUM(1-'Sparkling Model'!D$2:D$38^A14165)</f>
        <v>36.99689644</v>
      </c>
      <c r="C14165" s="8">
        <f t="array" ref="C14165">PRODUCT(1-'Sparkling Model'!D$2:D$38^A14165)</f>
        <v>0.9968997726</v>
      </c>
    </row>
    <row r="14166">
      <c r="A14166" s="6">
        <v>14164.0</v>
      </c>
      <c r="B14166" s="17">
        <f t="array" ref="B14166">SUM(1-'Sparkling Model'!D$2:D$38^A14166)</f>
        <v>36.99689797</v>
      </c>
      <c r="C14166" s="8">
        <f t="array" ref="C14166">PRODUCT(1-'Sparkling Model'!D$2:D$38^A14166)</f>
        <v>0.9969013044</v>
      </c>
    </row>
    <row r="14167">
      <c r="A14167" s="6">
        <v>14165.0</v>
      </c>
      <c r="B14167" s="17">
        <f t="array" ref="B14167">SUM(1-'Sparkling Model'!D$2:D$38^A14167)</f>
        <v>36.99689951</v>
      </c>
      <c r="C14167" s="8">
        <f t="array" ref="C14167">PRODUCT(1-'Sparkling Model'!D$2:D$38^A14167)</f>
        <v>0.9969028353</v>
      </c>
    </row>
    <row r="14168">
      <c r="A14168" s="6">
        <v>14166.0</v>
      </c>
      <c r="B14168" s="17">
        <f t="array" ref="B14168">SUM(1-'Sparkling Model'!D$2:D$38^A14168)</f>
        <v>36.99690104</v>
      </c>
      <c r="C14168" s="8">
        <f t="array" ref="C14168">PRODUCT(1-'Sparkling Model'!D$2:D$38^A14168)</f>
        <v>0.9969043655</v>
      </c>
    </row>
    <row r="14169">
      <c r="A14169" s="6">
        <v>14167.0</v>
      </c>
      <c r="B14169" s="17">
        <f t="array" ref="B14169">SUM(1-'Sparkling Model'!D$2:D$38^A14169)</f>
        <v>36.99690257</v>
      </c>
      <c r="C14169" s="8">
        <f t="array" ref="C14169">PRODUCT(1-'Sparkling Model'!D$2:D$38^A14169)</f>
        <v>0.996905895</v>
      </c>
    </row>
    <row r="14170">
      <c r="A14170" s="6">
        <v>14168.0</v>
      </c>
      <c r="B14170" s="17">
        <f t="array" ref="B14170">SUM(1-'Sparkling Model'!D$2:D$38^A14170)</f>
        <v>36.99690411</v>
      </c>
      <c r="C14170" s="8">
        <f t="array" ref="C14170">PRODUCT(1-'Sparkling Model'!D$2:D$38^A14170)</f>
        <v>0.9969074237</v>
      </c>
    </row>
    <row r="14171">
      <c r="A14171" s="6">
        <v>14169.0</v>
      </c>
      <c r="B14171" s="17">
        <f t="array" ref="B14171">SUM(1-'Sparkling Model'!D$2:D$38^A14171)</f>
        <v>36.99690564</v>
      </c>
      <c r="C14171" s="8">
        <f t="array" ref="C14171">PRODUCT(1-'Sparkling Model'!D$2:D$38^A14171)</f>
        <v>0.9969089516</v>
      </c>
    </row>
    <row r="14172">
      <c r="A14172" s="6">
        <v>14170.0</v>
      </c>
      <c r="B14172" s="17">
        <f t="array" ref="B14172">SUM(1-'Sparkling Model'!D$2:D$38^A14172)</f>
        <v>36.99690717</v>
      </c>
      <c r="C14172" s="8">
        <f t="array" ref="C14172">PRODUCT(1-'Sparkling Model'!D$2:D$38^A14172)</f>
        <v>0.9969104788</v>
      </c>
    </row>
    <row r="14173">
      <c r="A14173" s="6">
        <v>14171.0</v>
      </c>
      <c r="B14173" s="17">
        <f t="array" ref="B14173">SUM(1-'Sparkling Model'!D$2:D$38^A14173)</f>
        <v>36.9969087</v>
      </c>
      <c r="C14173" s="8">
        <f t="array" ref="C14173">PRODUCT(1-'Sparkling Model'!D$2:D$38^A14173)</f>
        <v>0.9969120052</v>
      </c>
    </row>
    <row r="14174">
      <c r="A14174" s="6">
        <v>14172.0</v>
      </c>
      <c r="B14174" s="17">
        <f t="array" ref="B14174">SUM(1-'Sparkling Model'!D$2:D$38^A14174)</f>
        <v>36.99691023</v>
      </c>
      <c r="C14174" s="8">
        <f t="array" ref="C14174">PRODUCT(1-'Sparkling Model'!D$2:D$38^A14174)</f>
        <v>0.9969135308</v>
      </c>
    </row>
    <row r="14175">
      <c r="A14175" s="6">
        <v>14173.0</v>
      </c>
      <c r="B14175" s="17">
        <f t="array" ref="B14175">SUM(1-'Sparkling Model'!D$2:D$38^A14175)</f>
        <v>36.99691175</v>
      </c>
      <c r="C14175" s="8">
        <f t="array" ref="C14175">PRODUCT(1-'Sparkling Model'!D$2:D$38^A14175)</f>
        <v>0.9969150557</v>
      </c>
    </row>
    <row r="14176">
      <c r="A14176" s="6">
        <v>14174.0</v>
      </c>
      <c r="B14176" s="17">
        <f t="array" ref="B14176">SUM(1-'Sparkling Model'!D$2:D$38^A14176)</f>
        <v>36.99691328</v>
      </c>
      <c r="C14176" s="8">
        <f t="array" ref="C14176">PRODUCT(1-'Sparkling Model'!D$2:D$38^A14176)</f>
        <v>0.9969165799</v>
      </c>
    </row>
    <row r="14177">
      <c r="A14177" s="6">
        <v>14175.0</v>
      </c>
      <c r="B14177" s="17">
        <f t="array" ref="B14177">SUM(1-'Sparkling Model'!D$2:D$38^A14177)</f>
        <v>36.99691481</v>
      </c>
      <c r="C14177" s="8">
        <f t="array" ref="C14177">PRODUCT(1-'Sparkling Model'!D$2:D$38^A14177)</f>
        <v>0.9969181033</v>
      </c>
    </row>
    <row r="14178">
      <c r="A14178" s="6">
        <v>14176.0</v>
      </c>
      <c r="B14178" s="17">
        <f t="array" ref="B14178">SUM(1-'Sparkling Model'!D$2:D$38^A14178)</f>
        <v>36.99691633</v>
      </c>
      <c r="C14178" s="8">
        <f t="array" ref="C14178">PRODUCT(1-'Sparkling Model'!D$2:D$38^A14178)</f>
        <v>0.9969196259</v>
      </c>
    </row>
    <row r="14179">
      <c r="A14179" s="6">
        <v>14177.0</v>
      </c>
      <c r="B14179" s="17">
        <f t="array" ref="B14179">SUM(1-'Sparkling Model'!D$2:D$38^A14179)</f>
        <v>36.99691786</v>
      </c>
      <c r="C14179" s="8">
        <f t="array" ref="C14179">PRODUCT(1-'Sparkling Model'!D$2:D$38^A14179)</f>
        <v>0.9969211478</v>
      </c>
    </row>
    <row r="14180">
      <c r="A14180" s="6">
        <v>14178.0</v>
      </c>
      <c r="B14180" s="17">
        <f t="array" ref="B14180">SUM(1-'Sparkling Model'!D$2:D$38^A14180)</f>
        <v>36.99691938</v>
      </c>
      <c r="C14180" s="8">
        <f t="array" ref="C14180">PRODUCT(1-'Sparkling Model'!D$2:D$38^A14180)</f>
        <v>0.9969226689</v>
      </c>
    </row>
    <row r="14181">
      <c r="A14181" s="6">
        <v>14179.0</v>
      </c>
      <c r="B14181" s="17">
        <f t="array" ref="B14181">SUM(1-'Sparkling Model'!D$2:D$38^A14181)</f>
        <v>36.99692091</v>
      </c>
      <c r="C14181" s="8">
        <f t="array" ref="C14181">PRODUCT(1-'Sparkling Model'!D$2:D$38^A14181)</f>
        <v>0.9969241893</v>
      </c>
    </row>
    <row r="14182">
      <c r="A14182" s="6">
        <v>14180.0</v>
      </c>
      <c r="B14182" s="17">
        <f t="array" ref="B14182">SUM(1-'Sparkling Model'!D$2:D$38^A14182)</f>
        <v>36.99692243</v>
      </c>
      <c r="C14182" s="8">
        <f t="array" ref="C14182">PRODUCT(1-'Sparkling Model'!D$2:D$38^A14182)</f>
        <v>0.9969257089</v>
      </c>
    </row>
    <row r="14183">
      <c r="A14183" s="6">
        <v>14181.0</v>
      </c>
      <c r="B14183" s="17">
        <f t="array" ref="B14183">SUM(1-'Sparkling Model'!D$2:D$38^A14183)</f>
        <v>36.99692395</v>
      </c>
      <c r="C14183" s="8">
        <f t="array" ref="C14183">PRODUCT(1-'Sparkling Model'!D$2:D$38^A14183)</f>
        <v>0.9969272278</v>
      </c>
    </row>
    <row r="14184">
      <c r="A14184" s="6">
        <v>14182.0</v>
      </c>
      <c r="B14184" s="17">
        <f t="array" ref="B14184">SUM(1-'Sparkling Model'!D$2:D$38^A14184)</f>
        <v>36.99692547</v>
      </c>
      <c r="C14184" s="8">
        <f t="array" ref="C14184">PRODUCT(1-'Sparkling Model'!D$2:D$38^A14184)</f>
        <v>0.9969287459</v>
      </c>
    </row>
    <row r="14185">
      <c r="A14185" s="6">
        <v>14183.0</v>
      </c>
      <c r="B14185" s="17">
        <f t="array" ref="B14185">SUM(1-'Sparkling Model'!D$2:D$38^A14185)</f>
        <v>36.99692699</v>
      </c>
      <c r="C14185" s="8">
        <f t="array" ref="C14185">PRODUCT(1-'Sparkling Model'!D$2:D$38^A14185)</f>
        <v>0.9969302633</v>
      </c>
    </row>
    <row r="14186">
      <c r="A14186" s="6">
        <v>14184.0</v>
      </c>
      <c r="B14186" s="17">
        <f t="array" ref="B14186">SUM(1-'Sparkling Model'!D$2:D$38^A14186)</f>
        <v>36.99692851</v>
      </c>
      <c r="C14186" s="8">
        <f t="array" ref="C14186">PRODUCT(1-'Sparkling Model'!D$2:D$38^A14186)</f>
        <v>0.9969317799</v>
      </c>
    </row>
    <row r="14187">
      <c r="A14187" s="6">
        <v>14185.0</v>
      </c>
      <c r="B14187" s="17">
        <f t="array" ref="B14187">SUM(1-'Sparkling Model'!D$2:D$38^A14187)</f>
        <v>36.99693003</v>
      </c>
      <c r="C14187" s="8">
        <f t="array" ref="C14187">PRODUCT(1-'Sparkling Model'!D$2:D$38^A14187)</f>
        <v>0.9969332958</v>
      </c>
    </row>
    <row r="14188">
      <c r="A14188" s="6">
        <v>14186.0</v>
      </c>
      <c r="B14188" s="17">
        <f t="array" ref="B14188">SUM(1-'Sparkling Model'!D$2:D$38^A14188)</f>
        <v>36.99693155</v>
      </c>
      <c r="C14188" s="8">
        <f t="array" ref="C14188">PRODUCT(1-'Sparkling Model'!D$2:D$38^A14188)</f>
        <v>0.9969348109</v>
      </c>
    </row>
    <row r="14189">
      <c r="A14189" s="6">
        <v>14187.0</v>
      </c>
      <c r="B14189" s="17">
        <f t="array" ref="B14189">SUM(1-'Sparkling Model'!D$2:D$38^A14189)</f>
        <v>36.99693307</v>
      </c>
      <c r="C14189" s="8">
        <f t="array" ref="C14189">PRODUCT(1-'Sparkling Model'!D$2:D$38^A14189)</f>
        <v>0.9969363252</v>
      </c>
    </row>
    <row r="14190">
      <c r="A14190" s="6">
        <v>14188.0</v>
      </c>
      <c r="B14190" s="17">
        <f t="array" ref="B14190">SUM(1-'Sparkling Model'!D$2:D$38^A14190)</f>
        <v>36.99693459</v>
      </c>
      <c r="C14190" s="8">
        <f t="array" ref="C14190">PRODUCT(1-'Sparkling Model'!D$2:D$38^A14190)</f>
        <v>0.9969378389</v>
      </c>
    </row>
    <row r="14191">
      <c r="A14191" s="6">
        <v>14189.0</v>
      </c>
      <c r="B14191" s="17">
        <f t="array" ref="B14191">SUM(1-'Sparkling Model'!D$2:D$38^A14191)</f>
        <v>36.9969361</v>
      </c>
      <c r="C14191" s="8">
        <f t="array" ref="C14191">PRODUCT(1-'Sparkling Model'!D$2:D$38^A14191)</f>
        <v>0.9969393517</v>
      </c>
    </row>
    <row r="14192">
      <c r="A14192" s="6">
        <v>14190.0</v>
      </c>
      <c r="B14192" s="17">
        <f t="array" ref="B14192">SUM(1-'Sparkling Model'!D$2:D$38^A14192)</f>
        <v>36.99693762</v>
      </c>
      <c r="C14192" s="8">
        <f t="array" ref="C14192">PRODUCT(1-'Sparkling Model'!D$2:D$38^A14192)</f>
        <v>0.9969408638</v>
      </c>
    </row>
    <row r="14193">
      <c r="A14193" s="6">
        <v>14191.0</v>
      </c>
      <c r="B14193" s="17">
        <f t="array" ref="B14193">SUM(1-'Sparkling Model'!D$2:D$38^A14193)</f>
        <v>36.99693913</v>
      </c>
      <c r="C14193" s="8">
        <f t="array" ref="C14193">PRODUCT(1-'Sparkling Model'!D$2:D$38^A14193)</f>
        <v>0.9969423752</v>
      </c>
    </row>
    <row r="14194">
      <c r="A14194" s="6">
        <v>14192.0</v>
      </c>
      <c r="B14194" s="17">
        <f t="array" ref="B14194">SUM(1-'Sparkling Model'!D$2:D$38^A14194)</f>
        <v>36.99694065</v>
      </c>
      <c r="C14194" s="8">
        <f t="array" ref="C14194">PRODUCT(1-'Sparkling Model'!D$2:D$38^A14194)</f>
        <v>0.9969438858</v>
      </c>
    </row>
    <row r="14195">
      <c r="A14195" s="6">
        <v>14193.0</v>
      </c>
      <c r="B14195" s="17">
        <f t="array" ref="B14195">SUM(1-'Sparkling Model'!D$2:D$38^A14195)</f>
        <v>36.99694216</v>
      </c>
      <c r="C14195" s="8">
        <f t="array" ref="C14195">PRODUCT(1-'Sparkling Model'!D$2:D$38^A14195)</f>
        <v>0.9969453957</v>
      </c>
    </row>
    <row r="14196">
      <c r="A14196" s="6">
        <v>14194.0</v>
      </c>
      <c r="B14196" s="17">
        <f t="array" ref="B14196">SUM(1-'Sparkling Model'!D$2:D$38^A14196)</f>
        <v>36.99694367</v>
      </c>
      <c r="C14196" s="8">
        <f t="array" ref="C14196">PRODUCT(1-'Sparkling Model'!D$2:D$38^A14196)</f>
        <v>0.9969469048</v>
      </c>
    </row>
    <row r="14197">
      <c r="A14197" s="6">
        <v>14195.0</v>
      </c>
      <c r="B14197" s="17">
        <f t="array" ref="B14197">SUM(1-'Sparkling Model'!D$2:D$38^A14197)</f>
        <v>36.99694518</v>
      </c>
      <c r="C14197" s="8">
        <f t="array" ref="C14197">PRODUCT(1-'Sparkling Model'!D$2:D$38^A14197)</f>
        <v>0.9969484131</v>
      </c>
    </row>
    <row r="14198">
      <c r="A14198" s="6">
        <v>14196.0</v>
      </c>
      <c r="B14198" s="17">
        <f t="array" ref="B14198">SUM(1-'Sparkling Model'!D$2:D$38^A14198)</f>
        <v>36.99694669</v>
      </c>
      <c r="C14198" s="8">
        <f t="array" ref="C14198">PRODUCT(1-'Sparkling Model'!D$2:D$38^A14198)</f>
        <v>0.9969499208</v>
      </c>
    </row>
    <row r="14199">
      <c r="A14199" s="6">
        <v>14197.0</v>
      </c>
      <c r="B14199" s="17">
        <f t="array" ref="B14199">SUM(1-'Sparkling Model'!D$2:D$38^A14199)</f>
        <v>36.9969482</v>
      </c>
      <c r="C14199" s="8">
        <f t="array" ref="C14199">PRODUCT(1-'Sparkling Model'!D$2:D$38^A14199)</f>
        <v>0.9969514276</v>
      </c>
    </row>
    <row r="14200">
      <c r="A14200" s="6">
        <v>14198.0</v>
      </c>
      <c r="B14200" s="17">
        <f t="array" ref="B14200">SUM(1-'Sparkling Model'!D$2:D$38^A14200)</f>
        <v>36.99694971</v>
      </c>
      <c r="C14200" s="8">
        <f t="array" ref="C14200">PRODUCT(1-'Sparkling Model'!D$2:D$38^A14200)</f>
        <v>0.9969529338</v>
      </c>
    </row>
    <row r="14201">
      <c r="A14201" s="6">
        <v>14199.0</v>
      </c>
      <c r="B14201" s="17">
        <f t="array" ref="B14201">SUM(1-'Sparkling Model'!D$2:D$38^A14201)</f>
        <v>36.99695122</v>
      </c>
      <c r="C14201" s="8">
        <f t="array" ref="C14201">PRODUCT(1-'Sparkling Model'!D$2:D$38^A14201)</f>
        <v>0.9969544392</v>
      </c>
    </row>
    <row r="14202">
      <c r="A14202" s="6">
        <v>14200.0</v>
      </c>
      <c r="B14202" s="17">
        <f t="array" ref="B14202">SUM(1-'Sparkling Model'!D$2:D$38^A14202)</f>
        <v>36.99695273</v>
      </c>
      <c r="C14202" s="8">
        <f t="array" ref="C14202">PRODUCT(1-'Sparkling Model'!D$2:D$38^A14202)</f>
        <v>0.9969559438</v>
      </c>
    </row>
    <row r="14203">
      <c r="A14203" s="6">
        <v>14201.0</v>
      </c>
      <c r="B14203" s="17">
        <f t="array" ref="B14203">SUM(1-'Sparkling Model'!D$2:D$38^A14203)</f>
        <v>36.99695424</v>
      </c>
      <c r="C14203" s="8">
        <f t="array" ref="C14203">PRODUCT(1-'Sparkling Model'!D$2:D$38^A14203)</f>
        <v>0.9969574477</v>
      </c>
    </row>
    <row r="14204">
      <c r="A14204" s="6">
        <v>14202.0</v>
      </c>
      <c r="B14204" s="17">
        <f t="array" ref="B14204">SUM(1-'Sparkling Model'!D$2:D$38^A14204)</f>
        <v>36.99695574</v>
      </c>
      <c r="C14204" s="8">
        <f t="array" ref="C14204">PRODUCT(1-'Sparkling Model'!D$2:D$38^A14204)</f>
        <v>0.9969589508</v>
      </c>
    </row>
    <row r="14205">
      <c r="A14205" s="6">
        <v>14203.0</v>
      </c>
      <c r="B14205" s="17">
        <f t="array" ref="B14205">SUM(1-'Sparkling Model'!D$2:D$38^A14205)</f>
        <v>36.99695725</v>
      </c>
      <c r="C14205" s="8">
        <f t="array" ref="C14205">PRODUCT(1-'Sparkling Model'!D$2:D$38^A14205)</f>
        <v>0.9969604532</v>
      </c>
    </row>
    <row r="14206">
      <c r="A14206" s="6">
        <v>14204.0</v>
      </c>
      <c r="B14206" s="17">
        <f t="array" ref="B14206">SUM(1-'Sparkling Model'!D$2:D$38^A14206)</f>
        <v>36.99695875</v>
      </c>
      <c r="C14206" s="8">
        <f t="array" ref="C14206">PRODUCT(1-'Sparkling Model'!D$2:D$38^A14206)</f>
        <v>0.9969619549</v>
      </c>
    </row>
    <row r="14207">
      <c r="A14207" s="6">
        <v>14205.0</v>
      </c>
      <c r="B14207" s="17">
        <f t="array" ref="B14207">SUM(1-'Sparkling Model'!D$2:D$38^A14207)</f>
        <v>36.99696026</v>
      </c>
      <c r="C14207" s="8">
        <f t="array" ref="C14207">PRODUCT(1-'Sparkling Model'!D$2:D$38^A14207)</f>
        <v>0.9969634558</v>
      </c>
    </row>
    <row r="14208">
      <c r="A14208" s="6">
        <v>14206.0</v>
      </c>
      <c r="B14208" s="17">
        <f t="array" ref="B14208">SUM(1-'Sparkling Model'!D$2:D$38^A14208)</f>
        <v>36.99696176</v>
      </c>
      <c r="C14208" s="8">
        <f t="array" ref="C14208">PRODUCT(1-'Sparkling Model'!D$2:D$38^A14208)</f>
        <v>0.996964956</v>
      </c>
    </row>
    <row r="14209">
      <c r="A14209" s="6">
        <v>14207.0</v>
      </c>
      <c r="B14209" s="17">
        <f t="array" ref="B14209">SUM(1-'Sparkling Model'!D$2:D$38^A14209)</f>
        <v>36.99696326</v>
      </c>
      <c r="C14209" s="8">
        <f t="array" ref="C14209">PRODUCT(1-'Sparkling Model'!D$2:D$38^A14209)</f>
        <v>0.9969664554</v>
      </c>
    </row>
    <row r="14210">
      <c r="A14210" s="6">
        <v>14208.0</v>
      </c>
      <c r="B14210" s="17">
        <f t="array" ref="B14210">SUM(1-'Sparkling Model'!D$2:D$38^A14210)</f>
        <v>36.99696477</v>
      </c>
      <c r="C14210" s="8">
        <f t="array" ref="C14210">PRODUCT(1-'Sparkling Model'!D$2:D$38^A14210)</f>
        <v>0.9969679541</v>
      </c>
    </row>
    <row r="14211">
      <c r="A14211" s="6">
        <v>14209.0</v>
      </c>
      <c r="B14211" s="17">
        <f t="array" ref="B14211">SUM(1-'Sparkling Model'!D$2:D$38^A14211)</f>
        <v>36.99696627</v>
      </c>
      <c r="C14211" s="8">
        <f t="array" ref="C14211">PRODUCT(1-'Sparkling Model'!D$2:D$38^A14211)</f>
        <v>0.996969452</v>
      </c>
    </row>
    <row r="14212">
      <c r="A14212" s="6">
        <v>14210.0</v>
      </c>
      <c r="B14212" s="17">
        <f t="array" ref="B14212">SUM(1-'Sparkling Model'!D$2:D$38^A14212)</f>
        <v>36.99696777</v>
      </c>
      <c r="C14212" s="8">
        <f t="array" ref="C14212">PRODUCT(1-'Sparkling Model'!D$2:D$38^A14212)</f>
        <v>0.9969709492</v>
      </c>
    </row>
    <row r="14213">
      <c r="A14213" s="6">
        <v>14211.0</v>
      </c>
      <c r="B14213" s="17">
        <f t="array" ref="B14213">SUM(1-'Sparkling Model'!D$2:D$38^A14213)</f>
        <v>36.99696927</v>
      </c>
      <c r="C14213" s="8">
        <f t="array" ref="C14213">PRODUCT(1-'Sparkling Model'!D$2:D$38^A14213)</f>
        <v>0.9969724456</v>
      </c>
    </row>
    <row r="14214">
      <c r="A14214" s="6">
        <v>14212.0</v>
      </c>
      <c r="B14214" s="17">
        <f t="array" ref="B14214">SUM(1-'Sparkling Model'!D$2:D$38^A14214)</f>
        <v>36.99697077</v>
      </c>
      <c r="C14214" s="8">
        <f t="array" ref="C14214">PRODUCT(1-'Sparkling Model'!D$2:D$38^A14214)</f>
        <v>0.9969739414</v>
      </c>
    </row>
    <row r="14215">
      <c r="A14215" s="6">
        <v>14213.0</v>
      </c>
      <c r="B14215" s="17">
        <f t="array" ref="B14215">SUM(1-'Sparkling Model'!D$2:D$38^A14215)</f>
        <v>36.99697226</v>
      </c>
      <c r="C14215" s="8">
        <f t="array" ref="C14215">PRODUCT(1-'Sparkling Model'!D$2:D$38^A14215)</f>
        <v>0.9969754363</v>
      </c>
    </row>
    <row r="14216">
      <c r="A14216" s="6">
        <v>14214.0</v>
      </c>
      <c r="B14216" s="17">
        <f t="array" ref="B14216">SUM(1-'Sparkling Model'!D$2:D$38^A14216)</f>
        <v>36.99697376</v>
      </c>
      <c r="C14216" s="8">
        <f t="array" ref="C14216">PRODUCT(1-'Sparkling Model'!D$2:D$38^A14216)</f>
        <v>0.9969769306</v>
      </c>
    </row>
    <row r="14217">
      <c r="A14217" s="6">
        <v>14215.0</v>
      </c>
      <c r="B14217" s="17">
        <f t="array" ref="B14217">SUM(1-'Sparkling Model'!D$2:D$38^A14217)</f>
        <v>36.99697526</v>
      </c>
      <c r="C14217" s="8">
        <f t="array" ref="C14217">PRODUCT(1-'Sparkling Model'!D$2:D$38^A14217)</f>
        <v>0.9969784241</v>
      </c>
    </row>
    <row r="14218">
      <c r="A14218" s="6">
        <v>14216.0</v>
      </c>
      <c r="B14218" s="17">
        <f t="array" ref="B14218">SUM(1-'Sparkling Model'!D$2:D$38^A14218)</f>
        <v>36.99697675</v>
      </c>
      <c r="C14218" s="8">
        <f t="array" ref="C14218">PRODUCT(1-'Sparkling Model'!D$2:D$38^A14218)</f>
        <v>0.9969799168</v>
      </c>
    </row>
    <row r="14219">
      <c r="A14219" s="6">
        <v>14217.0</v>
      </c>
      <c r="B14219" s="17">
        <f t="array" ref="B14219">SUM(1-'Sparkling Model'!D$2:D$38^A14219)</f>
        <v>36.99697825</v>
      </c>
      <c r="C14219" s="8">
        <f t="array" ref="C14219">PRODUCT(1-'Sparkling Model'!D$2:D$38^A14219)</f>
        <v>0.9969814088</v>
      </c>
    </row>
    <row r="14220">
      <c r="A14220" s="6">
        <v>14218.0</v>
      </c>
      <c r="B14220" s="17">
        <f t="array" ref="B14220">SUM(1-'Sparkling Model'!D$2:D$38^A14220)</f>
        <v>36.99697974</v>
      </c>
      <c r="C14220" s="8">
        <f t="array" ref="C14220">PRODUCT(1-'Sparkling Model'!D$2:D$38^A14220)</f>
        <v>0.9969829001</v>
      </c>
    </row>
    <row r="14221">
      <c r="A14221" s="6">
        <v>14219.0</v>
      </c>
      <c r="B14221" s="17">
        <f t="array" ref="B14221">SUM(1-'Sparkling Model'!D$2:D$38^A14221)</f>
        <v>36.99698124</v>
      </c>
      <c r="C14221" s="8">
        <f t="array" ref="C14221">PRODUCT(1-'Sparkling Model'!D$2:D$38^A14221)</f>
        <v>0.9969843906</v>
      </c>
    </row>
    <row r="14222">
      <c r="A14222" s="6">
        <v>14220.0</v>
      </c>
      <c r="B14222" s="17">
        <f t="array" ref="B14222">SUM(1-'Sparkling Model'!D$2:D$38^A14222)</f>
        <v>36.99698273</v>
      </c>
      <c r="C14222" s="8">
        <f t="array" ref="C14222">PRODUCT(1-'Sparkling Model'!D$2:D$38^A14222)</f>
        <v>0.9969858804</v>
      </c>
    </row>
    <row r="14223">
      <c r="A14223" s="6">
        <v>14221.0</v>
      </c>
      <c r="B14223" s="17">
        <f t="array" ref="B14223">SUM(1-'Sparkling Model'!D$2:D$38^A14223)</f>
        <v>36.99698422</v>
      </c>
      <c r="C14223" s="8">
        <f t="array" ref="C14223">PRODUCT(1-'Sparkling Model'!D$2:D$38^A14223)</f>
        <v>0.9969873695</v>
      </c>
    </row>
    <row r="14224">
      <c r="A14224" s="6">
        <v>14222.0</v>
      </c>
      <c r="B14224" s="17">
        <f t="array" ref="B14224">SUM(1-'Sparkling Model'!D$2:D$38^A14224)</f>
        <v>36.99698571</v>
      </c>
      <c r="C14224" s="8">
        <f t="array" ref="C14224">PRODUCT(1-'Sparkling Model'!D$2:D$38^A14224)</f>
        <v>0.9969888578</v>
      </c>
    </row>
    <row r="14225">
      <c r="A14225" s="6">
        <v>14223.0</v>
      </c>
      <c r="B14225" s="17">
        <f t="array" ref="B14225">SUM(1-'Sparkling Model'!D$2:D$38^A14225)</f>
        <v>36.9969872</v>
      </c>
      <c r="C14225" s="8">
        <f t="array" ref="C14225">PRODUCT(1-'Sparkling Model'!D$2:D$38^A14225)</f>
        <v>0.9969903454</v>
      </c>
    </row>
    <row r="14226">
      <c r="A14226" s="6">
        <v>14224.0</v>
      </c>
      <c r="B14226" s="17">
        <f t="array" ref="B14226">SUM(1-'Sparkling Model'!D$2:D$38^A14226)</f>
        <v>36.99698869</v>
      </c>
      <c r="C14226" s="8">
        <f t="array" ref="C14226">PRODUCT(1-'Sparkling Model'!D$2:D$38^A14226)</f>
        <v>0.9969918322</v>
      </c>
    </row>
    <row r="14227">
      <c r="A14227" s="6">
        <v>14225.0</v>
      </c>
      <c r="B14227" s="17">
        <f t="array" ref="B14227">SUM(1-'Sparkling Model'!D$2:D$38^A14227)</f>
        <v>36.99699018</v>
      </c>
      <c r="C14227" s="8">
        <f t="array" ref="C14227">PRODUCT(1-'Sparkling Model'!D$2:D$38^A14227)</f>
        <v>0.9969933183</v>
      </c>
    </row>
    <row r="14228">
      <c r="A14228" s="6">
        <v>14226.0</v>
      </c>
      <c r="B14228" s="17">
        <f t="array" ref="B14228">SUM(1-'Sparkling Model'!D$2:D$38^A14228)</f>
        <v>36.99699167</v>
      </c>
      <c r="C14228" s="8">
        <f t="array" ref="C14228">PRODUCT(1-'Sparkling Model'!D$2:D$38^A14228)</f>
        <v>0.9969948037</v>
      </c>
    </row>
    <row r="14229">
      <c r="A14229" s="6">
        <v>14227.0</v>
      </c>
      <c r="B14229" s="17">
        <f t="array" ref="B14229">SUM(1-'Sparkling Model'!D$2:D$38^A14229)</f>
        <v>36.99699316</v>
      </c>
      <c r="C14229" s="8">
        <f t="array" ref="C14229">PRODUCT(1-'Sparkling Model'!D$2:D$38^A14229)</f>
        <v>0.9969962883</v>
      </c>
    </row>
    <row r="14230">
      <c r="A14230" s="6">
        <v>14228.0</v>
      </c>
      <c r="B14230" s="17">
        <f t="array" ref="B14230">SUM(1-'Sparkling Model'!D$2:D$38^A14230)</f>
        <v>36.99699465</v>
      </c>
      <c r="C14230" s="8">
        <f t="array" ref="C14230">PRODUCT(1-'Sparkling Model'!D$2:D$38^A14230)</f>
        <v>0.9969977722</v>
      </c>
    </row>
    <row r="14231">
      <c r="A14231" s="6">
        <v>14229.0</v>
      </c>
      <c r="B14231" s="17">
        <f t="array" ref="B14231">SUM(1-'Sparkling Model'!D$2:D$38^A14231)</f>
        <v>36.99699613</v>
      </c>
      <c r="C14231" s="8">
        <f t="array" ref="C14231">PRODUCT(1-'Sparkling Model'!D$2:D$38^A14231)</f>
        <v>0.9969992554</v>
      </c>
    </row>
    <row r="14232">
      <c r="A14232" s="6">
        <v>14230.0</v>
      </c>
      <c r="B14232" s="17">
        <f t="array" ref="B14232">SUM(1-'Sparkling Model'!D$2:D$38^A14232)</f>
        <v>36.99699762</v>
      </c>
      <c r="C14232" s="8">
        <f t="array" ref="C14232">PRODUCT(1-'Sparkling Model'!D$2:D$38^A14232)</f>
        <v>0.9970007378</v>
      </c>
    </row>
    <row r="14233">
      <c r="A14233" s="6">
        <v>14231.0</v>
      </c>
      <c r="B14233" s="17">
        <f t="array" ref="B14233">SUM(1-'Sparkling Model'!D$2:D$38^A14233)</f>
        <v>36.9969991</v>
      </c>
      <c r="C14233" s="8">
        <f t="array" ref="C14233">PRODUCT(1-'Sparkling Model'!D$2:D$38^A14233)</f>
        <v>0.9970022195</v>
      </c>
    </row>
    <row r="14234">
      <c r="A14234" s="6">
        <v>14232.0</v>
      </c>
      <c r="B14234" s="17">
        <f t="array" ref="B14234">SUM(1-'Sparkling Model'!D$2:D$38^A14234)</f>
        <v>36.99700059</v>
      </c>
      <c r="C14234" s="8">
        <f t="array" ref="C14234">PRODUCT(1-'Sparkling Model'!D$2:D$38^A14234)</f>
        <v>0.9970037005</v>
      </c>
    </row>
    <row r="14235">
      <c r="A14235" s="6">
        <v>14233.0</v>
      </c>
      <c r="B14235" s="17">
        <f t="array" ref="B14235">SUM(1-'Sparkling Model'!D$2:D$38^A14235)</f>
        <v>36.99700207</v>
      </c>
      <c r="C14235" s="8">
        <f t="array" ref="C14235">PRODUCT(1-'Sparkling Model'!D$2:D$38^A14235)</f>
        <v>0.9970051807</v>
      </c>
    </row>
    <row r="14236">
      <c r="A14236" s="6">
        <v>14234.0</v>
      </c>
      <c r="B14236" s="17">
        <f t="array" ref="B14236">SUM(1-'Sparkling Model'!D$2:D$38^A14236)</f>
        <v>36.99700355</v>
      </c>
      <c r="C14236" s="8">
        <f t="array" ref="C14236">PRODUCT(1-'Sparkling Model'!D$2:D$38^A14236)</f>
        <v>0.9970066602</v>
      </c>
    </row>
    <row r="14237">
      <c r="A14237" s="6">
        <v>14235.0</v>
      </c>
      <c r="B14237" s="17">
        <f t="array" ref="B14237">SUM(1-'Sparkling Model'!D$2:D$38^A14237)</f>
        <v>36.99700503</v>
      </c>
      <c r="C14237" s="8">
        <f t="array" ref="C14237">PRODUCT(1-'Sparkling Model'!D$2:D$38^A14237)</f>
        <v>0.997008139</v>
      </c>
    </row>
    <row r="14238">
      <c r="A14238" s="6">
        <v>14236.0</v>
      </c>
      <c r="B14238" s="17">
        <f t="array" ref="B14238">SUM(1-'Sparkling Model'!D$2:D$38^A14238)</f>
        <v>36.99700652</v>
      </c>
      <c r="C14238" s="8">
        <f t="array" ref="C14238">PRODUCT(1-'Sparkling Model'!D$2:D$38^A14238)</f>
        <v>0.997009617</v>
      </c>
    </row>
    <row r="14239">
      <c r="A14239" s="6">
        <v>14237.0</v>
      </c>
      <c r="B14239" s="17">
        <f t="array" ref="B14239">SUM(1-'Sparkling Model'!D$2:D$38^A14239)</f>
        <v>36.997008</v>
      </c>
      <c r="C14239" s="8">
        <f t="array" ref="C14239">PRODUCT(1-'Sparkling Model'!D$2:D$38^A14239)</f>
        <v>0.9970110943</v>
      </c>
    </row>
    <row r="14240">
      <c r="A14240" s="6">
        <v>14238.0</v>
      </c>
      <c r="B14240" s="17">
        <f t="array" ref="B14240">SUM(1-'Sparkling Model'!D$2:D$38^A14240)</f>
        <v>36.99700948</v>
      </c>
      <c r="C14240" s="8">
        <f t="array" ref="C14240">PRODUCT(1-'Sparkling Model'!D$2:D$38^A14240)</f>
        <v>0.9970125709</v>
      </c>
    </row>
    <row r="14241">
      <c r="A14241" s="6">
        <v>14239.0</v>
      </c>
      <c r="B14241" s="17">
        <f t="array" ref="B14241">SUM(1-'Sparkling Model'!D$2:D$38^A14241)</f>
        <v>36.99701095</v>
      </c>
      <c r="C14241" s="8">
        <f t="array" ref="C14241">PRODUCT(1-'Sparkling Model'!D$2:D$38^A14241)</f>
        <v>0.9970140467</v>
      </c>
    </row>
    <row r="14242">
      <c r="A14242" s="6">
        <v>14240.0</v>
      </c>
      <c r="B14242" s="17">
        <f t="array" ref="B14242">SUM(1-'Sparkling Model'!D$2:D$38^A14242)</f>
        <v>36.99701243</v>
      </c>
      <c r="C14242" s="8">
        <f t="array" ref="C14242">PRODUCT(1-'Sparkling Model'!D$2:D$38^A14242)</f>
        <v>0.9970155218</v>
      </c>
    </row>
    <row r="14243">
      <c r="A14243" s="6">
        <v>14241.0</v>
      </c>
      <c r="B14243" s="17">
        <f t="array" ref="B14243">SUM(1-'Sparkling Model'!D$2:D$38^A14243)</f>
        <v>36.99701391</v>
      </c>
      <c r="C14243" s="8">
        <f t="array" ref="C14243">PRODUCT(1-'Sparkling Model'!D$2:D$38^A14243)</f>
        <v>0.9970169962</v>
      </c>
    </row>
    <row r="14244">
      <c r="A14244" s="6">
        <v>14242.0</v>
      </c>
      <c r="B14244" s="17">
        <f t="array" ref="B14244">SUM(1-'Sparkling Model'!D$2:D$38^A14244)</f>
        <v>36.99701539</v>
      </c>
      <c r="C14244" s="8">
        <f t="array" ref="C14244">PRODUCT(1-'Sparkling Model'!D$2:D$38^A14244)</f>
        <v>0.9970184698</v>
      </c>
    </row>
    <row r="14245">
      <c r="A14245" s="6">
        <v>14243.0</v>
      </c>
      <c r="B14245" s="17">
        <f t="array" ref="B14245">SUM(1-'Sparkling Model'!D$2:D$38^A14245)</f>
        <v>36.99701686</v>
      </c>
      <c r="C14245" s="8">
        <f t="array" ref="C14245">PRODUCT(1-'Sparkling Model'!D$2:D$38^A14245)</f>
        <v>0.9970199427</v>
      </c>
    </row>
    <row r="14246">
      <c r="A14246" s="6">
        <v>14244.0</v>
      </c>
      <c r="B14246" s="17">
        <f t="array" ref="B14246">SUM(1-'Sparkling Model'!D$2:D$38^A14246)</f>
        <v>36.99701834</v>
      </c>
      <c r="C14246" s="8">
        <f t="array" ref="C14246">PRODUCT(1-'Sparkling Model'!D$2:D$38^A14246)</f>
        <v>0.9970214149</v>
      </c>
    </row>
    <row r="14247">
      <c r="A14247" s="6">
        <v>14245.0</v>
      </c>
      <c r="B14247" s="17">
        <f t="array" ref="B14247">SUM(1-'Sparkling Model'!D$2:D$38^A14247)</f>
        <v>36.99701981</v>
      </c>
      <c r="C14247" s="8">
        <f t="array" ref="C14247">PRODUCT(1-'Sparkling Model'!D$2:D$38^A14247)</f>
        <v>0.9970228863</v>
      </c>
    </row>
    <row r="14248">
      <c r="A14248" s="6">
        <v>14246.0</v>
      </c>
      <c r="B14248" s="17">
        <f t="array" ref="B14248">SUM(1-'Sparkling Model'!D$2:D$38^A14248)</f>
        <v>36.99702129</v>
      </c>
      <c r="C14248" s="8">
        <f t="array" ref="C14248">PRODUCT(1-'Sparkling Model'!D$2:D$38^A14248)</f>
        <v>0.9970243571</v>
      </c>
    </row>
    <row r="14249">
      <c r="A14249" s="6">
        <v>14247.0</v>
      </c>
      <c r="B14249" s="17">
        <f t="array" ref="B14249">SUM(1-'Sparkling Model'!D$2:D$38^A14249)</f>
        <v>36.99702276</v>
      </c>
      <c r="C14249" s="8">
        <f t="array" ref="C14249">PRODUCT(1-'Sparkling Model'!D$2:D$38^A14249)</f>
        <v>0.9970258271</v>
      </c>
    </row>
    <row r="14250">
      <c r="A14250" s="6">
        <v>14248.0</v>
      </c>
      <c r="B14250" s="17">
        <f t="array" ref="B14250">SUM(1-'Sparkling Model'!D$2:D$38^A14250)</f>
        <v>36.99702423</v>
      </c>
      <c r="C14250" s="8">
        <f t="array" ref="C14250">PRODUCT(1-'Sparkling Model'!D$2:D$38^A14250)</f>
        <v>0.9970272963</v>
      </c>
    </row>
    <row r="14251">
      <c r="A14251" s="6">
        <v>14249.0</v>
      </c>
      <c r="B14251" s="17">
        <f t="array" ref="B14251">SUM(1-'Sparkling Model'!D$2:D$38^A14251)</f>
        <v>36.9970257</v>
      </c>
      <c r="C14251" s="8">
        <f t="array" ref="C14251">PRODUCT(1-'Sparkling Model'!D$2:D$38^A14251)</f>
        <v>0.9970287649</v>
      </c>
    </row>
    <row r="14252">
      <c r="A14252" s="6">
        <v>14250.0</v>
      </c>
      <c r="B14252" s="17">
        <f t="array" ref="B14252">SUM(1-'Sparkling Model'!D$2:D$38^A14252)</f>
        <v>36.99702717</v>
      </c>
      <c r="C14252" s="8">
        <f t="array" ref="C14252">PRODUCT(1-'Sparkling Model'!D$2:D$38^A14252)</f>
        <v>0.9970302327</v>
      </c>
    </row>
    <row r="14253">
      <c r="A14253" s="6">
        <v>14251.0</v>
      </c>
      <c r="B14253" s="17">
        <f t="array" ref="B14253">SUM(1-'Sparkling Model'!D$2:D$38^A14253)</f>
        <v>36.99702864</v>
      </c>
      <c r="C14253" s="8">
        <f t="array" ref="C14253">PRODUCT(1-'Sparkling Model'!D$2:D$38^A14253)</f>
        <v>0.9970316998</v>
      </c>
    </row>
    <row r="14254">
      <c r="A14254" s="6">
        <v>14252.0</v>
      </c>
      <c r="B14254" s="17">
        <f t="array" ref="B14254">SUM(1-'Sparkling Model'!D$2:D$38^A14254)</f>
        <v>36.99703011</v>
      </c>
      <c r="C14254" s="8">
        <f t="array" ref="C14254">PRODUCT(1-'Sparkling Model'!D$2:D$38^A14254)</f>
        <v>0.9970331661</v>
      </c>
    </row>
    <row r="14255">
      <c r="A14255" s="6">
        <v>14253.0</v>
      </c>
      <c r="B14255" s="17">
        <f t="array" ref="B14255">SUM(1-'Sparkling Model'!D$2:D$38^A14255)</f>
        <v>36.99703158</v>
      </c>
      <c r="C14255" s="8">
        <f t="array" ref="C14255">PRODUCT(1-'Sparkling Model'!D$2:D$38^A14255)</f>
        <v>0.9970346317</v>
      </c>
    </row>
    <row r="14256">
      <c r="A14256" s="6">
        <v>14254.0</v>
      </c>
      <c r="B14256" s="17">
        <f t="array" ref="B14256">SUM(1-'Sparkling Model'!D$2:D$38^A14256)</f>
        <v>36.99703305</v>
      </c>
      <c r="C14256" s="8">
        <f t="array" ref="C14256">PRODUCT(1-'Sparkling Model'!D$2:D$38^A14256)</f>
        <v>0.9970360966</v>
      </c>
    </row>
    <row r="14257">
      <c r="A14257" s="6">
        <v>14255.0</v>
      </c>
      <c r="B14257" s="17">
        <f t="array" ref="B14257">SUM(1-'Sparkling Model'!D$2:D$38^A14257)</f>
        <v>36.99703452</v>
      </c>
      <c r="C14257" s="8">
        <f t="array" ref="C14257">PRODUCT(1-'Sparkling Model'!D$2:D$38^A14257)</f>
        <v>0.9970375608</v>
      </c>
    </row>
    <row r="14258">
      <c r="A14258" s="6">
        <v>14256.0</v>
      </c>
      <c r="B14258" s="17">
        <f t="array" ref="B14258">SUM(1-'Sparkling Model'!D$2:D$38^A14258)</f>
        <v>36.99703598</v>
      </c>
      <c r="C14258" s="8">
        <f t="array" ref="C14258">PRODUCT(1-'Sparkling Model'!D$2:D$38^A14258)</f>
        <v>0.9970390243</v>
      </c>
    </row>
    <row r="14259">
      <c r="A14259" s="6">
        <v>14257.0</v>
      </c>
      <c r="B14259" s="17">
        <f t="array" ref="B14259">SUM(1-'Sparkling Model'!D$2:D$38^A14259)</f>
        <v>36.99703745</v>
      </c>
      <c r="C14259" s="8">
        <f t="array" ref="C14259">PRODUCT(1-'Sparkling Model'!D$2:D$38^A14259)</f>
        <v>0.997040487</v>
      </c>
    </row>
    <row r="14260">
      <c r="A14260" s="6">
        <v>14258.0</v>
      </c>
      <c r="B14260" s="17">
        <f t="array" ref="B14260">SUM(1-'Sparkling Model'!D$2:D$38^A14260)</f>
        <v>36.99703892</v>
      </c>
      <c r="C14260" s="8">
        <f t="array" ref="C14260">PRODUCT(1-'Sparkling Model'!D$2:D$38^A14260)</f>
        <v>0.997041949</v>
      </c>
    </row>
    <row r="14261">
      <c r="A14261" s="6">
        <v>14259.0</v>
      </c>
      <c r="B14261" s="17">
        <f t="array" ref="B14261">SUM(1-'Sparkling Model'!D$2:D$38^A14261)</f>
        <v>36.99704038</v>
      </c>
      <c r="C14261" s="8">
        <f t="array" ref="C14261">PRODUCT(1-'Sparkling Model'!D$2:D$38^A14261)</f>
        <v>0.9970434103</v>
      </c>
    </row>
    <row r="14262">
      <c r="A14262" s="6">
        <v>14260.0</v>
      </c>
      <c r="B14262" s="17">
        <f t="array" ref="B14262">SUM(1-'Sparkling Model'!D$2:D$38^A14262)</f>
        <v>36.99704184</v>
      </c>
      <c r="C14262" s="8">
        <f t="array" ref="C14262">PRODUCT(1-'Sparkling Model'!D$2:D$38^A14262)</f>
        <v>0.9970448708</v>
      </c>
    </row>
    <row r="14263">
      <c r="A14263" s="6">
        <v>14261.0</v>
      </c>
      <c r="B14263" s="17">
        <f t="array" ref="B14263">SUM(1-'Sparkling Model'!D$2:D$38^A14263)</f>
        <v>36.99704331</v>
      </c>
      <c r="C14263" s="8">
        <f t="array" ref="C14263">PRODUCT(1-'Sparkling Model'!D$2:D$38^A14263)</f>
        <v>0.9970463307</v>
      </c>
    </row>
    <row r="14264">
      <c r="A14264" s="6">
        <v>14262.0</v>
      </c>
      <c r="B14264" s="17">
        <f t="array" ref="B14264">SUM(1-'Sparkling Model'!D$2:D$38^A14264)</f>
        <v>36.99704477</v>
      </c>
      <c r="C14264" s="8">
        <f t="array" ref="C14264">PRODUCT(1-'Sparkling Model'!D$2:D$38^A14264)</f>
        <v>0.9970477898</v>
      </c>
    </row>
    <row r="14265">
      <c r="A14265" s="6">
        <v>14263.0</v>
      </c>
      <c r="B14265" s="17">
        <f t="array" ref="B14265">SUM(1-'Sparkling Model'!D$2:D$38^A14265)</f>
        <v>36.99704623</v>
      </c>
      <c r="C14265" s="8">
        <f t="array" ref="C14265">PRODUCT(1-'Sparkling Model'!D$2:D$38^A14265)</f>
        <v>0.9970492481</v>
      </c>
    </row>
    <row r="14266">
      <c r="A14266" s="6">
        <v>14264.0</v>
      </c>
      <c r="B14266" s="17">
        <f t="array" ref="B14266">SUM(1-'Sparkling Model'!D$2:D$38^A14266)</f>
        <v>36.99704769</v>
      </c>
      <c r="C14266" s="8">
        <f t="array" ref="C14266">PRODUCT(1-'Sparkling Model'!D$2:D$38^A14266)</f>
        <v>0.9970507058</v>
      </c>
    </row>
    <row r="14267">
      <c r="A14267" s="6">
        <v>14265.0</v>
      </c>
      <c r="B14267" s="17">
        <f t="array" ref="B14267">SUM(1-'Sparkling Model'!D$2:D$38^A14267)</f>
        <v>36.99704915</v>
      </c>
      <c r="C14267" s="8">
        <f t="array" ref="C14267">PRODUCT(1-'Sparkling Model'!D$2:D$38^A14267)</f>
        <v>0.9970521627</v>
      </c>
    </row>
    <row r="14268">
      <c r="A14268" s="6">
        <v>14266.0</v>
      </c>
      <c r="B14268" s="17">
        <f t="array" ref="B14268">SUM(1-'Sparkling Model'!D$2:D$38^A14268)</f>
        <v>36.99705061</v>
      </c>
      <c r="C14268" s="8">
        <f t="array" ref="C14268">PRODUCT(1-'Sparkling Model'!D$2:D$38^A14268)</f>
        <v>0.997053619</v>
      </c>
    </row>
    <row r="14269">
      <c r="A14269" s="6">
        <v>14267.0</v>
      </c>
      <c r="B14269" s="17">
        <f t="array" ref="B14269">SUM(1-'Sparkling Model'!D$2:D$38^A14269)</f>
        <v>36.99705207</v>
      </c>
      <c r="C14269" s="8">
        <f t="array" ref="C14269">PRODUCT(1-'Sparkling Model'!D$2:D$38^A14269)</f>
        <v>0.9970550745</v>
      </c>
    </row>
    <row r="14270">
      <c r="A14270" s="6">
        <v>14268.0</v>
      </c>
      <c r="B14270" s="17">
        <f t="array" ref="B14270">SUM(1-'Sparkling Model'!D$2:D$38^A14270)</f>
        <v>36.99705353</v>
      </c>
      <c r="C14270" s="8">
        <f t="array" ref="C14270">PRODUCT(1-'Sparkling Model'!D$2:D$38^A14270)</f>
        <v>0.9970565292</v>
      </c>
    </row>
    <row r="14271">
      <c r="A14271" s="6">
        <v>14269.0</v>
      </c>
      <c r="B14271" s="17">
        <f t="array" ref="B14271">SUM(1-'Sparkling Model'!D$2:D$38^A14271)</f>
        <v>36.99705498</v>
      </c>
      <c r="C14271" s="8">
        <f t="array" ref="C14271">PRODUCT(1-'Sparkling Model'!D$2:D$38^A14271)</f>
        <v>0.9970579833</v>
      </c>
    </row>
    <row r="14272">
      <c r="A14272" s="6">
        <v>14270.0</v>
      </c>
      <c r="B14272" s="17">
        <f t="array" ref="B14272">SUM(1-'Sparkling Model'!D$2:D$38^A14272)</f>
        <v>36.99705644</v>
      </c>
      <c r="C14272" s="8">
        <f t="array" ref="C14272">PRODUCT(1-'Sparkling Model'!D$2:D$38^A14272)</f>
        <v>0.9970594366</v>
      </c>
    </row>
    <row r="14273">
      <c r="A14273" s="6">
        <v>14271.0</v>
      </c>
      <c r="B14273" s="17">
        <f t="array" ref="B14273">SUM(1-'Sparkling Model'!D$2:D$38^A14273)</f>
        <v>36.99705789</v>
      </c>
      <c r="C14273" s="8">
        <f t="array" ref="C14273">PRODUCT(1-'Sparkling Model'!D$2:D$38^A14273)</f>
        <v>0.9970608892</v>
      </c>
    </row>
    <row r="14274">
      <c r="A14274" s="6">
        <v>14272.0</v>
      </c>
      <c r="B14274" s="17">
        <f t="array" ref="B14274">SUM(1-'Sparkling Model'!D$2:D$38^A14274)</f>
        <v>36.99705935</v>
      </c>
      <c r="C14274" s="8">
        <f t="array" ref="C14274">PRODUCT(1-'Sparkling Model'!D$2:D$38^A14274)</f>
        <v>0.9970623411</v>
      </c>
    </row>
    <row r="14275">
      <c r="A14275" s="6">
        <v>14273.0</v>
      </c>
      <c r="B14275" s="17">
        <f t="array" ref="B14275">SUM(1-'Sparkling Model'!D$2:D$38^A14275)</f>
        <v>36.9970608</v>
      </c>
      <c r="C14275" s="8">
        <f t="array" ref="C14275">PRODUCT(1-'Sparkling Model'!D$2:D$38^A14275)</f>
        <v>0.9970637923</v>
      </c>
    </row>
    <row r="14276">
      <c r="A14276" s="6">
        <v>14274.0</v>
      </c>
      <c r="B14276" s="17">
        <f t="array" ref="B14276">SUM(1-'Sparkling Model'!D$2:D$38^A14276)</f>
        <v>36.99706226</v>
      </c>
      <c r="C14276" s="8">
        <f t="array" ref="C14276">PRODUCT(1-'Sparkling Model'!D$2:D$38^A14276)</f>
        <v>0.9970652428</v>
      </c>
    </row>
    <row r="14277">
      <c r="A14277" s="6">
        <v>14275.0</v>
      </c>
      <c r="B14277" s="17">
        <f t="array" ref="B14277">SUM(1-'Sparkling Model'!D$2:D$38^A14277)</f>
        <v>36.99706371</v>
      </c>
      <c r="C14277" s="8">
        <f t="array" ref="C14277">PRODUCT(1-'Sparkling Model'!D$2:D$38^A14277)</f>
        <v>0.9970666925</v>
      </c>
    </row>
    <row r="14278">
      <c r="A14278" s="6">
        <v>14276.0</v>
      </c>
      <c r="B14278" s="17">
        <f t="array" ref="B14278">SUM(1-'Sparkling Model'!D$2:D$38^A14278)</f>
        <v>36.99706516</v>
      </c>
      <c r="C14278" s="8">
        <f t="array" ref="C14278">PRODUCT(1-'Sparkling Model'!D$2:D$38^A14278)</f>
        <v>0.9970681415</v>
      </c>
    </row>
    <row r="14279">
      <c r="A14279" s="6">
        <v>14277.0</v>
      </c>
      <c r="B14279" s="17">
        <f t="array" ref="B14279">SUM(1-'Sparkling Model'!D$2:D$38^A14279)</f>
        <v>36.99706661</v>
      </c>
      <c r="C14279" s="8">
        <f t="array" ref="C14279">PRODUCT(1-'Sparkling Model'!D$2:D$38^A14279)</f>
        <v>0.9970695898</v>
      </c>
    </row>
    <row r="14280">
      <c r="A14280" s="6">
        <v>14278.0</v>
      </c>
      <c r="B14280" s="17">
        <f t="array" ref="B14280">SUM(1-'Sparkling Model'!D$2:D$38^A14280)</f>
        <v>36.99706806</v>
      </c>
      <c r="C14280" s="8">
        <f t="array" ref="C14280">PRODUCT(1-'Sparkling Model'!D$2:D$38^A14280)</f>
        <v>0.9970710374</v>
      </c>
    </row>
    <row r="14281">
      <c r="A14281" s="6">
        <v>14279.0</v>
      </c>
      <c r="B14281" s="17">
        <f t="array" ref="B14281">SUM(1-'Sparkling Model'!D$2:D$38^A14281)</f>
        <v>36.99706951</v>
      </c>
      <c r="C14281" s="8">
        <f t="array" ref="C14281">PRODUCT(1-'Sparkling Model'!D$2:D$38^A14281)</f>
        <v>0.9970724843</v>
      </c>
    </row>
    <row r="14282">
      <c r="A14282" s="6">
        <v>14280.0</v>
      </c>
      <c r="B14282" s="17">
        <f t="array" ref="B14282">SUM(1-'Sparkling Model'!D$2:D$38^A14282)</f>
        <v>36.99707096</v>
      </c>
      <c r="C14282" s="8">
        <f t="array" ref="C14282">PRODUCT(1-'Sparkling Model'!D$2:D$38^A14282)</f>
        <v>0.9970739304</v>
      </c>
    </row>
    <row r="14283">
      <c r="A14283" s="6">
        <v>14281.0</v>
      </c>
      <c r="B14283" s="17">
        <f t="array" ref="B14283">SUM(1-'Sparkling Model'!D$2:D$38^A14283)</f>
        <v>36.99707241</v>
      </c>
      <c r="C14283" s="8">
        <f t="array" ref="C14283">PRODUCT(1-'Sparkling Model'!D$2:D$38^A14283)</f>
        <v>0.9970753758</v>
      </c>
    </row>
    <row r="14284">
      <c r="A14284" s="6">
        <v>14282.0</v>
      </c>
      <c r="B14284" s="17">
        <f t="array" ref="B14284">SUM(1-'Sparkling Model'!D$2:D$38^A14284)</f>
        <v>36.99707386</v>
      </c>
      <c r="C14284" s="8">
        <f t="array" ref="C14284">PRODUCT(1-'Sparkling Model'!D$2:D$38^A14284)</f>
        <v>0.9970768206</v>
      </c>
    </row>
    <row r="14285">
      <c r="A14285" s="6">
        <v>14283.0</v>
      </c>
      <c r="B14285" s="17">
        <f t="array" ref="B14285">SUM(1-'Sparkling Model'!D$2:D$38^A14285)</f>
        <v>36.99707531</v>
      </c>
      <c r="C14285" s="8">
        <f t="array" ref="C14285">PRODUCT(1-'Sparkling Model'!D$2:D$38^A14285)</f>
        <v>0.9970782646</v>
      </c>
    </row>
    <row r="14286">
      <c r="A14286" s="6">
        <v>14284.0</v>
      </c>
      <c r="B14286" s="17">
        <f t="array" ref="B14286">SUM(1-'Sparkling Model'!D$2:D$38^A14286)</f>
        <v>36.99707675</v>
      </c>
      <c r="C14286" s="8">
        <f t="array" ref="C14286">PRODUCT(1-'Sparkling Model'!D$2:D$38^A14286)</f>
        <v>0.9970797078</v>
      </c>
    </row>
    <row r="14287">
      <c r="A14287" s="6">
        <v>14285.0</v>
      </c>
      <c r="B14287" s="17">
        <f t="array" ref="B14287">SUM(1-'Sparkling Model'!D$2:D$38^A14287)</f>
        <v>36.9970782</v>
      </c>
      <c r="C14287" s="8">
        <f t="array" ref="C14287">PRODUCT(1-'Sparkling Model'!D$2:D$38^A14287)</f>
        <v>0.9970811504</v>
      </c>
    </row>
    <row r="14288">
      <c r="A14288" s="6">
        <v>14286.0</v>
      </c>
      <c r="B14288" s="17">
        <f t="array" ref="B14288">SUM(1-'Sparkling Model'!D$2:D$38^A14288)</f>
        <v>36.99707964</v>
      </c>
      <c r="C14288" s="8">
        <f t="array" ref="C14288">PRODUCT(1-'Sparkling Model'!D$2:D$38^A14288)</f>
        <v>0.9970825923</v>
      </c>
    </row>
    <row r="14289">
      <c r="A14289" s="6">
        <v>14287.0</v>
      </c>
      <c r="B14289" s="17">
        <f t="array" ref="B14289">SUM(1-'Sparkling Model'!D$2:D$38^A14289)</f>
        <v>36.99708109</v>
      </c>
      <c r="C14289" s="8">
        <f t="array" ref="C14289">PRODUCT(1-'Sparkling Model'!D$2:D$38^A14289)</f>
        <v>0.9970840334</v>
      </c>
    </row>
    <row r="14290">
      <c r="A14290" s="6">
        <v>14288.0</v>
      </c>
      <c r="B14290" s="17">
        <f t="array" ref="B14290">SUM(1-'Sparkling Model'!D$2:D$38^A14290)</f>
        <v>36.99708253</v>
      </c>
      <c r="C14290" s="8">
        <f t="array" ref="C14290">PRODUCT(1-'Sparkling Model'!D$2:D$38^A14290)</f>
        <v>0.9970854738</v>
      </c>
    </row>
    <row r="14291">
      <c r="A14291" s="6">
        <v>14289.0</v>
      </c>
      <c r="B14291" s="17">
        <f t="array" ref="B14291">SUM(1-'Sparkling Model'!D$2:D$38^A14291)</f>
        <v>36.99708397</v>
      </c>
      <c r="C14291" s="8">
        <f t="array" ref="C14291">PRODUCT(1-'Sparkling Model'!D$2:D$38^A14291)</f>
        <v>0.9970869136</v>
      </c>
    </row>
    <row r="14292">
      <c r="A14292" s="6">
        <v>14290.0</v>
      </c>
      <c r="B14292" s="17">
        <f t="array" ref="B14292">SUM(1-'Sparkling Model'!D$2:D$38^A14292)</f>
        <v>36.99708541</v>
      </c>
      <c r="C14292" s="8">
        <f t="array" ref="C14292">PRODUCT(1-'Sparkling Model'!D$2:D$38^A14292)</f>
        <v>0.9970883526</v>
      </c>
    </row>
    <row r="14293">
      <c r="A14293" s="6">
        <v>14291.0</v>
      </c>
      <c r="B14293" s="17">
        <f t="array" ref="B14293">SUM(1-'Sparkling Model'!D$2:D$38^A14293)</f>
        <v>36.99708685</v>
      </c>
      <c r="C14293" s="8">
        <f t="array" ref="C14293">PRODUCT(1-'Sparkling Model'!D$2:D$38^A14293)</f>
        <v>0.9970897908</v>
      </c>
    </row>
    <row r="14294">
      <c r="A14294" s="6">
        <v>14292.0</v>
      </c>
      <c r="B14294" s="17">
        <f t="array" ref="B14294">SUM(1-'Sparkling Model'!D$2:D$38^A14294)</f>
        <v>36.9970883</v>
      </c>
      <c r="C14294" s="8">
        <f t="array" ref="C14294">PRODUCT(1-'Sparkling Model'!D$2:D$38^A14294)</f>
        <v>0.9970912284</v>
      </c>
    </row>
    <row r="14295">
      <c r="A14295" s="6">
        <v>14293.0</v>
      </c>
      <c r="B14295" s="17">
        <f t="array" ref="B14295">SUM(1-'Sparkling Model'!D$2:D$38^A14295)</f>
        <v>36.99708974</v>
      </c>
      <c r="C14295" s="8">
        <f t="array" ref="C14295">PRODUCT(1-'Sparkling Model'!D$2:D$38^A14295)</f>
        <v>0.9970926653</v>
      </c>
    </row>
    <row r="14296">
      <c r="A14296" s="6">
        <v>14294.0</v>
      </c>
      <c r="B14296" s="17">
        <f t="array" ref="B14296">SUM(1-'Sparkling Model'!D$2:D$38^A14296)</f>
        <v>36.99709117</v>
      </c>
      <c r="C14296" s="8">
        <f t="array" ref="C14296">PRODUCT(1-'Sparkling Model'!D$2:D$38^A14296)</f>
        <v>0.9970941014</v>
      </c>
    </row>
    <row r="14297">
      <c r="A14297" s="6">
        <v>14295.0</v>
      </c>
      <c r="B14297" s="17">
        <f t="array" ref="B14297">SUM(1-'Sparkling Model'!D$2:D$38^A14297)</f>
        <v>36.99709261</v>
      </c>
      <c r="C14297" s="8">
        <f t="array" ref="C14297">PRODUCT(1-'Sparkling Model'!D$2:D$38^A14297)</f>
        <v>0.9970955369</v>
      </c>
    </row>
    <row r="14298">
      <c r="A14298" s="6">
        <v>14296.0</v>
      </c>
      <c r="B14298" s="17">
        <f t="array" ref="B14298">SUM(1-'Sparkling Model'!D$2:D$38^A14298)</f>
        <v>36.99709405</v>
      </c>
      <c r="C14298" s="8">
        <f t="array" ref="C14298">PRODUCT(1-'Sparkling Model'!D$2:D$38^A14298)</f>
        <v>0.9970969716</v>
      </c>
    </row>
    <row r="14299">
      <c r="A14299" s="6">
        <v>14297.0</v>
      </c>
      <c r="B14299" s="17">
        <f t="array" ref="B14299">SUM(1-'Sparkling Model'!D$2:D$38^A14299)</f>
        <v>36.99709549</v>
      </c>
      <c r="C14299" s="8">
        <f t="array" ref="C14299">PRODUCT(1-'Sparkling Model'!D$2:D$38^A14299)</f>
        <v>0.9970984056</v>
      </c>
    </row>
    <row r="14300">
      <c r="A14300" s="6">
        <v>14298.0</v>
      </c>
      <c r="B14300" s="17">
        <f t="array" ref="B14300">SUM(1-'Sparkling Model'!D$2:D$38^A14300)</f>
        <v>36.99709692</v>
      </c>
      <c r="C14300" s="8">
        <f t="array" ref="C14300">PRODUCT(1-'Sparkling Model'!D$2:D$38^A14300)</f>
        <v>0.9970998389</v>
      </c>
    </row>
    <row r="14301">
      <c r="A14301" s="6">
        <v>14299.0</v>
      </c>
      <c r="B14301" s="17">
        <f t="array" ref="B14301">SUM(1-'Sparkling Model'!D$2:D$38^A14301)</f>
        <v>36.99709836</v>
      </c>
      <c r="C14301" s="8">
        <f t="array" ref="C14301">PRODUCT(1-'Sparkling Model'!D$2:D$38^A14301)</f>
        <v>0.9971012715</v>
      </c>
    </row>
    <row r="14302">
      <c r="A14302" s="6">
        <v>14300.0</v>
      </c>
      <c r="B14302" s="17">
        <f t="array" ref="B14302">SUM(1-'Sparkling Model'!D$2:D$38^A14302)</f>
        <v>36.99709979</v>
      </c>
      <c r="C14302" s="8">
        <f t="array" ref="C14302">PRODUCT(1-'Sparkling Model'!D$2:D$38^A14302)</f>
        <v>0.9971027034</v>
      </c>
    </row>
    <row r="14303">
      <c r="A14303" s="6">
        <v>14301.0</v>
      </c>
      <c r="B14303" s="17">
        <f t="array" ref="B14303">SUM(1-'Sparkling Model'!D$2:D$38^A14303)</f>
        <v>36.99710123</v>
      </c>
      <c r="C14303" s="8">
        <f t="array" ref="C14303">PRODUCT(1-'Sparkling Model'!D$2:D$38^A14303)</f>
        <v>0.9971041346</v>
      </c>
    </row>
    <row r="14304">
      <c r="A14304" s="6">
        <v>14302.0</v>
      </c>
      <c r="B14304" s="17">
        <f t="array" ref="B14304">SUM(1-'Sparkling Model'!D$2:D$38^A14304)</f>
        <v>36.99710266</v>
      </c>
      <c r="C14304" s="8">
        <f t="array" ref="C14304">PRODUCT(1-'Sparkling Model'!D$2:D$38^A14304)</f>
        <v>0.9971055651</v>
      </c>
    </row>
    <row r="14305">
      <c r="A14305" s="6">
        <v>14303.0</v>
      </c>
      <c r="B14305" s="17">
        <f t="array" ref="B14305">SUM(1-'Sparkling Model'!D$2:D$38^A14305)</f>
        <v>36.99710409</v>
      </c>
      <c r="C14305" s="8">
        <f t="array" ref="C14305">PRODUCT(1-'Sparkling Model'!D$2:D$38^A14305)</f>
        <v>0.9971069948</v>
      </c>
    </row>
    <row r="14306">
      <c r="A14306" s="6">
        <v>14304.0</v>
      </c>
      <c r="B14306" s="17">
        <f t="array" ref="B14306">SUM(1-'Sparkling Model'!D$2:D$38^A14306)</f>
        <v>36.99710553</v>
      </c>
      <c r="C14306" s="8">
        <f t="array" ref="C14306">PRODUCT(1-'Sparkling Model'!D$2:D$38^A14306)</f>
        <v>0.9971084239</v>
      </c>
    </row>
    <row r="14307">
      <c r="A14307" s="6">
        <v>14305.0</v>
      </c>
      <c r="B14307" s="17">
        <f t="array" ref="B14307">SUM(1-'Sparkling Model'!D$2:D$38^A14307)</f>
        <v>36.99710696</v>
      </c>
      <c r="C14307" s="8">
        <f t="array" ref="C14307">PRODUCT(1-'Sparkling Model'!D$2:D$38^A14307)</f>
        <v>0.9971098522</v>
      </c>
    </row>
    <row r="14308">
      <c r="A14308" s="6">
        <v>14306.0</v>
      </c>
      <c r="B14308" s="17">
        <f t="array" ref="B14308">SUM(1-'Sparkling Model'!D$2:D$38^A14308)</f>
        <v>36.99710839</v>
      </c>
      <c r="C14308" s="8">
        <f t="array" ref="C14308">PRODUCT(1-'Sparkling Model'!D$2:D$38^A14308)</f>
        <v>0.9971112799</v>
      </c>
    </row>
    <row r="14309">
      <c r="A14309" s="6">
        <v>14307.0</v>
      </c>
      <c r="B14309" s="17">
        <f t="array" ref="B14309">SUM(1-'Sparkling Model'!D$2:D$38^A14309)</f>
        <v>36.99710982</v>
      </c>
      <c r="C14309" s="8">
        <f t="array" ref="C14309">PRODUCT(1-'Sparkling Model'!D$2:D$38^A14309)</f>
        <v>0.9971127068</v>
      </c>
    </row>
    <row r="14310">
      <c r="A14310" s="6">
        <v>14308.0</v>
      </c>
      <c r="B14310" s="17">
        <f t="array" ref="B14310">SUM(1-'Sparkling Model'!D$2:D$38^A14310)</f>
        <v>36.99711125</v>
      </c>
      <c r="C14310" s="8">
        <f t="array" ref="C14310">PRODUCT(1-'Sparkling Model'!D$2:D$38^A14310)</f>
        <v>0.997114133</v>
      </c>
    </row>
    <row r="14311">
      <c r="A14311" s="6">
        <v>14309.0</v>
      </c>
      <c r="B14311" s="17">
        <f t="array" ref="B14311">SUM(1-'Sparkling Model'!D$2:D$38^A14311)</f>
        <v>36.99711267</v>
      </c>
      <c r="C14311" s="8">
        <f t="array" ref="C14311">PRODUCT(1-'Sparkling Model'!D$2:D$38^A14311)</f>
        <v>0.9971155585</v>
      </c>
    </row>
    <row r="14312">
      <c r="A14312" s="6">
        <v>14310.0</v>
      </c>
      <c r="B14312" s="17">
        <f t="array" ref="B14312">SUM(1-'Sparkling Model'!D$2:D$38^A14312)</f>
        <v>36.9971141</v>
      </c>
      <c r="C14312" s="8">
        <f t="array" ref="C14312">PRODUCT(1-'Sparkling Model'!D$2:D$38^A14312)</f>
        <v>0.9971169833</v>
      </c>
    </row>
    <row r="14313">
      <c r="A14313" s="6">
        <v>14311.0</v>
      </c>
      <c r="B14313" s="17">
        <f t="array" ref="B14313">SUM(1-'Sparkling Model'!D$2:D$38^A14313)</f>
        <v>36.99711553</v>
      </c>
      <c r="C14313" s="8">
        <f t="array" ref="C14313">PRODUCT(1-'Sparkling Model'!D$2:D$38^A14313)</f>
        <v>0.9971184074</v>
      </c>
    </row>
    <row r="14314">
      <c r="A14314" s="6">
        <v>14312.0</v>
      </c>
      <c r="B14314" s="17">
        <f t="array" ref="B14314">SUM(1-'Sparkling Model'!D$2:D$38^A14314)</f>
        <v>36.99711696</v>
      </c>
      <c r="C14314" s="8">
        <f t="array" ref="C14314">PRODUCT(1-'Sparkling Model'!D$2:D$38^A14314)</f>
        <v>0.9971198308</v>
      </c>
    </row>
    <row r="14315">
      <c r="A14315" s="6">
        <v>14313.0</v>
      </c>
      <c r="B14315" s="17">
        <f t="array" ref="B14315">SUM(1-'Sparkling Model'!D$2:D$38^A14315)</f>
        <v>36.99711838</v>
      </c>
      <c r="C14315" s="8">
        <f t="array" ref="C14315">PRODUCT(1-'Sparkling Model'!D$2:D$38^A14315)</f>
        <v>0.9971212535</v>
      </c>
    </row>
    <row r="14316">
      <c r="A14316" s="6">
        <v>14314.0</v>
      </c>
      <c r="B14316" s="17">
        <f t="array" ref="B14316">SUM(1-'Sparkling Model'!D$2:D$38^A14316)</f>
        <v>36.99711981</v>
      </c>
      <c r="C14316" s="8">
        <f t="array" ref="C14316">PRODUCT(1-'Sparkling Model'!D$2:D$38^A14316)</f>
        <v>0.9971226755</v>
      </c>
    </row>
    <row r="14317">
      <c r="A14317" s="6">
        <v>14315.0</v>
      </c>
      <c r="B14317" s="17">
        <f t="array" ref="B14317">SUM(1-'Sparkling Model'!D$2:D$38^A14317)</f>
        <v>36.99712123</v>
      </c>
      <c r="C14317" s="8">
        <f t="array" ref="C14317">PRODUCT(1-'Sparkling Model'!D$2:D$38^A14317)</f>
        <v>0.9971240968</v>
      </c>
    </row>
    <row r="14318">
      <c r="A14318" s="6">
        <v>14316.0</v>
      </c>
      <c r="B14318" s="17">
        <f t="array" ref="B14318">SUM(1-'Sparkling Model'!D$2:D$38^A14318)</f>
        <v>36.99712265</v>
      </c>
      <c r="C14318" s="8">
        <f t="array" ref="C14318">PRODUCT(1-'Sparkling Model'!D$2:D$38^A14318)</f>
        <v>0.9971255174</v>
      </c>
    </row>
    <row r="14319">
      <c r="A14319" s="6">
        <v>14317.0</v>
      </c>
      <c r="B14319" s="17">
        <f t="array" ref="B14319">SUM(1-'Sparkling Model'!D$2:D$38^A14319)</f>
        <v>36.99712408</v>
      </c>
      <c r="C14319" s="8">
        <f t="array" ref="C14319">PRODUCT(1-'Sparkling Model'!D$2:D$38^A14319)</f>
        <v>0.9971269373</v>
      </c>
    </row>
    <row r="14320">
      <c r="A14320" s="6">
        <v>14318.0</v>
      </c>
      <c r="B14320" s="17">
        <f t="array" ref="B14320">SUM(1-'Sparkling Model'!D$2:D$38^A14320)</f>
        <v>36.9971255</v>
      </c>
      <c r="C14320" s="8">
        <f t="array" ref="C14320">PRODUCT(1-'Sparkling Model'!D$2:D$38^A14320)</f>
        <v>0.9971283564</v>
      </c>
    </row>
    <row r="14321">
      <c r="A14321" s="6">
        <v>14319.0</v>
      </c>
      <c r="B14321" s="17">
        <f t="array" ref="B14321">SUM(1-'Sparkling Model'!D$2:D$38^A14321)</f>
        <v>36.99712692</v>
      </c>
      <c r="C14321" s="8">
        <f t="array" ref="C14321">PRODUCT(1-'Sparkling Model'!D$2:D$38^A14321)</f>
        <v>0.9971297749</v>
      </c>
    </row>
    <row r="14322">
      <c r="A14322" s="6">
        <v>14320.0</v>
      </c>
      <c r="B14322" s="17">
        <f t="array" ref="B14322">SUM(1-'Sparkling Model'!D$2:D$38^A14322)</f>
        <v>36.99712834</v>
      </c>
      <c r="C14322" s="8">
        <f t="array" ref="C14322">PRODUCT(1-'Sparkling Model'!D$2:D$38^A14322)</f>
        <v>0.9971311927</v>
      </c>
    </row>
    <row r="14323">
      <c r="A14323" s="6">
        <v>14321.0</v>
      </c>
      <c r="B14323" s="17">
        <f t="array" ref="B14323">SUM(1-'Sparkling Model'!D$2:D$38^A14323)</f>
        <v>36.99712976</v>
      </c>
      <c r="C14323" s="8">
        <f t="array" ref="C14323">PRODUCT(1-'Sparkling Model'!D$2:D$38^A14323)</f>
        <v>0.9971326097</v>
      </c>
    </row>
    <row r="14324">
      <c r="A14324" s="6">
        <v>14322.0</v>
      </c>
      <c r="B14324" s="17">
        <f t="array" ref="B14324">SUM(1-'Sparkling Model'!D$2:D$38^A14324)</f>
        <v>36.99713118</v>
      </c>
      <c r="C14324" s="8">
        <f t="array" ref="C14324">PRODUCT(1-'Sparkling Model'!D$2:D$38^A14324)</f>
        <v>0.9971340261</v>
      </c>
    </row>
    <row r="14325">
      <c r="A14325" s="6">
        <v>14323.0</v>
      </c>
      <c r="B14325" s="17">
        <f t="array" ref="B14325">SUM(1-'Sparkling Model'!D$2:D$38^A14325)</f>
        <v>36.9971326</v>
      </c>
      <c r="C14325" s="8">
        <f t="array" ref="C14325">PRODUCT(1-'Sparkling Model'!D$2:D$38^A14325)</f>
        <v>0.9971354418</v>
      </c>
    </row>
    <row r="14326">
      <c r="A14326" s="6">
        <v>14324.0</v>
      </c>
      <c r="B14326" s="17">
        <f t="array" ref="B14326">SUM(1-'Sparkling Model'!D$2:D$38^A14326)</f>
        <v>36.99713402</v>
      </c>
      <c r="C14326" s="8">
        <f t="array" ref="C14326">PRODUCT(1-'Sparkling Model'!D$2:D$38^A14326)</f>
        <v>0.9971368567</v>
      </c>
    </row>
    <row r="14327">
      <c r="A14327" s="6">
        <v>14325.0</v>
      </c>
      <c r="B14327" s="17">
        <f t="array" ref="B14327">SUM(1-'Sparkling Model'!D$2:D$38^A14327)</f>
        <v>36.99713543</v>
      </c>
      <c r="C14327" s="8">
        <f t="array" ref="C14327">PRODUCT(1-'Sparkling Model'!D$2:D$38^A14327)</f>
        <v>0.997138271</v>
      </c>
    </row>
    <row r="14328">
      <c r="A14328" s="6">
        <v>14326.0</v>
      </c>
      <c r="B14328" s="17">
        <f t="array" ref="B14328">SUM(1-'Sparkling Model'!D$2:D$38^A14328)</f>
        <v>36.99713685</v>
      </c>
      <c r="C14328" s="8">
        <f t="array" ref="C14328">PRODUCT(1-'Sparkling Model'!D$2:D$38^A14328)</f>
        <v>0.9971396845</v>
      </c>
    </row>
    <row r="14329">
      <c r="A14329" s="6">
        <v>14327.0</v>
      </c>
      <c r="B14329" s="17">
        <f t="array" ref="B14329">SUM(1-'Sparkling Model'!D$2:D$38^A14329)</f>
        <v>36.99713826</v>
      </c>
      <c r="C14329" s="8">
        <f t="array" ref="C14329">PRODUCT(1-'Sparkling Model'!D$2:D$38^A14329)</f>
        <v>0.9971410974</v>
      </c>
    </row>
    <row r="14330">
      <c r="A14330" s="6">
        <v>14328.0</v>
      </c>
      <c r="B14330" s="17">
        <f t="array" ref="B14330">SUM(1-'Sparkling Model'!D$2:D$38^A14330)</f>
        <v>36.99713968</v>
      </c>
      <c r="C14330" s="8">
        <f t="array" ref="C14330">PRODUCT(1-'Sparkling Model'!D$2:D$38^A14330)</f>
        <v>0.9971425096</v>
      </c>
    </row>
    <row r="14331">
      <c r="A14331" s="6">
        <v>14329.0</v>
      </c>
      <c r="B14331" s="17">
        <f t="array" ref="B14331">SUM(1-'Sparkling Model'!D$2:D$38^A14331)</f>
        <v>36.99714109</v>
      </c>
      <c r="C14331" s="8">
        <f t="array" ref="C14331">PRODUCT(1-'Sparkling Model'!D$2:D$38^A14331)</f>
        <v>0.997143921</v>
      </c>
    </row>
    <row r="14332">
      <c r="A14332" s="6">
        <v>14330.0</v>
      </c>
      <c r="B14332" s="17">
        <f t="array" ref="B14332">SUM(1-'Sparkling Model'!D$2:D$38^A14332)</f>
        <v>36.99714251</v>
      </c>
      <c r="C14332" s="8">
        <f t="array" ref="C14332">PRODUCT(1-'Sparkling Model'!D$2:D$38^A14332)</f>
        <v>0.9971453318</v>
      </c>
    </row>
    <row r="14333">
      <c r="A14333" s="6">
        <v>14331.0</v>
      </c>
      <c r="B14333" s="17">
        <f t="array" ref="B14333">SUM(1-'Sparkling Model'!D$2:D$38^A14333)</f>
        <v>36.99714392</v>
      </c>
      <c r="C14333" s="8">
        <f t="array" ref="C14333">PRODUCT(1-'Sparkling Model'!D$2:D$38^A14333)</f>
        <v>0.9971467418</v>
      </c>
    </row>
    <row r="14334">
      <c r="A14334" s="6">
        <v>14332.0</v>
      </c>
      <c r="B14334" s="17">
        <f t="array" ref="B14334">SUM(1-'Sparkling Model'!D$2:D$38^A14334)</f>
        <v>36.99714533</v>
      </c>
      <c r="C14334" s="8">
        <f t="array" ref="C14334">PRODUCT(1-'Sparkling Model'!D$2:D$38^A14334)</f>
        <v>0.9971481512</v>
      </c>
    </row>
    <row r="14335">
      <c r="A14335" s="6">
        <v>14333.0</v>
      </c>
      <c r="B14335" s="17">
        <f t="array" ref="B14335">SUM(1-'Sparkling Model'!D$2:D$38^A14335)</f>
        <v>36.99714674</v>
      </c>
      <c r="C14335" s="8">
        <f t="array" ref="C14335">PRODUCT(1-'Sparkling Model'!D$2:D$38^A14335)</f>
        <v>0.9971495599</v>
      </c>
    </row>
    <row r="14336">
      <c r="A14336" s="6">
        <v>14334.0</v>
      </c>
      <c r="B14336" s="17">
        <f t="array" ref="B14336">SUM(1-'Sparkling Model'!D$2:D$38^A14336)</f>
        <v>36.99714815</v>
      </c>
      <c r="C14336" s="8">
        <f t="array" ref="C14336">PRODUCT(1-'Sparkling Model'!D$2:D$38^A14336)</f>
        <v>0.9971509678</v>
      </c>
    </row>
    <row r="14337">
      <c r="A14337" s="6">
        <v>14335.0</v>
      </c>
      <c r="B14337" s="17">
        <f t="array" ref="B14337">SUM(1-'Sparkling Model'!D$2:D$38^A14337)</f>
        <v>36.99714956</v>
      </c>
      <c r="C14337" s="8">
        <f t="array" ref="C14337">PRODUCT(1-'Sparkling Model'!D$2:D$38^A14337)</f>
        <v>0.9971523751</v>
      </c>
    </row>
    <row r="14338">
      <c r="A14338" s="6">
        <v>14336.0</v>
      </c>
      <c r="B14338" s="17">
        <f t="array" ref="B14338">SUM(1-'Sparkling Model'!D$2:D$38^A14338)</f>
        <v>36.99715097</v>
      </c>
      <c r="C14338" s="8">
        <f t="array" ref="C14338">PRODUCT(1-'Sparkling Model'!D$2:D$38^A14338)</f>
        <v>0.9971537817</v>
      </c>
    </row>
    <row r="14339">
      <c r="A14339" s="6">
        <v>14337.0</v>
      </c>
      <c r="B14339" s="17">
        <f t="array" ref="B14339">SUM(1-'Sparkling Model'!D$2:D$38^A14339)</f>
        <v>36.99715238</v>
      </c>
      <c r="C14339" s="8">
        <f t="array" ref="C14339">PRODUCT(1-'Sparkling Model'!D$2:D$38^A14339)</f>
        <v>0.9971551875</v>
      </c>
    </row>
    <row r="14340">
      <c r="A14340" s="6">
        <v>14338.0</v>
      </c>
      <c r="B14340" s="17">
        <f t="array" ref="B14340">SUM(1-'Sparkling Model'!D$2:D$38^A14340)</f>
        <v>36.99715379</v>
      </c>
      <c r="C14340" s="8">
        <f t="array" ref="C14340">PRODUCT(1-'Sparkling Model'!D$2:D$38^A14340)</f>
        <v>0.9971565927</v>
      </c>
    </row>
    <row r="14341">
      <c r="A14341" s="6">
        <v>14339.0</v>
      </c>
      <c r="B14341" s="17">
        <f t="array" ref="B14341">SUM(1-'Sparkling Model'!D$2:D$38^A14341)</f>
        <v>36.9971552</v>
      </c>
      <c r="C14341" s="8">
        <f t="array" ref="C14341">PRODUCT(1-'Sparkling Model'!D$2:D$38^A14341)</f>
        <v>0.9971579972</v>
      </c>
    </row>
    <row r="14342">
      <c r="A14342" s="6">
        <v>14340.0</v>
      </c>
      <c r="B14342" s="17">
        <f t="array" ref="B14342">SUM(1-'Sparkling Model'!D$2:D$38^A14342)</f>
        <v>36.9971566</v>
      </c>
      <c r="C14342" s="8">
        <f t="array" ref="C14342">PRODUCT(1-'Sparkling Model'!D$2:D$38^A14342)</f>
        <v>0.997159401</v>
      </c>
    </row>
    <row r="14343">
      <c r="A14343" s="6">
        <v>14341.0</v>
      </c>
      <c r="B14343" s="17">
        <f t="array" ref="B14343">SUM(1-'Sparkling Model'!D$2:D$38^A14343)</f>
        <v>36.99715801</v>
      </c>
      <c r="C14343" s="8">
        <f t="array" ref="C14343">PRODUCT(1-'Sparkling Model'!D$2:D$38^A14343)</f>
        <v>0.9971608041</v>
      </c>
    </row>
    <row r="14344">
      <c r="A14344" s="6">
        <v>14342.0</v>
      </c>
      <c r="B14344" s="17">
        <f t="array" ref="B14344">SUM(1-'Sparkling Model'!D$2:D$38^A14344)</f>
        <v>36.99715942</v>
      </c>
      <c r="C14344" s="8">
        <f t="array" ref="C14344">PRODUCT(1-'Sparkling Model'!D$2:D$38^A14344)</f>
        <v>0.9971622065</v>
      </c>
    </row>
    <row r="14345">
      <c r="A14345" s="6">
        <v>14343.0</v>
      </c>
      <c r="B14345" s="17">
        <f t="array" ref="B14345">SUM(1-'Sparkling Model'!D$2:D$38^A14345)</f>
        <v>36.99716082</v>
      </c>
      <c r="C14345" s="8">
        <f t="array" ref="C14345">PRODUCT(1-'Sparkling Model'!D$2:D$38^A14345)</f>
        <v>0.9971636082</v>
      </c>
    </row>
    <row r="14346">
      <c r="A14346" s="6">
        <v>14344.0</v>
      </c>
      <c r="B14346" s="17">
        <f t="array" ref="B14346">SUM(1-'Sparkling Model'!D$2:D$38^A14346)</f>
        <v>36.99716222</v>
      </c>
      <c r="C14346" s="8">
        <f t="array" ref="C14346">PRODUCT(1-'Sparkling Model'!D$2:D$38^A14346)</f>
        <v>0.9971650092</v>
      </c>
    </row>
    <row r="14347">
      <c r="A14347" s="6">
        <v>14345.0</v>
      </c>
      <c r="B14347" s="17">
        <f t="array" ref="B14347">SUM(1-'Sparkling Model'!D$2:D$38^A14347)</f>
        <v>36.99716363</v>
      </c>
      <c r="C14347" s="8">
        <f t="array" ref="C14347">PRODUCT(1-'Sparkling Model'!D$2:D$38^A14347)</f>
        <v>0.9971664095</v>
      </c>
    </row>
    <row r="14348">
      <c r="A14348" s="6">
        <v>14346.0</v>
      </c>
      <c r="B14348" s="17">
        <f t="array" ref="B14348">SUM(1-'Sparkling Model'!D$2:D$38^A14348)</f>
        <v>36.99716503</v>
      </c>
      <c r="C14348" s="8">
        <f t="array" ref="C14348">PRODUCT(1-'Sparkling Model'!D$2:D$38^A14348)</f>
        <v>0.9971678091</v>
      </c>
    </row>
    <row r="14349">
      <c r="A14349" s="6">
        <v>14347.0</v>
      </c>
      <c r="B14349" s="17">
        <f t="array" ref="B14349">SUM(1-'Sparkling Model'!D$2:D$38^A14349)</f>
        <v>36.99716643</v>
      </c>
      <c r="C14349" s="8">
        <f t="array" ref="C14349">PRODUCT(1-'Sparkling Model'!D$2:D$38^A14349)</f>
        <v>0.9971692081</v>
      </c>
    </row>
    <row r="14350">
      <c r="A14350" s="6">
        <v>14348.0</v>
      </c>
      <c r="B14350" s="17">
        <f t="array" ref="B14350">SUM(1-'Sparkling Model'!D$2:D$38^A14350)</f>
        <v>36.99716783</v>
      </c>
      <c r="C14350" s="8">
        <f t="array" ref="C14350">PRODUCT(1-'Sparkling Model'!D$2:D$38^A14350)</f>
        <v>0.9971706063</v>
      </c>
    </row>
    <row r="14351">
      <c r="A14351" s="6">
        <v>14349.0</v>
      </c>
      <c r="B14351" s="17">
        <f t="array" ref="B14351">SUM(1-'Sparkling Model'!D$2:D$38^A14351)</f>
        <v>36.99716923</v>
      </c>
      <c r="C14351" s="8">
        <f t="array" ref="C14351">PRODUCT(1-'Sparkling Model'!D$2:D$38^A14351)</f>
        <v>0.9971720038</v>
      </c>
    </row>
    <row r="14352">
      <c r="A14352" s="6">
        <v>14350.0</v>
      </c>
      <c r="B14352" s="17">
        <f t="array" ref="B14352">SUM(1-'Sparkling Model'!D$2:D$38^A14352)</f>
        <v>36.99717063</v>
      </c>
      <c r="C14352" s="8">
        <f t="array" ref="C14352">PRODUCT(1-'Sparkling Model'!D$2:D$38^A14352)</f>
        <v>0.9971734007</v>
      </c>
    </row>
    <row r="14353">
      <c r="A14353" s="6">
        <v>14351.0</v>
      </c>
      <c r="B14353" s="17">
        <f t="array" ref="B14353">SUM(1-'Sparkling Model'!D$2:D$38^A14353)</f>
        <v>36.99717203</v>
      </c>
      <c r="C14353" s="8">
        <f t="array" ref="C14353">PRODUCT(1-'Sparkling Model'!D$2:D$38^A14353)</f>
        <v>0.9971747968</v>
      </c>
    </row>
    <row r="14354">
      <c r="A14354" s="6">
        <v>14352.0</v>
      </c>
      <c r="B14354" s="17">
        <f t="array" ref="B14354">SUM(1-'Sparkling Model'!D$2:D$38^A14354)</f>
        <v>36.99717343</v>
      </c>
      <c r="C14354" s="8">
        <f t="array" ref="C14354">PRODUCT(1-'Sparkling Model'!D$2:D$38^A14354)</f>
        <v>0.9971761923</v>
      </c>
    </row>
    <row r="14355">
      <c r="A14355" s="6">
        <v>14353.0</v>
      </c>
      <c r="B14355" s="17">
        <f t="array" ref="B14355">SUM(1-'Sparkling Model'!D$2:D$38^A14355)</f>
        <v>36.99717483</v>
      </c>
      <c r="C14355" s="8">
        <f t="array" ref="C14355">PRODUCT(1-'Sparkling Model'!D$2:D$38^A14355)</f>
        <v>0.9971775871</v>
      </c>
    </row>
    <row r="14356">
      <c r="A14356" s="6">
        <v>14354.0</v>
      </c>
      <c r="B14356" s="17">
        <f t="array" ref="B14356">SUM(1-'Sparkling Model'!D$2:D$38^A14356)</f>
        <v>36.99717622</v>
      </c>
      <c r="C14356" s="8">
        <f t="array" ref="C14356">PRODUCT(1-'Sparkling Model'!D$2:D$38^A14356)</f>
        <v>0.9971789811</v>
      </c>
    </row>
    <row r="14357">
      <c r="A14357" s="6">
        <v>14355.0</v>
      </c>
      <c r="B14357" s="17">
        <f t="array" ref="B14357">SUM(1-'Sparkling Model'!D$2:D$38^A14357)</f>
        <v>36.99717762</v>
      </c>
      <c r="C14357" s="8">
        <f t="array" ref="C14357">PRODUCT(1-'Sparkling Model'!D$2:D$38^A14357)</f>
        <v>0.9971803745</v>
      </c>
    </row>
    <row r="14358">
      <c r="A14358" s="6">
        <v>14356.0</v>
      </c>
      <c r="B14358" s="17">
        <f t="array" ref="B14358">SUM(1-'Sparkling Model'!D$2:D$38^A14358)</f>
        <v>36.99717901</v>
      </c>
      <c r="C14358" s="8">
        <f t="array" ref="C14358">PRODUCT(1-'Sparkling Model'!D$2:D$38^A14358)</f>
        <v>0.9971817672</v>
      </c>
    </row>
    <row r="14359">
      <c r="A14359" s="6">
        <v>14357.0</v>
      </c>
      <c r="B14359" s="17">
        <f t="array" ref="B14359">SUM(1-'Sparkling Model'!D$2:D$38^A14359)</f>
        <v>36.99718041</v>
      </c>
      <c r="C14359" s="8">
        <f t="array" ref="C14359">PRODUCT(1-'Sparkling Model'!D$2:D$38^A14359)</f>
        <v>0.9971831593</v>
      </c>
    </row>
    <row r="14360">
      <c r="A14360" s="6">
        <v>14358.0</v>
      </c>
      <c r="B14360" s="17">
        <f t="array" ref="B14360">SUM(1-'Sparkling Model'!D$2:D$38^A14360)</f>
        <v>36.9971818</v>
      </c>
      <c r="C14360" s="8">
        <f t="array" ref="C14360">PRODUCT(1-'Sparkling Model'!D$2:D$38^A14360)</f>
        <v>0.9971845506</v>
      </c>
    </row>
    <row r="14361">
      <c r="A14361" s="6">
        <v>14359.0</v>
      </c>
      <c r="B14361" s="17">
        <f t="array" ref="B14361">SUM(1-'Sparkling Model'!D$2:D$38^A14361)</f>
        <v>36.9971832</v>
      </c>
      <c r="C14361" s="8">
        <f t="array" ref="C14361">PRODUCT(1-'Sparkling Model'!D$2:D$38^A14361)</f>
        <v>0.9971859412</v>
      </c>
    </row>
    <row r="14362">
      <c r="A14362" s="6">
        <v>14360.0</v>
      </c>
      <c r="B14362" s="17">
        <f t="array" ref="B14362">SUM(1-'Sparkling Model'!D$2:D$38^A14362)</f>
        <v>36.99718459</v>
      </c>
      <c r="C14362" s="8">
        <f t="array" ref="C14362">PRODUCT(1-'Sparkling Model'!D$2:D$38^A14362)</f>
        <v>0.9971873312</v>
      </c>
    </row>
    <row r="14363">
      <c r="A14363" s="6">
        <v>14361.0</v>
      </c>
      <c r="B14363" s="17">
        <f t="array" ref="B14363">SUM(1-'Sparkling Model'!D$2:D$38^A14363)</f>
        <v>36.99718598</v>
      </c>
      <c r="C14363" s="8">
        <f t="array" ref="C14363">PRODUCT(1-'Sparkling Model'!D$2:D$38^A14363)</f>
        <v>0.9971887204</v>
      </c>
    </row>
    <row r="14364">
      <c r="A14364" s="6">
        <v>14362.0</v>
      </c>
      <c r="B14364" s="17">
        <f t="array" ref="B14364">SUM(1-'Sparkling Model'!D$2:D$38^A14364)</f>
        <v>36.99718737</v>
      </c>
      <c r="C14364" s="8">
        <f t="array" ref="C14364">PRODUCT(1-'Sparkling Model'!D$2:D$38^A14364)</f>
        <v>0.997190109</v>
      </c>
    </row>
    <row r="14365">
      <c r="A14365" s="6">
        <v>14363.0</v>
      </c>
      <c r="B14365" s="17">
        <f t="array" ref="B14365">SUM(1-'Sparkling Model'!D$2:D$38^A14365)</f>
        <v>36.99718876</v>
      </c>
      <c r="C14365" s="8">
        <f t="array" ref="C14365">PRODUCT(1-'Sparkling Model'!D$2:D$38^A14365)</f>
        <v>0.9971914969</v>
      </c>
    </row>
    <row r="14366">
      <c r="A14366" s="6">
        <v>14364.0</v>
      </c>
      <c r="B14366" s="17">
        <f t="array" ref="B14366">SUM(1-'Sparkling Model'!D$2:D$38^A14366)</f>
        <v>36.99719015</v>
      </c>
      <c r="C14366" s="8">
        <f t="array" ref="C14366">PRODUCT(1-'Sparkling Model'!D$2:D$38^A14366)</f>
        <v>0.997192884</v>
      </c>
    </row>
    <row r="14367">
      <c r="A14367" s="6">
        <v>14365.0</v>
      </c>
      <c r="B14367" s="17">
        <f t="array" ref="B14367">SUM(1-'Sparkling Model'!D$2:D$38^A14367)</f>
        <v>36.99719154</v>
      </c>
      <c r="C14367" s="8">
        <f t="array" ref="C14367">PRODUCT(1-'Sparkling Model'!D$2:D$38^A14367)</f>
        <v>0.9971942706</v>
      </c>
    </row>
    <row r="14368">
      <c r="A14368" s="6">
        <v>14366.0</v>
      </c>
      <c r="B14368" s="17">
        <f t="array" ref="B14368">SUM(1-'Sparkling Model'!D$2:D$38^A14368)</f>
        <v>36.99719293</v>
      </c>
      <c r="C14368" s="8">
        <f t="array" ref="C14368">PRODUCT(1-'Sparkling Model'!D$2:D$38^A14368)</f>
        <v>0.9971956564</v>
      </c>
    </row>
    <row r="14369">
      <c r="A14369" s="6">
        <v>14367.0</v>
      </c>
      <c r="B14369" s="17">
        <f t="array" ref="B14369">SUM(1-'Sparkling Model'!D$2:D$38^A14369)</f>
        <v>36.99719432</v>
      </c>
      <c r="C14369" s="8">
        <f t="array" ref="C14369">PRODUCT(1-'Sparkling Model'!D$2:D$38^A14369)</f>
        <v>0.9971970415</v>
      </c>
    </row>
    <row r="14370">
      <c r="A14370" s="6">
        <v>14368.0</v>
      </c>
      <c r="B14370" s="17">
        <f t="array" ref="B14370">SUM(1-'Sparkling Model'!D$2:D$38^A14370)</f>
        <v>36.99719571</v>
      </c>
      <c r="C14370" s="8">
        <f t="array" ref="C14370">PRODUCT(1-'Sparkling Model'!D$2:D$38^A14370)</f>
        <v>0.997198426</v>
      </c>
    </row>
    <row r="14371">
      <c r="A14371" s="6">
        <v>14369.0</v>
      </c>
      <c r="B14371" s="17">
        <f t="array" ref="B14371">SUM(1-'Sparkling Model'!D$2:D$38^A14371)</f>
        <v>36.99719709</v>
      </c>
      <c r="C14371" s="8">
        <f t="array" ref="C14371">PRODUCT(1-'Sparkling Model'!D$2:D$38^A14371)</f>
        <v>0.9971998097</v>
      </c>
    </row>
    <row r="14372">
      <c r="A14372" s="6">
        <v>14370.0</v>
      </c>
      <c r="B14372" s="17">
        <f t="array" ref="B14372">SUM(1-'Sparkling Model'!D$2:D$38^A14372)</f>
        <v>36.99719848</v>
      </c>
      <c r="C14372" s="8">
        <f t="array" ref="C14372">PRODUCT(1-'Sparkling Model'!D$2:D$38^A14372)</f>
        <v>0.9972011928</v>
      </c>
    </row>
    <row r="14373">
      <c r="A14373" s="6">
        <v>14371.0</v>
      </c>
      <c r="B14373" s="17">
        <f t="array" ref="B14373">SUM(1-'Sparkling Model'!D$2:D$38^A14373)</f>
        <v>36.99719986</v>
      </c>
      <c r="C14373" s="8">
        <f t="array" ref="C14373">PRODUCT(1-'Sparkling Model'!D$2:D$38^A14373)</f>
        <v>0.9972025752</v>
      </c>
    </row>
    <row r="14374">
      <c r="A14374" s="6">
        <v>14372.0</v>
      </c>
      <c r="B14374" s="17">
        <f t="array" ref="B14374">SUM(1-'Sparkling Model'!D$2:D$38^A14374)</f>
        <v>36.99720125</v>
      </c>
      <c r="C14374" s="8">
        <f t="array" ref="C14374">PRODUCT(1-'Sparkling Model'!D$2:D$38^A14374)</f>
        <v>0.9972039569</v>
      </c>
    </row>
    <row r="14375">
      <c r="A14375" s="6">
        <v>14373.0</v>
      </c>
      <c r="B14375" s="17">
        <f t="array" ref="B14375">SUM(1-'Sparkling Model'!D$2:D$38^A14375)</f>
        <v>36.99720263</v>
      </c>
      <c r="C14375" s="8">
        <f t="array" ref="C14375">PRODUCT(1-'Sparkling Model'!D$2:D$38^A14375)</f>
        <v>0.9972053379</v>
      </c>
    </row>
    <row r="14376">
      <c r="A14376" s="6">
        <v>14374.0</v>
      </c>
      <c r="B14376" s="17">
        <f t="array" ref="B14376">SUM(1-'Sparkling Model'!D$2:D$38^A14376)</f>
        <v>36.99720401</v>
      </c>
      <c r="C14376" s="8">
        <f t="array" ref="C14376">PRODUCT(1-'Sparkling Model'!D$2:D$38^A14376)</f>
        <v>0.9972067182</v>
      </c>
    </row>
    <row r="14377">
      <c r="A14377" s="6">
        <v>14375.0</v>
      </c>
      <c r="B14377" s="17">
        <f t="array" ref="B14377">SUM(1-'Sparkling Model'!D$2:D$38^A14377)</f>
        <v>36.9972054</v>
      </c>
      <c r="C14377" s="8">
        <f t="array" ref="C14377">PRODUCT(1-'Sparkling Model'!D$2:D$38^A14377)</f>
        <v>0.9972080979</v>
      </c>
    </row>
    <row r="14378">
      <c r="A14378" s="6">
        <v>14376.0</v>
      </c>
      <c r="B14378" s="17">
        <f t="array" ref="B14378">SUM(1-'Sparkling Model'!D$2:D$38^A14378)</f>
        <v>36.99720678</v>
      </c>
      <c r="C14378" s="8">
        <f t="array" ref="C14378">PRODUCT(1-'Sparkling Model'!D$2:D$38^A14378)</f>
        <v>0.9972094769</v>
      </c>
    </row>
    <row r="14379">
      <c r="A14379" s="6">
        <v>14377.0</v>
      </c>
      <c r="B14379" s="17">
        <f t="array" ref="B14379">SUM(1-'Sparkling Model'!D$2:D$38^A14379)</f>
        <v>36.99720816</v>
      </c>
      <c r="C14379" s="8">
        <f t="array" ref="C14379">PRODUCT(1-'Sparkling Model'!D$2:D$38^A14379)</f>
        <v>0.9972108551</v>
      </c>
    </row>
    <row r="14380">
      <c r="A14380" s="6">
        <v>14378.0</v>
      </c>
      <c r="B14380" s="17">
        <f t="array" ref="B14380">SUM(1-'Sparkling Model'!D$2:D$38^A14380)</f>
        <v>36.99720954</v>
      </c>
      <c r="C14380" s="8">
        <f t="array" ref="C14380">PRODUCT(1-'Sparkling Model'!D$2:D$38^A14380)</f>
        <v>0.9972122327</v>
      </c>
    </row>
    <row r="14381">
      <c r="A14381" s="6">
        <v>14379.0</v>
      </c>
      <c r="B14381" s="17">
        <f t="array" ref="B14381">SUM(1-'Sparkling Model'!D$2:D$38^A14381)</f>
        <v>36.99721092</v>
      </c>
      <c r="C14381" s="8">
        <f t="array" ref="C14381">PRODUCT(1-'Sparkling Model'!D$2:D$38^A14381)</f>
        <v>0.9972136097</v>
      </c>
    </row>
    <row r="14382">
      <c r="A14382" s="6">
        <v>14380.0</v>
      </c>
      <c r="B14382" s="17">
        <f t="array" ref="B14382">SUM(1-'Sparkling Model'!D$2:D$38^A14382)</f>
        <v>36.9972123</v>
      </c>
      <c r="C14382" s="8">
        <f t="array" ref="C14382">PRODUCT(1-'Sparkling Model'!D$2:D$38^A14382)</f>
        <v>0.9972149859</v>
      </c>
    </row>
    <row r="14383">
      <c r="A14383" s="6">
        <v>14381.0</v>
      </c>
      <c r="B14383" s="17">
        <f t="array" ref="B14383">SUM(1-'Sparkling Model'!D$2:D$38^A14383)</f>
        <v>36.99721368</v>
      </c>
      <c r="C14383" s="8">
        <f t="array" ref="C14383">PRODUCT(1-'Sparkling Model'!D$2:D$38^A14383)</f>
        <v>0.9972163615</v>
      </c>
    </row>
    <row r="14384">
      <c r="A14384" s="6">
        <v>14382.0</v>
      </c>
      <c r="B14384" s="17">
        <f t="array" ref="B14384">SUM(1-'Sparkling Model'!D$2:D$38^A14384)</f>
        <v>36.99721505</v>
      </c>
      <c r="C14384" s="8">
        <f t="array" ref="C14384">PRODUCT(1-'Sparkling Model'!D$2:D$38^A14384)</f>
        <v>0.9972177363</v>
      </c>
    </row>
    <row r="14385">
      <c r="A14385" s="6">
        <v>14383.0</v>
      </c>
      <c r="B14385" s="17">
        <f t="array" ref="B14385">SUM(1-'Sparkling Model'!D$2:D$38^A14385)</f>
        <v>36.99721643</v>
      </c>
      <c r="C14385" s="8">
        <f t="array" ref="C14385">PRODUCT(1-'Sparkling Model'!D$2:D$38^A14385)</f>
        <v>0.9972191105</v>
      </c>
    </row>
    <row r="14386">
      <c r="A14386" s="6">
        <v>14384.0</v>
      </c>
      <c r="B14386" s="17">
        <f t="array" ref="B14386">SUM(1-'Sparkling Model'!D$2:D$38^A14386)</f>
        <v>36.99721781</v>
      </c>
      <c r="C14386" s="8">
        <f t="array" ref="C14386">PRODUCT(1-'Sparkling Model'!D$2:D$38^A14386)</f>
        <v>0.997220484</v>
      </c>
    </row>
    <row r="14387">
      <c r="A14387" s="6">
        <v>14385.0</v>
      </c>
      <c r="B14387" s="17">
        <f t="array" ref="B14387">SUM(1-'Sparkling Model'!D$2:D$38^A14387)</f>
        <v>36.99721918</v>
      </c>
      <c r="C14387" s="8">
        <f t="array" ref="C14387">PRODUCT(1-'Sparkling Model'!D$2:D$38^A14387)</f>
        <v>0.9972218569</v>
      </c>
    </row>
    <row r="14388">
      <c r="A14388" s="6">
        <v>14386.0</v>
      </c>
      <c r="B14388" s="17">
        <f t="array" ref="B14388">SUM(1-'Sparkling Model'!D$2:D$38^A14388)</f>
        <v>36.99722056</v>
      </c>
      <c r="C14388" s="8">
        <f t="array" ref="C14388">PRODUCT(1-'Sparkling Model'!D$2:D$38^A14388)</f>
        <v>0.997223229</v>
      </c>
    </row>
    <row r="14389">
      <c r="A14389" s="6">
        <v>14387.0</v>
      </c>
      <c r="B14389" s="17">
        <f t="array" ref="B14389">SUM(1-'Sparkling Model'!D$2:D$38^A14389)</f>
        <v>36.99722193</v>
      </c>
      <c r="C14389" s="8">
        <f t="array" ref="C14389">PRODUCT(1-'Sparkling Model'!D$2:D$38^A14389)</f>
        <v>0.9972246005</v>
      </c>
    </row>
    <row r="14390">
      <c r="A14390" s="6">
        <v>14388.0</v>
      </c>
      <c r="B14390" s="17">
        <f t="array" ref="B14390">SUM(1-'Sparkling Model'!D$2:D$38^A14390)</f>
        <v>36.99722331</v>
      </c>
      <c r="C14390" s="8">
        <f t="array" ref="C14390">PRODUCT(1-'Sparkling Model'!D$2:D$38^A14390)</f>
        <v>0.9972259713</v>
      </c>
    </row>
    <row r="14391">
      <c r="A14391" s="6">
        <v>14389.0</v>
      </c>
      <c r="B14391" s="17">
        <f t="array" ref="B14391">SUM(1-'Sparkling Model'!D$2:D$38^A14391)</f>
        <v>36.99722468</v>
      </c>
      <c r="C14391" s="8">
        <f t="array" ref="C14391">PRODUCT(1-'Sparkling Model'!D$2:D$38^A14391)</f>
        <v>0.9972273414</v>
      </c>
    </row>
    <row r="14392">
      <c r="A14392" s="6">
        <v>14390.0</v>
      </c>
      <c r="B14392" s="17">
        <f t="array" ref="B14392">SUM(1-'Sparkling Model'!D$2:D$38^A14392)</f>
        <v>36.99722605</v>
      </c>
      <c r="C14392" s="8">
        <f t="array" ref="C14392">PRODUCT(1-'Sparkling Model'!D$2:D$38^A14392)</f>
        <v>0.9972287109</v>
      </c>
    </row>
    <row r="14393">
      <c r="A14393" s="6">
        <v>14391.0</v>
      </c>
      <c r="B14393" s="17">
        <f t="array" ref="B14393">SUM(1-'Sparkling Model'!D$2:D$38^A14393)</f>
        <v>36.99722742</v>
      </c>
      <c r="C14393" s="8">
        <f t="array" ref="C14393">PRODUCT(1-'Sparkling Model'!D$2:D$38^A14393)</f>
        <v>0.9972300796</v>
      </c>
    </row>
    <row r="14394">
      <c r="A14394" s="6">
        <v>14392.0</v>
      </c>
      <c r="B14394" s="17">
        <f t="array" ref="B14394">SUM(1-'Sparkling Model'!D$2:D$38^A14394)</f>
        <v>36.99722879</v>
      </c>
      <c r="C14394" s="8">
        <f t="array" ref="C14394">PRODUCT(1-'Sparkling Model'!D$2:D$38^A14394)</f>
        <v>0.9972314477</v>
      </c>
    </row>
    <row r="14395">
      <c r="A14395" s="6">
        <v>14393.0</v>
      </c>
      <c r="B14395" s="17">
        <f t="array" ref="B14395">SUM(1-'Sparkling Model'!D$2:D$38^A14395)</f>
        <v>36.99723016</v>
      </c>
      <c r="C14395" s="8">
        <f t="array" ref="C14395">PRODUCT(1-'Sparkling Model'!D$2:D$38^A14395)</f>
        <v>0.9972328151</v>
      </c>
    </row>
    <row r="14396">
      <c r="A14396" s="6">
        <v>14394.0</v>
      </c>
      <c r="B14396" s="17">
        <f t="array" ref="B14396">SUM(1-'Sparkling Model'!D$2:D$38^A14396)</f>
        <v>36.99723153</v>
      </c>
      <c r="C14396" s="8">
        <f t="array" ref="C14396">PRODUCT(1-'Sparkling Model'!D$2:D$38^A14396)</f>
        <v>0.9972341818</v>
      </c>
    </row>
    <row r="14397">
      <c r="A14397" s="6">
        <v>14395.0</v>
      </c>
      <c r="B14397" s="17">
        <f t="array" ref="B14397">SUM(1-'Sparkling Model'!D$2:D$38^A14397)</f>
        <v>36.9972329</v>
      </c>
      <c r="C14397" s="8">
        <f t="array" ref="C14397">PRODUCT(1-'Sparkling Model'!D$2:D$38^A14397)</f>
        <v>0.9972355479</v>
      </c>
    </row>
    <row r="14398">
      <c r="A14398" s="6">
        <v>14396.0</v>
      </c>
      <c r="B14398" s="17">
        <f t="array" ref="B14398">SUM(1-'Sparkling Model'!D$2:D$38^A14398)</f>
        <v>36.99723427</v>
      </c>
      <c r="C14398" s="8">
        <f t="array" ref="C14398">PRODUCT(1-'Sparkling Model'!D$2:D$38^A14398)</f>
        <v>0.9972369132</v>
      </c>
    </row>
    <row r="14399">
      <c r="A14399" s="6">
        <v>14397.0</v>
      </c>
      <c r="B14399" s="17">
        <f t="array" ref="B14399">SUM(1-'Sparkling Model'!D$2:D$38^A14399)</f>
        <v>36.99723564</v>
      </c>
      <c r="C14399" s="8">
        <f t="array" ref="C14399">PRODUCT(1-'Sparkling Model'!D$2:D$38^A14399)</f>
        <v>0.9972382779</v>
      </c>
    </row>
    <row r="14400">
      <c r="A14400" s="6">
        <v>14398.0</v>
      </c>
      <c r="B14400" s="17">
        <f t="array" ref="B14400">SUM(1-'Sparkling Model'!D$2:D$38^A14400)</f>
        <v>36.997237</v>
      </c>
      <c r="C14400" s="8">
        <f t="array" ref="C14400">PRODUCT(1-'Sparkling Model'!D$2:D$38^A14400)</f>
        <v>0.997239642</v>
      </c>
    </row>
    <row r="14401">
      <c r="A14401" s="6">
        <v>14399.0</v>
      </c>
      <c r="B14401" s="17">
        <f t="array" ref="B14401">SUM(1-'Sparkling Model'!D$2:D$38^A14401)</f>
        <v>36.99723837</v>
      </c>
      <c r="C14401" s="8">
        <f t="array" ref="C14401">PRODUCT(1-'Sparkling Model'!D$2:D$38^A14401)</f>
        <v>0.9972410053</v>
      </c>
    </row>
    <row r="14402">
      <c r="A14402" s="6">
        <v>14400.0</v>
      </c>
      <c r="B14402" s="17">
        <f t="array" ref="B14402">SUM(1-'Sparkling Model'!D$2:D$38^A14402)</f>
        <v>36.99723973</v>
      </c>
      <c r="C14402" s="8">
        <f t="array" ref="C14402">PRODUCT(1-'Sparkling Model'!D$2:D$38^A14402)</f>
        <v>0.997242368</v>
      </c>
    </row>
    <row r="14403">
      <c r="A14403" s="6">
        <v>14401.0</v>
      </c>
      <c r="B14403" s="17">
        <f t="array" ref="B14403">SUM(1-'Sparkling Model'!D$2:D$38^A14403)</f>
        <v>36.9972411</v>
      </c>
      <c r="C14403" s="8">
        <f t="array" ref="C14403">PRODUCT(1-'Sparkling Model'!D$2:D$38^A14403)</f>
        <v>0.99724373</v>
      </c>
    </row>
    <row r="14404">
      <c r="A14404" s="6">
        <v>14402.0</v>
      </c>
      <c r="B14404" s="17">
        <f t="array" ref="B14404">SUM(1-'Sparkling Model'!D$2:D$38^A14404)</f>
        <v>36.99724246</v>
      </c>
      <c r="C14404" s="8">
        <f t="array" ref="C14404">PRODUCT(1-'Sparkling Model'!D$2:D$38^A14404)</f>
        <v>0.9972450913</v>
      </c>
    </row>
    <row r="14405">
      <c r="A14405" s="6">
        <v>14403.0</v>
      </c>
      <c r="B14405" s="17">
        <f t="array" ref="B14405">SUM(1-'Sparkling Model'!D$2:D$38^A14405)</f>
        <v>36.99724383</v>
      </c>
      <c r="C14405" s="8">
        <f t="array" ref="C14405">PRODUCT(1-'Sparkling Model'!D$2:D$38^A14405)</f>
        <v>0.9972464519</v>
      </c>
    </row>
    <row r="14406">
      <c r="A14406" s="6">
        <v>14404.0</v>
      </c>
      <c r="B14406" s="17">
        <f t="array" ref="B14406">SUM(1-'Sparkling Model'!D$2:D$38^A14406)</f>
        <v>36.99724519</v>
      </c>
      <c r="C14406" s="8">
        <f t="array" ref="C14406">PRODUCT(1-'Sparkling Model'!D$2:D$38^A14406)</f>
        <v>0.9972478119</v>
      </c>
    </row>
    <row r="14407">
      <c r="A14407" s="6">
        <v>14405.0</v>
      </c>
      <c r="B14407" s="17">
        <f t="array" ref="B14407">SUM(1-'Sparkling Model'!D$2:D$38^A14407)</f>
        <v>36.99724655</v>
      </c>
      <c r="C14407" s="8">
        <f t="array" ref="C14407">PRODUCT(1-'Sparkling Model'!D$2:D$38^A14407)</f>
        <v>0.9972491712</v>
      </c>
    </row>
    <row r="14408">
      <c r="A14408" s="6">
        <v>14406.0</v>
      </c>
      <c r="B14408" s="17">
        <f t="array" ref="B14408">SUM(1-'Sparkling Model'!D$2:D$38^A14408)</f>
        <v>36.99724791</v>
      </c>
      <c r="C14408" s="8">
        <f t="array" ref="C14408">PRODUCT(1-'Sparkling Model'!D$2:D$38^A14408)</f>
        <v>0.9972505298</v>
      </c>
    </row>
    <row r="14409">
      <c r="A14409" s="6">
        <v>14407.0</v>
      </c>
      <c r="B14409" s="17">
        <f t="array" ref="B14409">SUM(1-'Sparkling Model'!D$2:D$38^A14409)</f>
        <v>36.99724927</v>
      </c>
      <c r="C14409" s="8">
        <f t="array" ref="C14409">PRODUCT(1-'Sparkling Model'!D$2:D$38^A14409)</f>
        <v>0.9972518878</v>
      </c>
    </row>
    <row r="14410">
      <c r="A14410" s="6">
        <v>14408.0</v>
      </c>
      <c r="B14410" s="17">
        <f t="array" ref="B14410">SUM(1-'Sparkling Model'!D$2:D$38^A14410)</f>
        <v>36.99725063</v>
      </c>
      <c r="C14410" s="8">
        <f t="array" ref="C14410">PRODUCT(1-'Sparkling Model'!D$2:D$38^A14410)</f>
        <v>0.9972532451</v>
      </c>
    </row>
    <row r="14411">
      <c r="A14411" s="6">
        <v>14409.0</v>
      </c>
      <c r="B14411" s="17">
        <f t="array" ref="B14411">SUM(1-'Sparkling Model'!D$2:D$38^A14411)</f>
        <v>36.99725199</v>
      </c>
      <c r="C14411" s="8">
        <f t="array" ref="C14411">PRODUCT(1-'Sparkling Model'!D$2:D$38^A14411)</f>
        <v>0.9972546017</v>
      </c>
    </row>
    <row r="14412">
      <c r="A14412" s="6">
        <v>14410.0</v>
      </c>
      <c r="B14412" s="17">
        <f t="array" ref="B14412">SUM(1-'Sparkling Model'!D$2:D$38^A14412)</f>
        <v>36.99725335</v>
      </c>
      <c r="C14412" s="8">
        <f t="array" ref="C14412">PRODUCT(1-'Sparkling Model'!D$2:D$38^A14412)</f>
        <v>0.9972559576</v>
      </c>
    </row>
    <row r="14413">
      <c r="A14413" s="6">
        <v>14411.0</v>
      </c>
      <c r="B14413" s="17">
        <f t="array" ref="B14413">SUM(1-'Sparkling Model'!D$2:D$38^A14413)</f>
        <v>36.99725471</v>
      </c>
      <c r="C14413" s="8">
        <f t="array" ref="C14413">PRODUCT(1-'Sparkling Model'!D$2:D$38^A14413)</f>
        <v>0.9972573129</v>
      </c>
    </row>
    <row r="14414">
      <c r="A14414" s="6">
        <v>14412.0</v>
      </c>
      <c r="B14414" s="17">
        <f t="array" ref="B14414">SUM(1-'Sparkling Model'!D$2:D$38^A14414)</f>
        <v>36.99725606</v>
      </c>
      <c r="C14414" s="8">
        <f t="array" ref="C14414">PRODUCT(1-'Sparkling Model'!D$2:D$38^A14414)</f>
        <v>0.9972586674</v>
      </c>
    </row>
    <row r="14415">
      <c r="A14415" s="6">
        <v>14413.0</v>
      </c>
      <c r="B14415" s="17">
        <f t="array" ref="B14415">SUM(1-'Sparkling Model'!D$2:D$38^A14415)</f>
        <v>36.99725742</v>
      </c>
      <c r="C14415" s="8">
        <f t="array" ref="C14415">PRODUCT(1-'Sparkling Model'!D$2:D$38^A14415)</f>
        <v>0.9972600214</v>
      </c>
    </row>
    <row r="14416">
      <c r="A14416" s="6">
        <v>14414.0</v>
      </c>
      <c r="B14416" s="17">
        <f t="array" ref="B14416">SUM(1-'Sparkling Model'!D$2:D$38^A14416)</f>
        <v>36.99725878</v>
      </c>
      <c r="C14416" s="8">
        <f t="array" ref="C14416">PRODUCT(1-'Sparkling Model'!D$2:D$38^A14416)</f>
        <v>0.9972613746</v>
      </c>
    </row>
    <row r="14417">
      <c r="A14417" s="6">
        <v>14415.0</v>
      </c>
      <c r="B14417" s="17">
        <f t="array" ref="B14417">SUM(1-'Sparkling Model'!D$2:D$38^A14417)</f>
        <v>36.99726013</v>
      </c>
      <c r="C14417" s="8">
        <f t="array" ref="C14417">PRODUCT(1-'Sparkling Model'!D$2:D$38^A14417)</f>
        <v>0.9972627272</v>
      </c>
    </row>
    <row r="14418">
      <c r="A14418" s="6">
        <v>14416.0</v>
      </c>
      <c r="B14418" s="17">
        <f t="array" ref="B14418">SUM(1-'Sparkling Model'!D$2:D$38^A14418)</f>
        <v>36.99726149</v>
      </c>
      <c r="C14418" s="8">
        <f t="array" ref="C14418">PRODUCT(1-'Sparkling Model'!D$2:D$38^A14418)</f>
        <v>0.9972640791</v>
      </c>
    </row>
    <row r="14419">
      <c r="A14419" s="6">
        <v>14417.0</v>
      </c>
      <c r="B14419" s="17">
        <f t="array" ref="B14419">SUM(1-'Sparkling Model'!D$2:D$38^A14419)</f>
        <v>36.99726284</v>
      </c>
      <c r="C14419" s="8">
        <f t="array" ref="C14419">PRODUCT(1-'Sparkling Model'!D$2:D$38^A14419)</f>
        <v>0.9972654303</v>
      </c>
    </row>
    <row r="14420">
      <c r="A14420" s="6">
        <v>14418.0</v>
      </c>
      <c r="B14420" s="17">
        <f t="array" ref="B14420">SUM(1-'Sparkling Model'!D$2:D$38^A14420)</f>
        <v>36.99726419</v>
      </c>
      <c r="C14420" s="8">
        <f t="array" ref="C14420">PRODUCT(1-'Sparkling Model'!D$2:D$38^A14420)</f>
        <v>0.9972667809</v>
      </c>
    </row>
    <row r="14421">
      <c r="A14421" s="6">
        <v>14419.0</v>
      </c>
      <c r="B14421" s="17">
        <f t="array" ref="B14421">SUM(1-'Sparkling Model'!D$2:D$38^A14421)</f>
        <v>36.99726555</v>
      </c>
      <c r="C14421" s="8">
        <f t="array" ref="C14421">PRODUCT(1-'Sparkling Model'!D$2:D$38^A14421)</f>
        <v>0.9972681308</v>
      </c>
    </row>
    <row r="14422">
      <c r="A14422" s="6">
        <v>14420.0</v>
      </c>
      <c r="B14422" s="17">
        <f t="array" ref="B14422">SUM(1-'Sparkling Model'!D$2:D$38^A14422)</f>
        <v>36.9972669</v>
      </c>
      <c r="C14422" s="8">
        <f t="array" ref="C14422">PRODUCT(1-'Sparkling Model'!D$2:D$38^A14422)</f>
        <v>0.9972694801</v>
      </c>
    </row>
    <row r="14423">
      <c r="A14423" s="6">
        <v>14421.0</v>
      </c>
      <c r="B14423" s="17">
        <f t="array" ref="B14423">SUM(1-'Sparkling Model'!D$2:D$38^A14423)</f>
        <v>36.99726825</v>
      </c>
      <c r="C14423" s="8">
        <f t="array" ref="C14423">PRODUCT(1-'Sparkling Model'!D$2:D$38^A14423)</f>
        <v>0.9972708286</v>
      </c>
    </row>
    <row r="14424">
      <c r="A14424" s="6">
        <v>14422.0</v>
      </c>
      <c r="B14424" s="17">
        <f t="array" ref="B14424">SUM(1-'Sparkling Model'!D$2:D$38^A14424)</f>
        <v>36.9972696</v>
      </c>
      <c r="C14424" s="8">
        <f t="array" ref="C14424">PRODUCT(1-'Sparkling Model'!D$2:D$38^A14424)</f>
        <v>0.9972721765</v>
      </c>
    </row>
    <row r="14425">
      <c r="A14425" s="6">
        <v>14423.0</v>
      </c>
      <c r="B14425" s="17">
        <f t="array" ref="B14425">SUM(1-'Sparkling Model'!D$2:D$38^A14425)</f>
        <v>36.99727095</v>
      </c>
      <c r="C14425" s="8">
        <f t="array" ref="C14425">PRODUCT(1-'Sparkling Model'!D$2:D$38^A14425)</f>
        <v>0.9972735237</v>
      </c>
    </row>
    <row r="14426">
      <c r="A14426" s="6">
        <v>14424.0</v>
      </c>
      <c r="B14426" s="17">
        <f t="array" ref="B14426">SUM(1-'Sparkling Model'!D$2:D$38^A14426)</f>
        <v>36.9972723</v>
      </c>
      <c r="C14426" s="8">
        <f t="array" ref="C14426">PRODUCT(1-'Sparkling Model'!D$2:D$38^A14426)</f>
        <v>0.9972748703</v>
      </c>
    </row>
    <row r="14427">
      <c r="A14427" s="6">
        <v>14425.0</v>
      </c>
      <c r="B14427" s="17">
        <f t="array" ref="B14427">SUM(1-'Sparkling Model'!D$2:D$38^A14427)</f>
        <v>36.99727365</v>
      </c>
      <c r="C14427" s="8">
        <f t="array" ref="C14427">PRODUCT(1-'Sparkling Model'!D$2:D$38^A14427)</f>
        <v>0.9972762162</v>
      </c>
    </row>
    <row r="14428">
      <c r="A14428" s="6">
        <v>14426.0</v>
      </c>
      <c r="B14428" s="17">
        <f t="array" ref="B14428">SUM(1-'Sparkling Model'!D$2:D$38^A14428)</f>
        <v>36.99727499</v>
      </c>
      <c r="C14428" s="8">
        <f t="array" ref="C14428">PRODUCT(1-'Sparkling Model'!D$2:D$38^A14428)</f>
        <v>0.9972775614</v>
      </c>
    </row>
    <row r="14429">
      <c r="A14429" s="6">
        <v>14427.0</v>
      </c>
      <c r="B14429" s="17">
        <f t="array" ref="B14429">SUM(1-'Sparkling Model'!D$2:D$38^A14429)</f>
        <v>36.99727634</v>
      </c>
      <c r="C14429" s="8">
        <f t="array" ref="C14429">PRODUCT(1-'Sparkling Model'!D$2:D$38^A14429)</f>
        <v>0.997278906</v>
      </c>
    </row>
    <row r="14430">
      <c r="A14430" s="6">
        <v>14428.0</v>
      </c>
      <c r="B14430" s="17">
        <f t="array" ref="B14430">SUM(1-'Sparkling Model'!D$2:D$38^A14430)</f>
        <v>36.99727769</v>
      </c>
      <c r="C14430" s="8">
        <f t="array" ref="C14430">PRODUCT(1-'Sparkling Model'!D$2:D$38^A14430)</f>
        <v>0.9972802499</v>
      </c>
    </row>
    <row r="14431">
      <c r="A14431" s="6">
        <v>14429.0</v>
      </c>
      <c r="B14431" s="17">
        <f t="array" ref="B14431">SUM(1-'Sparkling Model'!D$2:D$38^A14431)</f>
        <v>36.99727903</v>
      </c>
      <c r="C14431" s="8">
        <f t="array" ref="C14431">PRODUCT(1-'Sparkling Model'!D$2:D$38^A14431)</f>
        <v>0.9972815931</v>
      </c>
    </row>
    <row r="14432">
      <c r="A14432" s="6">
        <v>14430.0</v>
      </c>
      <c r="B14432" s="17">
        <f t="array" ref="B14432">SUM(1-'Sparkling Model'!D$2:D$38^A14432)</f>
        <v>36.99728038</v>
      </c>
      <c r="C14432" s="8">
        <f t="array" ref="C14432">PRODUCT(1-'Sparkling Model'!D$2:D$38^A14432)</f>
        <v>0.9972829357</v>
      </c>
    </row>
    <row r="14433">
      <c r="A14433" s="6">
        <v>14431.0</v>
      </c>
      <c r="B14433" s="17">
        <f t="array" ref="B14433">SUM(1-'Sparkling Model'!D$2:D$38^A14433)</f>
        <v>36.99728172</v>
      </c>
      <c r="C14433" s="8">
        <f t="array" ref="C14433">PRODUCT(1-'Sparkling Model'!D$2:D$38^A14433)</f>
        <v>0.9972842776</v>
      </c>
    </row>
    <row r="14434">
      <c r="A14434" s="6">
        <v>14432.0</v>
      </c>
      <c r="B14434" s="17">
        <f t="array" ref="B14434">SUM(1-'Sparkling Model'!D$2:D$38^A14434)</f>
        <v>36.99728307</v>
      </c>
      <c r="C14434" s="8">
        <f t="array" ref="C14434">PRODUCT(1-'Sparkling Model'!D$2:D$38^A14434)</f>
        <v>0.9972856188</v>
      </c>
    </row>
    <row r="14435">
      <c r="A14435" s="6">
        <v>14433.0</v>
      </c>
      <c r="B14435" s="17">
        <f t="array" ref="B14435">SUM(1-'Sparkling Model'!D$2:D$38^A14435)</f>
        <v>36.99728441</v>
      </c>
      <c r="C14435" s="8">
        <f t="array" ref="C14435">PRODUCT(1-'Sparkling Model'!D$2:D$38^A14435)</f>
        <v>0.9972869594</v>
      </c>
    </row>
    <row r="14436">
      <c r="A14436" s="6">
        <v>14434.0</v>
      </c>
      <c r="B14436" s="17">
        <f t="array" ref="B14436">SUM(1-'Sparkling Model'!D$2:D$38^A14436)</f>
        <v>36.99728575</v>
      </c>
      <c r="C14436" s="8">
        <f t="array" ref="C14436">PRODUCT(1-'Sparkling Model'!D$2:D$38^A14436)</f>
        <v>0.9972882993</v>
      </c>
    </row>
    <row r="14437">
      <c r="A14437" s="6">
        <v>14435.0</v>
      </c>
      <c r="B14437" s="17">
        <f t="array" ref="B14437">SUM(1-'Sparkling Model'!D$2:D$38^A14437)</f>
        <v>36.99728709</v>
      </c>
      <c r="C14437" s="8">
        <f t="array" ref="C14437">PRODUCT(1-'Sparkling Model'!D$2:D$38^A14437)</f>
        <v>0.9972896385</v>
      </c>
    </row>
    <row r="14438">
      <c r="A14438" s="6">
        <v>14436.0</v>
      </c>
      <c r="B14438" s="17">
        <f t="array" ref="B14438">SUM(1-'Sparkling Model'!D$2:D$38^A14438)</f>
        <v>36.99728844</v>
      </c>
      <c r="C14438" s="8">
        <f t="array" ref="C14438">PRODUCT(1-'Sparkling Model'!D$2:D$38^A14438)</f>
        <v>0.9972909771</v>
      </c>
    </row>
    <row r="14439">
      <c r="A14439" s="6">
        <v>14437.0</v>
      </c>
      <c r="B14439" s="17">
        <f t="array" ref="B14439">SUM(1-'Sparkling Model'!D$2:D$38^A14439)</f>
        <v>36.99728978</v>
      </c>
      <c r="C14439" s="8">
        <f t="array" ref="C14439">PRODUCT(1-'Sparkling Model'!D$2:D$38^A14439)</f>
        <v>0.997292315</v>
      </c>
    </row>
    <row r="14440">
      <c r="A14440" s="6">
        <v>14438.0</v>
      </c>
      <c r="B14440" s="17">
        <f t="array" ref="B14440">SUM(1-'Sparkling Model'!D$2:D$38^A14440)</f>
        <v>36.99729112</v>
      </c>
      <c r="C14440" s="8">
        <f t="array" ref="C14440">PRODUCT(1-'Sparkling Model'!D$2:D$38^A14440)</f>
        <v>0.9972936523</v>
      </c>
    </row>
    <row r="14441">
      <c r="A14441" s="6">
        <v>14439.0</v>
      </c>
      <c r="B14441" s="17">
        <f t="array" ref="B14441">SUM(1-'Sparkling Model'!D$2:D$38^A14441)</f>
        <v>36.99729245</v>
      </c>
      <c r="C14441" s="8">
        <f t="array" ref="C14441">PRODUCT(1-'Sparkling Model'!D$2:D$38^A14441)</f>
        <v>0.9972949889</v>
      </c>
    </row>
    <row r="14442">
      <c r="A14442" s="6">
        <v>14440.0</v>
      </c>
      <c r="B14442" s="17">
        <f t="array" ref="B14442">SUM(1-'Sparkling Model'!D$2:D$38^A14442)</f>
        <v>36.99729379</v>
      </c>
      <c r="C14442" s="8">
        <f t="array" ref="C14442">PRODUCT(1-'Sparkling Model'!D$2:D$38^A14442)</f>
        <v>0.9972963248</v>
      </c>
    </row>
    <row r="14443">
      <c r="A14443" s="6">
        <v>14441.0</v>
      </c>
      <c r="B14443" s="17">
        <f t="array" ref="B14443">SUM(1-'Sparkling Model'!D$2:D$38^A14443)</f>
        <v>36.99729513</v>
      </c>
      <c r="C14443" s="8">
        <f t="array" ref="C14443">PRODUCT(1-'Sparkling Model'!D$2:D$38^A14443)</f>
        <v>0.9972976601</v>
      </c>
    </row>
    <row r="14444">
      <c r="A14444" s="6">
        <v>14442.0</v>
      </c>
      <c r="B14444" s="17">
        <f t="array" ref="B14444">SUM(1-'Sparkling Model'!D$2:D$38^A14444)</f>
        <v>36.99729647</v>
      </c>
      <c r="C14444" s="8">
        <f t="array" ref="C14444">PRODUCT(1-'Sparkling Model'!D$2:D$38^A14444)</f>
        <v>0.9972989947</v>
      </c>
    </row>
    <row r="14445">
      <c r="A14445" s="6">
        <v>14443.0</v>
      </c>
      <c r="B14445" s="17">
        <f t="array" ref="B14445">SUM(1-'Sparkling Model'!D$2:D$38^A14445)</f>
        <v>36.9972978</v>
      </c>
      <c r="C14445" s="8">
        <f t="array" ref="C14445">PRODUCT(1-'Sparkling Model'!D$2:D$38^A14445)</f>
        <v>0.9973003286</v>
      </c>
    </row>
    <row r="14446">
      <c r="A14446" s="6">
        <v>14444.0</v>
      </c>
      <c r="B14446" s="17">
        <f t="array" ref="B14446">SUM(1-'Sparkling Model'!D$2:D$38^A14446)</f>
        <v>36.99729914</v>
      </c>
      <c r="C14446" s="8">
        <f t="array" ref="C14446">PRODUCT(1-'Sparkling Model'!D$2:D$38^A14446)</f>
        <v>0.9973016619</v>
      </c>
    </row>
    <row r="14447">
      <c r="A14447" s="6">
        <v>14445.0</v>
      </c>
      <c r="B14447" s="17">
        <f t="array" ref="B14447">SUM(1-'Sparkling Model'!D$2:D$38^A14447)</f>
        <v>36.99730048</v>
      </c>
      <c r="C14447" s="8">
        <f t="array" ref="C14447">PRODUCT(1-'Sparkling Model'!D$2:D$38^A14447)</f>
        <v>0.9973029946</v>
      </c>
    </row>
    <row r="14448">
      <c r="A14448" s="6">
        <v>14446.0</v>
      </c>
      <c r="B14448" s="17">
        <f t="array" ref="B14448">SUM(1-'Sparkling Model'!D$2:D$38^A14448)</f>
        <v>36.99730181</v>
      </c>
      <c r="C14448" s="8">
        <f t="array" ref="C14448">PRODUCT(1-'Sparkling Model'!D$2:D$38^A14448)</f>
        <v>0.9973043265</v>
      </c>
    </row>
    <row r="14449">
      <c r="A14449" s="6">
        <v>14447.0</v>
      </c>
      <c r="B14449" s="17">
        <f t="array" ref="B14449">SUM(1-'Sparkling Model'!D$2:D$38^A14449)</f>
        <v>36.99730314</v>
      </c>
      <c r="C14449" s="8">
        <f t="array" ref="C14449">PRODUCT(1-'Sparkling Model'!D$2:D$38^A14449)</f>
        <v>0.9973056578</v>
      </c>
    </row>
    <row r="14450">
      <c r="A14450" s="6">
        <v>14448.0</v>
      </c>
      <c r="B14450" s="17">
        <f t="array" ref="B14450">SUM(1-'Sparkling Model'!D$2:D$38^A14450)</f>
        <v>36.99730448</v>
      </c>
      <c r="C14450" s="8">
        <f t="array" ref="C14450">PRODUCT(1-'Sparkling Model'!D$2:D$38^A14450)</f>
        <v>0.9973069885</v>
      </c>
    </row>
    <row r="14451">
      <c r="A14451" s="6">
        <v>14449.0</v>
      </c>
      <c r="B14451" s="17">
        <f t="array" ref="B14451">SUM(1-'Sparkling Model'!D$2:D$38^A14451)</f>
        <v>36.99730581</v>
      </c>
      <c r="C14451" s="8">
        <f t="array" ref="C14451">PRODUCT(1-'Sparkling Model'!D$2:D$38^A14451)</f>
        <v>0.9973083185</v>
      </c>
    </row>
    <row r="14452">
      <c r="A14452" s="6">
        <v>14450.0</v>
      </c>
      <c r="B14452" s="17">
        <f t="array" ref="B14452">SUM(1-'Sparkling Model'!D$2:D$38^A14452)</f>
        <v>36.99730714</v>
      </c>
      <c r="C14452" s="8">
        <f t="array" ref="C14452">PRODUCT(1-'Sparkling Model'!D$2:D$38^A14452)</f>
        <v>0.9973096478</v>
      </c>
    </row>
    <row r="14453">
      <c r="A14453" s="6">
        <v>14451.0</v>
      </c>
      <c r="B14453" s="17">
        <f t="array" ref="B14453">SUM(1-'Sparkling Model'!D$2:D$38^A14453)</f>
        <v>36.99730847</v>
      </c>
      <c r="C14453" s="8">
        <f t="array" ref="C14453">PRODUCT(1-'Sparkling Model'!D$2:D$38^A14453)</f>
        <v>0.9973109765</v>
      </c>
    </row>
    <row r="14454">
      <c r="A14454" s="6">
        <v>14452.0</v>
      </c>
      <c r="B14454" s="17">
        <f t="array" ref="B14454">SUM(1-'Sparkling Model'!D$2:D$38^A14454)</f>
        <v>36.9973098</v>
      </c>
      <c r="C14454" s="8">
        <f t="array" ref="C14454">PRODUCT(1-'Sparkling Model'!D$2:D$38^A14454)</f>
        <v>0.9973123045</v>
      </c>
    </row>
    <row r="14455">
      <c r="A14455" s="6">
        <v>14453.0</v>
      </c>
      <c r="B14455" s="17">
        <f t="array" ref="B14455">SUM(1-'Sparkling Model'!D$2:D$38^A14455)</f>
        <v>36.99731113</v>
      </c>
      <c r="C14455" s="8">
        <f t="array" ref="C14455">PRODUCT(1-'Sparkling Model'!D$2:D$38^A14455)</f>
        <v>0.9973136318</v>
      </c>
    </row>
    <row r="14456">
      <c r="A14456" s="6">
        <v>14454.0</v>
      </c>
      <c r="B14456" s="17">
        <f t="array" ref="B14456">SUM(1-'Sparkling Model'!D$2:D$38^A14456)</f>
        <v>36.99731246</v>
      </c>
      <c r="C14456" s="8">
        <f t="array" ref="C14456">PRODUCT(1-'Sparkling Model'!D$2:D$38^A14456)</f>
        <v>0.9973149585</v>
      </c>
    </row>
    <row r="14457">
      <c r="A14457" s="6">
        <v>14455.0</v>
      </c>
      <c r="B14457" s="17">
        <f t="array" ref="B14457">SUM(1-'Sparkling Model'!D$2:D$38^A14457)</f>
        <v>36.99731379</v>
      </c>
      <c r="C14457" s="8">
        <f t="array" ref="C14457">PRODUCT(1-'Sparkling Model'!D$2:D$38^A14457)</f>
        <v>0.9973162846</v>
      </c>
    </row>
    <row r="14458">
      <c r="A14458" s="6">
        <v>14456.0</v>
      </c>
      <c r="B14458" s="17">
        <f t="array" ref="B14458">SUM(1-'Sparkling Model'!D$2:D$38^A14458)</f>
        <v>36.99731512</v>
      </c>
      <c r="C14458" s="8">
        <f t="array" ref="C14458">PRODUCT(1-'Sparkling Model'!D$2:D$38^A14458)</f>
        <v>0.9973176099</v>
      </c>
    </row>
    <row r="14459">
      <c r="A14459" s="6">
        <v>14457.0</v>
      </c>
      <c r="B14459" s="17">
        <f t="array" ref="B14459">SUM(1-'Sparkling Model'!D$2:D$38^A14459)</f>
        <v>36.99731645</v>
      </c>
      <c r="C14459" s="8">
        <f t="array" ref="C14459">PRODUCT(1-'Sparkling Model'!D$2:D$38^A14459)</f>
        <v>0.9973189347</v>
      </c>
    </row>
    <row r="14460">
      <c r="A14460" s="6">
        <v>14458.0</v>
      </c>
      <c r="B14460" s="17">
        <f t="array" ref="B14460">SUM(1-'Sparkling Model'!D$2:D$38^A14460)</f>
        <v>36.99731777</v>
      </c>
      <c r="C14460" s="8">
        <f t="array" ref="C14460">PRODUCT(1-'Sparkling Model'!D$2:D$38^A14460)</f>
        <v>0.9973202587</v>
      </c>
    </row>
    <row r="14461">
      <c r="A14461" s="6">
        <v>14459.0</v>
      </c>
      <c r="B14461" s="17">
        <f t="array" ref="B14461">SUM(1-'Sparkling Model'!D$2:D$38^A14461)</f>
        <v>36.9973191</v>
      </c>
      <c r="C14461" s="8">
        <f t="array" ref="C14461">PRODUCT(1-'Sparkling Model'!D$2:D$38^A14461)</f>
        <v>0.9973215822</v>
      </c>
    </row>
    <row r="14462">
      <c r="A14462" s="6">
        <v>14460.0</v>
      </c>
      <c r="B14462" s="17">
        <f t="array" ref="B14462">SUM(1-'Sparkling Model'!D$2:D$38^A14462)</f>
        <v>36.99732042</v>
      </c>
      <c r="C14462" s="8">
        <f t="array" ref="C14462">PRODUCT(1-'Sparkling Model'!D$2:D$38^A14462)</f>
        <v>0.9973229049</v>
      </c>
    </row>
    <row r="14463">
      <c r="A14463" s="6">
        <v>14461.0</v>
      </c>
      <c r="B14463" s="17">
        <f t="array" ref="B14463">SUM(1-'Sparkling Model'!D$2:D$38^A14463)</f>
        <v>36.99732175</v>
      </c>
      <c r="C14463" s="8">
        <f t="array" ref="C14463">PRODUCT(1-'Sparkling Model'!D$2:D$38^A14463)</f>
        <v>0.997324227</v>
      </c>
    </row>
    <row r="14464">
      <c r="A14464" s="6">
        <v>14462.0</v>
      </c>
      <c r="B14464" s="17">
        <f t="array" ref="B14464">SUM(1-'Sparkling Model'!D$2:D$38^A14464)</f>
        <v>36.99732307</v>
      </c>
      <c r="C14464" s="8">
        <f t="array" ref="C14464">PRODUCT(1-'Sparkling Model'!D$2:D$38^A14464)</f>
        <v>0.9973255485</v>
      </c>
    </row>
    <row r="14465">
      <c r="A14465" s="6">
        <v>14463.0</v>
      </c>
      <c r="B14465" s="17">
        <f t="array" ref="B14465">SUM(1-'Sparkling Model'!D$2:D$38^A14465)</f>
        <v>36.99732439</v>
      </c>
      <c r="C14465" s="8">
        <f t="array" ref="C14465">PRODUCT(1-'Sparkling Model'!D$2:D$38^A14465)</f>
        <v>0.9973268693</v>
      </c>
    </row>
    <row r="14466">
      <c r="A14466" s="6">
        <v>14464.0</v>
      </c>
      <c r="B14466" s="17">
        <f t="array" ref="B14466">SUM(1-'Sparkling Model'!D$2:D$38^A14466)</f>
        <v>36.99732572</v>
      </c>
      <c r="C14466" s="8">
        <f t="array" ref="C14466">PRODUCT(1-'Sparkling Model'!D$2:D$38^A14466)</f>
        <v>0.9973281894</v>
      </c>
    </row>
    <row r="14467">
      <c r="A14467" s="6">
        <v>14465.0</v>
      </c>
      <c r="B14467" s="17">
        <f t="array" ref="B14467">SUM(1-'Sparkling Model'!D$2:D$38^A14467)</f>
        <v>36.99732704</v>
      </c>
      <c r="C14467" s="8">
        <f t="array" ref="C14467">PRODUCT(1-'Sparkling Model'!D$2:D$38^A14467)</f>
        <v>0.9973295089</v>
      </c>
    </row>
    <row r="14468">
      <c r="A14468" s="6">
        <v>14466.0</v>
      </c>
      <c r="B14468" s="17">
        <f t="array" ref="B14468">SUM(1-'Sparkling Model'!D$2:D$38^A14468)</f>
        <v>36.99732836</v>
      </c>
      <c r="C14468" s="8">
        <f t="array" ref="C14468">PRODUCT(1-'Sparkling Model'!D$2:D$38^A14468)</f>
        <v>0.9973308277</v>
      </c>
    </row>
    <row r="14469">
      <c r="A14469" s="6">
        <v>14467.0</v>
      </c>
      <c r="B14469" s="17">
        <f t="array" ref="B14469">SUM(1-'Sparkling Model'!D$2:D$38^A14469)</f>
        <v>36.99732968</v>
      </c>
      <c r="C14469" s="8">
        <f t="array" ref="C14469">PRODUCT(1-'Sparkling Model'!D$2:D$38^A14469)</f>
        <v>0.9973321459</v>
      </c>
    </row>
    <row r="14470">
      <c r="A14470" s="6">
        <v>14468.0</v>
      </c>
      <c r="B14470" s="17">
        <f t="array" ref="B14470">SUM(1-'Sparkling Model'!D$2:D$38^A14470)</f>
        <v>36.997331</v>
      </c>
      <c r="C14470" s="8">
        <f t="array" ref="C14470">PRODUCT(1-'Sparkling Model'!D$2:D$38^A14470)</f>
        <v>0.9973334634</v>
      </c>
    </row>
    <row r="14471">
      <c r="A14471" s="6">
        <v>14469.0</v>
      </c>
      <c r="B14471" s="17">
        <f t="array" ref="B14471">SUM(1-'Sparkling Model'!D$2:D$38^A14471)</f>
        <v>36.99733232</v>
      </c>
      <c r="C14471" s="8">
        <f t="array" ref="C14471">PRODUCT(1-'Sparkling Model'!D$2:D$38^A14471)</f>
        <v>0.9973347803</v>
      </c>
    </row>
    <row r="14472">
      <c r="A14472" s="6">
        <v>14470.0</v>
      </c>
      <c r="B14472" s="17">
        <f t="array" ref="B14472">SUM(1-'Sparkling Model'!D$2:D$38^A14472)</f>
        <v>36.99733364</v>
      </c>
      <c r="C14472" s="8">
        <f t="array" ref="C14472">PRODUCT(1-'Sparkling Model'!D$2:D$38^A14472)</f>
        <v>0.9973360965</v>
      </c>
    </row>
    <row r="14473">
      <c r="A14473" s="6">
        <v>14471.0</v>
      </c>
      <c r="B14473" s="17">
        <f t="array" ref="B14473">SUM(1-'Sparkling Model'!D$2:D$38^A14473)</f>
        <v>36.99733496</v>
      </c>
      <c r="C14473" s="8">
        <f t="array" ref="C14473">PRODUCT(1-'Sparkling Model'!D$2:D$38^A14473)</f>
        <v>0.9973374121</v>
      </c>
    </row>
    <row r="14474">
      <c r="A14474" s="6">
        <v>14472.0</v>
      </c>
      <c r="B14474" s="17">
        <f t="array" ref="B14474">SUM(1-'Sparkling Model'!D$2:D$38^A14474)</f>
        <v>36.99733627</v>
      </c>
      <c r="C14474" s="8">
        <f t="array" ref="C14474">PRODUCT(1-'Sparkling Model'!D$2:D$38^A14474)</f>
        <v>0.997338727</v>
      </c>
    </row>
    <row r="14475">
      <c r="A14475" s="6">
        <v>14473.0</v>
      </c>
      <c r="B14475" s="17">
        <f t="array" ref="B14475">SUM(1-'Sparkling Model'!D$2:D$38^A14475)</f>
        <v>36.99733759</v>
      </c>
      <c r="C14475" s="8">
        <f t="array" ref="C14475">PRODUCT(1-'Sparkling Model'!D$2:D$38^A14475)</f>
        <v>0.9973400413</v>
      </c>
    </row>
    <row r="14476">
      <c r="A14476" s="6">
        <v>14474.0</v>
      </c>
      <c r="B14476" s="17">
        <f t="array" ref="B14476">SUM(1-'Sparkling Model'!D$2:D$38^A14476)</f>
        <v>36.99733891</v>
      </c>
      <c r="C14476" s="8">
        <f t="array" ref="C14476">PRODUCT(1-'Sparkling Model'!D$2:D$38^A14476)</f>
        <v>0.9973413549</v>
      </c>
    </row>
    <row r="14477">
      <c r="A14477" s="6">
        <v>14475.0</v>
      </c>
      <c r="B14477" s="17">
        <f t="array" ref="B14477">SUM(1-'Sparkling Model'!D$2:D$38^A14477)</f>
        <v>36.99734022</v>
      </c>
      <c r="C14477" s="8">
        <f t="array" ref="C14477">PRODUCT(1-'Sparkling Model'!D$2:D$38^A14477)</f>
        <v>0.9973426679</v>
      </c>
    </row>
    <row r="14478">
      <c r="A14478" s="6">
        <v>14476.0</v>
      </c>
      <c r="B14478" s="17">
        <f t="array" ref="B14478">SUM(1-'Sparkling Model'!D$2:D$38^A14478)</f>
        <v>36.99734154</v>
      </c>
      <c r="C14478" s="8">
        <f t="array" ref="C14478">PRODUCT(1-'Sparkling Model'!D$2:D$38^A14478)</f>
        <v>0.9973439802</v>
      </c>
    </row>
    <row r="14479">
      <c r="A14479" s="6">
        <v>14477.0</v>
      </c>
      <c r="B14479" s="17">
        <f t="array" ref="B14479">SUM(1-'Sparkling Model'!D$2:D$38^A14479)</f>
        <v>36.99734285</v>
      </c>
      <c r="C14479" s="8">
        <f t="array" ref="C14479">PRODUCT(1-'Sparkling Model'!D$2:D$38^A14479)</f>
        <v>0.9973452919</v>
      </c>
    </row>
    <row r="14480">
      <c r="A14480" s="6">
        <v>14478.0</v>
      </c>
      <c r="B14480" s="17">
        <f t="array" ref="B14480">SUM(1-'Sparkling Model'!D$2:D$38^A14480)</f>
        <v>36.99734416</v>
      </c>
      <c r="C14480" s="8">
        <f t="array" ref="C14480">PRODUCT(1-'Sparkling Model'!D$2:D$38^A14480)</f>
        <v>0.9973466029</v>
      </c>
    </row>
    <row r="14481">
      <c r="A14481" s="6">
        <v>14479.0</v>
      </c>
      <c r="B14481" s="17">
        <f t="array" ref="B14481">SUM(1-'Sparkling Model'!D$2:D$38^A14481)</f>
        <v>36.99734548</v>
      </c>
      <c r="C14481" s="8">
        <f t="array" ref="C14481">PRODUCT(1-'Sparkling Model'!D$2:D$38^A14481)</f>
        <v>0.9973479132</v>
      </c>
    </row>
    <row r="14482">
      <c r="A14482" s="6">
        <v>14480.0</v>
      </c>
      <c r="B14482" s="17">
        <f t="array" ref="B14482">SUM(1-'Sparkling Model'!D$2:D$38^A14482)</f>
        <v>36.99734679</v>
      </c>
      <c r="C14482" s="8">
        <f t="array" ref="C14482">PRODUCT(1-'Sparkling Model'!D$2:D$38^A14482)</f>
        <v>0.997349223</v>
      </c>
    </row>
    <row r="14483">
      <c r="A14483" s="6">
        <v>14481.0</v>
      </c>
      <c r="B14483" s="17">
        <f t="array" ref="B14483">SUM(1-'Sparkling Model'!D$2:D$38^A14483)</f>
        <v>36.9973481</v>
      </c>
      <c r="C14483" s="8">
        <f t="array" ref="C14483">PRODUCT(1-'Sparkling Model'!D$2:D$38^A14483)</f>
        <v>0.997350532</v>
      </c>
    </row>
    <row r="14484">
      <c r="A14484" s="6">
        <v>14482.0</v>
      </c>
      <c r="B14484" s="17">
        <f t="array" ref="B14484">SUM(1-'Sparkling Model'!D$2:D$38^A14484)</f>
        <v>36.99734941</v>
      </c>
      <c r="C14484" s="8">
        <f t="array" ref="C14484">PRODUCT(1-'Sparkling Model'!D$2:D$38^A14484)</f>
        <v>0.9973518405</v>
      </c>
    </row>
    <row r="14485">
      <c r="A14485" s="6">
        <v>14483.0</v>
      </c>
      <c r="B14485" s="17">
        <f t="array" ref="B14485">SUM(1-'Sparkling Model'!D$2:D$38^A14485)</f>
        <v>36.99735072</v>
      </c>
      <c r="C14485" s="8">
        <f t="array" ref="C14485">PRODUCT(1-'Sparkling Model'!D$2:D$38^A14485)</f>
        <v>0.9973531482</v>
      </c>
    </row>
    <row r="14486">
      <c r="A14486" s="6">
        <v>14484.0</v>
      </c>
      <c r="B14486" s="17">
        <f t="array" ref="B14486">SUM(1-'Sparkling Model'!D$2:D$38^A14486)</f>
        <v>36.99735203</v>
      </c>
      <c r="C14486" s="8">
        <f t="array" ref="C14486">PRODUCT(1-'Sparkling Model'!D$2:D$38^A14486)</f>
        <v>0.9973544554</v>
      </c>
    </row>
    <row r="14487">
      <c r="A14487" s="6">
        <v>14485.0</v>
      </c>
      <c r="B14487" s="17">
        <f t="array" ref="B14487">SUM(1-'Sparkling Model'!D$2:D$38^A14487)</f>
        <v>36.99735334</v>
      </c>
      <c r="C14487" s="8">
        <f t="array" ref="C14487">PRODUCT(1-'Sparkling Model'!D$2:D$38^A14487)</f>
        <v>0.9973557618</v>
      </c>
    </row>
    <row r="14488">
      <c r="A14488" s="6">
        <v>14486.0</v>
      </c>
      <c r="B14488" s="17">
        <f t="array" ref="B14488">SUM(1-'Sparkling Model'!D$2:D$38^A14488)</f>
        <v>36.99735465</v>
      </c>
      <c r="C14488" s="8">
        <f t="array" ref="C14488">PRODUCT(1-'Sparkling Model'!D$2:D$38^A14488)</f>
        <v>0.9973570677</v>
      </c>
    </row>
    <row r="14489">
      <c r="A14489" s="6">
        <v>14487.0</v>
      </c>
      <c r="B14489" s="17">
        <f t="array" ref="B14489">SUM(1-'Sparkling Model'!D$2:D$38^A14489)</f>
        <v>36.99735596</v>
      </c>
      <c r="C14489" s="8">
        <f t="array" ref="C14489">PRODUCT(1-'Sparkling Model'!D$2:D$38^A14489)</f>
        <v>0.9973583728</v>
      </c>
    </row>
    <row r="14490">
      <c r="A14490" s="6">
        <v>14488.0</v>
      </c>
      <c r="B14490" s="17">
        <f t="array" ref="B14490">SUM(1-'Sparkling Model'!D$2:D$38^A14490)</f>
        <v>36.99735726</v>
      </c>
      <c r="C14490" s="8">
        <f t="array" ref="C14490">PRODUCT(1-'Sparkling Model'!D$2:D$38^A14490)</f>
        <v>0.9973596774</v>
      </c>
    </row>
    <row r="14491">
      <c r="A14491" s="6">
        <v>14489.0</v>
      </c>
      <c r="B14491" s="17">
        <f t="array" ref="B14491">SUM(1-'Sparkling Model'!D$2:D$38^A14491)</f>
        <v>36.99735857</v>
      </c>
      <c r="C14491" s="8">
        <f t="array" ref="C14491">PRODUCT(1-'Sparkling Model'!D$2:D$38^A14491)</f>
        <v>0.9973609813</v>
      </c>
    </row>
    <row r="14492">
      <c r="A14492" s="6">
        <v>14490.0</v>
      </c>
      <c r="B14492" s="17">
        <f t="array" ref="B14492">SUM(1-'Sparkling Model'!D$2:D$38^A14492)</f>
        <v>36.99735988</v>
      </c>
      <c r="C14492" s="8">
        <f t="array" ref="C14492">PRODUCT(1-'Sparkling Model'!D$2:D$38^A14492)</f>
        <v>0.9973622845</v>
      </c>
    </row>
    <row r="14493">
      <c r="A14493" s="6">
        <v>14491.0</v>
      </c>
      <c r="B14493" s="17">
        <f t="array" ref="B14493">SUM(1-'Sparkling Model'!D$2:D$38^A14493)</f>
        <v>36.99736118</v>
      </c>
      <c r="C14493" s="8">
        <f t="array" ref="C14493">PRODUCT(1-'Sparkling Model'!D$2:D$38^A14493)</f>
        <v>0.9973635871</v>
      </c>
    </row>
    <row r="14494">
      <c r="A14494" s="6">
        <v>14492.0</v>
      </c>
      <c r="B14494" s="17">
        <f t="array" ref="B14494">SUM(1-'Sparkling Model'!D$2:D$38^A14494)</f>
        <v>36.99736248</v>
      </c>
      <c r="C14494" s="8">
        <f t="array" ref="C14494">PRODUCT(1-'Sparkling Model'!D$2:D$38^A14494)</f>
        <v>0.9973648891</v>
      </c>
    </row>
    <row r="14495">
      <c r="A14495" s="6">
        <v>14493.0</v>
      </c>
      <c r="B14495" s="17">
        <f t="array" ref="B14495">SUM(1-'Sparkling Model'!D$2:D$38^A14495)</f>
        <v>36.99736379</v>
      </c>
      <c r="C14495" s="8">
        <f t="array" ref="C14495">PRODUCT(1-'Sparkling Model'!D$2:D$38^A14495)</f>
        <v>0.9973661904</v>
      </c>
    </row>
    <row r="14496">
      <c r="A14496" s="6">
        <v>14494.0</v>
      </c>
      <c r="B14496" s="17">
        <f t="array" ref="B14496">SUM(1-'Sparkling Model'!D$2:D$38^A14496)</f>
        <v>36.99736509</v>
      </c>
      <c r="C14496" s="8">
        <f t="array" ref="C14496">PRODUCT(1-'Sparkling Model'!D$2:D$38^A14496)</f>
        <v>0.9973674911</v>
      </c>
    </row>
    <row r="14497">
      <c r="A14497" s="6">
        <v>14495.0</v>
      </c>
      <c r="B14497" s="17">
        <f t="array" ref="B14497">SUM(1-'Sparkling Model'!D$2:D$38^A14497)</f>
        <v>36.99736639</v>
      </c>
      <c r="C14497" s="8">
        <f t="array" ref="C14497">PRODUCT(1-'Sparkling Model'!D$2:D$38^A14497)</f>
        <v>0.9973687911</v>
      </c>
    </row>
    <row r="14498">
      <c r="A14498" s="6">
        <v>14496.0</v>
      </c>
      <c r="B14498" s="17">
        <f t="array" ref="B14498">SUM(1-'Sparkling Model'!D$2:D$38^A14498)</f>
        <v>36.9973677</v>
      </c>
      <c r="C14498" s="8">
        <f t="array" ref="C14498">PRODUCT(1-'Sparkling Model'!D$2:D$38^A14498)</f>
        <v>0.9973700905</v>
      </c>
    </row>
    <row r="14499">
      <c r="A14499" s="6">
        <v>14497.0</v>
      </c>
      <c r="B14499" s="17">
        <f t="array" ref="B14499">SUM(1-'Sparkling Model'!D$2:D$38^A14499)</f>
        <v>36.997369</v>
      </c>
      <c r="C14499" s="8">
        <f t="array" ref="C14499">PRODUCT(1-'Sparkling Model'!D$2:D$38^A14499)</f>
        <v>0.9973713892</v>
      </c>
    </row>
    <row r="14500">
      <c r="A14500" s="6">
        <v>14498.0</v>
      </c>
      <c r="B14500" s="17">
        <f t="array" ref="B14500">SUM(1-'Sparkling Model'!D$2:D$38^A14500)</f>
        <v>36.9973703</v>
      </c>
      <c r="C14500" s="8">
        <f t="array" ref="C14500">PRODUCT(1-'Sparkling Model'!D$2:D$38^A14500)</f>
        <v>0.9973726873</v>
      </c>
    </row>
    <row r="14501">
      <c r="A14501" s="6">
        <v>14499.0</v>
      </c>
      <c r="B14501" s="17">
        <f t="array" ref="B14501">SUM(1-'Sparkling Model'!D$2:D$38^A14501)</f>
        <v>36.9973716</v>
      </c>
      <c r="C14501" s="8">
        <f t="array" ref="C14501">PRODUCT(1-'Sparkling Model'!D$2:D$38^A14501)</f>
        <v>0.9973739847</v>
      </c>
    </row>
    <row r="14502">
      <c r="A14502" s="6">
        <v>14500.0</v>
      </c>
      <c r="B14502" s="17">
        <f t="array" ref="B14502">SUM(1-'Sparkling Model'!D$2:D$38^A14502)</f>
        <v>36.9973729</v>
      </c>
      <c r="C14502" s="8">
        <f t="array" ref="C14502">PRODUCT(1-'Sparkling Model'!D$2:D$38^A14502)</f>
        <v>0.9973752815</v>
      </c>
    </row>
    <row r="14503">
      <c r="A14503" s="6">
        <v>14501.0</v>
      </c>
      <c r="B14503" s="17">
        <f t="array" ref="B14503">SUM(1-'Sparkling Model'!D$2:D$38^A14503)</f>
        <v>36.99737419</v>
      </c>
      <c r="C14503" s="8">
        <f t="array" ref="C14503">PRODUCT(1-'Sparkling Model'!D$2:D$38^A14503)</f>
        <v>0.9973765777</v>
      </c>
    </row>
    <row r="14504">
      <c r="A14504" s="6">
        <v>14502.0</v>
      </c>
      <c r="B14504" s="17">
        <f t="array" ref="B14504">SUM(1-'Sparkling Model'!D$2:D$38^A14504)</f>
        <v>36.99737549</v>
      </c>
      <c r="C14504" s="8">
        <f t="array" ref="C14504">PRODUCT(1-'Sparkling Model'!D$2:D$38^A14504)</f>
        <v>0.9973778732</v>
      </c>
    </row>
    <row r="14505">
      <c r="A14505" s="6">
        <v>14503.0</v>
      </c>
      <c r="B14505" s="17">
        <f t="array" ref="B14505">SUM(1-'Sparkling Model'!D$2:D$38^A14505)</f>
        <v>36.99737679</v>
      </c>
      <c r="C14505" s="8">
        <f t="array" ref="C14505">PRODUCT(1-'Sparkling Model'!D$2:D$38^A14505)</f>
        <v>0.9973791681</v>
      </c>
    </row>
    <row r="14506">
      <c r="A14506" s="6">
        <v>14504.0</v>
      </c>
      <c r="B14506" s="17">
        <f t="array" ref="B14506">SUM(1-'Sparkling Model'!D$2:D$38^A14506)</f>
        <v>36.99737809</v>
      </c>
      <c r="C14506" s="8">
        <f t="array" ref="C14506">PRODUCT(1-'Sparkling Model'!D$2:D$38^A14506)</f>
        <v>0.9973804624</v>
      </c>
    </row>
    <row r="14507">
      <c r="A14507" s="6">
        <v>14505.0</v>
      </c>
      <c r="B14507" s="17">
        <f t="array" ref="B14507">SUM(1-'Sparkling Model'!D$2:D$38^A14507)</f>
        <v>36.99737938</v>
      </c>
      <c r="C14507" s="8">
        <f t="array" ref="C14507">PRODUCT(1-'Sparkling Model'!D$2:D$38^A14507)</f>
        <v>0.997381756</v>
      </c>
    </row>
    <row r="14508">
      <c r="A14508" s="6">
        <v>14506.0</v>
      </c>
      <c r="B14508" s="17">
        <f t="array" ref="B14508">SUM(1-'Sparkling Model'!D$2:D$38^A14508)</f>
        <v>36.99738068</v>
      </c>
      <c r="C14508" s="8">
        <f t="array" ref="C14508">PRODUCT(1-'Sparkling Model'!D$2:D$38^A14508)</f>
        <v>0.9973830489</v>
      </c>
    </row>
    <row r="14509">
      <c r="A14509" s="6">
        <v>14507.0</v>
      </c>
      <c r="B14509" s="17">
        <f t="array" ref="B14509">SUM(1-'Sparkling Model'!D$2:D$38^A14509)</f>
        <v>36.99738197</v>
      </c>
      <c r="C14509" s="8">
        <f t="array" ref="C14509">PRODUCT(1-'Sparkling Model'!D$2:D$38^A14509)</f>
        <v>0.9973843412</v>
      </c>
    </row>
    <row r="14510">
      <c r="A14510" s="6">
        <v>14508.0</v>
      </c>
      <c r="B14510" s="17">
        <f t="array" ref="B14510">SUM(1-'Sparkling Model'!D$2:D$38^A14510)</f>
        <v>36.99738327</v>
      </c>
      <c r="C14510" s="8">
        <f t="array" ref="C14510">PRODUCT(1-'Sparkling Model'!D$2:D$38^A14510)</f>
        <v>0.9973856329</v>
      </c>
    </row>
    <row r="14511">
      <c r="A14511" s="6">
        <v>14509.0</v>
      </c>
      <c r="B14511" s="17">
        <f t="array" ref="B14511">SUM(1-'Sparkling Model'!D$2:D$38^A14511)</f>
        <v>36.99738456</v>
      </c>
      <c r="C14511" s="8">
        <f t="array" ref="C14511">PRODUCT(1-'Sparkling Model'!D$2:D$38^A14511)</f>
        <v>0.9973869239</v>
      </c>
    </row>
    <row r="14512">
      <c r="A14512" s="6">
        <v>14510.0</v>
      </c>
      <c r="B14512" s="17">
        <f t="array" ref="B14512">SUM(1-'Sparkling Model'!D$2:D$38^A14512)</f>
        <v>36.99738585</v>
      </c>
      <c r="C14512" s="8">
        <f t="array" ref="C14512">PRODUCT(1-'Sparkling Model'!D$2:D$38^A14512)</f>
        <v>0.9973882143</v>
      </c>
    </row>
    <row r="14513">
      <c r="A14513" s="6">
        <v>14511.0</v>
      </c>
      <c r="B14513" s="17">
        <f t="array" ref="B14513">SUM(1-'Sparkling Model'!D$2:D$38^A14513)</f>
        <v>36.99738714</v>
      </c>
      <c r="C14513" s="8">
        <f t="array" ref="C14513">PRODUCT(1-'Sparkling Model'!D$2:D$38^A14513)</f>
        <v>0.9973895041</v>
      </c>
    </row>
    <row r="14514">
      <c r="A14514" s="6">
        <v>14512.0</v>
      </c>
      <c r="B14514" s="17">
        <f t="array" ref="B14514">SUM(1-'Sparkling Model'!D$2:D$38^A14514)</f>
        <v>36.99738844</v>
      </c>
      <c r="C14514" s="8">
        <f t="array" ref="C14514">PRODUCT(1-'Sparkling Model'!D$2:D$38^A14514)</f>
        <v>0.9973907932</v>
      </c>
    </row>
    <row r="14515">
      <c r="A14515" s="6">
        <v>14513.0</v>
      </c>
      <c r="B14515" s="17">
        <f t="array" ref="B14515">SUM(1-'Sparkling Model'!D$2:D$38^A14515)</f>
        <v>36.99738973</v>
      </c>
      <c r="C14515" s="8">
        <f t="array" ref="C14515">PRODUCT(1-'Sparkling Model'!D$2:D$38^A14515)</f>
        <v>0.9973920817</v>
      </c>
    </row>
    <row r="14516">
      <c r="A14516" s="6">
        <v>14514.0</v>
      </c>
      <c r="B14516" s="17">
        <f t="array" ref="B14516">SUM(1-'Sparkling Model'!D$2:D$38^A14516)</f>
        <v>36.99739102</v>
      </c>
      <c r="C14516" s="8">
        <f t="array" ref="C14516">PRODUCT(1-'Sparkling Model'!D$2:D$38^A14516)</f>
        <v>0.9973933696</v>
      </c>
    </row>
    <row r="14517">
      <c r="A14517" s="6">
        <v>14515.0</v>
      </c>
      <c r="B14517" s="17">
        <f t="array" ref="B14517">SUM(1-'Sparkling Model'!D$2:D$38^A14517)</f>
        <v>36.99739231</v>
      </c>
      <c r="C14517" s="8">
        <f t="array" ref="C14517">PRODUCT(1-'Sparkling Model'!D$2:D$38^A14517)</f>
        <v>0.9973946568</v>
      </c>
    </row>
    <row r="14518">
      <c r="A14518" s="6">
        <v>14516.0</v>
      </c>
      <c r="B14518" s="17">
        <f t="array" ref="B14518">SUM(1-'Sparkling Model'!D$2:D$38^A14518)</f>
        <v>36.9973936</v>
      </c>
      <c r="C14518" s="8">
        <f t="array" ref="C14518">PRODUCT(1-'Sparkling Model'!D$2:D$38^A14518)</f>
        <v>0.9973959433</v>
      </c>
    </row>
    <row r="14519">
      <c r="A14519" s="6">
        <v>14517.0</v>
      </c>
      <c r="B14519" s="17">
        <f t="array" ref="B14519">SUM(1-'Sparkling Model'!D$2:D$38^A14519)</f>
        <v>36.99739488</v>
      </c>
      <c r="C14519" s="8">
        <f t="array" ref="C14519">PRODUCT(1-'Sparkling Model'!D$2:D$38^A14519)</f>
        <v>0.9973972293</v>
      </c>
    </row>
    <row r="14520">
      <c r="A14520" s="6">
        <v>14518.0</v>
      </c>
      <c r="B14520" s="17">
        <f t="array" ref="B14520">SUM(1-'Sparkling Model'!D$2:D$38^A14520)</f>
        <v>36.99739617</v>
      </c>
      <c r="C14520" s="8">
        <f t="array" ref="C14520">PRODUCT(1-'Sparkling Model'!D$2:D$38^A14520)</f>
        <v>0.9973985146</v>
      </c>
    </row>
    <row r="14521">
      <c r="A14521" s="6">
        <v>14519.0</v>
      </c>
      <c r="B14521" s="17">
        <f t="array" ref="B14521">SUM(1-'Sparkling Model'!D$2:D$38^A14521)</f>
        <v>36.99739746</v>
      </c>
      <c r="C14521" s="8">
        <f t="array" ref="C14521">PRODUCT(1-'Sparkling Model'!D$2:D$38^A14521)</f>
        <v>0.9973997992</v>
      </c>
    </row>
    <row r="14522">
      <c r="A14522" s="6">
        <v>14520.0</v>
      </c>
      <c r="B14522" s="17">
        <f t="array" ref="B14522">SUM(1-'Sparkling Model'!D$2:D$38^A14522)</f>
        <v>36.99739874</v>
      </c>
      <c r="C14522" s="8">
        <f t="array" ref="C14522">PRODUCT(1-'Sparkling Model'!D$2:D$38^A14522)</f>
        <v>0.9974010832</v>
      </c>
    </row>
    <row r="14523">
      <c r="A14523" s="6">
        <v>14521.0</v>
      </c>
      <c r="B14523" s="17">
        <f t="array" ref="B14523">SUM(1-'Sparkling Model'!D$2:D$38^A14523)</f>
        <v>36.99740003</v>
      </c>
      <c r="C14523" s="8">
        <f t="array" ref="C14523">PRODUCT(1-'Sparkling Model'!D$2:D$38^A14523)</f>
        <v>0.9974023666</v>
      </c>
    </row>
    <row r="14524">
      <c r="A14524" s="6">
        <v>14522.0</v>
      </c>
      <c r="B14524" s="17">
        <f t="array" ref="B14524">SUM(1-'Sparkling Model'!D$2:D$38^A14524)</f>
        <v>36.99740132</v>
      </c>
      <c r="C14524" s="8">
        <f t="array" ref="C14524">PRODUCT(1-'Sparkling Model'!D$2:D$38^A14524)</f>
        <v>0.9974036494</v>
      </c>
    </row>
    <row r="14525">
      <c r="A14525" s="6">
        <v>14523.0</v>
      </c>
      <c r="B14525" s="17">
        <f t="array" ref="B14525">SUM(1-'Sparkling Model'!D$2:D$38^A14525)</f>
        <v>36.9974026</v>
      </c>
      <c r="C14525" s="8">
        <f t="array" ref="C14525">PRODUCT(1-'Sparkling Model'!D$2:D$38^A14525)</f>
        <v>0.9974049315</v>
      </c>
    </row>
    <row r="14526">
      <c r="A14526" s="6">
        <v>14524.0</v>
      </c>
      <c r="B14526" s="17">
        <f t="array" ref="B14526">SUM(1-'Sparkling Model'!D$2:D$38^A14526)</f>
        <v>36.99740388</v>
      </c>
      <c r="C14526" s="8">
        <f t="array" ref="C14526">PRODUCT(1-'Sparkling Model'!D$2:D$38^A14526)</f>
        <v>0.997406213</v>
      </c>
    </row>
    <row r="14527">
      <c r="A14527" s="6">
        <v>14525.0</v>
      </c>
      <c r="B14527" s="17">
        <f t="array" ref="B14527">SUM(1-'Sparkling Model'!D$2:D$38^A14527)</f>
        <v>36.99740517</v>
      </c>
      <c r="C14527" s="8">
        <f t="array" ref="C14527">PRODUCT(1-'Sparkling Model'!D$2:D$38^A14527)</f>
        <v>0.9974074938</v>
      </c>
    </row>
    <row r="14528">
      <c r="A14528" s="6">
        <v>14526.0</v>
      </c>
      <c r="B14528" s="17">
        <f t="array" ref="B14528">SUM(1-'Sparkling Model'!D$2:D$38^A14528)</f>
        <v>36.99740645</v>
      </c>
      <c r="C14528" s="8">
        <f t="array" ref="C14528">PRODUCT(1-'Sparkling Model'!D$2:D$38^A14528)</f>
        <v>0.997408774</v>
      </c>
    </row>
    <row r="14529">
      <c r="A14529" s="6">
        <v>14527.0</v>
      </c>
      <c r="B14529" s="17">
        <f t="array" ref="B14529">SUM(1-'Sparkling Model'!D$2:D$38^A14529)</f>
        <v>36.99740773</v>
      </c>
      <c r="C14529" s="8">
        <f t="array" ref="C14529">PRODUCT(1-'Sparkling Model'!D$2:D$38^A14529)</f>
        <v>0.9974100536</v>
      </c>
    </row>
    <row r="14530">
      <c r="A14530" s="6">
        <v>14528.0</v>
      </c>
      <c r="B14530" s="17">
        <f t="array" ref="B14530">SUM(1-'Sparkling Model'!D$2:D$38^A14530)</f>
        <v>36.99740901</v>
      </c>
      <c r="C14530" s="8">
        <f t="array" ref="C14530">PRODUCT(1-'Sparkling Model'!D$2:D$38^A14530)</f>
        <v>0.9974113326</v>
      </c>
    </row>
    <row r="14531">
      <c r="A14531" s="6">
        <v>14529.0</v>
      </c>
      <c r="B14531" s="17">
        <f t="array" ref="B14531">SUM(1-'Sparkling Model'!D$2:D$38^A14531)</f>
        <v>36.99741029</v>
      </c>
      <c r="C14531" s="8">
        <f t="array" ref="C14531">PRODUCT(1-'Sparkling Model'!D$2:D$38^A14531)</f>
        <v>0.9974126109</v>
      </c>
    </row>
    <row r="14532">
      <c r="A14532" s="6">
        <v>14530.0</v>
      </c>
      <c r="B14532" s="17">
        <f t="array" ref="B14532">SUM(1-'Sparkling Model'!D$2:D$38^A14532)</f>
        <v>36.99741157</v>
      </c>
      <c r="C14532" s="8">
        <f t="array" ref="C14532">PRODUCT(1-'Sparkling Model'!D$2:D$38^A14532)</f>
        <v>0.9974138885</v>
      </c>
    </row>
    <row r="14533">
      <c r="A14533" s="6">
        <v>14531.0</v>
      </c>
      <c r="B14533" s="17">
        <f t="array" ref="B14533">SUM(1-'Sparkling Model'!D$2:D$38^A14533)</f>
        <v>36.99741285</v>
      </c>
      <c r="C14533" s="8">
        <f t="array" ref="C14533">PRODUCT(1-'Sparkling Model'!D$2:D$38^A14533)</f>
        <v>0.9974151656</v>
      </c>
    </row>
    <row r="14534">
      <c r="A14534" s="6">
        <v>14532.0</v>
      </c>
      <c r="B14534" s="17">
        <f t="array" ref="B14534">SUM(1-'Sparkling Model'!D$2:D$38^A14534)</f>
        <v>36.99741413</v>
      </c>
      <c r="C14534" s="8">
        <f t="array" ref="C14534">PRODUCT(1-'Sparkling Model'!D$2:D$38^A14534)</f>
        <v>0.997416442</v>
      </c>
    </row>
    <row r="14535">
      <c r="A14535" s="6">
        <v>14533.0</v>
      </c>
      <c r="B14535" s="17">
        <f t="array" ref="B14535">SUM(1-'Sparkling Model'!D$2:D$38^A14535)</f>
        <v>36.99741541</v>
      </c>
      <c r="C14535" s="8">
        <f t="array" ref="C14535">PRODUCT(1-'Sparkling Model'!D$2:D$38^A14535)</f>
        <v>0.9974177178</v>
      </c>
    </row>
    <row r="14536">
      <c r="A14536" s="6">
        <v>14534.0</v>
      </c>
      <c r="B14536" s="17">
        <f t="array" ref="B14536">SUM(1-'Sparkling Model'!D$2:D$38^A14536)</f>
        <v>36.99741669</v>
      </c>
      <c r="C14536" s="8">
        <f t="array" ref="C14536">PRODUCT(1-'Sparkling Model'!D$2:D$38^A14536)</f>
        <v>0.9974189929</v>
      </c>
    </row>
    <row r="14537">
      <c r="A14537" s="6">
        <v>14535.0</v>
      </c>
      <c r="B14537" s="17">
        <f t="array" ref="B14537">SUM(1-'Sparkling Model'!D$2:D$38^A14537)</f>
        <v>36.99741796</v>
      </c>
      <c r="C14537" s="8">
        <f t="array" ref="C14537">PRODUCT(1-'Sparkling Model'!D$2:D$38^A14537)</f>
        <v>0.9974202674</v>
      </c>
    </row>
    <row r="14538">
      <c r="A14538" s="6">
        <v>14536.0</v>
      </c>
      <c r="B14538" s="17">
        <f t="array" ref="B14538">SUM(1-'Sparkling Model'!D$2:D$38^A14538)</f>
        <v>36.99741924</v>
      </c>
      <c r="C14538" s="8">
        <f t="array" ref="C14538">PRODUCT(1-'Sparkling Model'!D$2:D$38^A14538)</f>
        <v>0.9974215413</v>
      </c>
    </row>
    <row r="14539">
      <c r="A14539" s="6">
        <v>14537.0</v>
      </c>
      <c r="B14539" s="17">
        <f t="array" ref="B14539">SUM(1-'Sparkling Model'!D$2:D$38^A14539)</f>
        <v>36.99742052</v>
      </c>
      <c r="C14539" s="8">
        <f t="array" ref="C14539">PRODUCT(1-'Sparkling Model'!D$2:D$38^A14539)</f>
        <v>0.9974228146</v>
      </c>
    </row>
    <row r="14540">
      <c r="A14540" s="6">
        <v>14538.0</v>
      </c>
      <c r="B14540" s="17">
        <f t="array" ref="B14540">SUM(1-'Sparkling Model'!D$2:D$38^A14540)</f>
        <v>36.99742179</v>
      </c>
      <c r="C14540" s="8">
        <f t="array" ref="C14540">PRODUCT(1-'Sparkling Model'!D$2:D$38^A14540)</f>
        <v>0.9974240872</v>
      </c>
    </row>
    <row r="14541">
      <c r="A14541" s="6">
        <v>14539.0</v>
      </c>
      <c r="B14541" s="17">
        <f t="array" ref="B14541">SUM(1-'Sparkling Model'!D$2:D$38^A14541)</f>
        <v>36.99742306</v>
      </c>
      <c r="C14541" s="8">
        <f t="array" ref="C14541">PRODUCT(1-'Sparkling Model'!D$2:D$38^A14541)</f>
        <v>0.9974253592</v>
      </c>
    </row>
    <row r="14542">
      <c r="A14542" s="6">
        <v>14540.0</v>
      </c>
      <c r="B14542" s="17">
        <f t="array" ref="B14542">SUM(1-'Sparkling Model'!D$2:D$38^A14542)</f>
        <v>36.99742434</v>
      </c>
      <c r="C14542" s="8">
        <f t="array" ref="C14542">PRODUCT(1-'Sparkling Model'!D$2:D$38^A14542)</f>
        <v>0.9974266306</v>
      </c>
    </row>
    <row r="14543">
      <c r="A14543" s="6">
        <v>14541.0</v>
      </c>
      <c r="B14543" s="17">
        <f t="array" ref="B14543">SUM(1-'Sparkling Model'!D$2:D$38^A14543)</f>
        <v>36.99742561</v>
      </c>
      <c r="C14543" s="8">
        <f t="array" ref="C14543">PRODUCT(1-'Sparkling Model'!D$2:D$38^A14543)</f>
        <v>0.9974279013</v>
      </c>
    </row>
    <row r="14544">
      <c r="A14544" s="6">
        <v>14542.0</v>
      </c>
      <c r="B14544" s="17">
        <f t="array" ref="B14544">SUM(1-'Sparkling Model'!D$2:D$38^A14544)</f>
        <v>36.99742688</v>
      </c>
      <c r="C14544" s="8">
        <f t="array" ref="C14544">PRODUCT(1-'Sparkling Model'!D$2:D$38^A14544)</f>
        <v>0.9974291714</v>
      </c>
    </row>
    <row r="14545">
      <c r="A14545" s="6">
        <v>14543.0</v>
      </c>
      <c r="B14545" s="17">
        <f t="array" ref="B14545">SUM(1-'Sparkling Model'!D$2:D$38^A14545)</f>
        <v>36.99742816</v>
      </c>
      <c r="C14545" s="8">
        <f t="array" ref="C14545">PRODUCT(1-'Sparkling Model'!D$2:D$38^A14545)</f>
        <v>0.9974304409</v>
      </c>
    </row>
    <row r="14546">
      <c r="A14546" s="6">
        <v>14544.0</v>
      </c>
      <c r="B14546" s="17">
        <f t="array" ref="B14546">SUM(1-'Sparkling Model'!D$2:D$38^A14546)</f>
        <v>36.99742943</v>
      </c>
      <c r="C14546" s="8">
        <f t="array" ref="C14546">PRODUCT(1-'Sparkling Model'!D$2:D$38^A14546)</f>
        <v>0.9974317097</v>
      </c>
    </row>
    <row r="14547">
      <c r="A14547" s="6">
        <v>14545.0</v>
      </c>
      <c r="B14547" s="17">
        <f t="array" ref="B14547">SUM(1-'Sparkling Model'!D$2:D$38^A14547)</f>
        <v>36.9974307</v>
      </c>
      <c r="C14547" s="8">
        <f t="array" ref="C14547">PRODUCT(1-'Sparkling Model'!D$2:D$38^A14547)</f>
        <v>0.997432978</v>
      </c>
    </row>
    <row r="14548">
      <c r="A14548" s="6">
        <v>14546.0</v>
      </c>
      <c r="B14548" s="17">
        <f t="array" ref="B14548">SUM(1-'Sparkling Model'!D$2:D$38^A14548)</f>
        <v>36.99743197</v>
      </c>
      <c r="C14548" s="8">
        <f t="array" ref="C14548">PRODUCT(1-'Sparkling Model'!D$2:D$38^A14548)</f>
        <v>0.9974342455</v>
      </c>
    </row>
    <row r="14549">
      <c r="A14549" s="6">
        <v>14547.0</v>
      </c>
      <c r="B14549" s="17">
        <f t="array" ref="B14549">SUM(1-'Sparkling Model'!D$2:D$38^A14549)</f>
        <v>36.99743324</v>
      </c>
      <c r="C14549" s="8">
        <f t="array" ref="C14549">PRODUCT(1-'Sparkling Model'!D$2:D$38^A14549)</f>
        <v>0.9974355125</v>
      </c>
    </row>
    <row r="14550">
      <c r="A14550" s="6">
        <v>14548.0</v>
      </c>
      <c r="B14550" s="17">
        <f t="array" ref="B14550">SUM(1-'Sparkling Model'!D$2:D$38^A14550)</f>
        <v>36.9974345</v>
      </c>
      <c r="C14550" s="8">
        <f t="array" ref="C14550">PRODUCT(1-'Sparkling Model'!D$2:D$38^A14550)</f>
        <v>0.9974367788</v>
      </c>
    </row>
    <row r="14551">
      <c r="A14551" s="6">
        <v>14549.0</v>
      </c>
      <c r="B14551" s="17">
        <f t="array" ref="B14551">SUM(1-'Sparkling Model'!D$2:D$38^A14551)</f>
        <v>36.99743577</v>
      </c>
      <c r="C14551" s="8">
        <f t="array" ref="C14551">PRODUCT(1-'Sparkling Model'!D$2:D$38^A14551)</f>
        <v>0.9974380446</v>
      </c>
    </row>
    <row r="14552">
      <c r="A14552" s="6">
        <v>14550.0</v>
      </c>
      <c r="B14552" s="17">
        <f t="array" ref="B14552">SUM(1-'Sparkling Model'!D$2:D$38^A14552)</f>
        <v>36.99743704</v>
      </c>
      <c r="C14552" s="8">
        <f t="array" ref="C14552">PRODUCT(1-'Sparkling Model'!D$2:D$38^A14552)</f>
        <v>0.9974393096</v>
      </c>
    </row>
    <row r="14553">
      <c r="A14553" s="6">
        <v>14551.0</v>
      </c>
      <c r="B14553" s="17">
        <f t="array" ref="B14553">SUM(1-'Sparkling Model'!D$2:D$38^A14553)</f>
        <v>36.99743831</v>
      </c>
      <c r="C14553" s="8">
        <f t="array" ref="C14553">PRODUCT(1-'Sparkling Model'!D$2:D$38^A14553)</f>
        <v>0.9974405741</v>
      </c>
    </row>
    <row r="14554">
      <c r="A14554" s="6">
        <v>14552.0</v>
      </c>
      <c r="B14554" s="17">
        <f t="array" ref="B14554">SUM(1-'Sparkling Model'!D$2:D$38^A14554)</f>
        <v>36.99743957</v>
      </c>
      <c r="C14554" s="8">
        <f t="array" ref="C14554">PRODUCT(1-'Sparkling Model'!D$2:D$38^A14554)</f>
        <v>0.9974418379</v>
      </c>
    </row>
    <row r="14555">
      <c r="A14555" s="6">
        <v>14553.0</v>
      </c>
      <c r="B14555" s="17">
        <f t="array" ref="B14555">SUM(1-'Sparkling Model'!D$2:D$38^A14555)</f>
        <v>36.99744084</v>
      </c>
      <c r="C14555" s="8">
        <f t="array" ref="C14555">PRODUCT(1-'Sparkling Model'!D$2:D$38^A14555)</f>
        <v>0.9974431011</v>
      </c>
    </row>
    <row r="14556">
      <c r="A14556" s="6">
        <v>14554.0</v>
      </c>
      <c r="B14556" s="17">
        <f t="array" ref="B14556">SUM(1-'Sparkling Model'!D$2:D$38^A14556)</f>
        <v>36.9974421</v>
      </c>
      <c r="C14556" s="8">
        <f t="array" ref="C14556">PRODUCT(1-'Sparkling Model'!D$2:D$38^A14556)</f>
        <v>0.9974443637</v>
      </c>
    </row>
    <row r="14557">
      <c r="A14557" s="6">
        <v>14555.0</v>
      </c>
      <c r="B14557" s="17">
        <f t="array" ref="B14557">SUM(1-'Sparkling Model'!D$2:D$38^A14557)</f>
        <v>36.99744337</v>
      </c>
      <c r="C14557" s="8">
        <f t="array" ref="C14557">PRODUCT(1-'Sparkling Model'!D$2:D$38^A14557)</f>
        <v>0.9974456257</v>
      </c>
    </row>
    <row r="14558">
      <c r="A14558" s="6">
        <v>14556.0</v>
      </c>
      <c r="B14558" s="17">
        <f t="array" ref="B14558">SUM(1-'Sparkling Model'!D$2:D$38^A14558)</f>
        <v>36.99744463</v>
      </c>
      <c r="C14558" s="8">
        <f t="array" ref="C14558">PRODUCT(1-'Sparkling Model'!D$2:D$38^A14558)</f>
        <v>0.997446887</v>
      </c>
    </row>
    <row r="14559">
      <c r="A14559" s="6">
        <v>14557.0</v>
      </c>
      <c r="B14559" s="17">
        <f t="array" ref="B14559">SUM(1-'Sparkling Model'!D$2:D$38^A14559)</f>
        <v>36.99744589</v>
      </c>
      <c r="C14559" s="8">
        <f t="array" ref="C14559">PRODUCT(1-'Sparkling Model'!D$2:D$38^A14559)</f>
        <v>0.9974481477</v>
      </c>
    </row>
    <row r="14560">
      <c r="A14560" s="6">
        <v>14558.0</v>
      </c>
      <c r="B14560" s="17">
        <f t="array" ref="B14560">SUM(1-'Sparkling Model'!D$2:D$38^A14560)</f>
        <v>36.99744716</v>
      </c>
      <c r="C14560" s="8">
        <f t="array" ref="C14560">PRODUCT(1-'Sparkling Model'!D$2:D$38^A14560)</f>
        <v>0.9974494078</v>
      </c>
    </row>
    <row r="14561">
      <c r="A14561" s="6">
        <v>14559.0</v>
      </c>
      <c r="B14561" s="17">
        <f t="array" ref="B14561">SUM(1-'Sparkling Model'!D$2:D$38^A14561)</f>
        <v>36.99744842</v>
      </c>
      <c r="C14561" s="8">
        <f t="array" ref="C14561">PRODUCT(1-'Sparkling Model'!D$2:D$38^A14561)</f>
        <v>0.9974506672</v>
      </c>
    </row>
    <row r="14562">
      <c r="A14562" s="6">
        <v>14560.0</v>
      </c>
      <c r="B14562" s="17">
        <f t="array" ref="B14562">SUM(1-'Sparkling Model'!D$2:D$38^A14562)</f>
        <v>36.99744968</v>
      </c>
      <c r="C14562" s="8">
        <f t="array" ref="C14562">PRODUCT(1-'Sparkling Model'!D$2:D$38^A14562)</f>
        <v>0.9974519261</v>
      </c>
    </row>
    <row r="14563">
      <c r="A14563" s="6">
        <v>14561.0</v>
      </c>
      <c r="B14563" s="17">
        <f t="array" ref="B14563">SUM(1-'Sparkling Model'!D$2:D$38^A14563)</f>
        <v>36.99745094</v>
      </c>
      <c r="C14563" s="8">
        <f t="array" ref="C14563">PRODUCT(1-'Sparkling Model'!D$2:D$38^A14563)</f>
        <v>0.9974531843</v>
      </c>
    </row>
    <row r="14564">
      <c r="A14564" s="6">
        <v>14562.0</v>
      </c>
      <c r="B14564" s="17">
        <f t="array" ref="B14564">SUM(1-'Sparkling Model'!D$2:D$38^A14564)</f>
        <v>36.9974522</v>
      </c>
      <c r="C14564" s="8">
        <f t="array" ref="C14564">PRODUCT(1-'Sparkling Model'!D$2:D$38^A14564)</f>
        <v>0.9974544419</v>
      </c>
    </row>
    <row r="14565">
      <c r="A14565" s="6">
        <v>14563.0</v>
      </c>
      <c r="B14565" s="17">
        <f t="array" ref="B14565">SUM(1-'Sparkling Model'!D$2:D$38^A14565)</f>
        <v>36.99745346</v>
      </c>
      <c r="C14565" s="8">
        <f t="array" ref="C14565">PRODUCT(1-'Sparkling Model'!D$2:D$38^A14565)</f>
        <v>0.9974556988</v>
      </c>
    </row>
    <row r="14566">
      <c r="A14566" s="6">
        <v>14564.0</v>
      </c>
      <c r="B14566" s="17">
        <f t="array" ref="B14566">SUM(1-'Sparkling Model'!D$2:D$38^A14566)</f>
        <v>36.99745472</v>
      </c>
      <c r="C14566" s="8">
        <f t="array" ref="C14566">PRODUCT(1-'Sparkling Model'!D$2:D$38^A14566)</f>
        <v>0.9974569552</v>
      </c>
    </row>
    <row r="14567">
      <c r="A14567" s="6">
        <v>14565.0</v>
      </c>
      <c r="B14567" s="17">
        <f t="array" ref="B14567">SUM(1-'Sparkling Model'!D$2:D$38^A14567)</f>
        <v>36.99745597</v>
      </c>
      <c r="C14567" s="8">
        <f t="array" ref="C14567">PRODUCT(1-'Sparkling Model'!D$2:D$38^A14567)</f>
        <v>0.9974582109</v>
      </c>
    </row>
    <row r="14568">
      <c r="A14568" s="6">
        <v>14566.0</v>
      </c>
      <c r="B14568" s="17">
        <f t="array" ref="B14568">SUM(1-'Sparkling Model'!D$2:D$38^A14568)</f>
        <v>36.99745723</v>
      </c>
      <c r="C14568" s="8">
        <f t="array" ref="C14568">PRODUCT(1-'Sparkling Model'!D$2:D$38^A14568)</f>
        <v>0.997459466</v>
      </c>
    </row>
    <row r="14569">
      <c r="A14569" s="6">
        <v>14567.0</v>
      </c>
      <c r="B14569" s="17">
        <f t="array" ref="B14569">SUM(1-'Sparkling Model'!D$2:D$38^A14569)</f>
        <v>36.99745849</v>
      </c>
      <c r="C14569" s="8">
        <f t="array" ref="C14569">PRODUCT(1-'Sparkling Model'!D$2:D$38^A14569)</f>
        <v>0.9974607205</v>
      </c>
    </row>
    <row r="14570">
      <c r="A14570" s="6">
        <v>14568.0</v>
      </c>
      <c r="B14570" s="17">
        <f t="array" ref="B14570">SUM(1-'Sparkling Model'!D$2:D$38^A14570)</f>
        <v>36.99745974</v>
      </c>
      <c r="C14570" s="8">
        <f t="array" ref="C14570">PRODUCT(1-'Sparkling Model'!D$2:D$38^A14570)</f>
        <v>0.9974619743</v>
      </c>
    </row>
    <row r="14571">
      <c r="A14571" s="6">
        <v>14569.0</v>
      </c>
      <c r="B14571" s="17">
        <f t="array" ref="B14571">SUM(1-'Sparkling Model'!D$2:D$38^A14571)</f>
        <v>36.997461</v>
      </c>
      <c r="C14571" s="8">
        <f t="array" ref="C14571">PRODUCT(1-'Sparkling Model'!D$2:D$38^A14571)</f>
        <v>0.9974632275</v>
      </c>
    </row>
    <row r="14572">
      <c r="A14572" s="6">
        <v>14570.0</v>
      </c>
      <c r="B14572" s="17">
        <f t="array" ref="B14572">SUM(1-'Sparkling Model'!D$2:D$38^A14572)</f>
        <v>36.99746225</v>
      </c>
      <c r="C14572" s="8">
        <f t="array" ref="C14572">PRODUCT(1-'Sparkling Model'!D$2:D$38^A14572)</f>
        <v>0.9974644802</v>
      </c>
    </row>
    <row r="14573">
      <c r="A14573" s="6">
        <v>14571.0</v>
      </c>
      <c r="B14573" s="17">
        <f t="array" ref="B14573">SUM(1-'Sparkling Model'!D$2:D$38^A14573)</f>
        <v>36.99746351</v>
      </c>
      <c r="C14573" s="8">
        <f t="array" ref="C14573">PRODUCT(1-'Sparkling Model'!D$2:D$38^A14573)</f>
        <v>0.9974657321</v>
      </c>
    </row>
    <row r="14574">
      <c r="A14574" s="6">
        <v>14572.0</v>
      </c>
      <c r="B14574" s="17">
        <f t="array" ref="B14574">SUM(1-'Sparkling Model'!D$2:D$38^A14574)</f>
        <v>36.99746476</v>
      </c>
      <c r="C14574" s="8">
        <f t="array" ref="C14574">PRODUCT(1-'Sparkling Model'!D$2:D$38^A14574)</f>
        <v>0.9974669835</v>
      </c>
    </row>
    <row r="14575">
      <c r="A14575" s="6">
        <v>14573.0</v>
      </c>
      <c r="B14575" s="17">
        <f t="array" ref="B14575">SUM(1-'Sparkling Model'!D$2:D$38^A14575)</f>
        <v>36.99746602</v>
      </c>
      <c r="C14575" s="8">
        <f t="array" ref="C14575">PRODUCT(1-'Sparkling Model'!D$2:D$38^A14575)</f>
        <v>0.9974682343</v>
      </c>
    </row>
    <row r="14576">
      <c r="A14576" s="6">
        <v>14574.0</v>
      </c>
      <c r="B14576" s="17">
        <f t="array" ref="B14576">SUM(1-'Sparkling Model'!D$2:D$38^A14576)</f>
        <v>36.99746727</v>
      </c>
      <c r="C14576" s="8">
        <f t="array" ref="C14576">PRODUCT(1-'Sparkling Model'!D$2:D$38^A14576)</f>
        <v>0.9974694844</v>
      </c>
    </row>
    <row r="14577">
      <c r="A14577" s="6">
        <v>14575.0</v>
      </c>
      <c r="B14577" s="17">
        <f t="array" ref="B14577">SUM(1-'Sparkling Model'!D$2:D$38^A14577)</f>
        <v>36.99746852</v>
      </c>
      <c r="C14577" s="8">
        <f t="array" ref="C14577">PRODUCT(1-'Sparkling Model'!D$2:D$38^A14577)</f>
        <v>0.9974707339</v>
      </c>
    </row>
    <row r="14578">
      <c r="A14578" s="6">
        <v>14576.0</v>
      </c>
      <c r="B14578" s="17">
        <f t="array" ref="B14578">SUM(1-'Sparkling Model'!D$2:D$38^A14578)</f>
        <v>36.99746977</v>
      </c>
      <c r="C14578" s="8">
        <f t="array" ref="C14578">PRODUCT(1-'Sparkling Model'!D$2:D$38^A14578)</f>
        <v>0.9974719828</v>
      </c>
    </row>
    <row r="14579">
      <c r="A14579" s="6">
        <v>14577.0</v>
      </c>
      <c r="B14579" s="17">
        <f t="array" ref="B14579">SUM(1-'Sparkling Model'!D$2:D$38^A14579)</f>
        <v>36.99747102</v>
      </c>
      <c r="C14579" s="8">
        <f t="array" ref="C14579">PRODUCT(1-'Sparkling Model'!D$2:D$38^A14579)</f>
        <v>0.9974732311</v>
      </c>
    </row>
    <row r="14580">
      <c r="A14580" s="6">
        <v>14578.0</v>
      </c>
      <c r="B14580" s="17">
        <f t="array" ref="B14580">SUM(1-'Sparkling Model'!D$2:D$38^A14580)</f>
        <v>36.99747227</v>
      </c>
      <c r="C14580" s="8">
        <f t="array" ref="C14580">PRODUCT(1-'Sparkling Model'!D$2:D$38^A14580)</f>
        <v>0.9974744788</v>
      </c>
    </row>
    <row r="14581">
      <c r="A14581" s="6">
        <v>14579.0</v>
      </c>
      <c r="B14581" s="17">
        <f t="array" ref="B14581">SUM(1-'Sparkling Model'!D$2:D$38^A14581)</f>
        <v>36.99747352</v>
      </c>
      <c r="C14581" s="8">
        <f t="array" ref="C14581">PRODUCT(1-'Sparkling Model'!D$2:D$38^A14581)</f>
        <v>0.9974757258</v>
      </c>
    </row>
    <row r="14582">
      <c r="A14582" s="6">
        <v>14580.0</v>
      </c>
      <c r="B14582" s="17">
        <f t="array" ref="B14582">SUM(1-'Sparkling Model'!D$2:D$38^A14582)</f>
        <v>36.99747477</v>
      </c>
      <c r="C14582" s="8">
        <f t="array" ref="C14582">PRODUCT(1-'Sparkling Model'!D$2:D$38^A14582)</f>
        <v>0.9974769722</v>
      </c>
    </row>
    <row r="14583">
      <c r="A14583" s="6">
        <v>14581.0</v>
      </c>
      <c r="B14583" s="17">
        <f t="array" ref="B14583">SUM(1-'Sparkling Model'!D$2:D$38^A14583)</f>
        <v>36.99747602</v>
      </c>
      <c r="C14583" s="8">
        <f t="array" ref="C14583">PRODUCT(1-'Sparkling Model'!D$2:D$38^A14583)</f>
        <v>0.997478218</v>
      </c>
    </row>
    <row r="14584">
      <c r="A14584" s="6">
        <v>14582.0</v>
      </c>
      <c r="B14584" s="17">
        <f t="array" ref="B14584">SUM(1-'Sparkling Model'!D$2:D$38^A14584)</f>
        <v>36.99747726</v>
      </c>
      <c r="C14584" s="8">
        <f t="array" ref="C14584">PRODUCT(1-'Sparkling Model'!D$2:D$38^A14584)</f>
        <v>0.9974794632</v>
      </c>
    </row>
    <row r="14585">
      <c r="A14585" s="6">
        <v>14583.0</v>
      </c>
      <c r="B14585" s="17">
        <f t="array" ref="B14585">SUM(1-'Sparkling Model'!D$2:D$38^A14585)</f>
        <v>36.99747851</v>
      </c>
      <c r="C14585" s="8">
        <f t="array" ref="C14585">PRODUCT(1-'Sparkling Model'!D$2:D$38^A14585)</f>
        <v>0.9974807078</v>
      </c>
    </row>
    <row r="14586">
      <c r="A14586" s="6">
        <v>14584.0</v>
      </c>
      <c r="B14586" s="17">
        <f t="array" ref="B14586">SUM(1-'Sparkling Model'!D$2:D$38^A14586)</f>
        <v>36.99747976</v>
      </c>
      <c r="C14586" s="8">
        <f t="array" ref="C14586">PRODUCT(1-'Sparkling Model'!D$2:D$38^A14586)</f>
        <v>0.9974819517</v>
      </c>
    </row>
    <row r="14587">
      <c r="A14587" s="6">
        <v>14585.0</v>
      </c>
      <c r="B14587" s="17">
        <f t="array" ref="B14587">SUM(1-'Sparkling Model'!D$2:D$38^A14587)</f>
        <v>36.997481</v>
      </c>
      <c r="C14587" s="8">
        <f t="array" ref="C14587">PRODUCT(1-'Sparkling Model'!D$2:D$38^A14587)</f>
        <v>0.9974831951</v>
      </c>
    </row>
    <row r="14588">
      <c r="A14588" s="6">
        <v>14586.0</v>
      </c>
      <c r="B14588" s="17">
        <f t="array" ref="B14588">SUM(1-'Sparkling Model'!D$2:D$38^A14588)</f>
        <v>36.99748225</v>
      </c>
      <c r="C14588" s="8">
        <f t="array" ref="C14588">PRODUCT(1-'Sparkling Model'!D$2:D$38^A14588)</f>
        <v>0.9974844378</v>
      </c>
    </row>
    <row r="14589">
      <c r="A14589" s="6">
        <v>14587.0</v>
      </c>
      <c r="B14589" s="17">
        <f t="array" ref="B14589">SUM(1-'Sparkling Model'!D$2:D$38^A14589)</f>
        <v>36.99748349</v>
      </c>
      <c r="C14589" s="8">
        <f t="array" ref="C14589">PRODUCT(1-'Sparkling Model'!D$2:D$38^A14589)</f>
        <v>0.9974856799</v>
      </c>
    </row>
    <row r="14590">
      <c r="A14590" s="6">
        <v>14588.0</v>
      </c>
      <c r="B14590" s="17">
        <f t="array" ref="B14590">SUM(1-'Sparkling Model'!D$2:D$38^A14590)</f>
        <v>36.99748474</v>
      </c>
      <c r="C14590" s="8">
        <f t="array" ref="C14590">PRODUCT(1-'Sparkling Model'!D$2:D$38^A14590)</f>
        <v>0.9974869214</v>
      </c>
    </row>
    <row r="14591">
      <c r="A14591" s="6">
        <v>14589.0</v>
      </c>
      <c r="B14591" s="17">
        <f t="array" ref="B14591">SUM(1-'Sparkling Model'!D$2:D$38^A14591)</f>
        <v>36.99748598</v>
      </c>
      <c r="C14591" s="8">
        <f t="array" ref="C14591">PRODUCT(1-'Sparkling Model'!D$2:D$38^A14591)</f>
        <v>0.9974881623</v>
      </c>
    </row>
    <row r="14592">
      <c r="A14592" s="6">
        <v>14590.0</v>
      </c>
      <c r="B14592" s="17">
        <f t="array" ref="B14592">SUM(1-'Sparkling Model'!D$2:D$38^A14592)</f>
        <v>36.99748722</v>
      </c>
      <c r="C14592" s="8">
        <f t="array" ref="C14592">PRODUCT(1-'Sparkling Model'!D$2:D$38^A14592)</f>
        <v>0.9974894026</v>
      </c>
    </row>
    <row r="14593">
      <c r="A14593" s="6">
        <v>14591.0</v>
      </c>
      <c r="B14593" s="17">
        <f t="array" ref="B14593">SUM(1-'Sparkling Model'!D$2:D$38^A14593)</f>
        <v>36.99748846</v>
      </c>
      <c r="C14593" s="8">
        <f t="array" ref="C14593">PRODUCT(1-'Sparkling Model'!D$2:D$38^A14593)</f>
        <v>0.9974906422</v>
      </c>
    </row>
    <row r="14594">
      <c r="A14594" s="6">
        <v>14592.0</v>
      </c>
      <c r="B14594" s="17">
        <f t="array" ref="B14594">SUM(1-'Sparkling Model'!D$2:D$38^A14594)</f>
        <v>36.9974897</v>
      </c>
      <c r="C14594" s="8">
        <f t="array" ref="C14594">PRODUCT(1-'Sparkling Model'!D$2:D$38^A14594)</f>
        <v>0.9974918812</v>
      </c>
    </row>
    <row r="14595">
      <c r="A14595" s="6">
        <v>14593.0</v>
      </c>
      <c r="B14595" s="17">
        <f t="array" ref="B14595">SUM(1-'Sparkling Model'!D$2:D$38^A14595)</f>
        <v>36.99749094</v>
      </c>
      <c r="C14595" s="8">
        <f t="array" ref="C14595">PRODUCT(1-'Sparkling Model'!D$2:D$38^A14595)</f>
        <v>0.9974931197</v>
      </c>
    </row>
    <row r="14596">
      <c r="A14596" s="6">
        <v>14594.0</v>
      </c>
      <c r="B14596" s="17">
        <f t="array" ref="B14596">SUM(1-'Sparkling Model'!D$2:D$38^A14596)</f>
        <v>36.99749218</v>
      </c>
      <c r="C14596" s="8">
        <f t="array" ref="C14596">PRODUCT(1-'Sparkling Model'!D$2:D$38^A14596)</f>
        <v>0.9974943575</v>
      </c>
    </row>
    <row r="14597">
      <c r="A14597" s="6">
        <v>14595.0</v>
      </c>
      <c r="B14597" s="17">
        <f t="array" ref="B14597">SUM(1-'Sparkling Model'!D$2:D$38^A14597)</f>
        <v>36.99749342</v>
      </c>
      <c r="C14597" s="8">
        <f t="array" ref="C14597">PRODUCT(1-'Sparkling Model'!D$2:D$38^A14597)</f>
        <v>0.9974955947</v>
      </c>
    </row>
    <row r="14598">
      <c r="A14598" s="6">
        <v>14596.0</v>
      </c>
      <c r="B14598" s="17">
        <f t="array" ref="B14598">SUM(1-'Sparkling Model'!D$2:D$38^A14598)</f>
        <v>36.99749466</v>
      </c>
      <c r="C14598" s="8">
        <f t="array" ref="C14598">PRODUCT(1-'Sparkling Model'!D$2:D$38^A14598)</f>
        <v>0.9974968313</v>
      </c>
    </row>
    <row r="14599">
      <c r="A14599" s="6">
        <v>14597.0</v>
      </c>
      <c r="B14599" s="17">
        <f t="array" ref="B14599">SUM(1-'Sparkling Model'!D$2:D$38^A14599)</f>
        <v>36.9974959</v>
      </c>
      <c r="C14599" s="8">
        <f t="array" ref="C14599">PRODUCT(1-'Sparkling Model'!D$2:D$38^A14599)</f>
        <v>0.9974980672</v>
      </c>
    </row>
    <row r="14600">
      <c r="A14600" s="6">
        <v>14598.0</v>
      </c>
      <c r="B14600" s="17">
        <f t="array" ref="B14600">SUM(1-'Sparkling Model'!D$2:D$38^A14600)</f>
        <v>36.99749714</v>
      </c>
      <c r="C14600" s="8">
        <f t="array" ref="C14600">PRODUCT(1-'Sparkling Model'!D$2:D$38^A14600)</f>
        <v>0.9974993026</v>
      </c>
    </row>
    <row r="14601">
      <c r="A14601" s="6">
        <v>14599.0</v>
      </c>
      <c r="B14601" s="17">
        <f t="array" ref="B14601">SUM(1-'Sparkling Model'!D$2:D$38^A14601)</f>
        <v>36.99749838</v>
      </c>
      <c r="C14601" s="8">
        <f t="array" ref="C14601">PRODUCT(1-'Sparkling Model'!D$2:D$38^A14601)</f>
        <v>0.9975005373</v>
      </c>
    </row>
    <row r="14602">
      <c r="A14602" s="6">
        <v>14600.0</v>
      </c>
      <c r="B14602" s="17">
        <f t="array" ref="B14602">SUM(1-'Sparkling Model'!D$2:D$38^A14602)</f>
        <v>36.99749961</v>
      </c>
      <c r="C14602" s="8">
        <f t="array" ref="C14602">PRODUCT(1-'Sparkling Model'!D$2:D$38^A14602)</f>
        <v>0.9975017715</v>
      </c>
    </row>
    <row r="14603">
      <c r="A14603" s="6">
        <v>14601.0</v>
      </c>
      <c r="B14603" s="17">
        <f t="array" ref="B14603">SUM(1-'Sparkling Model'!D$2:D$38^A14603)</f>
        <v>36.99750085</v>
      </c>
      <c r="C14603" s="8">
        <f t="array" ref="C14603">PRODUCT(1-'Sparkling Model'!D$2:D$38^A14603)</f>
        <v>0.997503005</v>
      </c>
    </row>
    <row r="14604">
      <c r="A14604" s="6">
        <v>14602.0</v>
      </c>
      <c r="B14604" s="17">
        <f t="array" ref="B14604">SUM(1-'Sparkling Model'!D$2:D$38^A14604)</f>
        <v>36.99750208</v>
      </c>
      <c r="C14604" s="8">
        <f t="array" ref="C14604">PRODUCT(1-'Sparkling Model'!D$2:D$38^A14604)</f>
        <v>0.9975042379</v>
      </c>
    </row>
    <row r="14605">
      <c r="A14605" s="6">
        <v>14603.0</v>
      </c>
      <c r="B14605" s="17">
        <f t="array" ref="B14605">SUM(1-'Sparkling Model'!D$2:D$38^A14605)</f>
        <v>36.99750332</v>
      </c>
      <c r="C14605" s="8">
        <f t="array" ref="C14605">PRODUCT(1-'Sparkling Model'!D$2:D$38^A14605)</f>
        <v>0.9975054702</v>
      </c>
    </row>
    <row r="14606">
      <c r="A14606" s="6">
        <v>14604.0</v>
      </c>
      <c r="B14606" s="17">
        <f t="array" ref="B14606">SUM(1-'Sparkling Model'!D$2:D$38^A14606)</f>
        <v>36.99750455</v>
      </c>
      <c r="C14606" s="8">
        <f t="array" ref="C14606">PRODUCT(1-'Sparkling Model'!D$2:D$38^A14606)</f>
        <v>0.9975067019</v>
      </c>
    </row>
    <row r="14607">
      <c r="A14607" s="6">
        <v>14605.0</v>
      </c>
      <c r="B14607" s="17">
        <f t="array" ref="B14607">SUM(1-'Sparkling Model'!D$2:D$38^A14607)</f>
        <v>36.99750578</v>
      </c>
      <c r="C14607" s="8">
        <f t="array" ref="C14607">PRODUCT(1-'Sparkling Model'!D$2:D$38^A14607)</f>
        <v>0.997507933</v>
      </c>
    </row>
    <row r="14608">
      <c r="A14608" s="6">
        <v>14606.0</v>
      </c>
      <c r="B14608" s="17">
        <f t="array" ref="B14608">SUM(1-'Sparkling Model'!D$2:D$38^A14608)</f>
        <v>36.99750702</v>
      </c>
      <c r="C14608" s="8">
        <f t="array" ref="C14608">PRODUCT(1-'Sparkling Model'!D$2:D$38^A14608)</f>
        <v>0.9975091635</v>
      </c>
    </row>
    <row r="14609">
      <c r="A14609" s="6">
        <v>14607.0</v>
      </c>
      <c r="B14609" s="17">
        <f t="array" ref="B14609">SUM(1-'Sparkling Model'!D$2:D$38^A14609)</f>
        <v>36.99750825</v>
      </c>
      <c r="C14609" s="8">
        <f t="array" ref="C14609">PRODUCT(1-'Sparkling Model'!D$2:D$38^A14609)</f>
        <v>0.9975103934</v>
      </c>
    </row>
    <row r="14610">
      <c r="A14610" s="6">
        <v>14608.0</v>
      </c>
      <c r="B14610" s="17">
        <f t="array" ref="B14610">SUM(1-'Sparkling Model'!D$2:D$38^A14610)</f>
        <v>36.99750948</v>
      </c>
      <c r="C14610" s="8">
        <f t="array" ref="C14610">PRODUCT(1-'Sparkling Model'!D$2:D$38^A14610)</f>
        <v>0.9975116226</v>
      </c>
    </row>
    <row r="14611">
      <c r="A14611" s="6">
        <v>14609.0</v>
      </c>
      <c r="B14611" s="17">
        <f t="array" ref="B14611">SUM(1-'Sparkling Model'!D$2:D$38^A14611)</f>
        <v>36.99751071</v>
      </c>
      <c r="C14611" s="8">
        <f t="array" ref="C14611">PRODUCT(1-'Sparkling Model'!D$2:D$38^A14611)</f>
        <v>0.9975128513</v>
      </c>
    </row>
    <row r="14612">
      <c r="A14612" s="6">
        <v>14610.0</v>
      </c>
      <c r="B14612" s="17">
        <f t="array" ref="B14612">SUM(1-'Sparkling Model'!D$2:D$38^A14612)</f>
        <v>36.99751194</v>
      </c>
      <c r="C14612" s="8">
        <f t="array" ref="C14612">PRODUCT(1-'Sparkling Model'!D$2:D$38^A14612)</f>
        <v>0.9975140793</v>
      </c>
    </row>
    <row r="14613">
      <c r="A14613" s="6">
        <v>14611.0</v>
      </c>
      <c r="B14613" s="17">
        <f t="array" ref="B14613">SUM(1-'Sparkling Model'!D$2:D$38^A14613)</f>
        <v>36.99751317</v>
      </c>
      <c r="C14613" s="8">
        <f t="array" ref="C14613">PRODUCT(1-'Sparkling Model'!D$2:D$38^A14613)</f>
        <v>0.9975153067</v>
      </c>
    </row>
    <row r="14614">
      <c r="A14614" s="6">
        <v>14612.0</v>
      </c>
      <c r="B14614" s="17">
        <f t="array" ref="B14614">SUM(1-'Sparkling Model'!D$2:D$38^A14614)</f>
        <v>36.9975144</v>
      </c>
      <c r="C14614" s="8">
        <f t="array" ref="C14614">PRODUCT(1-'Sparkling Model'!D$2:D$38^A14614)</f>
        <v>0.9975165336</v>
      </c>
    </row>
    <row r="14615">
      <c r="A14615" s="6">
        <v>14613.0</v>
      </c>
      <c r="B14615" s="17">
        <f t="array" ref="B14615">SUM(1-'Sparkling Model'!D$2:D$38^A14615)</f>
        <v>36.99751563</v>
      </c>
      <c r="C14615" s="8">
        <f t="array" ref="C14615">PRODUCT(1-'Sparkling Model'!D$2:D$38^A14615)</f>
        <v>0.9975177598</v>
      </c>
    </row>
    <row r="14616">
      <c r="A14616" s="6">
        <v>14614.0</v>
      </c>
      <c r="B14616" s="17">
        <f t="array" ref="B14616">SUM(1-'Sparkling Model'!D$2:D$38^A14616)</f>
        <v>36.99751686</v>
      </c>
      <c r="C14616" s="8">
        <f t="array" ref="C14616">PRODUCT(1-'Sparkling Model'!D$2:D$38^A14616)</f>
        <v>0.9975189854</v>
      </c>
    </row>
    <row r="14617">
      <c r="A14617" s="6">
        <v>14615.0</v>
      </c>
      <c r="B14617" s="17">
        <f t="array" ref="B14617">SUM(1-'Sparkling Model'!D$2:D$38^A14617)</f>
        <v>36.99751808</v>
      </c>
      <c r="C14617" s="8">
        <f t="array" ref="C14617">PRODUCT(1-'Sparkling Model'!D$2:D$38^A14617)</f>
        <v>0.9975202104</v>
      </c>
    </row>
    <row r="14618">
      <c r="A14618" s="6">
        <v>14616.0</v>
      </c>
      <c r="B14618" s="17">
        <f t="array" ref="B14618">SUM(1-'Sparkling Model'!D$2:D$38^A14618)</f>
        <v>36.99751931</v>
      </c>
      <c r="C14618" s="8">
        <f t="array" ref="C14618">PRODUCT(1-'Sparkling Model'!D$2:D$38^A14618)</f>
        <v>0.9975214348</v>
      </c>
    </row>
    <row r="14619">
      <c r="A14619" s="6">
        <v>14617.0</v>
      </c>
      <c r="B14619" s="17">
        <f t="array" ref="B14619">SUM(1-'Sparkling Model'!D$2:D$38^A14619)</f>
        <v>36.99752053</v>
      </c>
      <c r="C14619" s="8">
        <f t="array" ref="C14619">PRODUCT(1-'Sparkling Model'!D$2:D$38^A14619)</f>
        <v>0.9975226586</v>
      </c>
    </row>
    <row r="14620">
      <c r="A14620" s="6">
        <v>14618.0</v>
      </c>
      <c r="B14620" s="17">
        <f t="array" ref="B14620">SUM(1-'Sparkling Model'!D$2:D$38^A14620)</f>
        <v>36.99752176</v>
      </c>
      <c r="C14620" s="8">
        <f t="array" ref="C14620">PRODUCT(1-'Sparkling Model'!D$2:D$38^A14620)</f>
        <v>0.9975238818</v>
      </c>
    </row>
    <row r="14621">
      <c r="A14621" s="6">
        <v>14619.0</v>
      </c>
      <c r="B14621" s="17">
        <f t="array" ref="B14621">SUM(1-'Sparkling Model'!D$2:D$38^A14621)</f>
        <v>36.99752298</v>
      </c>
      <c r="C14621" s="8">
        <f t="array" ref="C14621">PRODUCT(1-'Sparkling Model'!D$2:D$38^A14621)</f>
        <v>0.9975251043</v>
      </c>
    </row>
    <row r="14622">
      <c r="A14622" s="6">
        <v>14620.0</v>
      </c>
      <c r="B14622" s="17">
        <f t="array" ref="B14622">SUM(1-'Sparkling Model'!D$2:D$38^A14622)</f>
        <v>36.99752421</v>
      </c>
      <c r="C14622" s="8">
        <f t="array" ref="C14622">PRODUCT(1-'Sparkling Model'!D$2:D$38^A14622)</f>
        <v>0.9975263263</v>
      </c>
    </row>
    <row r="14623">
      <c r="A14623" s="6">
        <v>14621.0</v>
      </c>
      <c r="B14623" s="17">
        <f t="array" ref="B14623">SUM(1-'Sparkling Model'!D$2:D$38^A14623)</f>
        <v>36.99752543</v>
      </c>
      <c r="C14623" s="8">
        <f t="array" ref="C14623">PRODUCT(1-'Sparkling Model'!D$2:D$38^A14623)</f>
        <v>0.9975275477</v>
      </c>
    </row>
    <row r="14624">
      <c r="A14624" s="6">
        <v>14622.0</v>
      </c>
      <c r="B14624" s="17">
        <f t="array" ref="B14624">SUM(1-'Sparkling Model'!D$2:D$38^A14624)</f>
        <v>36.99752666</v>
      </c>
      <c r="C14624" s="8">
        <f t="array" ref="C14624">PRODUCT(1-'Sparkling Model'!D$2:D$38^A14624)</f>
        <v>0.9975287684</v>
      </c>
    </row>
    <row r="14625">
      <c r="A14625" s="6">
        <v>14623.0</v>
      </c>
      <c r="B14625" s="17">
        <f t="array" ref="B14625">SUM(1-'Sparkling Model'!D$2:D$38^A14625)</f>
        <v>36.99752788</v>
      </c>
      <c r="C14625" s="8">
        <f t="array" ref="C14625">PRODUCT(1-'Sparkling Model'!D$2:D$38^A14625)</f>
        <v>0.9975299886</v>
      </c>
    </row>
    <row r="14626">
      <c r="A14626" s="6">
        <v>14624.0</v>
      </c>
      <c r="B14626" s="17">
        <f t="array" ref="B14626">SUM(1-'Sparkling Model'!D$2:D$38^A14626)</f>
        <v>36.9975291</v>
      </c>
      <c r="C14626" s="8">
        <f t="array" ref="C14626">PRODUCT(1-'Sparkling Model'!D$2:D$38^A14626)</f>
        <v>0.9975312082</v>
      </c>
    </row>
    <row r="14627">
      <c r="A14627" s="6">
        <v>14625.0</v>
      </c>
      <c r="B14627" s="17">
        <f t="array" ref="B14627">SUM(1-'Sparkling Model'!D$2:D$38^A14627)</f>
        <v>36.99753032</v>
      </c>
      <c r="C14627" s="8">
        <f t="array" ref="C14627">PRODUCT(1-'Sparkling Model'!D$2:D$38^A14627)</f>
        <v>0.9975324271</v>
      </c>
    </row>
    <row r="14628">
      <c r="A14628" s="6">
        <v>14626.0</v>
      </c>
      <c r="B14628" s="17">
        <f t="array" ref="B14628">SUM(1-'Sparkling Model'!D$2:D$38^A14628)</f>
        <v>36.99753154</v>
      </c>
      <c r="C14628" s="8">
        <f t="array" ref="C14628">PRODUCT(1-'Sparkling Model'!D$2:D$38^A14628)</f>
        <v>0.9975336455</v>
      </c>
    </row>
    <row r="14629">
      <c r="A14629" s="6">
        <v>14627.0</v>
      </c>
      <c r="B14629" s="17">
        <f t="array" ref="B14629">SUM(1-'Sparkling Model'!D$2:D$38^A14629)</f>
        <v>36.99753276</v>
      </c>
      <c r="C14629" s="8">
        <f t="array" ref="C14629">PRODUCT(1-'Sparkling Model'!D$2:D$38^A14629)</f>
        <v>0.9975348632</v>
      </c>
    </row>
    <row r="14630">
      <c r="A14630" s="6">
        <v>14628.0</v>
      </c>
      <c r="B14630" s="17">
        <f t="array" ref="B14630">SUM(1-'Sparkling Model'!D$2:D$38^A14630)</f>
        <v>36.99753398</v>
      </c>
      <c r="C14630" s="8">
        <f t="array" ref="C14630">PRODUCT(1-'Sparkling Model'!D$2:D$38^A14630)</f>
        <v>0.9975360803</v>
      </c>
    </row>
    <row r="14631">
      <c r="A14631" s="6">
        <v>14629.0</v>
      </c>
      <c r="B14631" s="17">
        <f t="array" ref="B14631">SUM(1-'Sparkling Model'!D$2:D$38^A14631)</f>
        <v>36.9975352</v>
      </c>
      <c r="C14631" s="8">
        <f t="array" ref="C14631">PRODUCT(1-'Sparkling Model'!D$2:D$38^A14631)</f>
        <v>0.9975372969</v>
      </c>
    </row>
    <row r="14632">
      <c r="A14632" s="6">
        <v>14630.0</v>
      </c>
      <c r="B14632" s="17">
        <f t="array" ref="B14632">SUM(1-'Sparkling Model'!D$2:D$38^A14632)</f>
        <v>36.99753642</v>
      </c>
      <c r="C14632" s="8">
        <f t="array" ref="C14632">PRODUCT(1-'Sparkling Model'!D$2:D$38^A14632)</f>
        <v>0.9975385128</v>
      </c>
    </row>
    <row r="14633">
      <c r="A14633" s="6">
        <v>14631.0</v>
      </c>
      <c r="B14633" s="17">
        <f t="array" ref="B14633">SUM(1-'Sparkling Model'!D$2:D$38^A14633)</f>
        <v>36.99753763</v>
      </c>
      <c r="C14633" s="8">
        <f t="array" ref="C14633">PRODUCT(1-'Sparkling Model'!D$2:D$38^A14633)</f>
        <v>0.9975397282</v>
      </c>
    </row>
    <row r="14634">
      <c r="A14634" s="6">
        <v>14632.0</v>
      </c>
      <c r="B14634" s="17">
        <f t="array" ref="B14634">SUM(1-'Sparkling Model'!D$2:D$38^A14634)</f>
        <v>36.99753885</v>
      </c>
      <c r="C14634" s="8">
        <f t="array" ref="C14634">PRODUCT(1-'Sparkling Model'!D$2:D$38^A14634)</f>
        <v>0.9975409429</v>
      </c>
    </row>
    <row r="14635">
      <c r="A14635" s="6">
        <v>14633.0</v>
      </c>
      <c r="B14635" s="17">
        <f t="array" ref="B14635">SUM(1-'Sparkling Model'!D$2:D$38^A14635)</f>
        <v>36.99754007</v>
      </c>
      <c r="C14635" s="8">
        <f t="array" ref="C14635">PRODUCT(1-'Sparkling Model'!D$2:D$38^A14635)</f>
        <v>0.997542157</v>
      </c>
    </row>
    <row r="14636">
      <c r="A14636" s="6">
        <v>14634.0</v>
      </c>
      <c r="B14636" s="17">
        <f t="array" ref="B14636">SUM(1-'Sparkling Model'!D$2:D$38^A14636)</f>
        <v>36.99754128</v>
      </c>
      <c r="C14636" s="8">
        <f t="array" ref="C14636">PRODUCT(1-'Sparkling Model'!D$2:D$38^A14636)</f>
        <v>0.9975433705</v>
      </c>
    </row>
    <row r="14637">
      <c r="A14637" s="6">
        <v>14635.0</v>
      </c>
      <c r="B14637" s="17">
        <f t="array" ref="B14637">SUM(1-'Sparkling Model'!D$2:D$38^A14637)</f>
        <v>36.9975425</v>
      </c>
      <c r="C14637" s="8">
        <f t="array" ref="C14637">PRODUCT(1-'Sparkling Model'!D$2:D$38^A14637)</f>
        <v>0.9975445835</v>
      </c>
    </row>
    <row r="14638">
      <c r="A14638" s="6">
        <v>14636.0</v>
      </c>
      <c r="B14638" s="17">
        <f t="array" ref="B14638">SUM(1-'Sparkling Model'!D$2:D$38^A14638)</f>
        <v>36.99754371</v>
      </c>
      <c r="C14638" s="8">
        <f t="array" ref="C14638">PRODUCT(1-'Sparkling Model'!D$2:D$38^A14638)</f>
        <v>0.9975457958</v>
      </c>
    </row>
    <row r="14639">
      <c r="A14639" s="6">
        <v>14637.0</v>
      </c>
      <c r="B14639" s="17">
        <f t="array" ref="B14639">SUM(1-'Sparkling Model'!D$2:D$38^A14639)</f>
        <v>36.99754493</v>
      </c>
      <c r="C14639" s="8">
        <f t="array" ref="C14639">PRODUCT(1-'Sparkling Model'!D$2:D$38^A14639)</f>
        <v>0.9975470075</v>
      </c>
    </row>
    <row r="14640">
      <c r="A14640" s="6">
        <v>14638.0</v>
      </c>
      <c r="B14640" s="17">
        <f t="array" ref="B14640">SUM(1-'Sparkling Model'!D$2:D$38^A14640)</f>
        <v>36.99754614</v>
      </c>
      <c r="C14640" s="8">
        <f t="array" ref="C14640">PRODUCT(1-'Sparkling Model'!D$2:D$38^A14640)</f>
        <v>0.9975482187</v>
      </c>
    </row>
    <row r="14641">
      <c r="A14641" s="6">
        <v>14639.0</v>
      </c>
      <c r="B14641" s="17">
        <f t="array" ref="B14641">SUM(1-'Sparkling Model'!D$2:D$38^A14641)</f>
        <v>36.99754735</v>
      </c>
      <c r="C14641" s="8">
        <f t="array" ref="C14641">PRODUCT(1-'Sparkling Model'!D$2:D$38^A14641)</f>
        <v>0.9975494292</v>
      </c>
    </row>
    <row r="14642">
      <c r="A14642" s="6">
        <v>14640.0</v>
      </c>
      <c r="B14642" s="17">
        <f t="array" ref="B14642">SUM(1-'Sparkling Model'!D$2:D$38^A14642)</f>
        <v>36.99754856</v>
      </c>
      <c r="C14642" s="8">
        <f t="array" ref="C14642">PRODUCT(1-'Sparkling Model'!D$2:D$38^A14642)</f>
        <v>0.9975506391</v>
      </c>
    </row>
    <row r="14643">
      <c r="A14643" s="6">
        <v>14641.0</v>
      </c>
      <c r="B14643" s="17">
        <f t="array" ref="B14643">SUM(1-'Sparkling Model'!D$2:D$38^A14643)</f>
        <v>36.99754977</v>
      </c>
      <c r="C14643" s="8">
        <f t="array" ref="C14643">PRODUCT(1-'Sparkling Model'!D$2:D$38^A14643)</f>
        <v>0.9975518484</v>
      </c>
    </row>
    <row r="14644">
      <c r="A14644" s="6">
        <v>14642.0</v>
      </c>
      <c r="B14644" s="17">
        <f t="array" ref="B14644">SUM(1-'Sparkling Model'!D$2:D$38^A14644)</f>
        <v>36.99755099</v>
      </c>
      <c r="C14644" s="8">
        <f t="array" ref="C14644">PRODUCT(1-'Sparkling Model'!D$2:D$38^A14644)</f>
        <v>0.9975530572</v>
      </c>
    </row>
    <row r="14645">
      <c r="A14645" s="6">
        <v>14643.0</v>
      </c>
      <c r="B14645" s="17">
        <f t="array" ref="B14645">SUM(1-'Sparkling Model'!D$2:D$38^A14645)</f>
        <v>36.9975522</v>
      </c>
      <c r="C14645" s="8">
        <f t="array" ref="C14645">PRODUCT(1-'Sparkling Model'!D$2:D$38^A14645)</f>
        <v>0.9975542653</v>
      </c>
    </row>
    <row r="14646">
      <c r="A14646" s="6">
        <v>14644.0</v>
      </c>
      <c r="B14646" s="17">
        <f t="array" ref="B14646">SUM(1-'Sparkling Model'!D$2:D$38^A14646)</f>
        <v>36.99755341</v>
      </c>
      <c r="C14646" s="8">
        <f t="array" ref="C14646">PRODUCT(1-'Sparkling Model'!D$2:D$38^A14646)</f>
        <v>0.9975554728</v>
      </c>
    </row>
    <row r="14647">
      <c r="A14647" s="6">
        <v>14645.0</v>
      </c>
      <c r="B14647" s="17">
        <f t="array" ref="B14647">SUM(1-'Sparkling Model'!D$2:D$38^A14647)</f>
        <v>36.99755461</v>
      </c>
      <c r="C14647" s="8">
        <f t="array" ref="C14647">PRODUCT(1-'Sparkling Model'!D$2:D$38^A14647)</f>
        <v>0.9975566798</v>
      </c>
    </row>
    <row r="14648">
      <c r="A14648" s="6">
        <v>14646.0</v>
      </c>
      <c r="B14648" s="17">
        <f t="array" ref="B14648">SUM(1-'Sparkling Model'!D$2:D$38^A14648)</f>
        <v>36.99755582</v>
      </c>
      <c r="C14648" s="8">
        <f t="array" ref="C14648">PRODUCT(1-'Sparkling Model'!D$2:D$38^A14648)</f>
        <v>0.9975578861</v>
      </c>
    </row>
    <row r="14649">
      <c r="A14649" s="6">
        <v>14647.0</v>
      </c>
      <c r="B14649" s="17">
        <f t="array" ref="B14649">SUM(1-'Sparkling Model'!D$2:D$38^A14649)</f>
        <v>36.99755703</v>
      </c>
      <c r="C14649" s="8">
        <f t="array" ref="C14649">PRODUCT(1-'Sparkling Model'!D$2:D$38^A14649)</f>
        <v>0.9975590919</v>
      </c>
    </row>
    <row r="14650">
      <c r="A14650" s="6">
        <v>14648.0</v>
      </c>
      <c r="B14650" s="17">
        <f t="array" ref="B14650">SUM(1-'Sparkling Model'!D$2:D$38^A14650)</f>
        <v>36.99755824</v>
      </c>
      <c r="C14650" s="8">
        <f t="array" ref="C14650">PRODUCT(1-'Sparkling Model'!D$2:D$38^A14650)</f>
        <v>0.997560297</v>
      </c>
    </row>
    <row r="14651">
      <c r="A14651" s="6">
        <v>14649.0</v>
      </c>
      <c r="B14651" s="17">
        <f t="array" ref="B14651">SUM(1-'Sparkling Model'!D$2:D$38^A14651)</f>
        <v>36.99755944</v>
      </c>
      <c r="C14651" s="8">
        <f t="array" ref="C14651">PRODUCT(1-'Sparkling Model'!D$2:D$38^A14651)</f>
        <v>0.9975615016</v>
      </c>
    </row>
    <row r="14652">
      <c r="A14652" s="6">
        <v>14650.0</v>
      </c>
      <c r="B14652" s="17">
        <f t="array" ref="B14652">SUM(1-'Sparkling Model'!D$2:D$38^A14652)</f>
        <v>36.99756065</v>
      </c>
      <c r="C14652" s="8">
        <f t="array" ref="C14652">PRODUCT(1-'Sparkling Model'!D$2:D$38^A14652)</f>
        <v>0.9975627055</v>
      </c>
    </row>
    <row r="14653">
      <c r="A14653" s="6">
        <v>14651.0</v>
      </c>
      <c r="B14653" s="17">
        <f t="array" ref="B14653">SUM(1-'Sparkling Model'!D$2:D$38^A14653)</f>
        <v>36.99756186</v>
      </c>
      <c r="C14653" s="8">
        <f t="array" ref="C14653">PRODUCT(1-'Sparkling Model'!D$2:D$38^A14653)</f>
        <v>0.9975639089</v>
      </c>
    </row>
    <row r="14654">
      <c r="A14654" s="6">
        <v>14652.0</v>
      </c>
      <c r="B14654" s="17">
        <f t="array" ref="B14654">SUM(1-'Sparkling Model'!D$2:D$38^A14654)</f>
        <v>36.99756306</v>
      </c>
      <c r="C14654" s="8">
        <f t="array" ref="C14654">PRODUCT(1-'Sparkling Model'!D$2:D$38^A14654)</f>
        <v>0.9975651116</v>
      </c>
    </row>
    <row r="14655">
      <c r="A14655" s="6">
        <v>14653.0</v>
      </c>
      <c r="B14655" s="17">
        <f t="array" ref="B14655">SUM(1-'Sparkling Model'!D$2:D$38^A14655)</f>
        <v>36.99756426</v>
      </c>
      <c r="C14655" s="8">
        <f t="array" ref="C14655">PRODUCT(1-'Sparkling Model'!D$2:D$38^A14655)</f>
        <v>0.9975663138</v>
      </c>
    </row>
    <row r="14656">
      <c r="A14656" s="6">
        <v>14654.0</v>
      </c>
      <c r="B14656" s="17">
        <f t="array" ref="B14656">SUM(1-'Sparkling Model'!D$2:D$38^A14656)</f>
        <v>36.99756547</v>
      </c>
      <c r="C14656" s="8">
        <f t="array" ref="C14656">PRODUCT(1-'Sparkling Model'!D$2:D$38^A14656)</f>
        <v>0.9975675154</v>
      </c>
    </row>
    <row r="14657">
      <c r="A14657" s="6">
        <v>14655.0</v>
      </c>
      <c r="B14657" s="17">
        <f t="array" ref="B14657">SUM(1-'Sparkling Model'!D$2:D$38^A14657)</f>
        <v>36.99756667</v>
      </c>
      <c r="C14657" s="8">
        <f t="array" ref="C14657">PRODUCT(1-'Sparkling Model'!D$2:D$38^A14657)</f>
        <v>0.9975687163</v>
      </c>
    </row>
    <row r="14658">
      <c r="A14658" s="6">
        <v>14656.0</v>
      </c>
      <c r="B14658" s="17">
        <f t="array" ref="B14658">SUM(1-'Sparkling Model'!D$2:D$38^A14658)</f>
        <v>36.99756787</v>
      </c>
      <c r="C14658" s="8">
        <f t="array" ref="C14658">PRODUCT(1-'Sparkling Model'!D$2:D$38^A14658)</f>
        <v>0.9975699167</v>
      </c>
    </row>
    <row r="14659">
      <c r="A14659" s="6">
        <v>14657.0</v>
      </c>
      <c r="B14659" s="17">
        <f t="array" ref="B14659">SUM(1-'Sparkling Model'!D$2:D$38^A14659)</f>
        <v>36.99756908</v>
      </c>
      <c r="C14659" s="8">
        <f t="array" ref="C14659">PRODUCT(1-'Sparkling Model'!D$2:D$38^A14659)</f>
        <v>0.9975711165</v>
      </c>
    </row>
    <row r="14660">
      <c r="A14660" s="6">
        <v>14658.0</v>
      </c>
      <c r="B14660" s="17">
        <f t="array" ref="B14660">SUM(1-'Sparkling Model'!D$2:D$38^A14660)</f>
        <v>36.99757028</v>
      </c>
      <c r="C14660" s="8">
        <f t="array" ref="C14660">PRODUCT(1-'Sparkling Model'!D$2:D$38^A14660)</f>
        <v>0.9975723157</v>
      </c>
    </row>
    <row r="14661">
      <c r="A14661" s="6">
        <v>14659.0</v>
      </c>
      <c r="B14661" s="17">
        <f t="array" ref="B14661">SUM(1-'Sparkling Model'!D$2:D$38^A14661)</f>
        <v>36.99757148</v>
      </c>
      <c r="C14661" s="8">
        <f t="array" ref="C14661">PRODUCT(1-'Sparkling Model'!D$2:D$38^A14661)</f>
        <v>0.9975735143</v>
      </c>
    </row>
    <row r="14662">
      <c r="A14662" s="6">
        <v>14660.0</v>
      </c>
      <c r="B14662" s="17">
        <f t="array" ref="B14662">SUM(1-'Sparkling Model'!D$2:D$38^A14662)</f>
        <v>36.99757268</v>
      </c>
      <c r="C14662" s="8">
        <f t="array" ref="C14662">PRODUCT(1-'Sparkling Model'!D$2:D$38^A14662)</f>
        <v>0.9975747123</v>
      </c>
    </row>
    <row r="14663">
      <c r="A14663" s="6">
        <v>14661.0</v>
      </c>
      <c r="B14663" s="17">
        <f t="array" ref="B14663">SUM(1-'Sparkling Model'!D$2:D$38^A14663)</f>
        <v>36.99757388</v>
      </c>
      <c r="C14663" s="8">
        <f t="array" ref="C14663">PRODUCT(1-'Sparkling Model'!D$2:D$38^A14663)</f>
        <v>0.9975759097</v>
      </c>
    </row>
    <row r="14664">
      <c r="A14664" s="6">
        <v>14662.0</v>
      </c>
      <c r="B14664" s="17">
        <f t="array" ref="B14664">SUM(1-'Sparkling Model'!D$2:D$38^A14664)</f>
        <v>36.99757508</v>
      </c>
      <c r="C14664" s="8">
        <f t="array" ref="C14664">PRODUCT(1-'Sparkling Model'!D$2:D$38^A14664)</f>
        <v>0.9975771065</v>
      </c>
    </row>
    <row r="14665">
      <c r="A14665" s="6">
        <v>14663.0</v>
      </c>
      <c r="B14665" s="17">
        <f t="array" ref="B14665">SUM(1-'Sparkling Model'!D$2:D$38^A14665)</f>
        <v>36.99757627</v>
      </c>
      <c r="C14665" s="8">
        <f t="array" ref="C14665">PRODUCT(1-'Sparkling Model'!D$2:D$38^A14665)</f>
        <v>0.9975783027</v>
      </c>
    </row>
    <row r="14666">
      <c r="A14666" s="6">
        <v>14664.0</v>
      </c>
      <c r="B14666" s="17">
        <f t="array" ref="B14666">SUM(1-'Sparkling Model'!D$2:D$38^A14666)</f>
        <v>36.99757747</v>
      </c>
      <c r="C14666" s="8">
        <f t="array" ref="C14666">PRODUCT(1-'Sparkling Model'!D$2:D$38^A14666)</f>
        <v>0.9975794984</v>
      </c>
    </row>
    <row r="14667">
      <c r="A14667" s="6">
        <v>14665.0</v>
      </c>
      <c r="B14667" s="17">
        <f t="array" ref="B14667">SUM(1-'Sparkling Model'!D$2:D$38^A14667)</f>
        <v>36.99757867</v>
      </c>
      <c r="C14667" s="8">
        <f t="array" ref="C14667">PRODUCT(1-'Sparkling Model'!D$2:D$38^A14667)</f>
        <v>0.9975806934</v>
      </c>
    </row>
    <row r="14668">
      <c r="A14668" s="6">
        <v>14666.0</v>
      </c>
      <c r="B14668" s="17">
        <f t="array" ref="B14668">SUM(1-'Sparkling Model'!D$2:D$38^A14668)</f>
        <v>36.99757986</v>
      </c>
      <c r="C14668" s="8">
        <f t="array" ref="C14668">PRODUCT(1-'Sparkling Model'!D$2:D$38^A14668)</f>
        <v>0.9975818879</v>
      </c>
    </row>
    <row r="14669">
      <c r="A14669" s="6">
        <v>14667.0</v>
      </c>
      <c r="B14669" s="17">
        <f t="array" ref="B14669">SUM(1-'Sparkling Model'!D$2:D$38^A14669)</f>
        <v>36.99758106</v>
      </c>
      <c r="C14669" s="8">
        <f t="array" ref="C14669">PRODUCT(1-'Sparkling Model'!D$2:D$38^A14669)</f>
        <v>0.9975830817</v>
      </c>
    </row>
    <row r="14670">
      <c r="A14670" s="6">
        <v>14668.0</v>
      </c>
      <c r="B14670" s="17">
        <f t="array" ref="B14670">SUM(1-'Sparkling Model'!D$2:D$38^A14670)</f>
        <v>36.99758226</v>
      </c>
      <c r="C14670" s="8">
        <f t="array" ref="C14670">PRODUCT(1-'Sparkling Model'!D$2:D$38^A14670)</f>
        <v>0.997584275</v>
      </c>
    </row>
    <row r="14671">
      <c r="A14671" s="6">
        <v>14669.0</v>
      </c>
      <c r="B14671" s="17">
        <f t="array" ref="B14671">SUM(1-'Sparkling Model'!D$2:D$38^A14671)</f>
        <v>36.99758345</v>
      </c>
      <c r="C14671" s="8">
        <f t="array" ref="C14671">PRODUCT(1-'Sparkling Model'!D$2:D$38^A14671)</f>
        <v>0.9975854677</v>
      </c>
    </row>
    <row r="14672">
      <c r="A14672" s="6">
        <v>14670.0</v>
      </c>
      <c r="B14672" s="17">
        <f t="array" ref="B14672">SUM(1-'Sparkling Model'!D$2:D$38^A14672)</f>
        <v>36.99758464</v>
      </c>
      <c r="C14672" s="8">
        <f t="array" ref="C14672">PRODUCT(1-'Sparkling Model'!D$2:D$38^A14672)</f>
        <v>0.9975866598</v>
      </c>
    </row>
    <row r="14673">
      <c r="A14673" s="6">
        <v>14671.0</v>
      </c>
      <c r="B14673" s="17">
        <f t="array" ref="B14673">SUM(1-'Sparkling Model'!D$2:D$38^A14673)</f>
        <v>36.99758584</v>
      </c>
      <c r="C14673" s="8">
        <f t="array" ref="C14673">PRODUCT(1-'Sparkling Model'!D$2:D$38^A14673)</f>
        <v>0.9975878513</v>
      </c>
    </row>
    <row r="14674">
      <c r="A14674" s="6">
        <v>14672.0</v>
      </c>
      <c r="B14674" s="17">
        <f t="array" ref="B14674">SUM(1-'Sparkling Model'!D$2:D$38^A14674)</f>
        <v>36.99758703</v>
      </c>
      <c r="C14674" s="8">
        <f t="array" ref="C14674">PRODUCT(1-'Sparkling Model'!D$2:D$38^A14674)</f>
        <v>0.9975890422</v>
      </c>
    </row>
    <row r="14675">
      <c r="A14675" s="6">
        <v>14673.0</v>
      </c>
      <c r="B14675" s="17">
        <f t="array" ref="B14675">SUM(1-'Sparkling Model'!D$2:D$38^A14675)</f>
        <v>36.99758822</v>
      </c>
      <c r="C14675" s="8">
        <f t="array" ref="C14675">PRODUCT(1-'Sparkling Model'!D$2:D$38^A14675)</f>
        <v>0.9975902325</v>
      </c>
    </row>
    <row r="14676">
      <c r="A14676" s="6">
        <v>14674.0</v>
      </c>
      <c r="B14676" s="17">
        <f t="array" ref="B14676">SUM(1-'Sparkling Model'!D$2:D$38^A14676)</f>
        <v>36.99758942</v>
      </c>
      <c r="C14676" s="8">
        <f t="array" ref="C14676">PRODUCT(1-'Sparkling Model'!D$2:D$38^A14676)</f>
        <v>0.9975914222</v>
      </c>
    </row>
    <row r="14677">
      <c r="A14677" s="6">
        <v>14675.0</v>
      </c>
      <c r="B14677" s="17">
        <f t="array" ref="B14677">SUM(1-'Sparkling Model'!D$2:D$38^A14677)</f>
        <v>36.99759061</v>
      </c>
      <c r="C14677" s="8">
        <f t="array" ref="C14677">PRODUCT(1-'Sparkling Model'!D$2:D$38^A14677)</f>
        <v>0.9975926113</v>
      </c>
    </row>
    <row r="14678">
      <c r="A14678" s="6">
        <v>14676.0</v>
      </c>
      <c r="B14678" s="17">
        <f t="array" ref="B14678">SUM(1-'Sparkling Model'!D$2:D$38^A14678)</f>
        <v>36.9975918</v>
      </c>
      <c r="C14678" s="8">
        <f t="array" ref="C14678">PRODUCT(1-'Sparkling Model'!D$2:D$38^A14678)</f>
        <v>0.9975937999</v>
      </c>
    </row>
    <row r="14679">
      <c r="A14679" s="6">
        <v>14677.0</v>
      </c>
      <c r="B14679" s="17">
        <f t="array" ref="B14679">SUM(1-'Sparkling Model'!D$2:D$38^A14679)</f>
        <v>36.99759299</v>
      </c>
      <c r="C14679" s="8">
        <f t="array" ref="C14679">PRODUCT(1-'Sparkling Model'!D$2:D$38^A14679)</f>
        <v>0.9975949879</v>
      </c>
    </row>
    <row r="14680">
      <c r="A14680" s="6">
        <v>14678.0</v>
      </c>
      <c r="B14680" s="17">
        <f t="array" ref="B14680">SUM(1-'Sparkling Model'!D$2:D$38^A14680)</f>
        <v>36.99759418</v>
      </c>
      <c r="C14680" s="8">
        <f t="array" ref="C14680">PRODUCT(1-'Sparkling Model'!D$2:D$38^A14680)</f>
        <v>0.9975961752</v>
      </c>
    </row>
    <row r="14681">
      <c r="A14681" s="6">
        <v>14679.0</v>
      </c>
      <c r="B14681" s="17">
        <f t="array" ref="B14681">SUM(1-'Sparkling Model'!D$2:D$38^A14681)</f>
        <v>36.99759537</v>
      </c>
      <c r="C14681" s="8">
        <f t="array" ref="C14681">PRODUCT(1-'Sparkling Model'!D$2:D$38^A14681)</f>
        <v>0.997597362</v>
      </c>
    </row>
    <row r="14682">
      <c r="A14682" s="6">
        <v>14680.0</v>
      </c>
      <c r="B14682" s="17">
        <f t="array" ref="B14682">SUM(1-'Sparkling Model'!D$2:D$38^A14682)</f>
        <v>36.99759655</v>
      </c>
      <c r="C14682" s="8">
        <f t="array" ref="C14682">PRODUCT(1-'Sparkling Model'!D$2:D$38^A14682)</f>
        <v>0.9975985482</v>
      </c>
    </row>
    <row r="14683">
      <c r="A14683" s="6">
        <v>14681.0</v>
      </c>
      <c r="B14683" s="17">
        <f t="array" ref="B14683">SUM(1-'Sparkling Model'!D$2:D$38^A14683)</f>
        <v>36.99759774</v>
      </c>
      <c r="C14683" s="8">
        <f t="array" ref="C14683">PRODUCT(1-'Sparkling Model'!D$2:D$38^A14683)</f>
        <v>0.9975997338</v>
      </c>
    </row>
    <row r="14684">
      <c r="A14684" s="6">
        <v>14682.0</v>
      </c>
      <c r="B14684" s="17">
        <f t="array" ref="B14684">SUM(1-'Sparkling Model'!D$2:D$38^A14684)</f>
        <v>36.99759893</v>
      </c>
      <c r="C14684" s="8">
        <f t="array" ref="C14684">PRODUCT(1-'Sparkling Model'!D$2:D$38^A14684)</f>
        <v>0.9976009188</v>
      </c>
    </row>
    <row r="14685">
      <c r="A14685" s="6">
        <v>14683.0</v>
      </c>
      <c r="B14685" s="17">
        <f t="array" ref="B14685">SUM(1-'Sparkling Model'!D$2:D$38^A14685)</f>
        <v>36.99760011</v>
      </c>
      <c r="C14685" s="8">
        <f t="array" ref="C14685">PRODUCT(1-'Sparkling Model'!D$2:D$38^A14685)</f>
        <v>0.9976021033</v>
      </c>
    </row>
    <row r="14686">
      <c r="A14686" s="6">
        <v>14684.0</v>
      </c>
      <c r="B14686" s="17">
        <f t="array" ref="B14686">SUM(1-'Sparkling Model'!D$2:D$38^A14686)</f>
        <v>36.9976013</v>
      </c>
      <c r="C14686" s="8">
        <f t="array" ref="C14686">PRODUCT(1-'Sparkling Model'!D$2:D$38^A14686)</f>
        <v>0.9976032871</v>
      </c>
    </row>
    <row r="14687">
      <c r="A14687" s="6">
        <v>14685.0</v>
      </c>
      <c r="B14687" s="17">
        <f t="array" ref="B14687">SUM(1-'Sparkling Model'!D$2:D$38^A14687)</f>
        <v>36.99760249</v>
      </c>
      <c r="C14687" s="8">
        <f t="array" ref="C14687">PRODUCT(1-'Sparkling Model'!D$2:D$38^A14687)</f>
        <v>0.9976044704</v>
      </c>
    </row>
    <row r="14688">
      <c r="A14688" s="6">
        <v>14686.0</v>
      </c>
      <c r="B14688" s="17">
        <f t="array" ref="B14688">SUM(1-'Sparkling Model'!D$2:D$38^A14688)</f>
        <v>36.99760367</v>
      </c>
      <c r="C14688" s="8">
        <f t="array" ref="C14688">PRODUCT(1-'Sparkling Model'!D$2:D$38^A14688)</f>
        <v>0.9976056531</v>
      </c>
    </row>
    <row r="14689">
      <c r="A14689" s="6">
        <v>14687.0</v>
      </c>
      <c r="B14689" s="17">
        <f t="array" ref="B14689">SUM(1-'Sparkling Model'!D$2:D$38^A14689)</f>
        <v>36.99760485</v>
      </c>
      <c r="C14689" s="8">
        <f t="array" ref="C14689">PRODUCT(1-'Sparkling Model'!D$2:D$38^A14689)</f>
        <v>0.9976068352</v>
      </c>
    </row>
    <row r="14690">
      <c r="A14690" s="6">
        <v>14688.0</v>
      </c>
      <c r="B14690" s="17">
        <f t="array" ref="B14690">SUM(1-'Sparkling Model'!D$2:D$38^A14690)</f>
        <v>36.99760604</v>
      </c>
      <c r="C14690" s="8">
        <f t="array" ref="C14690">PRODUCT(1-'Sparkling Model'!D$2:D$38^A14690)</f>
        <v>0.9976080167</v>
      </c>
    </row>
    <row r="14691">
      <c r="A14691" s="6">
        <v>14689.0</v>
      </c>
      <c r="B14691" s="17">
        <f t="array" ref="B14691">SUM(1-'Sparkling Model'!D$2:D$38^A14691)</f>
        <v>36.99760722</v>
      </c>
      <c r="C14691" s="8">
        <f t="array" ref="C14691">PRODUCT(1-'Sparkling Model'!D$2:D$38^A14691)</f>
        <v>0.9976091976</v>
      </c>
    </row>
    <row r="14692">
      <c r="A14692" s="6">
        <v>14690.0</v>
      </c>
      <c r="B14692" s="17">
        <f t="array" ref="B14692">SUM(1-'Sparkling Model'!D$2:D$38^A14692)</f>
        <v>36.9976084</v>
      </c>
      <c r="C14692" s="8">
        <f t="array" ref="C14692">PRODUCT(1-'Sparkling Model'!D$2:D$38^A14692)</f>
        <v>0.9976103779</v>
      </c>
    </row>
    <row r="14693">
      <c r="A14693" s="6">
        <v>14691.0</v>
      </c>
      <c r="B14693" s="17">
        <f t="array" ref="B14693">SUM(1-'Sparkling Model'!D$2:D$38^A14693)</f>
        <v>36.99760958</v>
      </c>
      <c r="C14693" s="8">
        <f t="array" ref="C14693">PRODUCT(1-'Sparkling Model'!D$2:D$38^A14693)</f>
        <v>0.9976115577</v>
      </c>
    </row>
    <row r="14694">
      <c r="A14694" s="6">
        <v>14692.0</v>
      </c>
      <c r="B14694" s="17">
        <f t="array" ref="B14694">SUM(1-'Sparkling Model'!D$2:D$38^A14694)</f>
        <v>36.99761077</v>
      </c>
      <c r="C14694" s="8">
        <f t="array" ref="C14694">PRODUCT(1-'Sparkling Model'!D$2:D$38^A14694)</f>
        <v>0.9976127369</v>
      </c>
    </row>
    <row r="14695">
      <c r="A14695" s="6">
        <v>14693.0</v>
      </c>
      <c r="B14695" s="17">
        <f t="array" ref="B14695">SUM(1-'Sparkling Model'!D$2:D$38^A14695)</f>
        <v>36.99761195</v>
      </c>
      <c r="C14695" s="8">
        <f t="array" ref="C14695">PRODUCT(1-'Sparkling Model'!D$2:D$38^A14695)</f>
        <v>0.9976139154</v>
      </c>
    </row>
    <row r="14696">
      <c r="A14696" s="6">
        <v>14694.0</v>
      </c>
      <c r="B14696" s="17">
        <f t="array" ref="B14696">SUM(1-'Sparkling Model'!D$2:D$38^A14696)</f>
        <v>36.99761313</v>
      </c>
      <c r="C14696" s="8">
        <f t="array" ref="C14696">PRODUCT(1-'Sparkling Model'!D$2:D$38^A14696)</f>
        <v>0.9976150934</v>
      </c>
    </row>
    <row r="14697">
      <c r="A14697" s="6">
        <v>14695.0</v>
      </c>
      <c r="B14697" s="17">
        <f t="array" ref="B14697">SUM(1-'Sparkling Model'!D$2:D$38^A14697)</f>
        <v>36.99761431</v>
      </c>
      <c r="C14697" s="8">
        <f t="array" ref="C14697">PRODUCT(1-'Sparkling Model'!D$2:D$38^A14697)</f>
        <v>0.9976162709</v>
      </c>
    </row>
    <row r="14698">
      <c r="A14698" s="6">
        <v>14696.0</v>
      </c>
      <c r="B14698" s="17">
        <f t="array" ref="B14698">SUM(1-'Sparkling Model'!D$2:D$38^A14698)</f>
        <v>36.99761548</v>
      </c>
      <c r="C14698" s="8">
        <f t="array" ref="C14698">PRODUCT(1-'Sparkling Model'!D$2:D$38^A14698)</f>
        <v>0.9976174477</v>
      </c>
    </row>
    <row r="14699">
      <c r="A14699" s="6">
        <v>14697.0</v>
      </c>
      <c r="B14699" s="17">
        <f t="array" ref="B14699">SUM(1-'Sparkling Model'!D$2:D$38^A14699)</f>
        <v>36.99761666</v>
      </c>
      <c r="C14699" s="8">
        <f t="array" ref="C14699">PRODUCT(1-'Sparkling Model'!D$2:D$38^A14699)</f>
        <v>0.9976186239</v>
      </c>
    </row>
    <row r="14700">
      <c r="A14700" s="6">
        <v>14698.0</v>
      </c>
      <c r="B14700" s="17">
        <f t="array" ref="B14700">SUM(1-'Sparkling Model'!D$2:D$38^A14700)</f>
        <v>36.99761784</v>
      </c>
      <c r="C14700" s="8">
        <f t="array" ref="C14700">PRODUCT(1-'Sparkling Model'!D$2:D$38^A14700)</f>
        <v>0.9976197996</v>
      </c>
    </row>
    <row r="14701">
      <c r="A14701" s="6">
        <v>14699.0</v>
      </c>
      <c r="B14701" s="17">
        <f t="array" ref="B14701">SUM(1-'Sparkling Model'!D$2:D$38^A14701)</f>
        <v>36.99761902</v>
      </c>
      <c r="C14701" s="8">
        <f t="array" ref="C14701">PRODUCT(1-'Sparkling Model'!D$2:D$38^A14701)</f>
        <v>0.9976209747</v>
      </c>
    </row>
    <row r="14702">
      <c r="A14702" s="6">
        <v>14700.0</v>
      </c>
      <c r="B14702" s="17">
        <f t="array" ref="B14702">SUM(1-'Sparkling Model'!D$2:D$38^A14702)</f>
        <v>36.99762019</v>
      </c>
      <c r="C14702" s="8">
        <f t="array" ref="C14702">PRODUCT(1-'Sparkling Model'!D$2:D$38^A14702)</f>
        <v>0.9976221492</v>
      </c>
    </row>
    <row r="14703">
      <c r="A14703" s="6">
        <v>14701.0</v>
      </c>
      <c r="B14703" s="17">
        <f t="array" ref="B14703">SUM(1-'Sparkling Model'!D$2:D$38^A14703)</f>
        <v>36.99762137</v>
      </c>
      <c r="C14703" s="8">
        <f t="array" ref="C14703">PRODUCT(1-'Sparkling Model'!D$2:D$38^A14703)</f>
        <v>0.9976233231</v>
      </c>
    </row>
    <row r="14704">
      <c r="A14704" s="6">
        <v>14702.0</v>
      </c>
      <c r="B14704" s="17">
        <f t="array" ref="B14704">SUM(1-'Sparkling Model'!D$2:D$38^A14704)</f>
        <v>36.99762254</v>
      </c>
      <c r="C14704" s="8">
        <f t="array" ref="C14704">PRODUCT(1-'Sparkling Model'!D$2:D$38^A14704)</f>
        <v>0.9976244965</v>
      </c>
    </row>
    <row r="14705">
      <c r="A14705" s="6">
        <v>14703.0</v>
      </c>
      <c r="B14705" s="17">
        <f t="array" ref="B14705">SUM(1-'Sparkling Model'!D$2:D$38^A14705)</f>
        <v>36.99762372</v>
      </c>
      <c r="C14705" s="8">
        <f t="array" ref="C14705">PRODUCT(1-'Sparkling Model'!D$2:D$38^A14705)</f>
        <v>0.9976256692</v>
      </c>
    </row>
    <row r="14706">
      <c r="A14706" s="6">
        <v>14704.0</v>
      </c>
      <c r="B14706" s="17">
        <f t="array" ref="B14706">SUM(1-'Sparkling Model'!D$2:D$38^A14706)</f>
        <v>36.99762489</v>
      </c>
      <c r="C14706" s="8">
        <f t="array" ref="C14706">PRODUCT(1-'Sparkling Model'!D$2:D$38^A14706)</f>
        <v>0.9976268414</v>
      </c>
    </row>
    <row r="14707">
      <c r="A14707" s="6">
        <v>14705.0</v>
      </c>
      <c r="B14707" s="17">
        <f t="array" ref="B14707">SUM(1-'Sparkling Model'!D$2:D$38^A14707)</f>
        <v>36.99762607</v>
      </c>
      <c r="C14707" s="8">
        <f t="array" ref="C14707">PRODUCT(1-'Sparkling Model'!D$2:D$38^A14707)</f>
        <v>0.997628013</v>
      </c>
    </row>
    <row r="14708">
      <c r="A14708" s="6">
        <v>14706.0</v>
      </c>
      <c r="B14708" s="17">
        <f t="array" ref="B14708">SUM(1-'Sparkling Model'!D$2:D$38^A14708)</f>
        <v>36.99762724</v>
      </c>
      <c r="C14708" s="8">
        <f t="array" ref="C14708">PRODUCT(1-'Sparkling Model'!D$2:D$38^A14708)</f>
        <v>0.9976291841</v>
      </c>
    </row>
    <row r="14709">
      <c r="A14709" s="6">
        <v>14707.0</v>
      </c>
      <c r="B14709" s="17">
        <f t="array" ref="B14709">SUM(1-'Sparkling Model'!D$2:D$38^A14709)</f>
        <v>36.99762841</v>
      </c>
      <c r="C14709" s="8">
        <f t="array" ref="C14709">PRODUCT(1-'Sparkling Model'!D$2:D$38^A14709)</f>
        <v>0.9976303545</v>
      </c>
    </row>
    <row r="14710">
      <c r="A14710" s="6">
        <v>14708.0</v>
      </c>
      <c r="B14710" s="17">
        <f t="array" ref="B14710">SUM(1-'Sparkling Model'!D$2:D$38^A14710)</f>
        <v>36.99762958</v>
      </c>
      <c r="C14710" s="8">
        <f t="array" ref="C14710">PRODUCT(1-'Sparkling Model'!D$2:D$38^A14710)</f>
        <v>0.9976315244</v>
      </c>
    </row>
    <row r="14711">
      <c r="A14711" s="6">
        <v>14709.0</v>
      </c>
      <c r="B14711" s="17">
        <f t="array" ref="B14711">SUM(1-'Sparkling Model'!D$2:D$38^A14711)</f>
        <v>36.99763076</v>
      </c>
      <c r="C14711" s="8">
        <f t="array" ref="C14711">PRODUCT(1-'Sparkling Model'!D$2:D$38^A14711)</f>
        <v>0.9976326936</v>
      </c>
    </row>
    <row r="14712">
      <c r="A14712" s="6">
        <v>14710.0</v>
      </c>
      <c r="B14712" s="17">
        <f t="array" ref="B14712">SUM(1-'Sparkling Model'!D$2:D$38^A14712)</f>
        <v>36.99763193</v>
      </c>
      <c r="C14712" s="8">
        <f t="array" ref="C14712">PRODUCT(1-'Sparkling Model'!D$2:D$38^A14712)</f>
        <v>0.9976338623</v>
      </c>
    </row>
    <row r="14713">
      <c r="A14713" s="6">
        <v>14711.0</v>
      </c>
      <c r="B14713" s="17">
        <f t="array" ref="B14713">SUM(1-'Sparkling Model'!D$2:D$38^A14713)</f>
        <v>36.9976331</v>
      </c>
      <c r="C14713" s="8">
        <f t="array" ref="C14713">PRODUCT(1-'Sparkling Model'!D$2:D$38^A14713)</f>
        <v>0.9976350305</v>
      </c>
    </row>
    <row r="14714">
      <c r="A14714" s="6">
        <v>14712.0</v>
      </c>
      <c r="B14714" s="17">
        <f t="array" ref="B14714">SUM(1-'Sparkling Model'!D$2:D$38^A14714)</f>
        <v>36.99763427</v>
      </c>
      <c r="C14714" s="8">
        <f t="array" ref="C14714">PRODUCT(1-'Sparkling Model'!D$2:D$38^A14714)</f>
        <v>0.997636198</v>
      </c>
    </row>
    <row r="14715">
      <c r="A14715" s="6">
        <v>14713.0</v>
      </c>
      <c r="B14715" s="17">
        <f t="array" ref="B14715">SUM(1-'Sparkling Model'!D$2:D$38^A14715)</f>
        <v>36.99763543</v>
      </c>
      <c r="C14715" s="8">
        <f t="array" ref="C14715">PRODUCT(1-'Sparkling Model'!D$2:D$38^A14715)</f>
        <v>0.997637365</v>
      </c>
    </row>
    <row r="14716">
      <c r="A14716" s="6">
        <v>14714.0</v>
      </c>
      <c r="B14716" s="17">
        <f t="array" ref="B14716">SUM(1-'Sparkling Model'!D$2:D$38^A14716)</f>
        <v>36.9976366</v>
      </c>
      <c r="C14716" s="8">
        <f t="array" ref="C14716">PRODUCT(1-'Sparkling Model'!D$2:D$38^A14716)</f>
        <v>0.9976385314</v>
      </c>
    </row>
    <row r="14717">
      <c r="A14717" s="6">
        <v>14715.0</v>
      </c>
      <c r="B14717" s="17">
        <f t="array" ref="B14717">SUM(1-'Sparkling Model'!D$2:D$38^A14717)</f>
        <v>36.99763777</v>
      </c>
      <c r="C14717" s="8">
        <f t="array" ref="C14717">PRODUCT(1-'Sparkling Model'!D$2:D$38^A14717)</f>
        <v>0.9976396972</v>
      </c>
    </row>
    <row r="14718">
      <c r="A14718" s="6">
        <v>14716.0</v>
      </c>
      <c r="B14718" s="17">
        <f t="array" ref="B14718">SUM(1-'Sparkling Model'!D$2:D$38^A14718)</f>
        <v>36.99763894</v>
      </c>
      <c r="C14718" s="8">
        <f t="array" ref="C14718">PRODUCT(1-'Sparkling Model'!D$2:D$38^A14718)</f>
        <v>0.9976408624</v>
      </c>
    </row>
    <row r="14719">
      <c r="A14719" s="6">
        <v>14717.0</v>
      </c>
      <c r="B14719" s="17">
        <f t="array" ref="B14719">SUM(1-'Sparkling Model'!D$2:D$38^A14719)</f>
        <v>36.9976401</v>
      </c>
      <c r="C14719" s="8">
        <f t="array" ref="C14719">PRODUCT(1-'Sparkling Model'!D$2:D$38^A14719)</f>
        <v>0.9976420271</v>
      </c>
    </row>
    <row r="14720">
      <c r="A14720" s="6">
        <v>14718.0</v>
      </c>
      <c r="B14720" s="17">
        <f t="array" ref="B14720">SUM(1-'Sparkling Model'!D$2:D$38^A14720)</f>
        <v>36.99764127</v>
      </c>
      <c r="C14720" s="8">
        <f t="array" ref="C14720">PRODUCT(1-'Sparkling Model'!D$2:D$38^A14720)</f>
        <v>0.9976431912</v>
      </c>
    </row>
    <row r="14721">
      <c r="A14721" s="6">
        <v>14719.0</v>
      </c>
      <c r="B14721" s="17">
        <f t="array" ref="B14721">SUM(1-'Sparkling Model'!D$2:D$38^A14721)</f>
        <v>36.99764244</v>
      </c>
      <c r="C14721" s="8">
        <f t="array" ref="C14721">PRODUCT(1-'Sparkling Model'!D$2:D$38^A14721)</f>
        <v>0.9976443547</v>
      </c>
    </row>
    <row r="14722">
      <c r="A14722" s="6">
        <v>14720.0</v>
      </c>
      <c r="B14722" s="17">
        <f t="array" ref="B14722">SUM(1-'Sparkling Model'!D$2:D$38^A14722)</f>
        <v>36.9976436</v>
      </c>
      <c r="C14722" s="8">
        <f t="array" ref="C14722">PRODUCT(1-'Sparkling Model'!D$2:D$38^A14722)</f>
        <v>0.9976455176</v>
      </c>
    </row>
    <row r="14723">
      <c r="A14723" s="6">
        <v>14721.0</v>
      </c>
      <c r="B14723" s="17">
        <f t="array" ref="B14723">SUM(1-'Sparkling Model'!D$2:D$38^A14723)</f>
        <v>36.99764476</v>
      </c>
      <c r="C14723" s="8">
        <f t="array" ref="C14723">PRODUCT(1-'Sparkling Model'!D$2:D$38^A14723)</f>
        <v>0.99764668</v>
      </c>
    </row>
    <row r="14724">
      <c r="A14724" s="6">
        <v>14722.0</v>
      </c>
      <c r="B14724" s="17">
        <f t="array" ref="B14724">SUM(1-'Sparkling Model'!D$2:D$38^A14724)</f>
        <v>36.99764593</v>
      </c>
      <c r="C14724" s="8">
        <f t="array" ref="C14724">PRODUCT(1-'Sparkling Model'!D$2:D$38^A14724)</f>
        <v>0.9976478418</v>
      </c>
    </row>
    <row r="14725">
      <c r="A14725" s="6">
        <v>14723.0</v>
      </c>
      <c r="B14725" s="17">
        <f t="array" ref="B14725">SUM(1-'Sparkling Model'!D$2:D$38^A14725)</f>
        <v>36.99764709</v>
      </c>
      <c r="C14725" s="8">
        <f t="array" ref="C14725">PRODUCT(1-'Sparkling Model'!D$2:D$38^A14725)</f>
        <v>0.997649003</v>
      </c>
    </row>
    <row r="14726">
      <c r="A14726" s="6">
        <v>14724.0</v>
      </c>
      <c r="B14726" s="17">
        <f t="array" ref="B14726">SUM(1-'Sparkling Model'!D$2:D$38^A14726)</f>
        <v>36.99764825</v>
      </c>
      <c r="C14726" s="8">
        <f t="array" ref="C14726">PRODUCT(1-'Sparkling Model'!D$2:D$38^A14726)</f>
        <v>0.9976501636</v>
      </c>
    </row>
    <row r="14727">
      <c r="A14727" s="6">
        <v>14725.0</v>
      </c>
      <c r="B14727" s="17">
        <f t="array" ref="B14727">SUM(1-'Sparkling Model'!D$2:D$38^A14727)</f>
        <v>36.99764942</v>
      </c>
      <c r="C14727" s="8">
        <f t="array" ref="C14727">PRODUCT(1-'Sparkling Model'!D$2:D$38^A14727)</f>
        <v>0.9976513237</v>
      </c>
    </row>
    <row r="14728">
      <c r="A14728" s="6">
        <v>14726.0</v>
      </c>
      <c r="B14728" s="17">
        <f t="array" ref="B14728">SUM(1-'Sparkling Model'!D$2:D$38^A14728)</f>
        <v>36.99765058</v>
      </c>
      <c r="C14728" s="8">
        <f t="array" ref="C14728">PRODUCT(1-'Sparkling Model'!D$2:D$38^A14728)</f>
        <v>0.9976524831</v>
      </c>
    </row>
    <row r="14729">
      <c r="A14729" s="6">
        <v>14727.0</v>
      </c>
      <c r="B14729" s="17">
        <f t="array" ref="B14729">SUM(1-'Sparkling Model'!D$2:D$38^A14729)</f>
        <v>36.99765174</v>
      </c>
      <c r="C14729" s="8">
        <f t="array" ref="C14729">PRODUCT(1-'Sparkling Model'!D$2:D$38^A14729)</f>
        <v>0.997653642</v>
      </c>
    </row>
    <row r="14730">
      <c r="A14730" s="6">
        <v>14728.0</v>
      </c>
      <c r="B14730" s="17">
        <f t="array" ref="B14730">SUM(1-'Sparkling Model'!D$2:D$38^A14730)</f>
        <v>36.9976529</v>
      </c>
      <c r="C14730" s="8">
        <f t="array" ref="C14730">PRODUCT(1-'Sparkling Model'!D$2:D$38^A14730)</f>
        <v>0.9976548004</v>
      </c>
    </row>
    <row r="14731">
      <c r="A14731" s="6">
        <v>14729.0</v>
      </c>
      <c r="B14731" s="17">
        <f t="array" ref="B14731">SUM(1-'Sparkling Model'!D$2:D$38^A14731)</f>
        <v>36.99765406</v>
      </c>
      <c r="C14731" s="8">
        <f t="array" ref="C14731">PRODUCT(1-'Sparkling Model'!D$2:D$38^A14731)</f>
        <v>0.9976559581</v>
      </c>
    </row>
    <row r="14732">
      <c r="A14732" s="6">
        <v>14730.0</v>
      </c>
      <c r="B14732" s="17">
        <f t="array" ref="B14732">SUM(1-'Sparkling Model'!D$2:D$38^A14732)</f>
        <v>36.99765522</v>
      </c>
      <c r="C14732" s="8">
        <f t="array" ref="C14732">PRODUCT(1-'Sparkling Model'!D$2:D$38^A14732)</f>
        <v>0.9976571153</v>
      </c>
    </row>
    <row r="14733">
      <c r="A14733" s="6">
        <v>14731.0</v>
      </c>
      <c r="B14733" s="17">
        <f t="array" ref="B14733">SUM(1-'Sparkling Model'!D$2:D$38^A14733)</f>
        <v>36.99765638</v>
      </c>
      <c r="C14733" s="8">
        <f t="array" ref="C14733">PRODUCT(1-'Sparkling Model'!D$2:D$38^A14733)</f>
        <v>0.9976582719</v>
      </c>
    </row>
    <row r="14734">
      <c r="A14734" s="6">
        <v>14732.0</v>
      </c>
      <c r="B14734" s="17">
        <f t="array" ref="B14734">SUM(1-'Sparkling Model'!D$2:D$38^A14734)</f>
        <v>36.99765753</v>
      </c>
      <c r="C14734" s="8">
        <f t="array" ref="C14734">PRODUCT(1-'Sparkling Model'!D$2:D$38^A14734)</f>
        <v>0.997659428</v>
      </c>
    </row>
    <row r="14735">
      <c r="A14735" s="6">
        <v>14733.0</v>
      </c>
      <c r="B14735" s="17">
        <f t="array" ref="B14735">SUM(1-'Sparkling Model'!D$2:D$38^A14735)</f>
        <v>36.99765869</v>
      </c>
      <c r="C14735" s="8">
        <f t="array" ref="C14735">PRODUCT(1-'Sparkling Model'!D$2:D$38^A14735)</f>
        <v>0.9976605834</v>
      </c>
    </row>
    <row r="14736">
      <c r="A14736" s="6">
        <v>14734.0</v>
      </c>
      <c r="B14736" s="17">
        <f t="array" ref="B14736">SUM(1-'Sparkling Model'!D$2:D$38^A14736)</f>
        <v>36.99765985</v>
      </c>
      <c r="C14736" s="8">
        <f t="array" ref="C14736">PRODUCT(1-'Sparkling Model'!D$2:D$38^A14736)</f>
        <v>0.9976617383</v>
      </c>
    </row>
    <row r="14737">
      <c r="A14737" s="6">
        <v>14735.0</v>
      </c>
      <c r="B14737" s="17">
        <f t="array" ref="B14737">SUM(1-'Sparkling Model'!D$2:D$38^A14737)</f>
        <v>36.997661</v>
      </c>
      <c r="C14737" s="8">
        <f t="array" ref="C14737">PRODUCT(1-'Sparkling Model'!D$2:D$38^A14737)</f>
        <v>0.9976628927</v>
      </c>
    </row>
    <row r="14738">
      <c r="A14738" s="6">
        <v>14736.0</v>
      </c>
      <c r="B14738" s="17">
        <f t="array" ref="B14738">SUM(1-'Sparkling Model'!D$2:D$38^A14738)</f>
        <v>36.99766216</v>
      </c>
      <c r="C14738" s="8">
        <f t="array" ref="C14738">PRODUCT(1-'Sparkling Model'!D$2:D$38^A14738)</f>
        <v>0.9976640464</v>
      </c>
    </row>
    <row r="14739">
      <c r="A14739" s="6">
        <v>14737.0</v>
      </c>
      <c r="B14739" s="17">
        <f t="array" ref="B14739">SUM(1-'Sparkling Model'!D$2:D$38^A14739)</f>
        <v>36.99766331</v>
      </c>
      <c r="C14739" s="8">
        <f t="array" ref="C14739">PRODUCT(1-'Sparkling Model'!D$2:D$38^A14739)</f>
        <v>0.9976651996</v>
      </c>
    </row>
    <row r="14740">
      <c r="A14740" s="6">
        <v>14738.0</v>
      </c>
      <c r="B14740" s="17">
        <f t="array" ref="B14740">SUM(1-'Sparkling Model'!D$2:D$38^A14740)</f>
        <v>36.99766447</v>
      </c>
      <c r="C14740" s="8">
        <f t="array" ref="C14740">PRODUCT(1-'Sparkling Model'!D$2:D$38^A14740)</f>
        <v>0.9976663522</v>
      </c>
    </row>
    <row r="14741">
      <c r="A14741" s="6">
        <v>14739.0</v>
      </c>
      <c r="B14741" s="17">
        <f t="array" ref="B14741">SUM(1-'Sparkling Model'!D$2:D$38^A14741)</f>
        <v>36.99766562</v>
      </c>
      <c r="C14741" s="8">
        <f t="array" ref="C14741">PRODUCT(1-'Sparkling Model'!D$2:D$38^A14741)</f>
        <v>0.9976675043</v>
      </c>
    </row>
    <row r="14742">
      <c r="A14742" s="6">
        <v>14740.0</v>
      </c>
      <c r="B14742" s="17">
        <f t="array" ref="B14742">SUM(1-'Sparkling Model'!D$2:D$38^A14742)</f>
        <v>36.99766678</v>
      </c>
      <c r="C14742" s="8">
        <f t="array" ref="C14742">PRODUCT(1-'Sparkling Model'!D$2:D$38^A14742)</f>
        <v>0.9976686557</v>
      </c>
    </row>
    <row r="14743">
      <c r="A14743" s="6">
        <v>14741.0</v>
      </c>
      <c r="B14743" s="17">
        <f t="array" ref="B14743">SUM(1-'Sparkling Model'!D$2:D$38^A14743)</f>
        <v>36.99766793</v>
      </c>
      <c r="C14743" s="8">
        <f t="array" ref="C14743">PRODUCT(1-'Sparkling Model'!D$2:D$38^A14743)</f>
        <v>0.9976698066</v>
      </c>
    </row>
    <row r="14744">
      <c r="A14744" s="6">
        <v>14742.0</v>
      </c>
      <c r="B14744" s="17">
        <f t="array" ref="B14744">SUM(1-'Sparkling Model'!D$2:D$38^A14744)</f>
        <v>36.99766908</v>
      </c>
      <c r="C14744" s="8">
        <f t="array" ref="C14744">PRODUCT(1-'Sparkling Model'!D$2:D$38^A14744)</f>
        <v>0.997670957</v>
      </c>
    </row>
    <row r="14745">
      <c r="A14745" s="6">
        <v>14743.0</v>
      </c>
      <c r="B14745" s="17">
        <f t="array" ref="B14745">SUM(1-'Sparkling Model'!D$2:D$38^A14745)</f>
        <v>36.99767023</v>
      </c>
      <c r="C14745" s="8">
        <f t="array" ref="C14745">PRODUCT(1-'Sparkling Model'!D$2:D$38^A14745)</f>
        <v>0.9976721067</v>
      </c>
    </row>
    <row r="14746">
      <c r="A14746" s="6">
        <v>14744.0</v>
      </c>
      <c r="B14746" s="17">
        <f t="array" ref="B14746">SUM(1-'Sparkling Model'!D$2:D$38^A14746)</f>
        <v>36.99767138</v>
      </c>
      <c r="C14746" s="8">
        <f t="array" ref="C14746">PRODUCT(1-'Sparkling Model'!D$2:D$38^A14746)</f>
        <v>0.9976732559</v>
      </c>
    </row>
    <row r="14747">
      <c r="A14747" s="6">
        <v>14745.0</v>
      </c>
      <c r="B14747" s="17">
        <f t="array" ref="B14747">SUM(1-'Sparkling Model'!D$2:D$38^A14747)</f>
        <v>36.99767253</v>
      </c>
      <c r="C14747" s="8">
        <f t="array" ref="C14747">PRODUCT(1-'Sparkling Model'!D$2:D$38^A14747)</f>
        <v>0.9976744046</v>
      </c>
    </row>
    <row r="14748">
      <c r="A14748" s="6">
        <v>14746.0</v>
      </c>
      <c r="B14748" s="17">
        <f t="array" ref="B14748">SUM(1-'Sparkling Model'!D$2:D$38^A14748)</f>
        <v>36.99767368</v>
      </c>
      <c r="C14748" s="8">
        <f t="array" ref="C14748">PRODUCT(1-'Sparkling Model'!D$2:D$38^A14748)</f>
        <v>0.9976755526</v>
      </c>
    </row>
    <row r="14749">
      <c r="A14749" s="6">
        <v>14747.0</v>
      </c>
      <c r="B14749" s="17">
        <f t="array" ref="B14749">SUM(1-'Sparkling Model'!D$2:D$38^A14749)</f>
        <v>36.99767483</v>
      </c>
      <c r="C14749" s="8">
        <f t="array" ref="C14749">PRODUCT(1-'Sparkling Model'!D$2:D$38^A14749)</f>
        <v>0.9976767001</v>
      </c>
    </row>
    <row r="14750">
      <c r="A14750" s="6">
        <v>14748.0</v>
      </c>
      <c r="B14750" s="17">
        <f t="array" ref="B14750">SUM(1-'Sparkling Model'!D$2:D$38^A14750)</f>
        <v>36.99767598</v>
      </c>
      <c r="C14750" s="8">
        <f t="array" ref="C14750">PRODUCT(1-'Sparkling Model'!D$2:D$38^A14750)</f>
        <v>0.997677847</v>
      </c>
    </row>
    <row r="14751">
      <c r="A14751" s="6">
        <v>14749.0</v>
      </c>
      <c r="B14751" s="17">
        <f t="array" ref="B14751">SUM(1-'Sparkling Model'!D$2:D$38^A14751)</f>
        <v>36.99767713</v>
      </c>
      <c r="C14751" s="8">
        <f t="array" ref="C14751">PRODUCT(1-'Sparkling Model'!D$2:D$38^A14751)</f>
        <v>0.9976789934</v>
      </c>
    </row>
    <row r="14752">
      <c r="A14752" s="6">
        <v>14750.0</v>
      </c>
      <c r="B14752" s="17">
        <f t="array" ref="B14752">SUM(1-'Sparkling Model'!D$2:D$38^A14752)</f>
        <v>36.99767828</v>
      </c>
      <c r="C14752" s="8">
        <f t="array" ref="C14752">PRODUCT(1-'Sparkling Model'!D$2:D$38^A14752)</f>
        <v>0.9976801391</v>
      </c>
    </row>
    <row r="14753">
      <c r="A14753" s="6">
        <v>14751.0</v>
      </c>
      <c r="B14753" s="17">
        <f t="array" ref="B14753">SUM(1-'Sparkling Model'!D$2:D$38^A14753)</f>
        <v>36.99767943</v>
      </c>
      <c r="C14753" s="8">
        <f t="array" ref="C14753">PRODUCT(1-'Sparkling Model'!D$2:D$38^A14753)</f>
        <v>0.9976812844</v>
      </c>
    </row>
    <row r="14754">
      <c r="A14754" s="6">
        <v>14752.0</v>
      </c>
      <c r="B14754" s="17">
        <f t="array" ref="B14754">SUM(1-'Sparkling Model'!D$2:D$38^A14754)</f>
        <v>36.99768057</v>
      </c>
      <c r="C14754" s="8">
        <f t="array" ref="C14754">PRODUCT(1-'Sparkling Model'!D$2:D$38^A14754)</f>
        <v>0.997682429</v>
      </c>
    </row>
    <row r="14755">
      <c r="A14755" s="6">
        <v>14753.0</v>
      </c>
      <c r="B14755" s="17">
        <f t="array" ref="B14755">SUM(1-'Sparkling Model'!D$2:D$38^A14755)</f>
        <v>36.99768172</v>
      </c>
      <c r="C14755" s="8">
        <f t="array" ref="C14755">PRODUCT(1-'Sparkling Model'!D$2:D$38^A14755)</f>
        <v>0.9976835731</v>
      </c>
    </row>
    <row r="14756">
      <c r="A14756" s="6">
        <v>14754.0</v>
      </c>
      <c r="B14756" s="17">
        <f t="array" ref="B14756">SUM(1-'Sparkling Model'!D$2:D$38^A14756)</f>
        <v>36.99768286</v>
      </c>
      <c r="C14756" s="8">
        <f t="array" ref="C14756">PRODUCT(1-'Sparkling Model'!D$2:D$38^A14756)</f>
        <v>0.9976847166</v>
      </c>
    </row>
    <row r="14757">
      <c r="A14757" s="6">
        <v>14755.0</v>
      </c>
      <c r="B14757" s="17">
        <f t="array" ref="B14757">SUM(1-'Sparkling Model'!D$2:D$38^A14757)</f>
        <v>36.99768401</v>
      </c>
      <c r="C14757" s="8">
        <f t="array" ref="C14757">PRODUCT(1-'Sparkling Model'!D$2:D$38^A14757)</f>
        <v>0.9976858596</v>
      </c>
    </row>
    <row r="14758">
      <c r="A14758" s="6">
        <v>14756.0</v>
      </c>
      <c r="B14758" s="17">
        <f t="array" ref="B14758">SUM(1-'Sparkling Model'!D$2:D$38^A14758)</f>
        <v>36.99768515</v>
      </c>
      <c r="C14758" s="8">
        <f t="array" ref="C14758">PRODUCT(1-'Sparkling Model'!D$2:D$38^A14758)</f>
        <v>0.997687002</v>
      </c>
    </row>
    <row r="14759">
      <c r="A14759" s="6">
        <v>14757.0</v>
      </c>
      <c r="B14759" s="17">
        <f t="array" ref="B14759">SUM(1-'Sparkling Model'!D$2:D$38^A14759)</f>
        <v>36.9976863</v>
      </c>
      <c r="C14759" s="8">
        <f t="array" ref="C14759">PRODUCT(1-'Sparkling Model'!D$2:D$38^A14759)</f>
        <v>0.9976881438</v>
      </c>
    </row>
    <row r="14760">
      <c r="A14760" s="6">
        <v>14758.0</v>
      </c>
      <c r="B14760" s="17">
        <f t="array" ref="B14760">SUM(1-'Sparkling Model'!D$2:D$38^A14760)</f>
        <v>36.99768744</v>
      </c>
      <c r="C14760" s="8">
        <f t="array" ref="C14760">PRODUCT(1-'Sparkling Model'!D$2:D$38^A14760)</f>
        <v>0.997689285</v>
      </c>
    </row>
    <row r="14761">
      <c r="A14761" s="6">
        <v>14759.0</v>
      </c>
      <c r="B14761" s="17">
        <f t="array" ref="B14761">SUM(1-'Sparkling Model'!D$2:D$38^A14761)</f>
        <v>36.99768858</v>
      </c>
      <c r="C14761" s="8">
        <f t="array" ref="C14761">PRODUCT(1-'Sparkling Model'!D$2:D$38^A14761)</f>
        <v>0.9976904257</v>
      </c>
    </row>
    <row r="14762">
      <c r="A14762" s="6">
        <v>14760.0</v>
      </c>
      <c r="B14762" s="17">
        <f t="array" ref="B14762">SUM(1-'Sparkling Model'!D$2:D$38^A14762)</f>
        <v>36.99768972</v>
      </c>
      <c r="C14762" s="8">
        <f t="array" ref="C14762">PRODUCT(1-'Sparkling Model'!D$2:D$38^A14762)</f>
        <v>0.9976915658</v>
      </c>
    </row>
    <row r="14763">
      <c r="A14763" s="6">
        <v>14761.0</v>
      </c>
      <c r="B14763" s="17">
        <f t="array" ref="B14763">SUM(1-'Sparkling Model'!D$2:D$38^A14763)</f>
        <v>36.99769086</v>
      </c>
      <c r="C14763" s="8">
        <f t="array" ref="C14763">PRODUCT(1-'Sparkling Model'!D$2:D$38^A14763)</f>
        <v>0.9976927054</v>
      </c>
    </row>
    <row r="14764">
      <c r="A14764" s="6">
        <v>14762.0</v>
      </c>
      <c r="B14764" s="17">
        <f t="array" ref="B14764">SUM(1-'Sparkling Model'!D$2:D$38^A14764)</f>
        <v>36.99769201</v>
      </c>
      <c r="C14764" s="8">
        <f t="array" ref="C14764">PRODUCT(1-'Sparkling Model'!D$2:D$38^A14764)</f>
        <v>0.9976938444</v>
      </c>
    </row>
    <row r="14765">
      <c r="A14765" s="6">
        <v>14763.0</v>
      </c>
      <c r="B14765" s="17">
        <f t="array" ref="B14765">SUM(1-'Sparkling Model'!D$2:D$38^A14765)</f>
        <v>36.99769315</v>
      </c>
      <c r="C14765" s="8">
        <f t="array" ref="C14765">PRODUCT(1-'Sparkling Model'!D$2:D$38^A14765)</f>
        <v>0.9976949828</v>
      </c>
    </row>
    <row r="14766">
      <c r="A14766" s="6">
        <v>14764.0</v>
      </c>
      <c r="B14766" s="17">
        <f t="array" ref="B14766">SUM(1-'Sparkling Model'!D$2:D$38^A14766)</f>
        <v>36.99769429</v>
      </c>
      <c r="C14766" s="8">
        <f t="array" ref="C14766">PRODUCT(1-'Sparkling Model'!D$2:D$38^A14766)</f>
        <v>0.9976961207</v>
      </c>
    </row>
    <row r="14767">
      <c r="A14767" s="6">
        <v>14765.0</v>
      </c>
      <c r="B14767" s="17">
        <f t="array" ref="B14767">SUM(1-'Sparkling Model'!D$2:D$38^A14767)</f>
        <v>36.99769542</v>
      </c>
      <c r="C14767" s="8">
        <f t="array" ref="C14767">PRODUCT(1-'Sparkling Model'!D$2:D$38^A14767)</f>
        <v>0.997697258</v>
      </c>
    </row>
    <row r="14768">
      <c r="A14768" s="6">
        <v>14766.0</v>
      </c>
      <c r="B14768" s="17">
        <f t="array" ref="B14768">SUM(1-'Sparkling Model'!D$2:D$38^A14768)</f>
        <v>36.99769656</v>
      </c>
      <c r="C14768" s="8">
        <f t="array" ref="C14768">PRODUCT(1-'Sparkling Model'!D$2:D$38^A14768)</f>
        <v>0.9976983947</v>
      </c>
    </row>
    <row r="14769">
      <c r="A14769" s="6">
        <v>14767.0</v>
      </c>
      <c r="B14769" s="17">
        <f t="array" ref="B14769">SUM(1-'Sparkling Model'!D$2:D$38^A14769)</f>
        <v>36.9976977</v>
      </c>
      <c r="C14769" s="8">
        <f t="array" ref="C14769">PRODUCT(1-'Sparkling Model'!D$2:D$38^A14769)</f>
        <v>0.9976995309</v>
      </c>
    </row>
    <row r="14770">
      <c r="A14770" s="6">
        <v>14768.0</v>
      </c>
      <c r="B14770" s="17">
        <f t="array" ref="B14770">SUM(1-'Sparkling Model'!D$2:D$38^A14770)</f>
        <v>36.99769884</v>
      </c>
      <c r="C14770" s="8">
        <f t="array" ref="C14770">PRODUCT(1-'Sparkling Model'!D$2:D$38^A14770)</f>
        <v>0.9977006665</v>
      </c>
    </row>
    <row r="14771">
      <c r="A14771" s="6">
        <v>14769.0</v>
      </c>
      <c r="B14771" s="17">
        <f t="array" ref="B14771">SUM(1-'Sparkling Model'!D$2:D$38^A14771)</f>
        <v>36.99769998</v>
      </c>
      <c r="C14771" s="8">
        <f t="array" ref="C14771">PRODUCT(1-'Sparkling Model'!D$2:D$38^A14771)</f>
        <v>0.9977018016</v>
      </c>
    </row>
    <row r="14772">
      <c r="A14772" s="6">
        <v>14770.0</v>
      </c>
      <c r="B14772" s="17">
        <f t="array" ref="B14772">SUM(1-'Sparkling Model'!D$2:D$38^A14772)</f>
        <v>36.99770111</v>
      </c>
      <c r="C14772" s="8">
        <f t="array" ref="C14772">PRODUCT(1-'Sparkling Model'!D$2:D$38^A14772)</f>
        <v>0.9977029361</v>
      </c>
    </row>
    <row r="14773">
      <c r="A14773" s="6">
        <v>14771.0</v>
      </c>
      <c r="B14773" s="17">
        <f t="array" ref="B14773">SUM(1-'Sparkling Model'!D$2:D$38^A14773)</f>
        <v>36.99770225</v>
      </c>
      <c r="C14773" s="8">
        <f t="array" ref="C14773">PRODUCT(1-'Sparkling Model'!D$2:D$38^A14773)</f>
        <v>0.99770407</v>
      </c>
    </row>
    <row r="14774">
      <c r="A14774" s="6">
        <v>14772.0</v>
      </c>
      <c r="B14774" s="17">
        <f t="array" ref="B14774">SUM(1-'Sparkling Model'!D$2:D$38^A14774)</f>
        <v>36.99770338</v>
      </c>
      <c r="C14774" s="8">
        <f t="array" ref="C14774">PRODUCT(1-'Sparkling Model'!D$2:D$38^A14774)</f>
        <v>0.9977052034</v>
      </c>
    </row>
    <row r="14775">
      <c r="A14775" s="6">
        <v>14773.0</v>
      </c>
      <c r="B14775" s="17">
        <f t="array" ref="B14775">SUM(1-'Sparkling Model'!D$2:D$38^A14775)</f>
        <v>36.99770452</v>
      </c>
      <c r="C14775" s="8">
        <f t="array" ref="C14775">PRODUCT(1-'Sparkling Model'!D$2:D$38^A14775)</f>
        <v>0.9977063362</v>
      </c>
    </row>
    <row r="14776">
      <c r="A14776" s="6">
        <v>14774.0</v>
      </c>
      <c r="B14776" s="17">
        <f t="array" ref="B14776">SUM(1-'Sparkling Model'!D$2:D$38^A14776)</f>
        <v>36.99770565</v>
      </c>
      <c r="C14776" s="8">
        <f t="array" ref="C14776">PRODUCT(1-'Sparkling Model'!D$2:D$38^A14776)</f>
        <v>0.9977074685</v>
      </c>
    </row>
    <row r="14777">
      <c r="A14777" s="6">
        <v>14775.0</v>
      </c>
      <c r="B14777" s="17">
        <f t="array" ref="B14777">SUM(1-'Sparkling Model'!D$2:D$38^A14777)</f>
        <v>36.99770678</v>
      </c>
      <c r="C14777" s="8">
        <f t="array" ref="C14777">PRODUCT(1-'Sparkling Model'!D$2:D$38^A14777)</f>
        <v>0.9977086001</v>
      </c>
    </row>
    <row r="14778">
      <c r="A14778" s="6">
        <v>14776.0</v>
      </c>
      <c r="B14778" s="17">
        <f t="array" ref="B14778">SUM(1-'Sparkling Model'!D$2:D$38^A14778)</f>
        <v>36.99770792</v>
      </c>
      <c r="C14778" s="8">
        <f t="array" ref="C14778">PRODUCT(1-'Sparkling Model'!D$2:D$38^A14778)</f>
        <v>0.9977097313</v>
      </c>
    </row>
    <row r="14779">
      <c r="A14779" s="6">
        <v>14777.0</v>
      </c>
      <c r="B14779" s="17">
        <f t="array" ref="B14779">SUM(1-'Sparkling Model'!D$2:D$38^A14779)</f>
        <v>36.99770905</v>
      </c>
      <c r="C14779" s="8">
        <f t="array" ref="C14779">PRODUCT(1-'Sparkling Model'!D$2:D$38^A14779)</f>
        <v>0.9977108618</v>
      </c>
    </row>
    <row r="14780">
      <c r="A14780" s="6">
        <v>14778.0</v>
      </c>
      <c r="B14780" s="17">
        <f t="array" ref="B14780">SUM(1-'Sparkling Model'!D$2:D$38^A14780)</f>
        <v>36.99771018</v>
      </c>
      <c r="C14780" s="8">
        <f t="array" ref="C14780">PRODUCT(1-'Sparkling Model'!D$2:D$38^A14780)</f>
        <v>0.9977119918</v>
      </c>
    </row>
    <row r="14781">
      <c r="A14781" s="6">
        <v>14779.0</v>
      </c>
      <c r="B14781" s="17">
        <f t="array" ref="B14781">SUM(1-'Sparkling Model'!D$2:D$38^A14781)</f>
        <v>36.99771131</v>
      </c>
      <c r="C14781" s="8">
        <f t="array" ref="C14781">PRODUCT(1-'Sparkling Model'!D$2:D$38^A14781)</f>
        <v>0.9977131213</v>
      </c>
    </row>
    <row r="14782">
      <c r="A14782" s="6">
        <v>14780.0</v>
      </c>
      <c r="B14782" s="17">
        <f t="array" ref="B14782">SUM(1-'Sparkling Model'!D$2:D$38^A14782)</f>
        <v>36.99771244</v>
      </c>
      <c r="C14782" s="8">
        <f t="array" ref="C14782">PRODUCT(1-'Sparkling Model'!D$2:D$38^A14782)</f>
        <v>0.9977142502</v>
      </c>
    </row>
    <row r="14783">
      <c r="A14783" s="6">
        <v>14781.0</v>
      </c>
      <c r="B14783" s="17">
        <f t="array" ref="B14783">SUM(1-'Sparkling Model'!D$2:D$38^A14783)</f>
        <v>36.99771357</v>
      </c>
      <c r="C14783" s="8">
        <f t="array" ref="C14783">PRODUCT(1-'Sparkling Model'!D$2:D$38^A14783)</f>
        <v>0.9977153785</v>
      </c>
    </row>
    <row r="14784">
      <c r="A14784" s="6">
        <v>14782.0</v>
      </c>
      <c r="B14784" s="17">
        <f t="array" ref="B14784">SUM(1-'Sparkling Model'!D$2:D$38^A14784)</f>
        <v>36.9977147</v>
      </c>
      <c r="C14784" s="8">
        <f t="array" ref="C14784">PRODUCT(1-'Sparkling Model'!D$2:D$38^A14784)</f>
        <v>0.9977165063</v>
      </c>
    </row>
    <row r="14785">
      <c r="A14785" s="6">
        <v>14783.0</v>
      </c>
      <c r="B14785" s="17">
        <f t="array" ref="B14785">SUM(1-'Sparkling Model'!D$2:D$38^A14785)</f>
        <v>36.99771583</v>
      </c>
      <c r="C14785" s="8">
        <f t="array" ref="C14785">PRODUCT(1-'Sparkling Model'!D$2:D$38^A14785)</f>
        <v>0.9977176335</v>
      </c>
    </row>
    <row r="14786">
      <c r="A14786" s="6">
        <v>14784.0</v>
      </c>
      <c r="B14786" s="17">
        <f t="array" ref="B14786">SUM(1-'Sparkling Model'!D$2:D$38^A14786)</f>
        <v>36.99771696</v>
      </c>
      <c r="C14786" s="8">
        <f t="array" ref="C14786">PRODUCT(1-'Sparkling Model'!D$2:D$38^A14786)</f>
        <v>0.9977187602</v>
      </c>
    </row>
    <row r="14787">
      <c r="A14787" s="6">
        <v>14785.0</v>
      </c>
      <c r="B14787" s="17">
        <f t="array" ref="B14787">SUM(1-'Sparkling Model'!D$2:D$38^A14787)</f>
        <v>36.99771809</v>
      </c>
      <c r="C14787" s="8">
        <f t="array" ref="C14787">PRODUCT(1-'Sparkling Model'!D$2:D$38^A14787)</f>
        <v>0.9977198863</v>
      </c>
    </row>
    <row r="14788">
      <c r="A14788" s="6">
        <v>14786.0</v>
      </c>
      <c r="B14788" s="17">
        <f t="array" ref="B14788">SUM(1-'Sparkling Model'!D$2:D$38^A14788)</f>
        <v>36.99771922</v>
      </c>
      <c r="C14788" s="8">
        <f t="array" ref="C14788">PRODUCT(1-'Sparkling Model'!D$2:D$38^A14788)</f>
        <v>0.9977210118</v>
      </c>
    </row>
    <row r="14789">
      <c r="A14789" s="6">
        <v>14787.0</v>
      </c>
      <c r="B14789" s="17">
        <f t="array" ref="B14789">SUM(1-'Sparkling Model'!D$2:D$38^A14789)</f>
        <v>36.99772034</v>
      </c>
      <c r="C14789" s="8">
        <f t="array" ref="C14789">PRODUCT(1-'Sparkling Model'!D$2:D$38^A14789)</f>
        <v>0.9977221368</v>
      </c>
    </row>
    <row r="14790">
      <c r="A14790" s="6">
        <v>14788.0</v>
      </c>
      <c r="B14790" s="17">
        <f t="array" ref="B14790">SUM(1-'Sparkling Model'!D$2:D$38^A14790)</f>
        <v>36.99772147</v>
      </c>
      <c r="C14790" s="8">
        <f t="array" ref="C14790">PRODUCT(1-'Sparkling Model'!D$2:D$38^A14790)</f>
        <v>0.9977232612</v>
      </c>
    </row>
    <row r="14791">
      <c r="A14791" s="6">
        <v>14789.0</v>
      </c>
      <c r="B14791" s="17">
        <f t="array" ref="B14791">SUM(1-'Sparkling Model'!D$2:D$38^A14791)</f>
        <v>36.99772259</v>
      </c>
      <c r="C14791" s="8">
        <f t="array" ref="C14791">PRODUCT(1-'Sparkling Model'!D$2:D$38^A14791)</f>
        <v>0.9977243851</v>
      </c>
    </row>
    <row r="14792">
      <c r="A14792" s="6">
        <v>14790.0</v>
      </c>
      <c r="B14792" s="17">
        <f t="array" ref="B14792">SUM(1-'Sparkling Model'!D$2:D$38^A14792)</f>
        <v>36.99772372</v>
      </c>
      <c r="C14792" s="8">
        <f t="array" ref="C14792">PRODUCT(1-'Sparkling Model'!D$2:D$38^A14792)</f>
        <v>0.9977255084</v>
      </c>
    </row>
    <row r="14793">
      <c r="A14793" s="6">
        <v>14791.0</v>
      </c>
      <c r="B14793" s="17">
        <f t="array" ref="B14793">SUM(1-'Sparkling Model'!D$2:D$38^A14793)</f>
        <v>36.99772484</v>
      </c>
      <c r="C14793" s="8">
        <f t="array" ref="C14793">PRODUCT(1-'Sparkling Model'!D$2:D$38^A14793)</f>
        <v>0.9977266312</v>
      </c>
    </row>
    <row r="14794">
      <c r="A14794" s="6">
        <v>14792.0</v>
      </c>
      <c r="B14794" s="17">
        <f t="array" ref="B14794">SUM(1-'Sparkling Model'!D$2:D$38^A14794)</f>
        <v>36.99772597</v>
      </c>
      <c r="C14794" s="8">
        <f t="array" ref="C14794">PRODUCT(1-'Sparkling Model'!D$2:D$38^A14794)</f>
        <v>0.9977277534</v>
      </c>
    </row>
    <row r="14795">
      <c r="A14795" s="6">
        <v>14793.0</v>
      </c>
      <c r="B14795" s="17">
        <f t="array" ref="B14795">SUM(1-'Sparkling Model'!D$2:D$38^A14795)</f>
        <v>36.99772709</v>
      </c>
      <c r="C14795" s="8">
        <f t="array" ref="C14795">PRODUCT(1-'Sparkling Model'!D$2:D$38^A14795)</f>
        <v>0.997728875</v>
      </c>
    </row>
    <row r="14796">
      <c r="A14796" s="6">
        <v>14794.0</v>
      </c>
      <c r="B14796" s="17">
        <f t="array" ref="B14796">SUM(1-'Sparkling Model'!D$2:D$38^A14796)</f>
        <v>36.99772821</v>
      </c>
      <c r="C14796" s="8">
        <f t="array" ref="C14796">PRODUCT(1-'Sparkling Model'!D$2:D$38^A14796)</f>
        <v>0.9977299961</v>
      </c>
    </row>
    <row r="14797">
      <c r="A14797" s="6">
        <v>14795.0</v>
      </c>
      <c r="B14797" s="17">
        <f t="array" ref="B14797">SUM(1-'Sparkling Model'!D$2:D$38^A14797)</f>
        <v>36.99772934</v>
      </c>
      <c r="C14797" s="8">
        <f t="array" ref="C14797">PRODUCT(1-'Sparkling Model'!D$2:D$38^A14797)</f>
        <v>0.9977311166</v>
      </c>
    </row>
    <row r="14798">
      <c r="A14798" s="6">
        <v>14796.0</v>
      </c>
      <c r="B14798" s="17">
        <f t="array" ref="B14798">SUM(1-'Sparkling Model'!D$2:D$38^A14798)</f>
        <v>36.99773046</v>
      </c>
      <c r="C14798" s="8">
        <f t="array" ref="C14798">PRODUCT(1-'Sparkling Model'!D$2:D$38^A14798)</f>
        <v>0.9977322366</v>
      </c>
    </row>
    <row r="14799">
      <c r="A14799" s="6">
        <v>14797.0</v>
      </c>
      <c r="B14799" s="17">
        <f t="array" ref="B14799">SUM(1-'Sparkling Model'!D$2:D$38^A14799)</f>
        <v>36.99773158</v>
      </c>
      <c r="C14799" s="8">
        <f t="array" ref="C14799">PRODUCT(1-'Sparkling Model'!D$2:D$38^A14799)</f>
        <v>0.997733356</v>
      </c>
    </row>
    <row r="14800">
      <c r="A14800" s="6">
        <v>14798.0</v>
      </c>
      <c r="B14800" s="17">
        <f t="array" ref="B14800">SUM(1-'Sparkling Model'!D$2:D$38^A14800)</f>
        <v>36.9977327</v>
      </c>
      <c r="C14800" s="8">
        <f t="array" ref="C14800">PRODUCT(1-'Sparkling Model'!D$2:D$38^A14800)</f>
        <v>0.9977344749</v>
      </c>
    </row>
    <row r="14801">
      <c r="A14801" s="6">
        <v>14799.0</v>
      </c>
      <c r="B14801" s="17">
        <f t="array" ref="B14801">SUM(1-'Sparkling Model'!D$2:D$38^A14801)</f>
        <v>36.99773382</v>
      </c>
      <c r="C14801" s="8">
        <f t="array" ref="C14801">PRODUCT(1-'Sparkling Model'!D$2:D$38^A14801)</f>
        <v>0.9977355932</v>
      </c>
    </row>
    <row r="14802">
      <c r="A14802" s="6">
        <v>14800.0</v>
      </c>
      <c r="B14802" s="17">
        <f t="array" ref="B14802">SUM(1-'Sparkling Model'!D$2:D$38^A14802)</f>
        <v>36.99773494</v>
      </c>
      <c r="C14802" s="8">
        <f t="array" ref="C14802">PRODUCT(1-'Sparkling Model'!D$2:D$38^A14802)</f>
        <v>0.997736711</v>
      </c>
    </row>
    <row r="14803">
      <c r="A14803" s="6">
        <v>14801.0</v>
      </c>
      <c r="B14803" s="17">
        <f t="array" ref="B14803">SUM(1-'Sparkling Model'!D$2:D$38^A14803)</f>
        <v>36.99773606</v>
      </c>
      <c r="C14803" s="8">
        <f t="array" ref="C14803">PRODUCT(1-'Sparkling Model'!D$2:D$38^A14803)</f>
        <v>0.9977378282</v>
      </c>
    </row>
    <row r="14804">
      <c r="A14804" s="6">
        <v>14802.0</v>
      </c>
      <c r="B14804" s="17">
        <f t="array" ref="B14804">SUM(1-'Sparkling Model'!D$2:D$38^A14804)</f>
        <v>36.99773718</v>
      </c>
      <c r="C14804" s="8">
        <f t="array" ref="C14804">PRODUCT(1-'Sparkling Model'!D$2:D$38^A14804)</f>
        <v>0.9977389449</v>
      </c>
    </row>
    <row r="14805">
      <c r="A14805" s="6">
        <v>14803.0</v>
      </c>
      <c r="B14805" s="17">
        <f t="array" ref="B14805">SUM(1-'Sparkling Model'!D$2:D$38^A14805)</f>
        <v>36.9977383</v>
      </c>
      <c r="C14805" s="8">
        <f t="array" ref="C14805">PRODUCT(1-'Sparkling Model'!D$2:D$38^A14805)</f>
        <v>0.997740061</v>
      </c>
    </row>
    <row r="14806">
      <c r="A14806" s="6">
        <v>14804.0</v>
      </c>
      <c r="B14806" s="17">
        <f t="array" ref="B14806">SUM(1-'Sparkling Model'!D$2:D$38^A14806)</f>
        <v>36.99773941</v>
      </c>
      <c r="C14806" s="8">
        <f t="array" ref="C14806">PRODUCT(1-'Sparkling Model'!D$2:D$38^A14806)</f>
        <v>0.9977411765</v>
      </c>
    </row>
    <row r="14807">
      <c r="A14807" s="6">
        <v>14805.0</v>
      </c>
      <c r="B14807" s="17">
        <f t="array" ref="B14807">SUM(1-'Sparkling Model'!D$2:D$38^A14807)</f>
        <v>36.99774053</v>
      </c>
      <c r="C14807" s="8">
        <f t="array" ref="C14807">PRODUCT(1-'Sparkling Model'!D$2:D$38^A14807)</f>
        <v>0.9977422915</v>
      </c>
    </row>
    <row r="14808">
      <c r="A14808" s="6">
        <v>14806.0</v>
      </c>
      <c r="B14808" s="17">
        <f t="array" ref="B14808">SUM(1-'Sparkling Model'!D$2:D$38^A14808)</f>
        <v>36.99774165</v>
      </c>
      <c r="C14808" s="8">
        <f t="array" ref="C14808">PRODUCT(1-'Sparkling Model'!D$2:D$38^A14808)</f>
        <v>0.997743406</v>
      </c>
    </row>
    <row r="14809">
      <c r="A14809" s="6">
        <v>14807.0</v>
      </c>
      <c r="B14809" s="17">
        <f t="array" ref="B14809">SUM(1-'Sparkling Model'!D$2:D$38^A14809)</f>
        <v>36.99774276</v>
      </c>
      <c r="C14809" s="8">
        <f t="array" ref="C14809">PRODUCT(1-'Sparkling Model'!D$2:D$38^A14809)</f>
        <v>0.9977445199</v>
      </c>
    </row>
    <row r="14810">
      <c r="A14810" s="6">
        <v>14808.0</v>
      </c>
      <c r="B14810" s="17">
        <f t="array" ref="B14810">SUM(1-'Sparkling Model'!D$2:D$38^A14810)</f>
        <v>36.99774388</v>
      </c>
      <c r="C14810" s="8">
        <f t="array" ref="C14810">PRODUCT(1-'Sparkling Model'!D$2:D$38^A14810)</f>
        <v>0.9977456332</v>
      </c>
    </row>
    <row r="14811">
      <c r="A14811" s="6">
        <v>14809.0</v>
      </c>
      <c r="B14811" s="17">
        <f t="array" ref="B14811">SUM(1-'Sparkling Model'!D$2:D$38^A14811)</f>
        <v>36.99774499</v>
      </c>
      <c r="C14811" s="8">
        <f t="array" ref="C14811">PRODUCT(1-'Sparkling Model'!D$2:D$38^A14811)</f>
        <v>0.997746746</v>
      </c>
    </row>
    <row r="14812">
      <c r="A14812" s="6">
        <v>14810.0</v>
      </c>
      <c r="B14812" s="17">
        <f t="array" ref="B14812">SUM(1-'Sparkling Model'!D$2:D$38^A14812)</f>
        <v>36.9977461</v>
      </c>
      <c r="C14812" s="8">
        <f t="array" ref="C14812">PRODUCT(1-'Sparkling Model'!D$2:D$38^A14812)</f>
        <v>0.9977478583</v>
      </c>
    </row>
    <row r="14813">
      <c r="A14813" s="6">
        <v>14811.0</v>
      </c>
      <c r="B14813" s="17">
        <f t="array" ref="B14813">SUM(1-'Sparkling Model'!D$2:D$38^A14813)</f>
        <v>36.99774722</v>
      </c>
      <c r="C14813" s="8">
        <f t="array" ref="C14813">PRODUCT(1-'Sparkling Model'!D$2:D$38^A14813)</f>
        <v>0.99774897</v>
      </c>
    </row>
    <row r="14814">
      <c r="A14814" s="6">
        <v>14812.0</v>
      </c>
      <c r="B14814" s="17">
        <f t="array" ref="B14814">SUM(1-'Sparkling Model'!D$2:D$38^A14814)</f>
        <v>36.99774833</v>
      </c>
      <c r="C14814" s="8">
        <f t="array" ref="C14814">PRODUCT(1-'Sparkling Model'!D$2:D$38^A14814)</f>
        <v>0.9977500811</v>
      </c>
    </row>
    <row r="14815">
      <c r="A14815" s="6">
        <v>14813.0</v>
      </c>
      <c r="B14815" s="17">
        <f t="array" ref="B14815">SUM(1-'Sparkling Model'!D$2:D$38^A14815)</f>
        <v>36.99774944</v>
      </c>
      <c r="C14815" s="8">
        <f t="array" ref="C14815">PRODUCT(1-'Sparkling Model'!D$2:D$38^A14815)</f>
        <v>0.9977511917</v>
      </c>
    </row>
    <row r="14816">
      <c r="A14816" s="6">
        <v>14814.0</v>
      </c>
      <c r="B14816" s="17">
        <f t="array" ref="B14816">SUM(1-'Sparkling Model'!D$2:D$38^A14816)</f>
        <v>36.99775056</v>
      </c>
      <c r="C14816" s="8">
        <f t="array" ref="C14816">PRODUCT(1-'Sparkling Model'!D$2:D$38^A14816)</f>
        <v>0.9977523018</v>
      </c>
    </row>
    <row r="14817">
      <c r="A14817" s="6">
        <v>14815.0</v>
      </c>
      <c r="B14817" s="17">
        <f t="array" ref="B14817">SUM(1-'Sparkling Model'!D$2:D$38^A14817)</f>
        <v>36.99775167</v>
      </c>
      <c r="C14817" s="8">
        <f t="array" ref="C14817">PRODUCT(1-'Sparkling Model'!D$2:D$38^A14817)</f>
        <v>0.9977534112</v>
      </c>
    </row>
    <row r="14818">
      <c r="A14818" s="6">
        <v>14816.0</v>
      </c>
      <c r="B14818" s="17">
        <f t="array" ref="B14818">SUM(1-'Sparkling Model'!D$2:D$38^A14818)</f>
        <v>36.99775278</v>
      </c>
      <c r="C14818" s="8">
        <f t="array" ref="C14818">PRODUCT(1-'Sparkling Model'!D$2:D$38^A14818)</f>
        <v>0.9977545202</v>
      </c>
    </row>
    <row r="14819">
      <c r="A14819" s="6">
        <v>14817.0</v>
      </c>
      <c r="B14819" s="17">
        <f t="array" ref="B14819">SUM(1-'Sparkling Model'!D$2:D$38^A14819)</f>
        <v>36.99775389</v>
      </c>
      <c r="C14819" s="8">
        <f t="array" ref="C14819">PRODUCT(1-'Sparkling Model'!D$2:D$38^A14819)</f>
        <v>0.9977556286</v>
      </c>
    </row>
    <row r="14820">
      <c r="A14820" s="6">
        <v>14818.0</v>
      </c>
      <c r="B14820" s="17">
        <f t="array" ref="B14820">SUM(1-'Sparkling Model'!D$2:D$38^A14820)</f>
        <v>36.997755</v>
      </c>
      <c r="C14820" s="8">
        <f t="array" ref="C14820">PRODUCT(1-'Sparkling Model'!D$2:D$38^A14820)</f>
        <v>0.9977567364</v>
      </c>
    </row>
    <row r="14821">
      <c r="A14821" s="6">
        <v>14819.0</v>
      </c>
      <c r="B14821" s="17">
        <f t="array" ref="B14821">SUM(1-'Sparkling Model'!D$2:D$38^A14821)</f>
        <v>36.99775611</v>
      </c>
      <c r="C14821" s="8">
        <f t="array" ref="C14821">PRODUCT(1-'Sparkling Model'!D$2:D$38^A14821)</f>
        <v>0.9977578437</v>
      </c>
    </row>
    <row r="14822">
      <c r="A14822" s="6">
        <v>14820.0</v>
      </c>
      <c r="B14822" s="17">
        <f t="array" ref="B14822">SUM(1-'Sparkling Model'!D$2:D$38^A14822)</f>
        <v>36.99775721</v>
      </c>
      <c r="C14822" s="8">
        <f t="array" ref="C14822">PRODUCT(1-'Sparkling Model'!D$2:D$38^A14822)</f>
        <v>0.9977589505</v>
      </c>
    </row>
    <row r="14823">
      <c r="A14823" s="6">
        <v>14821.0</v>
      </c>
      <c r="B14823" s="17">
        <f t="array" ref="B14823">SUM(1-'Sparkling Model'!D$2:D$38^A14823)</f>
        <v>36.99775832</v>
      </c>
      <c r="C14823" s="8">
        <f t="array" ref="C14823">PRODUCT(1-'Sparkling Model'!D$2:D$38^A14823)</f>
        <v>0.9977600567</v>
      </c>
    </row>
    <row r="14824">
      <c r="A14824" s="6">
        <v>14822.0</v>
      </c>
      <c r="B14824" s="17">
        <f t="array" ref="B14824">SUM(1-'Sparkling Model'!D$2:D$38^A14824)</f>
        <v>36.99775943</v>
      </c>
      <c r="C14824" s="8">
        <f t="array" ref="C14824">PRODUCT(1-'Sparkling Model'!D$2:D$38^A14824)</f>
        <v>0.9977611624</v>
      </c>
    </row>
    <row r="14825">
      <c r="A14825" s="6">
        <v>14823.0</v>
      </c>
      <c r="B14825" s="17">
        <f t="array" ref="B14825">SUM(1-'Sparkling Model'!D$2:D$38^A14825)</f>
        <v>36.99776054</v>
      </c>
      <c r="C14825" s="8">
        <f t="array" ref="C14825">PRODUCT(1-'Sparkling Model'!D$2:D$38^A14825)</f>
        <v>0.9977622675</v>
      </c>
    </row>
    <row r="14826">
      <c r="A14826" s="6">
        <v>14824.0</v>
      </c>
      <c r="B14826" s="17">
        <f t="array" ref="B14826">SUM(1-'Sparkling Model'!D$2:D$38^A14826)</f>
        <v>36.99776164</v>
      </c>
      <c r="C14826" s="8">
        <f t="array" ref="C14826">PRODUCT(1-'Sparkling Model'!D$2:D$38^A14826)</f>
        <v>0.997763372</v>
      </c>
    </row>
    <row r="14827">
      <c r="A14827" s="6">
        <v>14825.0</v>
      </c>
      <c r="B14827" s="17">
        <f t="array" ref="B14827">SUM(1-'Sparkling Model'!D$2:D$38^A14827)</f>
        <v>36.99776275</v>
      </c>
      <c r="C14827" s="8">
        <f t="array" ref="C14827">PRODUCT(1-'Sparkling Model'!D$2:D$38^A14827)</f>
        <v>0.997764476</v>
      </c>
    </row>
    <row r="14828">
      <c r="A14828" s="6">
        <v>14826.0</v>
      </c>
      <c r="B14828" s="17">
        <f t="array" ref="B14828">SUM(1-'Sparkling Model'!D$2:D$38^A14828)</f>
        <v>36.99776385</v>
      </c>
      <c r="C14828" s="8">
        <f t="array" ref="C14828">PRODUCT(1-'Sparkling Model'!D$2:D$38^A14828)</f>
        <v>0.9977655795</v>
      </c>
    </row>
    <row r="14829">
      <c r="A14829" s="6">
        <v>14827.0</v>
      </c>
      <c r="B14829" s="17">
        <f t="array" ref="B14829">SUM(1-'Sparkling Model'!D$2:D$38^A14829)</f>
        <v>36.99776496</v>
      </c>
      <c r="C14829" s="8">
        <f t="array" ref="C14829">PRODUCT(1-'Sparkling Model'!D$2:D$38^A14829)</f>
        <v>0.9977666824</v>
      </c>
    </row>
    <row r="14830">
      <c r="A14830" s="6">
        <v>14828.0</v>
      </c>
      <c r="B14830" s="17">
        <f t="array" ref="B14830">SUM(1-'Sparkling Model'!D$2:D$38^A14830)</f>
        <v>36.99776606</v>
      </c>
      <c r="C14830" s="8">
        <f t="array" ref="C14830">PRODUCT(1-'Sparkling Model'!D$2:D$38^A14830)</f>
        <v>0.9977677848</v>
      </c>
    </row>
    <row r="14831">
      <c r="A14831" s="6">
        <v>14829.0</v>
      </c>
      <c r="B14831" s="17">
        <f t="array" ref="B14831">SUM(1-'Sparkling Model'!D$2:D$38^A14831)</f>
        <v>36.99776717</v>
      </c>
      <c r="C14831" s="8">
        <f t="array" ref="C14831">PRODUCT(1-'Sparkling Model'!D$2:D$38^A14831)</f>
        <v>0.9977688866</v>
      </c>
    </row>
    <row r="14832">
      <c r="A14832" s="6">
        <v>14830.0</v>
      </c>
      <c r="B14832" s="17">
        <f t="array" ref="B14832">SUM(1-'Sparkling Model'!D$2:D$38^A14832)</f>
        <v>36.99776827</v>
      </c>
      <c r="C14832" s="8">
        <f t="array" ref="C14832">PRODUCT(1-'Sparkling Model'!D$2:D$38^A14832)</f>
        <v>0.9977699879</v>
      </c>
    </row>
    <row r="14833">
      <c r="A14833" s="6">
        <v>14831.0</v>
      </c>
      <c r="B14833" s="17">
        <f t="array" ref="B14833">SUM(1-'Sparkling Model'!D$2:D$38^A14833)</f>
        <v>36.99776937</v>
      </c>
      <c r="C14833" s="8">
        <f t="array" ref="C14833">PRODUCT(1-'Sparkling Model'!D$2:D$38^A14833)</f>
        <v>0.9977710887</v>
      </c>
    </row>
    <row r="14834">
      <c r="A14834" s="6">
        <v>14832.0</v>
      </c>
      <c r="B14834" s="17">
        <f t="array" ref="B14834">SUM(1-'Sparkling Model'!D$2:D$38^A14834)</f>
        <v>36.99777047</v>
      </c>
      <c r="C14834" s="8">
        <f t="array" ref="C14834">PRODUCT(1-'Sparkling Model'!D$2:D$38^A14834)</f>
        <v>0.9977721889</v>
      </c>
    </row>
    <row r="14835">
      <c r="A14835" s="6">
        <v>14833.0</v>
      </c>
      <c r="B14835" s="17">
        <f t="array" ref="B14835">SUM(1-'Sparkling Model'!D$2:D$38^A14835)</f>
        <v>36.99777157</v>
      </c>
      <c r="C14835" s="8">
        <f t="array" ref="C14835">PRODUCT(1-'Sparkling Model'!D$2:D$38^A14835)</f>
        <v>0.9977732885</v>
      </c>
    </row>
    <row r="14836">
      <c r="A14836" s="6">
        <v>14834.0</v>
      </c>
      <c r="B14836" s="17">
        <f t="array" ref="B14836">SUM(1-'Sparkling Model'!D$2:D$38^A14836)</f>
        <v>36.99777268</v>
      </c>
      <c r="C14836" s="8">
        <f t="array" ref="C14836">PRODUCT(1-'Sparkling Model'!D$2:D$38^A14836)</f>
        <v>0.9977743876</v>
      </c>
    </row>
    <row r="14837">
      <c r="A14837" s="6">
        <v>14835.0</v>
      </c>
      <c r="B14837" s="17">
        <f t="array" ref="B14837">SUM(1-'Sparkling Model'!D$2:D$38^A14837)</f>
        <v>36.99777378</v>
      </c>
      <c r="C14837" s="8">
        <f t="array" ref="C14837">PRODUCT(1-'Sparkling Model'!D$2:D$38^A14837)</f>
        <v>0.9977754862</v>
      </c>
    </row>
    <row r="14838">
      <c r="A14838" s="6">
        <v>14836.0</v>
      </c>
      <c r="B14838" s="17">
        <f t="array" ref="B14838">SUM(1-'Sparkling Model'!D$2:D$38^A14838)</f>
        <v>36.99777488</v>
      </c>
      <c r="C14838" s="8">
        <f t="array" ref="C14838">PRODUCT(1-'Sparkling Model'!D$2:D$38^A14838)</f>
        <v>0.9977765842</v>
      </c>
    </row>
    <row r="14839">
      <c r="A14839" s="6">
        <v>14837.0</v>
      </c>
      <c r="B14839" s="17">
        <f t="array" ref="B14839">SUM(1-'Sparkling Model'!D$2:D$38^A14839)</f>
        <v>36.99777597</v>
      </c>
      <c r="C14839" s="8">
        <f t="array" ref="C14839">PRODUCT(1-'Sparkling Model'!D$2:D$38^A14839)</f>
        <v>0.9977776817</v>
      </c>
    </row>
    <row r="14840">
      <c r="A14840" s="6">
        <v>14838.0</v>
      </c>
      <c r="B14840" s="17">
        <f t="array" ref="B14840">SUM(1-'Sparkling Model'!D$2:D$38^A14840)</f>
        <v>36.99777707</v>
      </c>
      <c r="C14840" s="8">
        <f t="array" ref="C14840">PRODUCT(1-'Sparkling Model'!D$2:D$38^A14840)</f>
        <v>0.9977787786</v>
      </c>
    </row>
    <row r="14841">
      <c r="A14841" s="6">
        <v>14839.0</v>
      </c>
      <c r="B14841" s="17">
        <f t="array" ref="B14841">SUM(1-'Sparkling Model'!D$2:D$38^A14841)</f>
        <v>36.99777817</v>
      </c>
      <c r="C14841" s="8">
        <f t="array" ref="C14841">PRODUCT(1-'Sparkling Model'!D$2:D$38^A14841)</f>
        <v>0.997779875</v>
      </c>
    </row>
    <row r="14842">
      <c r="A14842" s="6">
        <v>14840.0</v>
      </c>
      <c r="B14842" s="17">
        <f t="array" ref="B14842">SUM(1-'Sparkling Model'!D$2:D$38^A14842)</f>
        <v>36.99777927</v>
      </c>
      <c r="C14842" s="8">
        <f t="array" ref="C14842">PRODUCT(1-'Sparkling Model'!D$2:D$38^A14842)</f>
        <v>0.9977809709</v>
      </c>
    </row>
    <row r="14843">
      <c r="A14843" s="6">
        <v>14841.0</v>
      </c>
      <c r="B14843" s="17">
        <f t="array" ref="B14843">SUM(1-'Sparkling Model'!D$2:D$38^A14843)</f>
        <v>36.99778037</v>
      </c>
      <c r="C14843" s="8">
        <f t="array" ref="C14843">PRODUCT(1-'Sparkling Model'!D$2:D$38^A14843)</f>
        <v>0.9977820662</v>
      </c>
    </row>
    <row r="14844">
      <c r="A14844" s="6">
        <v>14842.0</v>
      </c>
      <c r="B14844" s="17">
        <f t="array" ref="B14844">SUM(1-'Sparkling Model'!D$2:D$38^A14844)</f>
        <v>36.99778146</v>
      </c>
      <c r="C14844" s="8">
        <f t="array" ref="C14844">PRODUCT(1-'Sparkling Model'!D$2:D$38^A14844)</f>
        <v>0.9977831609</v>
      </c>
    </row>
    <row r="14845">
      <c r="A14845" s="6">
        <v>14843.0</v>
      </c>
      <c r="B14845" s="17">
        <f t="array" ref="B14845">SUM(1-'Sparkling Model'!D$2:D$38^A14845)</f>
        <v>36.99778256</v>
      </c>
      <c r="C14845" s="8">
        <f t="array" ref="C14845">PRODUCT(1-'Sparkling Model'!D$2:D$38^A14845)</f>
        <v>0.9977842551</v>
      </c>
    </row>
    <row r="14846">
      <c r="A14846" s="6">
        <v>14844.0</v>
      </c>
      <c r="B14846" s="17">
        <f t="array" ref="B14846">SUM(1-'Sparkling Model'!D$2:D$38^A14846)</f>
        <v>36.99778365</v>
      </c>
      <c r="C14846" s="8">
        <f t="array" ref="C14846">PRODUCT(1-'Sparkling Model'!D$2:D$38^A14846)</f>
        <v>0.9977853488</v>
      </c>
    </row>
    <row r="14847">
      <c r="A14847" s="6">
        <v>14845.0</v>
      </c>
      <c r="B14847" s="17">
        <f t="array" ref="B14847">SUM(1-'Sparkling Model'!D$2:D$38^A14847)</f>
        <v>36.99778475</v>
      </c>
      <c r="C14847" s="8">
        <f t="array" ref="C14847">PRODUCT(1-'Sparkling Model'!D$2:D$38^A14847)</f>
        <v>0.997786442</v>
      </c>
    </row>
    <row r="14848">
      <c r="A14848" s="6">
        <v>14846.0</v>
      </c>
      <c r="B14848" s="17">
        <f t="array" ref="B14848">SUM(1-'Sparkling Model'!D$2:D$38^A14848)</f>
        <v>36.99778584</v>
      </c>
      <c r="C14848" s="8">
        <f t="array" ref="C14848">PRODUCT(1-'Sparkling Model'!D$2:D$38^A14848)</f>
        <v>0.9977875346</v>
      </c>
    </row>
    <row r="14849">
      <c r="A14849" s="6">
        <v>14847.0</v>
      </c>
      <c r="B14849" s="17">
        <f t="array" ref="B14849">SUM(1-'Sparkling Model'!D$2:D$38^A14849)</f>
        <v>36.99778694</v>
      </c>
      <c r="C14849" s="8">
        <f t="array" ref="C14849">PRODUCT(1-'Sparkling Model'!D$2:D$38^A14849)</f>
        <v>0.9977886266</v>
      </c>
    </row>
    <row r="14850">
      <c r="A14850" s="6">
        <v>14848.0</v>
      </c>
      <c r="B14850" s="17">
        <f t="array" ref="B14850">SUM(1-'Sparkling Model'!D$2:D$38^A14850)</f>
        <v>36.99778803</v>
      </c>
      <c r="C14850" s="8">
        <f t="array" ref="C14850">PRODUCT(1-'Sparkling Model'!D$2:D$38^A14850)</f>
        <v>0.9977897181</v>
      </c>
    </row>
    <row r="14851">
      <c r="A14851" s="6">
        <v>14849.0</v>
      </c>
      <c r="B14851" s="17">
        <f t="array" ref="B14851">SUM(1-'Sparkling Model'!D$2:D$38^A14851)</f>
        <v>36.99778912</v>
      </c>
      <c r="C14851" s="8">
        <f t="array" ref="C14851">PRODUCT(1-'Sparkling Model'!D$2:D$38^A14851)</f>
        <v>0.9977908091</v>
      </c>
    </row>
    <row r="14852">
      <c r="A14852" s="6">
        <v>14850.0</v>
      </c>
      <c r="B14852" s="17">
        <f t="array" ref="B14852">SUM(1-'Sparkling Model'!D$2:D$38^A14852)</f>
        <v>36.99779021</v>
      </c>
      <c r="C14852" s="8">
        <f t="array" ref="C14852">PRODUCT(1-'Sparkling Model'!D$2:D$38^A14852)</f>
        <v>0.9977918995</v>
      </c>
    </row>
    <row r="14853">
      <c r="A14853" s="6">
        <v>14851.0</v>
      </c>
      <c r="B14853" s="17">
        <f t="array" ref="B14853">SUM(1-'Sparkling Model'!D$2:D$38^A14853)</f>
        <v>36.99779131</v>
      </c>
      <c r="C14853" s="8">
        <f t="array" ref="C14853">PRODUCT(1-'Sparkling Model'!D$2:D$38^A14853)</f>
        <v>0.9977929894</v>
      </c>
    </row>
    <row r="14854">
      <c r="A14854" s="6">
        <v>14852.0</v>
      </c>
      <c r="B14854" s="17">
        <f t="array" ref="B14854">SUM(1-'Sparkling Model'!D$2:D$38^A14854)</f>
        <v>36.9977924</v>
      </c>
      <c r="C14854" s="8">
        <f t="array" ref="C14854">PRODUCT(1-'Sparkling Model'!D$2:D$38^A14854)</f>
        <v>0.9977940788</v>
      </c>
    </row>
    <row r="14855">
      <c r="A14855" s="6">
        <v>14853.0</v>
      </c>
      <c r="B14855" s="17">
        <f t="array" ref="B14855">SUM(1-'Sparkling Model'!D$2:D$38^A14855)</f>
        <v>36.99779349</v>
      </c>
      <c r="C14855" s="8">
        <f t="array" ref="C14855">PRODUCT(1-'Sparkling Model'!D$2:D$38^A14855)</f>
        <v>0.9977951676</v>
      </c>
    </row>
    <row r="14856">
      <c r="A14856" s="6">
        <v>14854.0</v>
      </c>
      <c r="B14856" s="17">
        <f t="array" ref="B14856">SUM(1-'Sparkling Model'!D$2:D$38^A14856)</f>
        <v>36.99779458</v>
      </c>
      <c r="C14856" s="8">
        <f t="array" ref="C14856">PRODUCT(1-'Sparkling Model'!D$2:D$38^A14856)</f>
        <v>0.9977962559</v>
      </c>
    </row>
    <row r="14857">
      <c r="A14857" s="6">
        <v>14855.0</v>
      </c>
      <c r="B14857" s="17">
        <f t="array" ref="B14857">SUM(1-'Sparkling Model'!D$2:D$38^A14857)</f>
        <v>36.99779567</v>
      </c>
      <c r="C14857" s="8">
        <f t="array" ref="C14857">PRODUCT(1-'Sparkling Model'!D$2:D$38^A14857)</f>
        <v>0.9977973436</v>
      </c>
    </row>
    <row r="14858">
      <c r="A14858" s="6">
        <v>14856.0</v>
      </c>
      <c r="B14858" s="17">
        <f t="array" ref="B14858">SUM(1-'Sparkling Model'!D$2:D$38^A14858)</f>
        <v>36.99779676</v>
      </c>
      <c r="C14858" s="8">
        <f t="array" ref="C14858">PRODUCT(1-'Sparkling Model'!D$2:D$38^A14858)</f>
        <v>0.9977984308</v>
      </c>
    </row>
    <row r="14859">
      <c r="A14859" s="6">
        <v>14857.0</v>
      </c>
      <c r="B14859" s="17">
        <f t="array" ref="B14859">SUM(1-'Sparkling Model'!D$2:D$38^A14859)</f>
        <v>36.99779784</v>
      </c>
      <c r="C14859" s="8">
        <f t="array" ref="C14859">PRODUCT(1-'Sparkling Model'!D$2:D$38^A14859)</f>
        <v>0.9977995175</v>
      </c>
    </row>
    <row r="14860">
      <c r="A14860" s="6">
        <v>14858.0</v>
      </c>
      <c r="B14860" s="17">
        <f t="array" ref="B14860">SUM(1-'Sparkling Model'!D$2:D$38^A14860)</f>
        <v>36.99779893</v>
      </c>
      <c r="C14860" s="8">
        <f t="array" ref="C14860">PRODUCT(1-'Sparkling Model'!D$2:D$38^A14860)</f>
        <v>0.9978006036</v>
      </c>
    </row>
    <row r="14861">
      <c r="A14861" s="6">
        <v>14859.0</v>
      </c>
      <c r="B14861" s="17">
        <f t="array" ref="B14861">SUM(1-'Sparkling Model'!D$2:D$38^A14861)</f>
        <v>36.99780002</v>
      </c>
      <c r="C14861" s="8">
        <f t="array" ref="C14861">PRODUCT(1-'Sparkling Model'!D$2:D$38^A14861)</f>
        <v>0.9978016892</v>
      </c>
    </row>
    <row r="14862">
      <c r="A14862" s="6">
        <v>14860.0</v>
      </c>
      <c r="B14862" s="17">
        <f t="array" ref="B14862">SUM(1-'Sparkling Model'!D$2:D$38^A14862)</f>
        <v>36.99780111</v>
      </c>
      <c r="C14862" s="8">
        <f t="array" ref="C14862">PRODUCT(1-'Sparkling Model'!D$2:D$38^A14862)</f>
        <v>0.9978027743</v>
      </c>
    </row>
    <row r="14863">
      <c r="A14863" s="6">
        <v>14861.0</v>
      </c>
      <c r="B14863" s="17">
        <f t="array" ref="B14863">SUM(1-'Sparkling Model'!D$2:D$38^A14863)</f>
        <v>36.99780219</v>
      </c>
      <c r="C14863" s="8">
        <f t="array" ref="C14863">PRODUCT(1-'Sparkling Model'!D$2:D$38^A14863)</f>
        <v>0.9978038588</v>
      </c>
    </row>
    <row r="14864">
      <c r="A14864" s="6">
        <v>14862.0</v>
      </c>
      <c r="B14864" s="17">
        <f t="array" ref="B14864">SUM(1-'Sparkling Model'!D$2:D$38^A14864)</f>
        <v>36.99780328</v>
      </c>
      <c r="C14864" s="8">
        <f t="array" ref="C14864">PRODUCT(1-'Sparkling Model'!D$2:D$38^A14864)</f>
        <v>0.9978049427</v>
      </c>
    </row>
    <row r="14865">
      <c r="A14865" s="6">
        <v>14863.0</v>
      </c>
      <c r="B14865" s="17">
        <f t="array" ref="B14865">SUM(1-'Sparkling Model'!D$2:D$38^A14865)</f>
        <v>36.99780436</v>
      </c>
      <c r="C14865" s="8">
        <f t="array" ref="C14865">PRODUCT(1-'Sparkling Model'!D$2:D$38^A14865)</f>
        <v>0.9978060262</v>
      </c>
    </row>
    <row r="14866">
      <c r="A14866" s="6">
        <v>14864.0</v>
      </c>
      <c r="B14866" s="17">
        <f t="array" ref="B14866">SUM(1-'Sparkling Model'!D$2:D$38^A14866)</f>
        <v>36.99780545</v>
      </c>
      <c r="C14866" s="8">
        <f t="array" ref="C14866">PRODUCT(1-'Sparkling Model'!D$2:D$38^A14866)</f>
        <v>0.9978071091</v>
      </c>
    </row>
    <row r="14867">
      <c r="A14867" s="6">
        <v>14865.0</v>
      </c>
      <c r="B14867" s="17">
        <f t="array" ref="B14867">SUM(1-'Sparkling Model'!D$2:D$38^A14867)</f>
        <v>36.99780653</v>
      </c>
      <c r="C14867" s="8">
        <f t="array" ref="C14867">PRODUCT(1-'Sparkling Model'!D$2:D$38^A14867)</f>
        <v>0.9978081915</v>
      </c>
    </row>
    <row r="14868">
      <c r="A14868" s="6">
        <v>14866.0</v>
      </c>
      <c r="B14868" s="17">
        <f t="array" ref="B14868">SUM(1-'Sparkling Model'!D$2:D$38^A14868)</f>
        <v>36.99780761</v>
      </c>
      <c r="C14868" s="8">
        <f t="array" ref="C14868">PRODUCT(1-'Sparkling Model'!D$2:D$38^A14868)</f>
        <v>0.9978092733</v>
      </c>
    </row>
    <row r="14869">
      <c r="A14869" s="6">
        <v>14867.0</v>
      </c>
      <c r="B14869" s="17">
        <f t="array" ref="B14869">SUM(1-'Sparkling Model'!D$2:D$38^A14869)</f>
        <v>36.9978087</v>
      </c>
      <c r="C14869" s="8">
        <f t="array" ref="C14869">PRODUCT(1-'Sparkling Model'!D$2:D$38^A14869)</f>
        <v>0.9978103546</v>
      </c>
    </row>
    <row r="14870">
      <c r="A14870" s="6">
        <v>14868.0</v>
      </c>
      <c r="B14870" s="17">
        <f t="array" ref="B14870">SUM(1-'Sparkling Model'!D$2:D$38^A14870)</f>
        <v>36.99780978</v>
      </c>
      <c r="C14870" s="8">
        <f t="array" ref="C14870">PRODUCT(1-'Sparkling Model'!D$2:D$38^A14870)</f>
        <v>0.9978114353</v>
      </c>
    </row>
    <row r="14871">
      <c r="A14871" s="6">
        <v>14869.0</v>
      </c>
      <c r="B14871" s="17">
        <f t="array" ref="B14871">SUM(1-'Sparkling Model'!D$2:D$38^A14871)</f>
        <v>36.99781086</v>
      </c>
      <c r="C14871" s="8">
        <f t="array" ref="C14871">PRODUCT(1-'Sparkling Model'!D$2:D$38^A14871)</f>
        <v>0.9978125156</v>
      </c>
    </row>
    <row r="14872">
      <c r="A14872" s="6">
        <v>14870.0</v>
      </c>
      <c r="B14872" s="17">
        <f t="array" ref="B14872">SUM(1-'Sparkling Model'!D$2:D$38^A14872)</f>
        <v>36.99781194</v>
      </c>
      <c r="C14872" s="8">
        <f t="array" ref="C14872">PRODUCT(1-'Sparkling Model'!D$2:D$38^A14872)</f>
        <v>0.9978135953</v>
      </c>
    </row>
    <row r="14873">
      <c r="A14873" s="6">
        <v>14871.0</v>
      </c>
      <c r="B14873" s="17">
        <f t="array" ref="B14873">SUM(1-'Sparkling Model'!D$2:D$38^A14873)</f>
        <v>36.99781302</v>
      </c>
      <c r="C14873" s="8">
        <f t="array" ref="C14873">PRODUCT(1-'Sparkling Model'!D$2:D$38^A14873)</f>
        <v>0.9978146744</v>
      </c>
    </row>
    <row r="14874">
      <c r="A14874" s="6">
        <v>14872.0</v>
      </c>
      <c r="B14874" s="17">
        <f t="array" ref="B14874">SUM(1-'Sparkling Model'!D$2:D$38^A14874)</f>
        <v>36.9978141</v>
      </c>
      <c r="C14874" s="8">
        <f t="array" ref="C14874">PRODUCT(1-'Sparkling Model'!D$2:D$38^A14874)</f>
        <v>0.997815753</v>
      </c>
    </row>
    <row r="14875">
      <c r="A14875" s="6">
        <v>14873.0</v>
      </c>
      <c r="B14875" s="17">
        <f t="array" ref="B14875">SUM(1-'Sparkling Model'!D$2:D$38^A14875)</f>
        <v>36.99781518</v>
      </c>
      <c r="C14875" s="8">
        <f t="array" ref="C14875">PRODUCT(1-'Sparkling Model'!D$2:D$38^A14875)</f>
        <v>0.9978168311</v>
      </c>
    </row>
    <row r="14876">
      <c r="A14876" s="6">
        <v>14874.0</v>
      </c>
      <c r="B14876" s="17">
        <f t="array" ref="B14876">SUM(1-'Sparkling Model'!D$2:D$38^A14876)</f>
        <v>36.99781626</v>
      </c>
      <c r="C14876" s="8">
        <f t="array" ref="C14876">PRODUCT(1-'Sparkling Model'!D$2:D$38^A14876)</f>
        <v>0.9978179087</v>
      </c>
    </row>
    <row r="14877">
      <c r="A14877" s="6">
        <v>14875.0</v>
      </c>
      <c r="B14877" s="17">
        <f t="array" ref="B14877">SUM(1-'Sparkling Model'!D$2:D$38^A14877)</f>
        <v>36.99781734</v>
      </c>
      <c r="C14877" s="8">
        <f t="array" ref="C14877">PRODUCT(1-'Sparkling Model'!D$2:D$38^A14877)</f>
        <v>0.9978189857</v>
      </c>
    </row>
    <row r="14878">
      <c r="A14878" s="6">
        <v>14876.0</v>
      </c>
      <c r="B14878" s="17">
        <f t="array" ref="B14878">SUM(1-'Sparkling Model'!D$2:D$38^A14878)</f>
        <v>36.99781842</v>
      </c>
      <c r="C14878" s="8">
        <f t="array" ref="C14878">PRODUCT(1-'Sparkling Model'!D$2:D$38^A14878)</f>
        <v>0.9978200622</v>
      </c>
    </row>
    <row r="14879">
      <c r="A14879" s="6">
        <v>14877.0</v>
      </c>
      <c r="B14879" s="17">
        <f t="array" ref="B14879">SUM(1-'Sparkling Model'!D$2:D$38^A14879)</f>
        <v>36.9978195</v>
      </c>
      <c r="C14879" s="8">
        <f t="array" ref="C14879">PRODUCT(1-'Sparkling Model'!D$2:D$38^A14879)</f>
        <v>0.9978211382</v>
      </c>
    </row>
    <row r="14880">
      <c r="A14880" s="6">
        <v>14878.0</v>
      </c>
      <c r="B14880" s="17">
        <f t="array" ref="B14880">SUM(1-'Sparkling Model'!D$2:D$38^A14880)</f>
        <v>36.99782057</v>
      </c>
      <c r="C14880" s="8">
        <f t="array" ref="C14880">PRODUCT(1-'Sparkling Model'!D$2:D$38^A14880)</f>
        <v>0.9978222136</v>
      </c>
    </row>
    <row r="14881">
      <c r="A14881" s="6">
        <v>14879.0</v>
      </c>
      <c r="B14881" s="17">
        <f t="array" ref="B14881">SUM(1-'Sparkling Model'!D$2:D$38^A14881)</f>
        <v>36.99782165</v>
      </c>
      <c r="C14881" s="8">
        <f t="array" ref="C14881">PRODUCT(1-'Sparkling Model'!D$2:D$38^A14881)</f>
        <v>0.9978232885</v>
      </c>
    </row>
    <row r="14882">
      <c r="A14882" s="6">
        <v>14880.0</v>
      </c>
      <c r="B14882" s="17">
        <f t="array" ref="B14882">SUM(1-'Sparkling Model'!D$2:D$38^A14882)</f>
        <v>36.99782273</v>
      </c>
      <c r="C14882" s="8">
        <f t="array" ref="C14882">PRODUCT(1-'Sparkling Model'!D$2:D$38^A14882)</f>
        <v>0.9978243628</v>
      </c>
    </row>
    <row r="14883">
      <c r="A14883" s="6">
        <v>14881.0</v>
      </c>
      <c r="B14883" s="17">
        <f t="array" ref="B14883">SUM(1-'Sparkling Model'!D$2:D$38^A14883)</f>
        <v>36.9978238</v>
      </c>
      <c r="C14883" s="8">
        <f t="array" ref="C14883">PRODUCT(1-'Sparkling Model'!D$2:D$38^A14883)</f>
        <v>0.9978254367</v>
      </c>
    </row>
    <row r="14884">
      <c r="A14884" s="6">
        <v>14882.0</v>
      </c>
      <c r="B14884" s="17">
        <f t="array" ref="B14884">SUM(1-'Sparkling Model'!D$2:D$38^A14884)</f>
        <v>36.99782488</v>
      </c>
      <c r="C14884" s="8">
        <f t="array" ref="C14884">PRODUCT(1-'Sparkling Model'!D$2:D$38^A14884)</f>
        <v>0.99782651</v>
      </c>
    </row>
    <row r="14885">
      <c r="A14885" s="6">
        <v>14883.0</v>
      </c>
      <c r="B14885" s="17">
        <f t="array" ref="B14885">SUM(1-'Sparkling Model'!D$2:D$38^A14885)</f>
        <v>36.99782595</v>
      </c>
      <c r="C14885" s="8">
        <f t="array" ref="C14885">PRODUCT(1-'Sparkling Model'!D$2:D$38^A14885)</f>
        <v>0.9978275827</v>
      </c>
    </row>
    <row r="14886">
      <c r="A14886" s="6">
        <v>14884.0</v>
      </c>
      <c r="B14886" s="17">
        <f t="array" ref="B14886">SUM(1-'Sparkling Model'!D$2:D$38^A14886)</f>
        <v>36.99782703</v>
      </c>
      <c r="C14886" s="8">
        <f t="array" ref="C14886">PRODUCT(1-'Sparkling Model'!D$2:D$38^A14886)</f>
        <v>0.997828655</v>
      </c>
    </row>
    <row r="14887">
      <c r="A14887" s="6">
        <v>14885.0</v>
      </c>
      <c r="B14887" s="17">
        <f t="array" ref="B14887">SUM(1-'Sparkling Model'!D$2:D$38^A14887)</f>
        <v>36.9978281</v>
      </c>
      <c r="C14887" s="8">
        <f t="array" ref="C14887">PRODUCT(1-'Sparkling Model'!D$2:D$38^A14887)</f>
        <v>0.9978297267</v>
      </c>
    </row>
    <row r="14888">
      <c r="A14888" s="6">
        <v>14886.0</v>
      </c>
      <c r="B14888" s="17">
        <f t="array" ref="B14888">SUM(1-'Sparkling Model'!D$2:D$38^A14888)</f>
        <v>36.99782917</v>
      </c>
      <c r="C14888" s="8">
        <f t="array" ref="C14888">PRODUCT(1-'Sparkling Model'!D$2:D$38^A14888)</f>
        <v>0.9978307978</v>
      </c>
    </row>
    <row r="14889">
      <c r="A14889" s="6">
        <v>14887.0</v>
      </c>
      <c r="B14889" s="17">
        <f t="array" ref="B14889">SUM(1-'Sparkling Model'!D$2:D$38^A14889)</f>
        <v>36.99783024</v>
      </c>
      <c r="C14889" s="8">
        <f t="array" ref="C14889">PRODUCT(1-'Sparkling Model'!D$2:D$38^A14889)</f>
        <v>0.9978318685</v>
      </c>
    </row>
    <row r="14890">
      <c r="A14890" s="6">
        <v>14888.0</v>
      </c>
      <c r="B14890" s="17">
        <f t="array" ref="B14890">SUM(1-'Sparkling Model'!D$2:D$38^A14890)</f>
        <v>36.99783132</v>
      </c>
      <c r="C14890" s="8">
        <f t="array" ref="C14890">PRODUCT(1-'Sparkling Model'!D$2:D$38^A14890)</f>
        <v>0.9978329386</v>
      </c>
    </row>
    <row r="14891">
      <c r="A14891" s="6">
        <v>14889.0</v>
      </c>
      <c r="B14891" s="17">
        <f t="array" ref="B14891">SUM(1-'Sparkling Model'!D$2:D$38^A14891)</f>
        <v>36.99783239</v>
      </c>
      <c r="C14891" s="8">
        <f t="array" ref="C14891">PRODUCT(1-'Sparkling Model'!D$2:D$38^A14891)</f>
        <v>0.9978340082</v>
      </c>
    </row>
    <row r="14892">
      <c r="A14892" s="6">
        <v>14890.0</v>
      </c>
      <c r="B14892" s="17">
        <f t="array" ref="B14892">SUM(1-'Sparkling Model'!D$2:D$38^A14892)</f>
        <v>36.99783346</v>
      </c>
      <c r="C14892" s="8">
        <f t="array" ref="C14892">PRODUCT(1-'Sparkling Model'!D$2:D$38^A14892)</f>
        <v>0.9978350772</v>
      </c>
    </row>
    <row r="14893">
      <c r="A14893" s="6">
        <v>14891.0</v>
      </c>
      <c r="B14893" s="17">
        <f t="array" ref="B14893">SUM(1-'Sparkling Model'!D$2:D$38^A14893)</f>
        <v>36.99783453</v>
      </c>
      <c r="C14893" s="8">
        <f t="array" ref="C14893">PRODUCT(1-'Sparkling Model'!D$2:D$38^A14893)</f>
        <v>0.9978361457</v>
      </c>
    </row>
    <row r="14894">
      <c r="A14894" s="6">
        <v>14892.0</v>
      </c>
      <c r="B14894" s="17">
        <f t="array" ref="B14894">SUM(1-'Sparkling Model'!D$2:D$38^A14894)</f>
        <v>36.9978356</v>
      </c>
      <c r="C14894" s="8">
        <f t="array" ref="C14894">PRODUCT(1-'Sparkling Model'!D$2:D$38^A14894)</f>
        <v>0.9978372137</v>
      </c>
    </row>
    <row r="14895">
      <c r="A14895" s="6">
        <v>14893.0</v>
      </c>
      <c r="B14895" s="17">
        <f t="array" ref="B14895">SUM(1-'Sparkling Model'!D$2:D$38^A14895)</f>
        <v>36.99783667</v>
      </c>
      <c r="C14895" s="8">
        <f t="array" ref="C14895">PRODUCT(1-'Sparkling Model'!D$2:D$38^A14895)</f>
        <v>0.9978382812</v>
      </c>
    </row>
    <row r="14896">
      <c r="A14896" s="6">
        <v>14894.0</v>
      </c>
      <c r="B14896" s="17">
        <f t="array" ref="B14896">SUM(1-'Sparkling Model'!D$2:D$38^A14896)</f>
        <v>36.99783773</v>
      </c>
      <c r="C14896" s="8">
        <f t="array" ref="C14896">PRODUCT(1-'Sparkling Model'!D$2:D$38^A14896)</f>
        <v>0.9978393482</v>
      </c>
    </row>
    <row r="14897">
      <c r="A14897" s="6">
        <v>14895.0</v>
      </c>
      <c r="B14897" s="17">
        <f t="array" ref="B14897">SUM(1-'Sparkling Model'!D$2:D$38^A14897)</f>
        <v>36.9978388</v>
      </c>
      <c r="C14897" s="8">
        <f t="array" ref="C14897">PRODUCT(1-'Sparkling Model'!D$2:D$38^A14897)</f>
        <v>0.9978404146</v>
      </c>
    </row>
    <row r="14898">
      <c r="A14898" s="6">
        <v>14896.0</v>
      </c>
      <c r="B14898" s="17">
        <f t="array" ref="B14898">SUM(1-'Sparkling Model'!D$2:D$38^A14898)</f>
        <v>36.99783987</v>
      </c>
      <c r="C14898" s="8">
        <f t="array" ref="C14898">PRODUCT(1-'Sparkling Model'!D$2:D$38^A14898)</f>
        <v>0.9978414804</v>
      </c>
    </row>
    <row r="14899">
      <c r="A14899" s="6">
        <v>14897.0</v>
      </c>
      <c r="B14899" s="17">
        <f t="array" ref="B14899">SUM(1-'Sparkling Model'!D$2:D$38^A14899)</f>
        <v>36.99784094</v>
      </c>
      <c r="C14899" s="8">
        <f t="array" ref="C14899">PRODUCT(1-'Sparkling Model'!D$2:D$38^A14899)</f>
        <v>0.9978425458</v>
      </c>
    </row>
    <row r="14900">
      <c r="A14900" s="6">
        <v>14898.0</v>
      </c>
      <c r="B14900" s="17">
        <f t="array" ref="B14900">SUM(1-'Sparkling Model'!D$2:D$38^A14900)</f>
        <v>36.997842</v>
      </c>
      <c r="C14900" s="8">
        <f t="array" ref="C14900">PRODUCT(1-'Sparkling Model'!D$2:D$38^A14900)</f>
        <v>0.9978436106</v>
      </c>
    </row>
    <row r="14901">
      <c r="A14901" s="6">
        <v>14899.0</v>
      </c>
      <c r="B14901" s="17">
        <f t="array" ref="B14901">SUM(1-'Sparkling Model'!D$2:D$38^A14901)</f>
        <v>36.99784307</v>
      </c>
      <c r="C14901" s="8">
        <f t="array" ref="C14901">PRODUCT(1-'Sparkling Model'!D$2:D$38^A14901)</f>
        <v>0.9978446749</v>
      </c>
    </row>
    <row r="14902">
      <c r="A14902" s="6">
        <v>14900.0</v>
      </c>
      <c r="B14902" s="17">
        <f t="array" ref="B14902">SUM(1-'Sparkling Model'!D$2:D$38^A14902)</f>
        <v>36.99784414</v>
      </c>
      <c r="C14902" s="8">
        <f t="array" ref="C14902">PRODUCT(1-'Sparkling Model'!D$2:D$38^A14902)</f>
        <v>0.9978457387</v>
      </c>
    </row>
    <row r="14903">
      <c r="A14903" s="6">
        <v>14901.0</v>
      </c>
      <c r="B14903" s="17">
        <f t="array" ref="B14903">SUM(1-'Sparkling Model'!D$2:D$38^A14903)</f>
        <v>36.9978452</v>
      </c>
      <c r="C14903" s="8">
        <f t="array" ref="C14903">PRODUCT(1-'Sparkling Model'!D$2:D$38^A14903)</f>
        <v>0.997846802</v>
      </c>
    </row>
    <row r="14904">
      <c r="A14904" s="6">
        <v>14902.0</v>
      </c>
      <c r="B14904" s="17">
        <f t="array" ref="B14904">SUM(1-'Sparkling Model'!D$2:D$38^A14904)</f>
        <v>36.99784626</v>
      </c>
      <c r="C14904" s="8">
        <f t="array" ref="C14904">PRODUCT(1-'Sparkling Model'!D$2:D$38^A14904)</f>
        <v>0.9978478647</v>
      </c>
    </row>
    <row r="14905">
      <c r="A14905" s="6">
        <v>14903.0</v>
      </c>
      <c r="B14905" s="17">
        <f t="array" ref="B14905">SUM(1-'Sparkling Model'!D$2:D$38^A14905)</f>
        <v>36.99784733</v>
      </c>
      <c r="C14905" s="8">
        <f t="array" ref="C14905">PRODUCT(1-'Sparkling Model'!D$2:D$38^A14905)</f>
        <v>0.9978489269</v>
      </c>
    </row>
    <row r="14906">
      <c r="A14906" s="6">
        <v>14904.0</v>
      </c>
      <c r="B14906" s="17">
        <f t="array" ref="B14906">SUM(1-'Sparkling Model'!D$2:D$38^A14906)</f>
        <v>36.99784839</v>
      </c>
      <c r="C14906" s="8">
        <f t="array" ref="C14906">PRODUCT(1-'Sparkling Model'!D$2:D$38^A14906)</f>
        <v>0.9978499885</v>
      </c>
    </row>
    <row r="14907">
      <c r="A14907" s="6">
        <v>14905.0</v>
      </c>
      <c r="B14907" s="17">
        <f t="array" ref="B14907">SUM(1-'Sparkling Model'!D$2:D$38^A14907)</f>
        <v>36.99784945</v>
      </c>
      <c r="C14907" s="8">
        <f t="array" ref="C14907">PRODUCT(1-'Sparkling Model'!D$2:D$38^A14907)</f>
        <v>0.9978510497</v>
      </c>
    </row>
    <row r="14908">
      <c r="A14908" s="6">
        <v>14906.0</v>
      </c>
      <c r="B14908" s="17">
        <f t="array" ref="B14908">SUM(1-'Sparkling Model'!D$2:D$38^A14908)</f>
        <v>36.99785052</v>
      </c>
      <c r="C14908" s="8">
        <f t="array" ref="C14908">PRODUCT(1-'Sparkling Model'!D$2:D$38^A14908)</f>
        <v>0.9978521103</v>
      </c>
    </row>
    <row r="14909">
      <c r="A14909" s="6">
        <v>14907.0</v>
      </c>
      <c r="B14909" s="17">
        <f t="array" ref="B14909">SUM(1-'Sparkling Model'!D$2:D$38^A14909)</f>
        <v>36.99785158</v>
      </c>
      <c r="C14909" s="8">
        <f t="array" ref="C14909">PRODUCT(1-'Sparkling Model'!D$2:D$38^A14909)</f>
        <v>0.9978531704</v>
      </c>
    </row>
    <row r="14910">
      <c r="A14910" s="6">
        <v>14908.0</v>
      </c>
      <c r="B14910" s="17">
        <f t="array" ref="B14910">SUM(1-'Sparkling Model'!D$2:D$38^A14910)</f>
        <v>36.99785264</v>
      </c>
      <c r="C14910" s="8">
        <f t="array" ref="C14910">PRODUCT(1-'Sparkling Model'!D$2:D$38^A14910)</f>
        <v>0.99785423</v>
      </c>
    </row>
    <row r="14911">
      <c r="A14911" s="6">
        <v>14909.0</v>
      </c>
      <c r="B14911" s="17">
        <f t="array" ref="B14911">SUM(1-'Sparkling Model'!D$2:D$38^A14911)</f>
        <v>36.9978537</v>
      </c>
      <c r="C14911" s="8">
        <f t="array" ref="C14911">PRODUCT(1-'Sparkling Model'!D$2:D$38^A14911)</f>
        <v>0.997855289</v>
      </c>
    </row>
    <row r="14912">
      <c r="A14912" s="6">
        <v>14910.0</v>
      </c>
      <c r="B14912" s="17">
        <f t="array" ref="B14912">SUM(1-'Sparkling Model'!D$2:D$38^A14912)</f>
        <v>36.99785476</v>
      </c>
      <c r="C14912" s="8">
        <f t="array" ref="C14912">PRODUCT(1-'Sparkling Model'!D$2:D$38^A14912)</f>
        <v>0.9978563475</v>
      </c>
    </row>
    <row r="14913">
      <c r="A14913" s="6">
        <v>14911.0</v>
      </c>
      <c r="B14913" s="17">
        <f t="array" ref="B14913">SUM(1-'Sparkling Model'!D$2:D$38^A14913)</f>
        <v>36.99785582</v>
      </c>
      <c r="C14913" s="8">
        <f t="array" ref="C14913">PRODUCT(1-'Sparkling Model'!D$2:D$38^A14913)</f>
        <v>0.9978574055</v>
      </c>
    </row>
    <row r="14914">
      <c r="A14914" s="6">
        <v>14912.0</v>
      </c>
      <c r="B14914" s="17">
        <f t="array" ref="B14914">SUM(1-'Sparkling Model'!D$2:D$38^A14914)</f>
        <v>36.99785688</v>
      </c>
      <c r="C14914" s="8">
        <f t="array" ref="C14914">PRODUCT(1-'Sparkling Model'!D$2:D$38^A14914)</f>
        <v>0.997858463</v>
      </c>
    </row>
    <row r="14915">
      <c r="A14915" s="6">
        <v>14913.0</v>
      </c>
      <c r="B14915" s="17">
        <f t="array" ref="B14915">SUM(1-'Sparkling Model'!D$2:D$38^A14915)</f>
        <v>36.99785794</v>
      </c>
      <c r="C14915" s="8">
        <f t="array" ref="C14915">PRODUCT(1-'Sparkling Model'!D$2:D$38^A14915)</f>
        <v>0.99785952</v>
      </c>
    </row>
    <row r="14916">
      <c r="A14916" s="6">
        <v>14914.0</v>
      </c>
      <c r="B14916" s="17">
        <f t="array" ref="B14916">SUM(1-'Sparkling Model'!D$2:D$38^A14916)</f>
        <v>36.99785899</v>
      </c>
      <c r="C14916" s="8">
        <f t="array" ref="C14916">PRODUCT(1-'Sparkling Model'!D$2:D$38^A14916)</f>
        <v>0.9978605764</v>
      </c>
    </row>
    <row r="14917">
      <c r="A14917" s="6">
        <v>14915.0</v>
      </c>
      <c r="B14917" s="17">
        <f t="array" ref="B14917">SUM(1-'Sparkling Model'!D$2:D$38^A14917)</f>
        <v>36.99786005</v>
      </c>
      <c r="C14917" s="8">
        <f t="array" ref="C14917">PRODUCT(1-'Sparkling Model'!D$2:D$38^A14917)</f>
        <v>0.9978616323</v>
      </c>
    </row>
    <row r="14918">
      <c r="A14918" s="6">
        <v>14916.0</v>
      </c>
      <c r="B14918" s="17">
        <f t="array" ref="B14918">SUM(1-'Sparkling Model'!D$2:D$38^A14918)</f>
        <v>36.99786111</v>
      </c>
      <c r="C14918" s="8">
        <f t="array" ref="C14918">PRODUCT(1-'Sparkling Model'!D$2:D$38^A14918)</f>
        <v>0.9978626877</v>
      </c>
    </row>
    <row r="14919">
      <c r="A14919" s="6">
        <v>14917.0</v>
      </c>
      <c r="B14919" s="17">
        <f t="array" ref="B14919">SUM(1-'Sparkling Model'!D$2:D$38^A14919)</f>
        <v>36.99786217</v>
      </c>
      <c r="C14919" s="8">
        <f t="array" ref="C14919">PRODUCT(1-'Sparkling Model'!D$2:D$38^A14919)</f>
        <v>0.9978637425</v>
      </c>
    </row>
    <row r="14920">
      <c r="A14920" s="6">
        <v>14918.0</v>
      </c>
      <c r="B14920" s="17">
        <f t="array" ref="B14920">SUM(1-'Sparkling Model'!D$2:D$38^A14920)</f>
        <v>36.99786322</v>
      </c>
      <c r="C14920" s="8">
        <f t="array" ref="C14920">PRODUCT(1-'Sparkling Model'!D$2:D$38^A14920)</f>
        <v>0.9978647969</v>
      </c>
    </row>
    <row r="14921">
      <c r="A14921" s="6">
        <v>14919.0</v>
      </c>
      <c r="B14921" s="17">
        <f t="array" ref="B14921">SUM(1-'Sparkling Model'!D$2:D$38^A14921)</f>
        <v>36.99786428</v>
      </c>
      <c r="C14921" s="8">
        <f t="array" ref="C14921">PRODUCT(1-'Sparkling Model'!D$2:D$38^A14921)</f>
        <v>0.9978658507</v>
      </c>
    </row>
    <row r="14922">
      <c r="A14922" s="6">
        <v>14920.0</v>
      </c>
      <c r="B14922" s="17">
        <f t="array" ref="B14922">SUM(1-'Sparkling Model'!D$2:D$38^A14922)</f>
        <v>36.99786533</v>
      </c>
      <c r="C14922" s="8">
        <f t="array" ref="C14922">PRODUCT(1-'Sparkling Model'!D$2:D$38^A14922)</f>
        <v>0.997866904</v>
      </c>
    </row>
    <row r="14923">
      <c r="A14923" s="6">
        <v>14921.0</v>
      </c>
      <c r="B14923" s="17">
        <f t="array" ref="B14923">SUM(1-'Sparkling Model'!D$2:D$38^A14923)</f>
        <v>36.99786639</v>
      </c>
      <c r="C14923" s="8">
        <f t="array" ref="C14923">PRODUCT(1-'Sparkling Model'!D$2:D$38^A14923)</f>
        <v>0.9978679568</v>
      </c>
    </row>
    <row r="14924">
      <c r="A14924" s="6">
        <v>14922.0</v>
      </c>
      <c r="B14924" s="17">
        <f t="array" ref="B14924">SUM(1-'Sparkling Model'!D$2:D$38^A14924)</f>
        <v>36.99786744</v>
      </c>
      <c r="C14924" s="8">
        <f t="array" ref="C14924">PRODUCT(1-'Sparkling Model'!D$2:D$38^A14924)</f>
        <v>0.997869009</v>
      </c>
    </row>
    <row r="14925">
      <c r="A14925" s="6">
        <v>14923.0</v>
      </c>
      <c r="B14925" s="17">
        <f t="array" ref="B14925">SUM(1-'Sparkling Model'!D$2:D$38^A14925)</f>
        <v>36.99786849</v>
      </c>
      <c r="C14925" s="8">
        <f t="array" ref="C14925">PRODUCT(1-'Sparkling Model'!D$2:D$38^A14925)</f>
        <v>0.9978700608</v>
      </c>
    </row>
    <row r="14926">
      <c r="A14926" s="6">
        <v>14924.0</v>
      </c>
      <c r="B14926" s="17">
        <f t="array" ref="B14926">SUM(1-'Sparkling Model'!D$2:D$38^A14926)</f>
        <v>36.99786955</v>
      </c>
      <c r="C14926" s="8">
        <f t="array" ref="C14926">PRODUCT(1-'Sparkling Model'!D$2:D$38^A14926)</f>
        <v>0.997871112</v>
      </c>
    </row>
    <row r="14927">
      <c r="A14927" s="6">
        <v>14925.0</v>
      </c>
      <c r="B14927" s="17">
        <f t="array" ref="B14927">SUM(1-'Sparkling Model'!D$2:D$38^A14927)</f>
        <v>36.9978706</v>
      </c>
      <c r="C14927" s="8">
        <f t="array" ref="C14927">PRODUCT(1-'Sparkling Model'!D$2:D$38^A14927)</f>
        <v>0.9978721627</v>
      </c>
    </row>
    <row r="14928">
      <c r="A14928" s="6">
        <v>14926.0</v>
      </c>
      <c r="B14928" s="17">
        <f t="array" ref="B14928">SUM(1-'Sparkling Model'!D$2:D$38^A14928)</f>
        <v>36.99787165</v>
      </c>
      <c r="C14928" s="8">
        <f t="array" ref="C14928">PRODUCT(1-'Sparkling Model'!D$2:D$38^A14928)</f>
        <v>0.9978732128</v>
      </c>
    </row>
    <row r="14929">
      <c r="A14929" s="6">
        <v>14927.0</v>
      </c>
      <c r="B14929" s="17">
        <f t="array" ref="B14929">SUM(1-'Sparkling Model'!D$2:D$38^A14929)</f>
        <v>36.9978727</v>
      </c>
      <c r="C14929" s="8">
        <f t="array" ref="C14929">PRODUCT(1-'Sparkling Model'!D$2:D$38^A14929)</f>
        <v>0.9978742625</v>
      </c>
    </row>
    <row r="14930">
      <c r="A14930" s="6">
        <v>14928.0</v>
      </c>
      <c r="B14930" s="17">
        <f t="array" ref="B14930">SUM(1-'Sparkling Model'!D$2:D$38^A14930)</f>
        <v>36.99787375</v>
      </c>
      <c r="C14930" s="8">
        <f t="array" ref="C14930">PRODUCT(1-'Sparkling Model'!D$2:D$38^A14930)</f>
        <v>0.9978753116</v>
      </c>
    </row>
    <row r="14931">
      <c r="A14931" s="6">
        <v>14929.0</v>
      </c>
      <c r="B14931" s="17">
        <f t="array" ref="B14931">SUM(1-'Sparkling Model'!D$2:D$38^A14931)</f>
        <v>36.9978748</v>
      </c>
      <c r="C14931" s="8">
        <f t="array" ref="C14931">PRODUCT(1-'Sparkling Model'!D$2:D$38^A14931)</f>
        <v>0.9978763602</v>
      </c>
    </row>
    <row r="14932">
      <c r="A14932" s="6">
        <v>14930.0</v>
      </c>
      <c r="B14932" s="17">
        <f t="array" ref="B14932">SUM(1-'Sparkling Model'!D$2:D$38^A14932)</f>
        <v>36.99787585</v>
      </c>
      <c r="C14932" s="8">
        <f t="array" ref="C14932">PRODUCT(1-'Sparkling Model'!D$2:D$38^A14932)</f>
        <v>0.9978774083</v>
      </c>
    </row>
    <row r="14933">
      <c r="A14933" s="6">
        <v>14931.0</v>
      </c>
      <c r="B14933" s="17">
        <f t="array" ref="B14933">SUM(1-'Sparkling Model'!D$2:D$38^A14933)</f>
        <v>36.9978769</v>
      </c>
      <c r="C14933" s="8">
        <f t="array" ref="C14933">PRODUCT(1-'Sparkling Model'!D$2:D$38^A14933)</f>
        <v>0.9978784559</v>
      </c>
    </row>
    <row r="14934">
      <c r="A14934" s="6">
        <v>14932.0</v>
      </c>
      <c r="B14934" s="17">
        <f t="array" ref="B14934">SUM(1-'Sparkling Model'!D$2:D$38^A14934)</f>
        <v>36.99787795</v>
      </c>
      <c r="C14934" s="8">
        <f t="array" ref="C14934">PRODUCT(1-'Sparkling Model'!D$2:D$38^A14934)</f>
        <v>0.9978795029</v>
      </c>
    </row>
    <row r="14935">
      <c r="A14935" s="6">
        <v>14933.0</v>
      </c>
      <c r="B14935" s="17">
        <f t="array" ref="B14935">SUM(1-'Sparkling Model'!D$2:D$38^A14935)</f>
        <v>36.997879</v>
      </c>
      <c r="C14935" s="8">
        <f t="array" ref="C14935">PRODUCT(1-'Sparkling Model'!D$2:D$38^A14935)</f>
        <v>0.9978805495</v>
      </c>
    </row>
    <row r="14936">
      <c r="A14936" s="6">
        <v>14934.0</v>
      </c>
      <c r="B14936" s="17">
        <f t="array" ref="B14936">SUM(1-'Sparkling Model'!D$2:D$38^A14936)</f>
        <v>36.99788005</v>
      </c>
      <c r="C14936" s="8">
        <f t="array" ref="C14936">PRODUCT(1-'Sparkling Model'!D$2:D$38^A14936)</f>
        <v>0.9978815955</v>
      </c>
    </row>
    <row r="14937">
      <c r="A14937" s="6">
        <v>14935.0</v>
      </c>
      <c r="B14937" s="17">
        <f t="array" ref="B14937">SUM(1-'Sparkling Model'!D$2:D$38^A14937)</f>
        <v>36.99788109</v>
      </c>
      <c r="C14937" s="8">
        <f t="array" ref="C14937">PRODUCT(1-'Sparkling Model'!D$2:D$38^A14937)</f>
        <v>0.997882641</v>
      </c>
    </row>
    <row r="14938">
      <c r="A14938" s="6">
        <v>14936.0</v>
      </c>
      <c r="B14938" s="17">
        <f t="array" ref="B14938">SUM(1-'Sparkling Model'!D$2:D$38^A14938)</f>
        <v>36.99788214</v>
      </c>
      <c r="C14938" s="8">
        <f t="array" ref="C14938">PRODUCT(1-'Sparkling Model'!D$2:D$38^A14938)</f>
        <v>0.997883686</v>
      </c>
    </row>
    <row r="14939">
      <c r="A14939" s="6">
        <v>14937.0</v>
      </c>
      <c r="B14939" s="17">
        <f t="array" ref="B14939">SUM(1-'Sparkling Model'!D$2:D$38^A14939)</f>
        <v>36.99788318</v>
      </c>
      <c r="C14939" s="8">
        <f t="array" ref="C14939">PRODUCT(1-'Sparkling Model'!D$2:D$38^A14939)</f>
        <v>0.9978847305</v>
      </c>
    </row>
    <row r="14940">
      <c r="A14940" s="6">
        <v>14938.0</v>
      </c>
      <c r="B14940" s="17">
        <f t="array" ref="B14940">SUM(1-'Sparkling Model'!D$2:D$38^A14940)</f>
        <v>36.99788423</v>
      </c>
      <c r="C14940" s="8">
        <f t="array" ref="C14940">PRODUCT(1-'Sparkling Model'!D$2:D$38^A14940)</f>
        <v>0.9978857744</v>
      </c>
    </row>
    <row r="14941">
      <c r="A14941" s="6">
        <v>14939.0</v>
      </c>
      <c r="B14941" s="17">
        <f t="array" ref="B14941">SUM(1-'Sparkling Model'!D$2:D$38^A14941)</f>
        <v>36.99788528</v>
      </c>
      <c r="C14941" s="8">
        <f t="array" ref="C14941">PRODUCT(1-'Sparkling Model'!D$2:D$38^A14941)</f>
        <v>0.9978868178</v>
      </c>
    </row>
    <row r="14942">
      <c r="A14942" s="6">
        <v>14940.0</v>
      </c>
      <c r="B14942" s="17">
        <f t="array" ref="B14942">SUM(1-'Sparkling Model'!D$2:D$38^A14942)</f>
        <v>36.99788632</v>
      </c>
      <c r="C14942" s="8">
        <f t="array" ref="C14942">PRODUCT(1-'Sparkling Model'!D$2:D$38^A14942)</f>
        <v>0.9978878608</v>
      </c>
    </row>
    <row r="14943">
      <c r="A14943" s="6">
        <v>14941.0</v>
      </c>
      <c r="B14943" s="17">
        <f t="array" ref="B14943">SUM(1-'Sparkling Model'!D$2:D$38^A14943)</f>
        <v>36.99788736</v>
      </c>
      <c r="C14943" s="8">
        <f t="array" ref="C14943">PRODUCT(1-'Sparkling Model'!D$2:D$38^A14943)</f>
        <v>0.9978889032</v>
      </c>
    </row>
    <row r="14944">
      <c r="A14944" s="6">
        <v>14942.0</v>
      </c>
      <c r="B14944" s="17">
        <f t="array" ref="B14944">SUM(1-'Sparkling Model'!D$2:D$38^A14944)</f>
        <v>36.99788841</v>
      </c>
      <c r="C14944" s="8">
        <f t="array" ref="C14944">PRODUCT(1-'Sparkling Model'!D$2:D$38^A14944)</f>
        <v>0.9978899451</v>
      </c>
    </row>
    <row r="14945">
      <c r="A14945" s="6">
        <v>14943.0</v>
      </c>
      <c r="B14945" s="17">
        <f t="array" ref="B14945">SUM(1-'Sparkling Model'!D$2:D$38^A14945)</f>
        <v>36.99788945</v>
      </c>
      <c r="C14945" s="8">
        <f t="array" ref="C14945">PRODUCT(1-'Sparkling Model'!D$2:D$38^A14945)</f>
        <v>0.9978909864</v>
      </c>
    </row>
    <row r="14946">
      <c r="A14946" s="6">
        <v>14944.0</v>
      </c>
      <c r="B14946" s="17">
        <f t="array" ref="B14946">SUM(1-'Sparkling Model'!D$2:D$38^A14946)</f>
        <v>36.99789049</v>
      </c>
      <c r="C14946" s="8">
        <f t="array" ref="C14946">PRODUCT(1-'Sparkling Model'!D$2:D$38^A14946)</f>
        <v>0.9978920273</v>
      </c>
    </row>
    <row r="14947">
      <c r="A14947" s="6">
        <v>14945.0</v>
      </c>
      <c r="B14947" s="17">
        <f t="array" ref="B14947">SUM(1-'Sparkling Model'!D$2:D$38^A14947)</f>
        <v>36.99789153</v>
      </c>
      <c r="C14947" s="8">
        <f t="array" ref="C14947">PRODUCT(1-'Sparkling Model'!D$2:D$38^A14947)</f>
        <v>0.9978930676</v>
      </c>
    </row>
    <row r="14948">
      <c r="A14948" s="6">
        <v>14946.0</v>
      </c>
      <c r="B14948" s="17">
        <f t="array" ref="B14948">SUM(1-'Sparkling Model'!D$2:D$38^A14948)</f>
        <v>36.99789258</v>
      </c>
      <c r="C14948" s="8">
        <f t="array" ref="C14948">PRODUCT(1-'Sparkling Model'!D$2:D$38^A14948)</f>
        <v>0.9978941074</v>
      </c>
    </row>
    <row r="14949">
      <c r="A14949" s="6">
        <v>14947.0</v>
      </c>
      <c r="B14949" s="17">
        <f t="array" ref="B14949">SUM(1-'Sparkling Model'!D$2:D$38^A14949)</f>
        <v>36.99789362</v>
      </c>
      <c r="C14949" s="8">
        <f t="array" ref="C14949">PRODUCT(1-'Sparkling Model'!D$2:D$38^A14949)</f>
        <v>0.9978951468</v>
      </c>
    </row>
    <row r="14950">
      <c r="A14950" s="6">
        <v>14948.0</v>
      </c>
      <c r="B14950" s="17">
        <f t="array" ref="B14950">SUM(1-'Sparkling Model'!D$2:D$38^A14950)</f>
        <v>36.99789466</v>
      </c>
      <c r="C14950" s="8">
        <f t="array" ref="C14950">PRODUCT(1-'Sparkling Model'!D$2:D$38^A14950)</f>
        <v>0.9978961856</v>
      </c>
    </row>
    <row r="14951">
      <c r="A14951" s="6">
        <v>14949.0</v>
      </c>
      <c r="B14951" s="17">
        <f t="array" ref="B14951">SUM(1-'Sparkling Model'!D$2:D$38^A14951)</f>
        <v>36.9978957</v>
      </c>
      <c r="C14951" s="8">
        <f t="array" ref="C14951">PRODUCT(1-'Sparkling Model'!D$2:D$38^A14951)</f>
        <v>0.9978972238</v>
      </c>
    </row>
    <row r="14952">
      <c r="A14952" s="6">
        <v>14950.0</v>
      </c>
      <c r="B14952" s="17">
        <f t="array" ref="B14952">SUM(1-'Sparkling Model'!D$2:D$38^A14952)</f>
        <v>36.99789674</v>
      </c>
      <c r="C14952" s="8">
        <f t="array" ref="C14952">PRODUCT(1-'Sparkling Model'!D$2:D$38^A14952)</f>
        <v>0.9978982616</v>
      </c>
    </row>
    <row r="14953">
      <c r="A14953" s="6">
        <v>14951.0</v>
      </c>
      <c r="B14953" s="17">
        <f t="array" ref="B14953">SUM(1-'Sparkling Model'!D$2:D$38^A14953)</f>
        <v>36.99789777</v>
      </c>
      <c r="C14953" s="8">
        <f t="array" ref="C14953">PRODUCT(1-'Sparkling Model'!D$2:D$38^A14953)</f>
        <v>0.9978992989</v>
      </c>
    </row>
    <row r="14954">
      <c r="A14954" s="6">
        <v>14952.0</v>
      </c>
      <c r="B14954" s="17">
        <f t="array" ref="B14954">SUM(1-'Sparkling Model'!D$2:D$38^A14954)</f>
        <v>36.99789881</v>
      </c>
      <c r="C14954" s="8">
        <f t="array" ref="C14954">PRODUCT(1-'Sparkling Model'!D$2:D$38^A14954)</f>
        <v>0.9979003356</v>
      </c>
    </row>
    <row r="14955">
      <c r="A14955" s="6">
        <v>14953.0</v>
      </c>
      <c r="B14955" s="17">
        <f t="array" ref="B14955">SUM(1-'Sparkling Model'!D$2:D$38^A14955)</f>
        <v>36.99789985</v>
      </c>
      <c r="C14955" s="8">
        <f t="array" ref="C14955">PRODUCT(1-'Sparkling Model'!D$2:D$38^A14955)</f>
        <v>0.9979013718</v>
      </c>
    </row>
    <row r="14956">
      <c r="A14956" s="6">
        <v>14954.0</v>
      </c>
      <c r="B14956" s="17">
        <f t="array" ref="B14956">SUM(1-'Sparkling Model'!D$2:D$38^A14956)</f>
        <v>36.99790089</v>
      </c>
      <c r="C14956" s="8">
        <f t="array" ref="C14956">PRODUCT(1-'Sparkling Model'!D$2:D$38^A14956)</f>
        <v>0.9979024075</v>
      </c>
    </row>
    <row r="14957">
      <c r="A14957" s="6">
        <v>14955.0</v>
      </c>
      <c r="B14957" s="17">
        <f t="array" ref="B14957">SUM(1-'Sparkling Model'!D$2:D$38^A14957)</f>
        <v>36.99790192</v>
      </c>
      <c r="C14957" s="8">
        <f t="array" ref="C14957">PRODUCT(1-'Sparkling Model'!D$2:D$38^A14957)</f>
        <v>0.9979034427</v>
      </c>
    </row>
    <row r="14958">
      <c r="A14958" s="6">
        <v>14956.0</v>
      </c>
      <c r="B14958" s="17">
        <f t="array" ref="B14958">SUM(1-'Sparkling Model'!D$2:D$38^A14958)</f>
        <v>36.99790296</v>
      </c>
      <c r="C14958" s="8">
        <f t="array" ref="C14958">PRODUCT(1-'Sparkling Model'!D$2:D$38^A14958)</f>
        <v>0.9979044774</v>
      </c>
    </row>
    <row r="14959">
      <c r="A14959" s="6">
        <v>14957.0</v>
      </c>
      <c r="B14959" s="17">
        <f t="array" ref="B14959">SUM(1-'Sparkling Model'!D$2:D$38^A14959)</f>
        <v>36.997904</v>
      </c>
      <c r="C14959" s="8">
        <f t="array" ref="C14959">PRODUCT(1-'Sparkling Model'!D$2:D$38^A14959)</f>
        <v>0.9979055116</v>
      </c>
    </row>
    <row r="14960">
      <c r="A14960" s="6">
        <v>14958.0</v>
      </c>
      <c r="B14960" s="17">
        <f t="array" ref="B14960">SUM(1-'Sparkling Model'!D$2:D$38^A14960)</f>
        <v>36.99790503</v>
      </c>
      <c r="C14960" s="8">
        <f t="array" ref="C14960">PRODUCT(1-'Sparkling Model'!D$2:D$38^A14960)</f>
        <v>0.9979065453</v>
      </c>
    </row>
    <row r="14961">
      <c r="A14961" s="6">
        <v>14959.0</v>
      </c>
      <c r="B14961" s="17">
        <f t="array" ref="B14961">SUM(1-'Sparkling Model'!D$2:D$38^A14961)</f>
        <v>36.99790607</v>
      </c>
      <c r="C14961" s="8">
        <f t="array" ref="C14961">PRODUCT(1-'Sparkling Model'!D$2:D$38^A14961)</f>
        <v>0.9979075784</v>
      </c>
    </row>
    <row r="14962">
      <c r="A14962" s="6">
        <v>14960.0</v>
      </c>
      <c r="B14962" s="17">
        <f t="array" ref="B14962">SUM(1-'Sparkling Model'!D$2:D$38^A14962)</f>
        <v>36.9979071</v>
      </c>
      <c r="C14962" s="8">
        <f t="array" ref="C14962">PRODUCT(1-'Sparkling Model'!D$2:D$38^A14962)</f>
        <v>0.9979086111</v>
      </c>
    </row>
    <row r="14963">
      <c r="A14963" s="6">
        <v>14961.0</v>
      </c>
      <c r="B14963" s="17">
        <f t="array" ref="B14963">SUM(1-'Sparkling Model'!D$2:D$38^A14963)</f>
        <v>36.99790813</v>
      </c>
      <c r="C14963" s="8">
        <f t="array" ref="C14963">PRODUCT(1-'Sparkling Model'!D$2:D$38^A14963)</f>
        <v>0.9979096432</v>
      </c>
    </row>
    <row r="14964">
      <c r="A14964" s="6">
        <v>14962.0</v>
      </c>
      <c r="B14964" s="17">
        <f t="array" ref="B14964">SUM(1-'Sparkling Model'!D$2:D$38^A14964)</f>
        <v>36.99790917</v>
      </c>
      <c r="C14964" s="8">
        <f t="array" ref="C14964">PRODUCT(1-'Sparkling Model'!D$2:D$38^A14964)</f>
        <v>0.9979106748</v>
      </c>
    </row>
    <row r="14965">
      <c r="A14965" s="6">
        <v>14963.0</v>
      </c>
      <c r="B14965" s="17">
        <f t="array" ref="B14965">SUM(1-'Sparkling Model'!D$2:D$38^A14965)</f>
        <v>36.9979102</v>
      </c>
      <c r="C14965" s="8">
        <f t="array" ref="C14965">PRODUCT(1-'Sparkling Model'!D$2:D$38^A14965)</f>
        <v>0.9979117059</v>
      </c>
    </row>
    <row r="14966">
      <c r="A14966" s="6">
        <v>14964.0</v>
      </c>
      <c r="B14966" s="17">
        <f t="array" ref="B14966">SUM(1-'Sparkling Model'!D$2:D$38^A14966)</f>
        <v>36.99791123</v>
      </c>
      <c r="C14966" s="8">
        <f t="array" ref="C14966">PRODUCT(1-'Sparkling Model'!D$2:D$38^A14966)</f>
        <v>0.9979127366</v>
      </c>
    </row>
    <row r="14967">
      <c r="A14967" s="6">
        <v>14965.0</v>
      </c>
      <c r="B14967" s="17">
        <f t="array" ref="B14967">SUM(1-'Sparkling Model'!D$2:D$38^A14967)</f>
        <v>36.99791226</v>
      </c>
      <c r="C14967" s="8">
        <f t="array" ref="C14967">PRODUCT(1-'Sparkling Model'!D$2:D$38^A14967)</f>
        <v>0.9979137666</v>
      </c>
    </row>
    <row r="14968">
      <c r="A14968" s="6">
        <v>14966.0</v>
      </c>
      <c r="B14968" s="17">
        <f t="array" ref="B14968">SUM(1-'Sparkling Model'!D$2:D$38^A14968)</f>
        <v>36.99791329</v>
      </c>
      <c r="C14968" s="8">
        <f t="array" ref="C14968">PRODUCT(1-'Sparkling Model'!D$2:D$38^A14968)</f>
        <v>0.9979147962</v>
      </c>
    </row>
    <row r="14969">
      <c r="A14969" s="6">
        <v>14967.0</v>
      </c>
      <c r="B14969" s="17">
        <f t="array" ref="B14969">SUM(1-'Sparkling Model'!D$2:D$38^A14969)</f>
        <v>36.99791432</v>
      </c>
      <c r="C14969" s="8">
        <f t="array" ref="C14969">PRODUCT(1-'Sparkling Model'!D$2:D$38^A14969)</f>
        <v>0.9979158253</v>
      </c>
    </row>
    <row r="14970">
      <c r="A14970" s="6">
        <v>14968.0</v>
      </c>
      <c r="B14970" s="17">
        <f t="array" ref="B14970">SUM(1-'Sparkling Model'!D$2:D$38^A14970)</f>
        <v>36.99791535</v>
      </c>
      <c r="C14970" s="8">
        <f t="array" ref="C14970">PRODUCT(1-'Sparkling Model'!D$2:D$38^A14970)</f>
        <v>0.9979168539</v>
      </c>
    </row>
    <row r="14971">
      <c r="A14971" s="6">
        <v>14969.0</v>
      </c>
      <c r="B14971" s="17">
        <f t="array" ref="B14971">SUM(1-'Sparkling Model'!D$2:D$38^A14971)</f>
        <v>36.99791638</v>
      </c>
      <c r="C14971" s="8">
        <f t="array" ref="C14971">PRODUCT(1-'Sparkling Model'!D$2:D$38^A14971)</f>
        <v>0.9979178819</v>
      </c>
    </row>
    <row r="14972">
      <c r="A14972" s="6">
        <v>14970.0</v>
      </c>
      <c r="B14972" s="17">
        <f t="array" ref="B14972">SUM(1-'Sparkling Model'!D$2:D$38^A14972)</f>
        <v>36.99791741</v>
      </c>
      <c r="C14972" s="8">
        <f t="array" ref="C14972">PRODUCT(1-'Sparkling Model'!D$2:D$38^A14972)</f>
        <v>0.9979189095</v>
      </c>
    </row>
    <row r="14973">
      <c r="A14973" s="6">
        <v>14971.0</v>
      </c>
      <c r="B14973" s="17">
        <f t="array" ref="B14973">SUM(1-'Sparkling Model'!D$2:D$38^A14973)</f>
        <v>36.99791844</v>
      </c>
      <c r="C14973" s="8">
        <f t="array" ref="C14973">PRODUCT(1-'Sparkling Model'!D$2:D$38^A14973)</f>
        <v>0.9979199365</v>
      </c>
    </row>
    <row r="14974">
      <c r="A14974" s="6">
        <v>14972.0</v>
      </c>
      <c r="B14974" s="17">
        <f t="array" ref="B14974">SUM(1-'Sparkling Model'!D$2:D$38^A14974)</f>
        <v>36.99791947</v>
      </c>
      <c r="C14974" s="8">
        <f t="array" ref="C14974">PRODUCT(1-'Sparkling Model'!D$2:D$38^A14974)</f>
        <v>0.997920963</v>
      </c>
    </row>
    <row r="14975">
      <c r="A14975" s="6">
        <v>14973.0</v>
      </c>
      <c r="B14975" s="17">
        <f t="array" ref="B14975">SUM(1-'Sparkling Model'!D$2:D$38^A14975)</f>
        <v>36.9979205</v>
      </c>
      <c r="C14975" s="8">
        <f t="array" ref="C14975">PRODUCT(1-'Sparkling Model'!D$2:D$38^A14975)</f>
        <v>0.997921989</v>
      </c>
    </row>
    <row r="14976">
      <c r="A14976" s="6">
        <v>14974.0</v>
      </c>
      <c r="B14976" s="17">
        <f t="array" ref="B14976">SUM(1-'Sparkling Model'!D$2:D$38^A14976)</f>
        <v>36.99792152</v>
      </c>
      <c r="C14976" s="8">
        <f t="array" ref="C14976">PRODUCT(1-'Sparkling Model'!D$2:D$38^A14976)</f>
        <v>0.9979230146</v>
      </c>
    </row>
    <row r="14977">
      <c r="A14977" s="6">
        <v>14975.0</v>
      </c>
      <c r="B14977" s="17">
        <f t="array" ref="B14977">SUM(1-'Sparkling Model'!D$2:D$38^A14977)</f>
        <v>36.99792255</v>
      </c>
      <c r="C14977" s="8">
        <f t="array" ref="C14977">PRODUCT(1-'Sparkling Model'!D$2:D$38^A14977)</f>
        <v>0.9979240396</v>
      </c>
    </row>
    <row r="14978">
      <c r="A14978" s="6">
        <v>14976.0</v>
      </c>
      <c r="B14978" s="17">
        <f t="array" ref="B14978">SUM(1-'Sparkling Model'!D$2:D$38^A14978)</f>
        <v>36.99792358</v>
      </c>
      <c r="C14978" s="8">
        <f t="array" ref="C14978">PRODUCT(1-'Sparkling Model'!D$2:D$38^A14978)</f>
        <v>0.9979250641</v>
      </c>
    </row>
    <row r="14979">
      <c r="A14979" s="6">
        <v>14977.0</v>
      </c>
      <c r="B14979" s="17">
        <f t="array" ref="B14979">SUM(1-'Sparkling Model'!D$2:D$38^A14979)</f>
        <v>36.9979246</v>
      </c>
      <c r="C14979" s="8">
        <f t="array" ref="C14979">PRODUCT(1-'Sparkling Model'!D$2:D$38^A14979)</f>
        <v>0.9979260881</v>
      </c>
    </row>
    <row r="14980">
      <c r="A14980" s="6">
        <v>14978.0</v>
      </c>
      <c r="B14980" s="17">
        <f t="array" ref="B14980">SUM(1-'Sparkling Model'!D$2:D$38^A14980)</f>
        <v>36.99792563</v>
      </c>
      <c r="C14980" s="8">
        <f t="array" ref="C14980">PRODUCT(1-'Sparkling Model'!D$2:D$38^A14980)</f>
        <v>0.9979271115</v>
      </c>
    </row>
    <row r="14981">
      <c r="A14981" s="6">
        <v>14979.0</v>
      </c>
      <c r="B14981" s="17">
        <f t="array" ref="B14981">SUM(1-'Sparkling Model'!D$2:D$38^A14981)</f>
        <v>36.99792665</v>
      </c>
      <c r="C14981" s="8">
        <f t="array" ref="C14981">PRODUCT(1-'Sparkling Model'!D$2:D$38^A14981)</f>
        <v>0.9979281345</v>
      </c>
    </row>
    <row r="14982">
      <c r="A14982" s="6">
        <v>14980.0</v>
      </c>
      <c r="B14982" s="17">
        <f t="array" ref="B14982">SUM(1-'Sparkling Model'!D$2:D$38^A14982)</f>
        <v>36.99792768</v>
      </c>
      <c r="C14982" s="8">
        <f t="array" ref="C14982">PRODUCT(1-'Sparkling Model'!D$2:D$38^A14982)</f>
        <v>0.997929157</v>
      </c>
    </row>
    <row r="14983">
      <c r="A14983" s="6">
        <v>14981.0</v>
      </c>
      <c r="B14983" s="17">
        <f t="array" ref="B14983">SUM(1-'Sparkling Model'!D$2:D$38^A14983)</f>
        <v>36.9979287</v>
      </c>
      <c r="C14983" s="8">
        <f t="array" ref="C14983">PRODUCT(1-'Sparkling Model'!D$2:D$38^A14983)</f>
        <v>0.997930179</v>
      </c>
    </row>
    <row r="14984">
      <c r="A14984" s="6">
        <v>14982.0</v>
      </c>
      <c r="B14984" s="17">
        <f t="array" ref="B14984">SUM(1-'Sparkling Model'!D$2:D$38^A14984)</f>
        <v>36.99792972</v>
      </c>
      <c r="C14984" s="8">
        <f t="array" ref="C14984">PRODUCT(1-'Sparkling Model'!D$2:D$38^A14984)</f>
        <v>0.9979312004</v>
      </c>
    </row>
    <row r="14985">
      <c r="A14985" s="6">
        <v>14983.0</v>
      </c>
      <c r="B14985" s="17">
        <f t="array" ref="B14985">SUM(1-'Sparkling Model'!D$2:D$38^A14985)</f>
        <v>36.99793074</v>
      </c>
      <c r="C14985" s="8">
        <f t="array" ref="C14985">PRODUCT(1-'Sparkling Model'!D$2:D$38^A14985)</f>
        <v>0.9979322214</v>
      </c>
    </row>
    <row r="14986">
      <c r="A14986" s="6">
        <v>14984.0</v>
      </c>
      <c r="B14986" s="17">
        <f t="array" ref="B14986">SUM(1-'Sparkling Model'!D$2:D$38^A14986)</f>
        <v>36.99793177</v>
      </c>
      <c r="C14986" s="8">
        <f t="array" ref="C14986">PRODUCT(1-'Sparkling Model'!D$2:D$38^A14986)</f>
        <v>0.9979332418</v>
      </c>
    </row>
    <row r="14987">
      <c r="A14987" s="6">
        <v>14985.0</v>
      </c>
      <c r="B14987" s="17">
        <f t="array" ref="B14987">SUM(1-'Sparkling Model'!D$2:D$38^A14987)</f>
        <v>36.99793279</v>
      </c>
      <c r="C14987" s="8">
        <f t="array" ref="C14987">PRODUCT(1-'Sparkling Model'!D$2:D$38^A14987)</f>
        <v>0.9979342618</v>
      </c>
    </row>
    <row r="14988">
      <c r="A14988" s="6">
        <v>14986.0</v>
      </c>
      <c r="B14988" s="17">
        <f t="array" ref="B14988">SUM(1-'Sparkling Model'!D$2:D$38^A14988)</f>
        <v>36.99793381</v>
      </c>
      <c r="C14988" s="8">
        <f t="array" ref="C14988">PRODUCT(1-'Sparkling Model'!D$2:D$38^A14988)</f>
        <v>0.9979352812</v>
      </c>
    </row>
    <row r="14989">
      <c r="A14989" s="6">
        <v>14987.0</v>
      </c>
      <c r="B14989" s="17">
        <f t="array" ref="B14989">SUM(1-'Sparkling Model'!D$2:D$38^A14989)</f>
        <v>36.99793483</v>
      </c>
      <c r="C14989" s="8">
        <f t="array" ref="C14989">PRODUCT(1-'Sparkling Model'!D$2:D$38^A14989)</f>
        <v>0.9979363001</v>
      </c>
    </row>
    <row r="14990">
      <c r="A14990" s="6">
        <v>14988.0</v>
      </c>
      <c r="B14990" s="17">
        <f t="array" ref="B14990">SUM(1-'Sparkling Model'!D$2:D$38^A14990)</f>
        <v>36.99793585</v>
      </c>
      <c r="C14990" s="8">
        <f t="array" ref="C14990">PRODUCT(1-'Sparkling Model'!D$2:D$38^A14990)</f>
        <v>0.9979373186</v>
      </c>
    </row>
    <row r="14991">
      <c r="A14991" s="6">
        <v>14989.0</v>
      </c>
      <c r="B14991" s="17">
        <f t="array" ref="B14991">SUM(1-'Sparkling Model'!D$2:D$38^A14991)</f>
        <v>36.99793687</v>
      </c>
      <c r="C14991" s="8">
        <f t="array" ref="C14991">PRODUCT(1-'Sparkling Model'!D$2:D$38^A14991)</f>
        <v>0.9979383365</v>
      </c>
    </row>
    <row r="14992">
      <c r="A14992" s="6">
        <v>14990.0</v>
      </c>
      <c r="B14992" s="17">
        <f t="array" ref="B14992">SUM(1-'Sparkling Model'!D$2:D$38^A14992)</f>
        <v>36.99793789</v>
      </c>
      <c r="C14992" s="8">
        <f t="array" ref="C14992">PRODUCT(1-'Sparkling Model'!D$2:D$38^A14992)</f>
        <v>0.9979393539</v>
      </c>
    </row>
    <row r="14993">
      <c r="A14993" s="6">
        <v>14991.0</v>
      </c>
      <c r="B14993" s="17">
        <f t="array" ref="B14993">SUM(1-'Sparkling Model'!D$2:D$38^A14993)</f>
        <v>36.99793891</v>
      </c>
      <c r="C14993" s="8">
        <f t="array" ref="C14993">PRODUCT(1-'Sparkling Model'!D$2:D$38^A14993)</f>
        <v>0.9979403708</v>
      </c>
    </row>
    <row r="14994">
      <c r="A14994" s="6">
        <v>14992.0</v>
      </c>
      <c r="B14994" s="17">
        <f t="array" ref="B14994">SUM(1-'Sparkling Model'!D$2:D$38^A14994)</f>
        <v>36.99793992</v>
      </c>
      <c r="C14994" s="8">
        <f t="array" ref="C14994">PRODUCT(1-'Sparkling Model'!D$2:D$38^A14994)</f>
        <v>0.9979413873</v>
      </c>
    </row>
    <row r="14995">
      <c r="A14995" s="6">
        <v>14993.0</v>
      </c>
      <c r="B14995" s="17">
        <f t="array" ref="B14995">SUM(1-'Sparkling Model'!D$2:D$38^A14995)</f>
        <v>36.99794094</v>
      </c>
      <c r="C14995" s="8">
        <f t="array" ref="C14995">PRODUCT(1-'Sparkling Model'!D$2:D$38^A14995)</f>
        <v>0.9979424032</v>
      </c>
    </row>
    <row r="14996">
      <c r="A14996" s="6">
        <v>14994.0</v>
      </c>
      <c r="B14996" s="17">
        <f t="array" ref="B14996">SUM(1-'Sparkling Model'!D$2:D$38^A14996)</f>
        <v>36.99794196</v>
      </c>
      <c r="C14996" s="8">
        <f t="array" ref="C14996">PRODUCT(1-'Sparkling Model'!D$2:D$38^A14996)</f>
        <v>0.9979434186</v>
      </c>
    </row>
    <row r="14997">
      <c r="A14997" s="6">
        <v>14995.0</v>
      </c>
      <c r="B14997" s="17">
        <f t="array" ref="B14997">SUM(1-'Sparkling Model'!D$2:D$38^A14997)</f>
        <v>36.99794297</v>
      </c>
      <c r="C14997" s="8">
        <f t="array" ref="C14997">PRODUCT(1-'Sparkling Model'!D$2:D$38^A14997)</f>
        <v>0.9979444335</v>
      </c>
    </row>
    <row r="14998">
      <c r="A14998" s="6">
        <v>14996.0</v>
      </c>
      <c r="B14998" s="17">
        <f t="array" ref="B14998">SUM(1-'Sparkling Model'!D$2:D$38^A14998)</f>
        <v>36.99794399</v>
      </c>
      <c r="C14998" s="8">
        <f t="array" ref="C14998">PRODUCT(1-'Sparkling Model'!D$2:D$38^A14998)</f>
        <v>0.9979454479</v>
      </c>
    </row>
    <row r="14999">
      <c r="A14999" s="6">
        <v>14997.0</v>
      </c>
      <c r="B14999" s="17">
        <f t="array" ref="B14999">SUM(1-'Sparkling Model'!D$2:D$38^A14999)</f>
        <v>36.99794501</v>
      </c>
      <c r="C14999" s="8">
        <f t="array" ref="C14999">PRODUCT(1-'Sparkling Model'!D$2:D$38^A14999)</f>
        <v>0.9979464618</v>
      </c>
    </row>
    <row r="15000">
      <c r="A15000" s="6">
        <v>14998.0</v>
      </c>
      <c r="B15000" s="17">
        <f t="array" ref="B15000">SUM(1-'Sparkling Model'!D$2:D$38^A15000)</f>
        <v>36.99794602</v>
      </c>
      <c r="C15000" s="8">
        <f t="array" ref="C15000">PRODUCT(1-'Sparkling Model'!D$2:D$38^A15000)</f>
        <v>0.9979474752</v>
      </c>
    </row>
    <row r="15001">
      <c r="A15001" s="6">
        <v>14999.0</v>
      </c>
      <c r="B15001" s="17">
        <f t="array" ref="B15001">SUM(1-'Sparkling Model'!D$2:D$38^A15001)</f>
        <v>36.99794703</v>
      </c>
      <c r="C15001" s="8">
        <f t="array" ref="C15001">PRODUCT(1-'Sparkling Model'!D$2:D$38^A15001)</f>
        <v>0.9979484881</v>
      </c>
    </row>
    <row r="15002">
      <c r="A15002" s="6">
        <v>15000.0</v>
      </c>
      <c r="B15002" s="17">
        <f t="array" ref="B15002">SUM(1-'Sparkling Model'!D$2:D$38^A15002)</f>
        <v>36.99794805</v>
      </c>
      <c r="C15002" s="8">
        <f t="array" ref="C15002">PRODUCT(1-'Sparkling Model'!D$2:D$38^A15002)</f>
        <v>0.9979495005</v>
      </c>
    </row>
    <row r="15003">
      <c r="A15003" s="6">
        <v>15001.0</v>
      </c>
      <c r="B15003" s="17">
        <f t="array" ref="B15003">SUM(1-'Sparkling Model'!D$2:D$38^A15003)</f>
        <v>36.99794906</v>
      </c>
      <c r="C15003" s="8">
        <f t="array" ref="C15003">PRODUCT(1-'Sparkling Model'!D$2:D$38^A15003)</f>
        <v>0.9979505124</v>
      </c>
    </row>
    <row r="15004">
      <c r="A15004" s="6">
        <v>15002.0</v>
      </c>
      <c r="B15004" s="17">
        <f t="array" ref="B15004">SUM(1-'Sparkling Model'!D$2:D$38^A15004)</f>
        <v>36.99795007</v>
      </c>
      <c r="C15004" s="8">
        <f t="array" ref="C15004">PRODUCT(1-'Sparkling Model'!D$2:D$38^A15004)</f>
        <v>0.9979515238</v>
      </c>
    </row>
    <row r="15005">
      <c r="A15005" s="6">
        <v>15003.0</v>
      </c>
      <c r="B15005" s="17">
        <f t="array" ref="B15005">SUM(1-'Sparkling Model'!D$2:D$38^A15005)</f>
        <v>36.99795109</v>
      </c>
      <c r="C15005" s="8">
        <f t="array" ref="C15005">PRODUCT(1-'Sparkling Model'!D$2:D$38^A15005)</f>
        <v>0.9979525347</v>
      </c>
    </row>
    <row r="15006">
      <c r="A15006" s="6">
        <v>15004.0</v>
      </c>
      <c r="B15006" s="17">
        <f t="array" ref="B15006">SUM(1-'Sparkling Model'!D$2:D$38^A15006)</f>
        <v>36.9979521</v>
      </c>
      <c r="C15006" s="8">
        <f t="array" ref="C15006">PRODUCT(1-'Sparkling Model'!D$2:D$38^A15006)</f>
        <v>0.9979535451</v>
      </c>
    </row>
    <row r="15007">
      <c r="A15007" s="6">
        <v>15005.0</v>
      </c>
      <c r="B15007" s="17">
        <f t="array" ref="B15007">SUM(1-'Sparkling Model'!D$2:D$38^A15007)</f>
        <v>36.99795311</v>
      </c>
      <c r="C15007" s="8">
        <f t="array" ref="C15007">PRODUCT(1-'Sparkling Model'!D$2:D$38^A15007)</f>
        <v>0.997954555</v>
      </c>
    </row>
    <row r="15008">
      <c r="A15008" s="6">
        <v>15006.0</v>
      </c>
      <c r="B15008" s="17">
        <f t="array" ref="B15008">SUM(1-'Sparkling Model'!D$2:D$38^A15008)</f>
        <v>36.99795412</v>
      </c>
      <c r="C15008" s="8">
        <f t="array" ref="C15008">PRODUCT(1-'Sparkling Model'!D$2:D$38^A15008)</f>
        <v>0.9979555644</v>
      </c>
    </row>
    <row r="15009">
      <c r="A15009" s="6">
        <v>15007.0</v>
      </c>
      <c r="B15009" s="17">
        <f t="array" ref="B15009">SUM(1-'Sparkling Model'!D$2:D$38^A15009)</f>
        <v>36.99795513</v>
      </c>
      <c r="C15009" s="8">
        <f t="array" ref="C15009">PRODUCT(1-'Sparkling Model'!D$2:D$38^A15009)</f>
        <v>0.9979565733</v>
      </c>
    </row>
    <row r="15010">
      <c r="A15010" s="6">
        <v>15008.0</v>
      </c>
      <c r="B15010" s="17">
        <f t="array" ref="B15010">SUM(1-'Sparkling Model'!D$2:D$38^A15010)</f>
        <v>36.99795614</v>
      </c>
      <c r="C15010" s="8">
        <f t="array" ref="C15010">PRODUCT(1-'Sparkling Model'!D$2:D$38^A15010)</f>
        <v>0.9979575817</v>
      </c>
    </row>
    <row r="15011">
      <c r="A15011" s="6">
        <v>15009.0</v>
      </c>
      <c r="B15011" s="17">
        <f t="array" ref="B15011">SUM(1-'Sparkling Model'!D$2:D$38^A15011)</f>
        <v>36.99795715</v>
      </c>
      <c r="C15011" s="8">
        <f t="array" ref="C15011">PRODUCT(1-'Sparkling Model'!D$2:D$38^A15011)</f>
        <v>0.9979585896</v>
      </c>
    </row>
    <row r="15012">
      <c r="A15012" s="6">
        <v>15010.0</v>
      </c>
      <c r="B15012" s="17">
        <f t="array" ref="B15012">SUM(1-'Sparkling Model'!D$2:D$38^A15012)</f>
        <v>36.99795816</v>
      </c>
      <c r="C15012" s="8">
        <f t="array" ref="C15012">PRODUCT(1-'Sparkling Model'!D$2:D$38^A15012)</f>
        <v>0.997959597</v>
      </c>
    </row>
    <row r="15013">
      <c r="A15013" s="6">
        <v>15011.0</v>
      </c>
      <c r="B15013" s="17">
        <f t="array" ref="B15013">SUM(1-'Sparkling Model'!D$2:D$38^A15013)</f>
        <v>36.99795917</v>
      </c>
      <c r="C15013" s="8">
        <f t="array" ref="C15013">PRODUCT(1-'Sparkling Model'!D$2:D$38^A15013)</f>
        <v>0.9979606039</v>
      </c>
    </row>
    <row r="15014">
      <c r="A15014" s="6">
        <v>15012.0</v>
      </c>
      <c r="B15014" s="17">
        <f t="array" ref="B15014">SUM(1-'Sparkling Model'!D$2:D$38^A15014)</f>
        <v>36.99796018</v>
      </c>
      <c r="C15014" s="8">
        <f t="array" ref="C15014">PRODUCT(1-'Sparkling Model'!D$2:D$38^A15014)</f>
        <v>0.9979616103</v>
      </c>
    </row>
    <row r="15015">
      <c r="A15015" s="6">
        <v>15013.0</v>
      </c>
      <c r="B15015" s="17">
        <f t="array" ref="B15015">SUM(1-'Sparkling Model'!D$2:D$38^A15015)</f>
        <v>36.99796118</v>
      </c>
      <c r="C15015" s="8">
        <f t="array" ref="C15015">PRODUCT(1-'Sparkling Model'!D$2:D$38^A15015)</f>
        <v>0.9979626162</v>
      </c>
    </row>
    <row r="15016">
      <c r="A15016" s="6">
        <v>15014.0</v>
      </c>
      <c r="B15016" s="17">
        <f t="array" ref="B15016">SUM(1-'Sparkling Model'!D$2:D$38^A15016)</f>
        <v>36.99796219</v>
      </c>
      <c r="C15016" s="8">
        <f t="array" ref="C15016">PRODUCT(1-'Sparkling Model'!D$2:D$38^A15016)</f>
        <v>0.9979636216</v>
      </c>
    </row>
    <row r="15017">
      <c r="A15017" s="6">
        <v>15015.0</v>
      </c>
      <c r="B15017" s="17">
        <f t="array" ref="B15017">SUM(1-'Sparkling Model'!D$2:D$38^A15017)</f>
        <v>36.9979632</v>
      </c>
      <c r="C15017" s="8">
        <f t="array" ref="C15017">PRODUCT(1-'Sparkling Model'!D$2:D$38^A15017)</f>
        <v>0.9979646265</v>
      </c>
    </row>
    <row r="15018">
      <c r="A15018" s="6">
        <v>15016.0</v>
      </c>
      <c r="B15018" s="17">
        <f t="array" ref="B15018">SUM(1-'Sparkling Model'!D$2:D$38^A15018)</f>
        <v>36.9979642</v>
      </c>
      <c r="C15018" s="8">
        <f t="array" ref="C15018">PRODUCT(1-'Sparkling Model'!D$2:D$38^A15018)</f>
        <v>0.9979656309</v>
      </c>
    </row>
    <row r="15019">
      <c r="A15019" s="6">
        <v>15017.0</v>
      </c>
      <c r="B15019" s="17">
        <f t="array" ref="B15019">SUM(1-'Sparkling Model'!D$2:D$38^A15019)</f>
        <v>36.99796521</v>
      </c>
      <c r="C15019" s="8">
        <f t="array" ref="C15019">PRODUCT(1-'Sparkling Model'!D$2:D$38^A15019)</f>
        <v>0.9979666349</v>
      </c>
    </row>
    <row r="15020">
      <c r="A15020" s="6">
        <v>15018.0</v>
      </c>
      <c r="B15020" s="17">
        <f t="array" ref="B15020">SUM(1-'Sparkling Model'!D$2:D$38^A15020)</f>
        <v>36.99796621</v>
      </c>
      <c r="C15020" s="8">
        <f t="array" ref="C15020">PRODUCT(1-'Sparkling Model'!D$2:D$38^A15020)</f>
        <v>0.9979676383</v>
      </c>
    </row>
    <row r="15021">
      <c r="A15021" s="6">
        <v>15019.0</v>
      </c>
      <c r="B15021" s="17">
        <f t="array" ref="B15021">SUM(1-'Sparkling Model'!D$2:D$38^A15021)</f>
        <v>36.99796722</v>
      </c>
      <c r="C15021" s="8">
        <f t="array" ref="C15021">PRODUCT(1-'Sparkling Model'!D$2:D$38^A15021)</f>
        <v>0.9979686412</v>
      </c>
    </row>
    <row r="15022">
      <c r="A15022" s="6">
        <v>15020.0</v>
      </c>
      <c r="B15022" s="17">
        <f t="array" ref="B15022">SUM(1-'Sparkling Model'!D$2:D$38^A15022)</f>
        <v>36.99796822</v>
      </c>
      <c r="C15022" s="8">
        <f t="array" ref="C15022">PRODUCT(1-'Sparkling Model'!D$2:D$38^A15022)</f>
        <v>0.9979696436</v>
      </c>
    </row>
    <row r="15023">
      <c r="A15023" s="6">
        <v>15021.0</v>
      </c>
      <c r="B15023" s="17">
        <f t="array" ref="B15023">SUM(1-'Sparkling Model'!D$2:D$38^A15023)</f>
        <v>36.99796922</v>
      </c>
      <c r="C15023" s="8">
        <f t="array" ref="C15023">PRODUCT(1-'Sparkling Model'!D$2:D$38^A15023)</f>
        <v>0.9979706456</v>
      </c>
    </row>
    <row r="15024">
      <c r="A15024" s="6">
        <v>15022.0</v>
      </c>
      <c r="B15024" s="17">
        <f t="array" ref="B15024">SUM(1-'Sparkling Model'!D$2:D$38^A15024)</f>
        <v>36.99797023</v>
      </c>
      <c r="C15024" s="8">
        <f t="array" ref="C15024">PRODUCT(1-'Sparkling Model'!D$2:D$38^A15024)</f>
        <v>0.997971647</v>
      </c>
    </row>
    <row r="15025">
      <c r="A15025" s="6">
        <v>15023.0</v>
      </c>
      <c r="B15025" s="17">
        <f t="array" ref="B15025">SUM(1-'Sparkling Model'!D$2:D$38^A15025)</f>
        <v>36.99797123</v>
      </c>
      <c r="C15025" s="8">
        <f t="array" ref="C15025">PRODUCT(1-'Sparkling Model'!D$2:D$38^A15025)</f>
        <v>0.9979726479</v>
      </c>
    </row>
    <row r="15026">
      <c r="A15026" s="6">
        <v>15024.0</v>
      </c>
      <c r="B15026" s="17">
        <f t="array" ref="B15026">SUM(1-'Sparkling Model'!D$2:D$38^A15026)</f>
        <v>36.99797223</v>
      </c>
      <c r="C15026" s="8">
        <f t="array" ref="C15026">PRODUCT(1-'Sparkling Model'!D$2:D$38^A15026)</f>
        <v>0.9979736484</v>
      </c>
    </row>
    <row r="15027">
      <c r="A15027" s="6">
        <v>15025.0</v>
      </c>
      <c r="B15027" s="17">
        <f t="array" ref="B15027">SUM(1-'Sparkling Model'!D$2:D$38^A15027)</f>
        <v>36.99797323</v>
      </c>
      <c r="C15027" s="8">
        <f t="array" ref="C15027">PRODUCT(1-'Sparkling Model'!D$2:D$38^A15027)</f>
        <v>0.9979746483</v>
      </c>
    </row>
    <row r="15028">
      <c r="A15028" s="6">
        <v>15026.0</v>
      </c>
      <c r="B15028" s="17">
        <f t="array" ref="B15028">SUM(1-'Sparkling Model'!D$2:D$38^A15028)</f>
        <v>36.99797423</v>
      </c>
      <c r="C15028" s="8">
        <f t="array" ref="C15028">PRODUCT(1-'Sparkling Model'!D$2:D$38^A15028)</f>
        <v>0.9979756478</v>
      </c>
    </row>
    <row r="15029">
      <c r="A15029" s="6">
        <v>15027.0</v>
      </c>
      <c r="B15029" s="17">
        <f t="array" ref="B15029">SUM(1-'Sparkling Model'!D$2:D$38^A15029)</f>
        <v>36.99797523</v>
      </c>
      <c r="C15029" s="8">
        <f t="array" ref="C15029">PRODUCT(1-'Sparkling Model'!D$2:D$38^A15029)</f>
        <v>0.9979766467</v>
      </c>
    </row>
    <row r="15030">
      <c r="A15030" s="6">
        <v>15028.0</v>
      </c>
      <c r="B15030" s="17">
        <f t="array" ref="B15030">SUM(1-'Sparkling Model'!D$2:D$38^A15030)</f>
        <v>36.99797623</v>
      </c>
      <c r="C15030" s="8">
        <f t="array" ref="C15030">PRODUCT(1-'Sparkling Model'!D$2:D$38^A15030)</f>
        <v>0.9979776452</v>
      </c>
    </row>
    <row r="15031">
      <c r="A15031" s="6">
        <v>15029.0</v>
      </c>
      <c r="B15031" s="17">
        <f t="array" ref="B15031">SUM(1-'Sparkling Model'!D$2:D$38^A15031)</f>
        <v>36.99797723</v>
      </c>
      <c r="C15031" s="8">
        <f t="array" ref="C15031">PRODUCT(1-'Sparkling Model'!D$2:D$38^A15031)</f>
        <v>0.9979786432</v>
      </c>
    </row>
    <row r="15032">
      <c r="A15032" s="6">
        <v>15030.0</v>
      </c>
      <c r="B15032" s="17">
        <f t="array" ref="B15032">SUM(1-'Sparkling Model'!D$2:D$38^A15032)</f>
        <v>36.99797823</v>
      </c>
      <c r="C15032" s="8">
        <f t="array" ref="C15032">PRODUCT(1-'Sparkling Model'!D$2:D$38^A15032)</f>
        <v>0.9979796407</v>
      </c>
    </row>
    <row r="15033">
      <c r="A15033" s="6">
        <v>15031.0</v>
      </c>
      <c r="B15033" s="17">
        <f t="array" ref="B15033">SUM(1-'Sparkling Model'!D$2:D$38^A15033)</f>
        <v>36.99797923</v>
      </c>
      <c r="C15033" s="8">
        <f t="array" ref="C15033">PRODUCT(1-'Sparkling Model'!D$2:D$38^A15033)</f>
        <v>0.9979806376</v>
      </c>
    </row>
    <row r="15034">
      <c r="A15034" s="6">
        <v>15032.0</v>
      </c>
      <c r="B15034" s="17">
        <f t="array" ref="B15034">SUM(1-'Sparkling Model'!D$2:D$38^A15034)</f>
        <v>36.99798023</v>
      </c>
      <c r="C15034" s="8">
        <f t="array" ref="C15034">PRODUCT(1-'Sparkling Model'!D$2:D$38^A15034)</f>
        <v>0.9979816341</v>
      </c>
    </row>
    <row r="15035">
      <c r="A15035" s="6">
        <v>15033.0</v>
      </c>
      <c r="B15035" s="17">
        <f t="array" ref="B15035">SUM(1-'Sparkling Model'!D$2:D$38^A15035)</f>
        <v>36.99798122</v>
      </c>
      <c r="C15035" s="8">
        <f t="array" ref="C15035">PRODUCT(1-'Sparkling Model'!D$2:D$38^A15035)</f>
        <v>0.9979826301</v>
      </c>
    </row>
    <row r="15036">
      <c r="A15036" s="6">
        <v>15034.0</v>
      </c>
      <c r="B15036" s="17">
        <f t="array" ref="B15036">SUM(1-'Sparkling Model'!D$2:D$38^A15036)</f>
        <v>36.99798222</v>
      </c>
      <c r="C15036" s="8">
        <f t="array" ref="C15036">PRODUCT(1-'Sparkling Model'!D$2:D$38^A15036)</f>
        <v>0.9979836256</v>
      </c>
    </row>
    <row r="15037">
      <c r="A15037" s="6">
        <v>15035.0</v>
      </c>
      <c r="B15037" s="17">
        <f t="array" ref="B15037">SUM(1-'Sparkling Model'!D$2:D$38^A15037)</f>
        <v>36.99798322</v>
      </c>
      <c r="C15037" s="8">
        <f t="array" ref="C15037">PRODUCT(1-'Sparkling Model'!D$2:D$38^A15037)</f>
        <v>0.9979846206</v>
      </c>
    </row>
    <row r="15038">
      <c r="A15038" s="6">
        <v>15036.0</v>
      </c>
      <c r="B15038" s="17">
        <f t="array" ref="B15038">SUM(1-'Sparkling Model'!D$2:D$38^A15038)</f>
        <v>36.99798421</v>
      </c>
      <c r="C15038" s="8">
        <f t="array" ref="C15038">PRODUCT(1-'Sparkling Model'!D$2:D$38^A15038)</f>
        <v>0.9979856152</v>
      </c>
    </row>
    <row r="15039">
      <c r="A15039" s="6">
        <v>15037.0</v>
      </c>
      <c r="B15039" s="17">
        <f t="array" ref="B15039">SUM(1-'Sparkling Model'!D$2:D$38^A15039)</f>
        <v>36.99798521</v>
      </c>
      <c r="C15039" s="8">
        <f t="array" ref="C15039">PRODUCT(1-'Sparkling Model'!D$2:D$38^A15039)</f>
        <v>0.9979866092</v>
      </c>
    </row>
    <row r="15040">
      <c r="A15040" s="6">
        <v>15038.0</v>
      </c>
      <c r="B15040" s="17">
        <f t="array" ref="B15040">SUM(1-'Sparkling Model'!D$2:D$38^A15040)</f>
        <v>36.9979862</v>
      </c>
      <c r="C15040" s="8">
        <f t="array" ref="C15040">PRODUCT(1-'Sparkling Model'!D$2:D$38^A15040)</f>
        <v>0.9979876027</v>
      </c>
    </row>
    <row r="15041">
      <c r="A15041" s="6">
        <v>15039.0</v>
      </c>
      <c r="B15041" s="17">
        <f t="array" ref="B15041">SUM(1-'Sparkling Model'!D$2:D$38^A15041)</f>
        <v>36.9979872</v>
      </c>
      <c r="C15041" s="8">
        <f t="array" ref="C15041">PRODUCT(1-'Sparkling Model'!D$2:D$38^A15041)</f>
        <v>0.9979885958</v>
      </c>
    </row>
    <row r="15042">
      <c r="A15042" s="6">
        <v>15040.0</v>
      </c>
      <c r="B15042" s="17">
        <f t="array" ref="B15042">SUM(1-'Sparkling Model'!D$2:D$38^A15042)</f>
        <v>36.99798819</v>
      </c>
      <c r="C15042" s="8">
        <f t="array" ref="C15042">PRODUCT(1-'Sparkling Model'!D$2:D$38^A15042)</f>
        <v>0.9979895883</v>
      </c>
    </row>
    <row r="15043">
      <c r="A15043" s="6">
        <v>15041.0</v>
      </c>
      <c r="B15043" s="17">
        <f t="array" ref="B15043">SUM(1-'Sparkling Model'!D$2:D$38^A15043)</f>
        <v>36.99798919</v>
      </c>
      <c r="C15043" s="8">
        <f t="array" ref="C15043">PRODUCT(1-'Sparkling Model'!D$2:D$38^A15043)</f>
        <v>0.9979905804</v>
      </c>
    </row>
    <row r="15044">
      <c r="A15044" s="6">
        <v>15042.0</v>
      </c>
      <c r="B15044" s="17">
        <f t="array" ref="B15044">SUM(1-'Sparkling Model'!D$2:D$38^A15044)</f>
        <v>36.99799018</v>
      </c>
      <c r="C15044" s="8">
        <f t="array" ref="C15044">PRODUCT(1-'Sparkling Model'!D$2:D$38^A15044)</f>
        <v>0.997991572</v>
      </c>
    </row>
    <row r="15045">
      <c r="A15045" s="6">
        <v>15043.0</v>
      </c>
      <c r="B15045" s="17">
        <f t="array" ref="B15045">SUM(1-'Sparkling Model'!D$2:D$38^A15045)</f>
        <v>36.99799117</v>
      </c>
      <c r="C15045" s="8">
        <f t="array" ref="C15045">PRODUCT(1-'Sparkling Model'!D$2:D$38^A15045)</f>
        <v>0.997992563</v>
      </c>
    </row>
    <row r="15046">
      <c r="A15046" s="6">
        <v>15044.0</v>
      </c>
      <c r="B15046" s="17">
        <f t="array" ref="B15046">SUM(1-'Sparkling Model'!D$2:D$38^A15046)</f>
        <v>36.99799216</v>
      </c>
      <c r="C15046" s="8">
        <f t="array" ref="C15046">PRODUCT(1-'Sparkling Model'!D$2:D$38^A15046)</f>
        <v>0.9979935536</v>
      </c>
    </row>
    <row r="15047">
      <c r="A15047" s="6">
        <v>15045.0</v>
      </c>
      <c r="B15047" s="17">
        <f t="array" ref="B15047">SUM(1-'Sparkling Model'!D$2:D$38^A15047)</f>
        <v>36.99799316</v>
      </c>
      <c r="C15047" s="8">
        <f t="array" ref="C15047">PRODUCT(1-'Sparkling Model'!D$2:D$38^A15047)</f>
        <v>0.9979945437</v>
      </c>
    </row>
    <row r="15048">
      <c r="A15048" s="6">
        <v>15046.0</v>
      </c>
      <c r="B15048" s="17">
        <f t="array" ref="B15048">SUM(1-'Sparkling Model'!D$2:D$38^A15048)</f>
        <v>36.99799415</v>
      </c>
      <c r="C15048" s="8">
        <f t="array" ref="C15048">PRODUCT(1-'Sparkling Model'!D$2:D$38^A15048)</f>
        <v>0.9979955333</v>
      </c>
    </row>
    <row r="15049">
      <c r="A15049" s="6">
        <v>15047.0</v>
      </c>
      <c r="B15049" s="17">
        <f t="array" ref="B15049">SUM(1-'Sparkling Model'!D$2:D$38^A15049)</f>
        <v>36.99799514</v>
      </c>
      <c r="C15049" s="8">
        <f t="array" ref="C15049">PRODUCT(1-'Sparkling Model'!D$2:D$38^A15049)</f>
        <v>0.9979965225</v>
      </c>
    </row>
    <row r="15050">
      <c r="A15050" s="6">
        <v>15048.0</v>
      </c>
      <c r="B15050" s="17">
        <f t="array" ref="B15050">SUM(1-'Sparkling Model'!D$2:D$38^A15050)</f>
        <v>36.99799613</v>
      </c>
      <c r="C15050" s="8">
        <f t="array" ref="C15050">PRODUCT(1-'Sparkling Model'!D$2:D$38^A15050)</f>
        <v>0.9979975111</v>
      </c>
    </row>
    <row r="15051">
      <c r="A15051" s="6">
        <v>15049.0</v>
      </c>
      <c r="B15051" s="17">
        <f t="array" ref="B15051">SUM(1-'Sparkling Model'!D$2:D$38^A15051)</f>
        <v>36.99799712</v>
      </c>
      <c r="C15051" s="8">
        <f t="array" ref="C15051">PRODUCT(1-'Sparkling Model'!D$2:D$38^A15051)</f>
        <v>0.9979984992</v>
      </c>
    </row>
    <row r="15052">
      <c r="A15052" s="6">
        <v>15050.0</v>
      </c>
      <c r="B15052" s="17">
        <f t="array" ref="B15052">SUM(1-'Sparkling Model'!D$2:D$38^A15052)</f>
        <v>36.99799811</v>
      </c>
      <c r="C15052" s="8">
        <f t="array" ref="C15052">PRODUCT(1-'Sparkling Model'!D$2:D$38^A15052)</f>
        <v>0.9979994869</v>
      </c>
    </row>
    <row r="15053">
      <c r="A15053" s="6">
        <v>15051.0</v>
      </c>
      <c r="B15053" s="17">
        <f t="array" ref="B15053">SUM(1-'Sparkling Model'!D$2:D$38^A15053)</f>
        <v>36.99799909</v>
      </c>
      <c r="C15053" s="8">
        <f t="array" ref="C15053">PRODUCT(1-'Sparkling Model'!D$2:D$38^A15053)</f>
        <v>0.9980004741</v>
      </c>
    </row>
    <row r="15054">
      <c r="A15054" s="6">
        <v>15052.0</v>
      </c>
      <c r="B15054" s="17">
        <f t="array" ref="B15054">SUM(1-'Sparkling Model'!D$2:D$38^A15054)</f>
        <v>36.99800008</v>
      </c>
      <c r="C15054" s="8">
        <f t="array" ref="C15054">PRODUCT(1-'Sparkling Model'!D$2:D$38^A15054)</f>
        <v>0.9980014607</v>
      </c>
    </row>
    <row r="15055">
      <c r="A15055" s="6">
        <v>15053.0</v>
      </c>
      <c r="B15055" s="17">
        <f t="array" ref="B15055">SUM(1-'Sparkling Model'!D$2:D$38^A15055)</f>
        <v>36.99800107</v>
      </c>
      <c r="C15055" s="8">
        <f t="array" ref="C15055">PRODUCT(1-'Sparkling Model'!D$2:D$38^A15055)</f>
        <v>0.9980024469</v>
      </c>
    </row>
    <row r="15056">
      <c r="A15056" s="6">
        <v>15054.0</v>
      </c>
      <c r="B15056" s="17">
        <f t="array" ref="B15056">SUM(1-'Sparkling Model'!D$2:D$38^A15056)</f>
        <v>36.99800206</v>
      </c>
      <c r="C15056" s="8">
        <f t="array" ref="C15056">PRODUCT(1-'Sparkling Model'!D$2:D$38^A15056)</f>
        <v>0.9980034326</v>
      </c>
    </row>
    <row r="15057">
      <c r="A15057" s="6">
        <v>15055.0</v>
      </c>
      <c r="B15057" s="17">
        <f t="array" ref="B15057">SUM(1-'Sparkling Model'!D$2:D$38^A15057)</f>
        <v>36.99800304</v>
      </c>
      <c r="C15057" s="8">
        <f t="array" ref="C15057">PRODUCT(1-'Sparkling Model'!D$2:D$38^A15057)</f>
        <v>0.9980044178</v>
      </c>
    </row>
    <row r="15058">
      <c r="A15058" s="6">
        <v>15056.0</v>
      </c>
      <c r="B15058" s="17">
        <f t="array" ref="B15058">SUM(1-'Sparkling Model'!D$2:D$38^A15058)</f>
        <v>36.99800403</v>
      </c>
      <c r="C15058" s="8">
        <f t="array" ref="C15058">PRODUCT(1-'Sparkling Model'!D$2:D$38^A15058)</f>
        <v>0.9980054026</v>
      </c>
    </row>
    <row r="15059">
      <c r="A15059" s="6">
        <v>15057.0</v>
      </c>
      <c r="B15059" s="17">
        <f t="array" ref="B15059">SUM(1-'Sparkling Model'!D$2:D$38^A15059)</f>
        <v>36.99800501</v>
      </c>
      <c r="C15059" s="8">
        <f t="array" ref="C15059">PRODUCT(1-'Sparkling Model'!D$2:D$38^A15059)</f>
        <v>0.9980063868</v>
      </c>
    </row>
    <row r="15060">
      <c r="A15060" s="6">
        <v>15058.0</v>
      </c>
      <c r="B15060" s="17">
        <f t="array" ref="B15060">SUM(1-'Sparkling Model'!D$2:D$38^A15060)</f>
        <v>36.998006</v>
      </c>
      <c r="C15060" s="8">
        <f t="array" ref="C15060">PRODUCT(1-'Sparkling Model'!D$2:D$38^A15060)</f>
        <v>0.9980073705</v>
      </c>
    </row>
    <row r="15061">
      <c r="A15061" s="6">
        <v>15059.0</v>
      </c>
      <c r="B15061" s="17">
        <f t="array" ref="B15061">SUM(1-'Sparkling Model'!D$2:D$38^A15061)</f>
        <v>36.99800698</v>
      </c>
      <c r="C15061" s="8">
        <f t="array" ref="C15061">PRODUCT(1-'Sparkling Model'!D$2:D$38^A15061)</f>
        <v>0.9980083538</v>
      </c>
    </row>
    <row r="15062">
      <c r="A15062" s="6">
        <v>15060.0</v>
      </c>
      <c r="B15062" s="17">
        <f t="array" ref="B15062">SUM(1-'Sparkling Model'!D$2:D$38^A15062)</f>
        <v>36.99800797</v>
      </c>
      <c r="C15062" s="8">
        <f t="array" ref="C15062">PRODUCT(1-'Sparkling Model'!D$2:D$38^A15062)</f>
        <v>0.9980093366</v>
      </c>
    </row>
    <row r="15063">
      <c r="A15063" s="6">
        <v>15061.0</v>
      </c>
      <c r="B15063" s="17">
        <f t="array" ref="B15063">SUM(1-'Sparkling Model'!D$2:D$38^A15063)</f>
        <v>36.99800895</v>
      </c>
      <c r="C15063" s="8">
        <f t="array" ref="C15063">PRODUCT(1-'Sparkling Model'!D$2:D$38^A15063)</f>
        <v>0.9980103189</v>
      </c>
    </row>
    <row r="15064">
      <c r="A15064" s="6">
        <v>15062.0</v>
      </c>
      <c r="B15064" s="17">
        <f t="array" ref="B15064">SUM(1-'Sparkling Model'!D$2:D$38^A15064)</f>
        <v>36.99800994</v>
      </c>
      <c r="C15064" s="8">
        <f t="array" ref="C15064">PRODUCT(1-'Sparkling Model'!D$2:D$38^A15064)</f>
        <v>0.9980113007</v>
      </c>
    </row>
    <row r="15065">
      <c r="A15065" s="6">
        <v>15063.0</v>
      </c>
      <c r="B15065" s="17">
        <f t="array" ref="B15065">SUM(1-'Sparkling Model'!D$2:D$38^A15065)</f>
        <v>36.99801092</v>
      </c>
      <c r="C15065" s="8">
        <f t="array" ref="C15065">PRODUCT(1-'Sparkling Model'!D$2:D$38^A15065)</f>
        <v>0.998012282</v>
      </c>
    </row>
    <row r="15066">
      <c r="A15066" s="6">
        <v>15064.0</v>
      </c>
      <c r="B15066" s="17">
        <f t="array" ref="B15066">SUM(1-'Sparkling Model'!D$2:D$38^A15066)</f>
        <v>36.9980119</v>
      </c>
      <c r="C15066" s="8">
        <f t="array" ref="C15066">PRODUCT(1-'Sparkling Model'!D$2:D$38^A15066)</f>
        <v>0.9980132628</v>
      </c>
    </row>
    <row r="15067">
      <c r="A15067" s="6">
        <v>15065.0</v>
      </c>
      <c r="B15067" s="17">
        <f t="array" ref="B15067">SUM(1-'Sparkling Model'!D$2:D$38^A15067)</f>
        <v>36.99801288</v>
      </c>
      <c r="C15067" s="8">
        <f t="array" ref="C15067">PRODUCT(1-'Sparkling Model'!D$2:D$38^A15067)</f>
        <v>0.9980142432</v>
      </c>
    </row>
    <row r="15068">
      <c r="A15068" s="6">
        <v>15066.0</v>
      </c>
      <c r="B15068" s="17">
        <f t="array" ref="B15068">SUM(1-'Sparkling Model'!D$2:D$38^A15068)</f>
        <v>36.99801386</v>
      </c>
      <c r="C15068" s="8">
        <f t="array" ref="C15068">PRODUCT(1-'Sparkling Model'!D$2:D$38^A15068)</f>
        <v>0.9980152231</v>
      </c>
    </row>
    <row r="15069">
      <c r="A15069" s="6">
        <v>15067.0</v>
      </c>
      <c r="B15069" s="17">
        <f t="array" ref="B15069">SUM(1-'Sparkling Model'!D$2:D$38^A15069)</f>
        <v>36.99801484</v>
      </c>
      <c r="C15069" s="8">
        <f t="array" ref="C15069">PRODUCT(1-'Sparkling Model'!D$2:D$38^A15069)</f>
        <v>0.9980162024</v>
      </c>
    </row>
    <row r="15070">
      <c r="A15070" s="6">
        <v>15068.0</v>
      </c>
      <c r="B15070" s="17">
        <f t="array" ref="B15070">SUM(1-'Sparkling Model'!D$2:D$38^A15070)</f>
        <v>36.99801582</v>
      </c>
      <c r="C15070" s="8">
        <f t="array" ref="C15070">PRODUCT(1-'Sparkling Model'!D$2:D$38^A15070)</f>
        <v>0.9980171813</v>
      </c>
    </row>
    <row r="15071">
      <c r="A15071" s="6">
        <v>15069.0</v>
      </c>
      <c r="B15071" s="17">
        <f t="array" ref="B15071">SUM(1-'Sparkling Model'!D$2:D$38^A15071)</f>
        <v>36.9980168</v>
      </c>
      <c r="C15071" s="8">
        <f t="array" ref="C15071">PRODUCT(1-'Sparkling Model'!D$2:D$38^A15071)</f>
        <v>0.9980181597</v>
      </c>
    </row>
    <row r="15072">
      <c r="A15072" s="6">
        <v>15070.0</v>
      </c>
      <c r="B15072" s="17">
        <f t="array" ref="B15072">SUM(1-'Sparkling Model'!D$2:D$38^A15072)</f>
        <v>36.99801778</v>
      </c>
      <c r="C15072" s="8">
        <f t="array" ref="C15072">PRODUCT(1-'Sparkling Model'!D$2:D$38^A15072)</f>
        <v>0.9980191377</v>
      </c>
    </row>
    <row r="15073">
      <c r="A15073" s="6">
        <v>15071.0</v>
      </c>
      <c r="B15073" s="17">
        <f t="array" ref="B15073">SUM(1-'Sparkling Model'!D$2:D$38^A15073)</f>
        <v>36.99801876</v>
      </c>
      <c r="C15073" s="8">
        <f t="array" ref="C15073">PRODUCT(1-'Sparkling Model'!D$2:D$38^A15073)</f>
        <v>0.9980201151</v>
      </c>
    </row>
    <row r="15074">
      <c r="A15074" s="6">
        <v>15072.0</v>
      </c>
      <c r="B15074" s="17">
        <f t="array" ref="B15074">SUM(1-'Sparkling Model'!D$2:D$38^A15074)</f>
        <v>36.99801974</v>
      </c>
      <c r="C15074" s="8">
        <f t="array" ref="C15074">PRODUCT(1-'Sparkling Model'!D$2:D$38^A15074)</f>
        <v>0.9980210921</v>
      </c>
    </row>
    <row r="15075">
      <c r="A15075" s="6">
        <v>15073.0</v>
      </c>
      <c r="B15075" s="17">
        <f t="array" ref="B15075">SUM(1-'Sparkling Model'!D$2:D$38^A15075)</f>
        <v>36.99802072</v>
      </c>
      <c r="C15075" s="8">
        <f t="array" ref="C15075">PRODUCT(1-'Sparkling Model'!D$2:D$38^A15075)</f>
        <v>0.9980220685</v>
      </c>
    </row>
    <row r="15076">
      <c r="A15076" s="6">
        <v>15074.0</v>
      </c>
      <c r="B15076" s="17">
        <f t="array" ref="B15076">SUM(1-'Sparkling Model'!D$2:D$38^A15076)</f>
        <v>36.9980217</v>
      </c>
      <c r="C15076" s="8">
        <f t="array" ref="C15076">PRODUCT(1-'Sparkling Model'!D$2:D$38^A15076)</f>
        <v>0.9980230445</v>
      </c>
    </row>
    <row r="15077">
      <c r="A15077" s="6">
        <v>15075.0</v>
      </c>
      <c r="B15077" s="17">
        <f t="array" ref="B15077">SUM(1-'Sparkling Model'!D$2:D$38^A15077)</f>
        <v>36.99802267</v>
      </c>
      <c r="C15077" s="8">
        <f t="array" ref="C15077">PRODUCT(1-'Sparkling Model'!D$2:D$38^A15077)</f>
        <v>0.99802402</v>
      </c>
    </row>
    <row r="15078">
      <c r="A15078" s="6">
        <v>15076.0</v>
      </c>
      <c r="B15078" s="17">
        <f t="array" ref="B15078">SUM(1-'Sparkling Model'!D$2:D$38^A15078)</f>
        <v>36.99802365</v>
      </c>
      <c r="C15078" s="8">
        <f t="array" ref="C15078">PRODUCT(1-'Sparkling Model'!D$2:D$38^A15078)</f>
        <v>0.9980249951</v>
      </c>
    </row>
    <row r="15079">
      <c r="A15079" s="6">
        <v>15077.0</v>
      </c>
      <c r="B15079" s="17">
        <f t="array" ref="B15079">SUM(1-'Sparkling Model'!D$2:D$38^A15079)</f>
        <v>36.99802462</v>
      </c>
      <c r="C15079" s="8">
        <f t="array" ref="C15079">PRODUCT(1-'Sparkling Model'!D$2:D$38^A15079)</f>
        <v>0.9980259696</v>
      </c>
    </row>
    <row r="15080">
      <c r="A15080" s="6">
        <v>15078.0</v>
      </c>
      <c r="B15080" s="17">
        <f t="array" ref="B15080">SUM(1-'Sparkling Model'!D$2:D$38^A15080)</f>
        <v>36.9980256</v>
      </c>
      <c r="C15080" s="8">
        <f t="array" ref="C15080">PRODUCT(1-'Sparkling Model'!D$2:D$38^A15080)</f>
        <v>0.9980269437</v>
      </c>
    </row>
    <row r="15081">
      <c r="A15081" s="6">
        <v>15079.0</v>
      </c>
      <c r="B15081" s="17">
        <f t="array" ref="B15081">SUM(1-'Sparkling Model'!D$2:D$38^A15081)</f>
        <v>36.99802657</v>
      </c>
      <c r="C15081" s="8">
        <f t="array" ref="C15081">PRODUCT(1-'Sparkling Model'!D$2:D$38^A15081)</f>
        <v>0.9980279172</v>
      </c>
    </row>
    <row r="15082">
      <c r="A15082" s="6">
        <v>15080.0</v>
      </c>
      <c r="B15082" s="17">
        <f t="array" ref="B15082">SUM(1-'Sparkling Model'!D$2:D$38^A15082)</f>
        <v>36.99802755</v>
      </c>
      <c r="C15082" s="8">
        <f t="array" ref="C15082">PRODUCT(1-'Sparkling Model'!D$2:D$38^A15082)</f>
        <v>0.9980288903</v>
      </c>
    </row>
    <row r="15083">
      <c r="A15083" s="6">
        <v>15081.0</v>
      </c>
      <c r="B15083" s="17">
        <f t="array" ref="B15083">SUM(1-'Sparkling Model'!D$2:D$38^A15083)</f>
        <v>36.99802852</v>
      </c>
      <c r="C15083" s="8">
        <f t="array" ref="C15083">PRODUCT(1-'Sparkling Model'!D$2:D$38^A15083)</f>
        <v>0.998029863</v>
      </c>
    </row>
    <row r="15084">
      <c r="A15084" s="6">
        <v>15082.0</v>
      </c>
      <c r="B15084" s="17">
        <f t="array" ref="B15084">SUM(1-'Sparkling Model'!D$2:D$38^A15084)</f>
        <v>36.9980295</v>
      </c>
      <c r="C15084" s="8">
        <f t="array" ref="C15084">PRODUCT(1-'Sparkling Model'!D$2:D$38^A15084)</f>
        <v>0.9980308351</v>
      </c>
    </row>
    <row r="15085">
      <c r="A15085" s="6">
        <v>15083.0</v>
      </c>
      <c r="B15085" s="17">
        <f t="array" ref="B15085">SUM(1-'Sparkling Model'!D$2:D$38^A15085)</f>
        <v>36.99803047</v>
      </c>
      <c r="C15085" s="8">
        <f t="array" ref="C15085">PRODUCT(1-'Sparkling Model'!D$2:D$38^A15085)</f>
        <v>0.9980318067</v>
      </c>
    </row>
    <row r="15086">
      <c r="A15086" s="6">
        <v>15084.0</v>
      </c>
      <c r="B15086" s="17">
        <f t="array" ref="B15086">SUM(1-'Sparkling Model'!D$2:D$38^A15086)</f>
        <v>36.99803144</v>
      </c>
      <c r="C15086" s="8">
        <f t="array" ref="C15086">PRODUCT(1-'Sparkling Model'!D$2:D$38^A15086)</f>
        <v>0.9980327779</v>
      </c>
    </row>
    <row r="15087">
      <c r="A15087" s="6">
        <v>15085.0</v>
      </c>
      <c r="B15087" s="17">
        <f t="array" ref="B15087">SUM(1-'Sparkling Model'!D$2:D$38^A15087)</f>
        <v>36.99803241</v>
      </c>
      <c r="C15087" s="8">
        <f t="array" ref="C15087">PRODUCT(1-'Sparkling Model'!D$2:D$38^A15087)</f>
        <v>0.9980337486</v>
      </c>
    </row>
    <row r="15088">
      <c r="A15088" s="6">
        <v>15086.0</v>
      </c>
      <c r="B15088" s="17">
        <f t="array" ref="B15088">SUM(1-'Sparkling Model'!D$2:D$38^A15088)</f>
        <v>36.99803339</v>
      </c>
      <c r="C15088" s="8">
        <f t="array" ref="C15088">PRODUCT(1-'Sparkling Model'!D$2:D$38^A15088)</f>
        <v>0.9980347188</v>
      </c>
    </row>
    <row r="15089">
      <c r="A15089" s="6">
        <v>15087.0</v>
      </c>
      <c r="B15089" s="17">
        <f t="array" ref="B15089">SUM(1-'Sparkling Model'!D$2:D$38^A15089)</f>
        <v>36.99803436</v>
      </c>
      <c r="C15089" s="8">
        <f t="array" ref="C15089">PRODUCT(1-'Sparkling Model'!D$2:D$38^A15089)</f>
        <v>0.9980356886</v>
      </c>
    </row>
    <row r="15090">
      <c r="A15090" s="6">
        <v>15088.0</v>
      </c>
      <c r="B15090" s="17">
        <f t="array" ref="B15090">SUM(1-'Sparkling Model'!D$2:D$38^A15090)</f>
        <v>36.99803533</v>
      </c>
      <c r="C15090" s="8">
        <f t="array" ref="C15090">PRODUCT(1-'Sparkling Model'!D$2:D$38^A15090)</f>
        <v>0.9980366578</v>
      </c>
    </row>
    <row r="15091">
      <c r="A15091" s="6">
        <v>15089.0</v>
      </c>
      <c r="B15091" s="17">
        <f t="array" ref="B15091">SUM(1-'Sparkling Model'!D$2:D$38^A15091)</f>
        <v>36.9980363</v>
      </c>
      <c r="C15091" s="8">
        <f t="array" ref="C15091">PRODUCT(1-'Sparkling Model'!D$2:D$38^A15091)</f>
        <v>0.9980376266</v>
      </c>
    </row>
    <row r="15092">
      <c r="A15092" s="6">
        <v>15090.0</v>
      </c>
      <c r="B15092" s="17">
        <f t="array" ref="B15092">SUM(1-'Sparkling Model'!D$2:D$38^A15092)</f>
        <v>36.99803727</v>
      </c>
      <c r="C15092" s="8">
        <f t="array" ref="C15092">PRODUCT(1-'Sparkling Model'!D$2:D$38^A15092)</f>
        <v>0.9980385949</v>
      </c>
    </row>
    <row r="15093">
      <c r="A15093" s="6">
        <v>15091.0</v>
      </c>
      <c r="B15093" s="17">
        <f t="array" ref="B15093">SUM(1-'Sparkling Model'!D$2:D$38^A15093)</f>
        <v>36.99803824</v>
      </c>
      <c r="C15093" s="8">
        <f t="array" ref="C15093">PRODUCT(1-'Sparkling Model'!D$2:D$38^A15093)</f>
        <v>0.9980395627</v>
      </c>
    </row>
    <row r="15094">
      <c r="A15094" s="6">
        <v>15092.0</v>
      </c>
      <c r="B15094" s="17">
        <f t="array" ref="B15094">SUM(1-'Sparkling Model'!D$2:D$38^A15094)</f>
        <v>36.9980392</v>
      </c>
      <c r="C15094" s="8">
        <f t="array" ref="C15094">PRODUCT(1-'Sparkling Model'!D$2:D$38^A15094)</f>
        <v>0.99804053</v>
      </c>
    </row>
    <row r="15095">
      <c r="A15095" s="6">
        <v>15093.0</v>
      </c>
      <c r="B15095" s="17">
        <f t="array" ref="B15095">SUM(1-'Sparkling Model'!D$2:D$38^A15095)</f>
        <v>36.99804017</v>
      </c>
      <c r="C15095" s="8">
        <f t="array" ref="C15095">PRODUCT(1-'Sparkling Model'!D$2:D$38^A15095)</f>
        <v>0.9980414969</v>
      </c>
    </row>
    <row r="15096">
      <c r="A15096" s="6">
        <v>15094.0</v>
      </c>
      <c r="B15096" s="17">
        <f t="array" ref="B15096">SUM(1-'Sparkling Model'!D$2:D$38^A15096)</f>
        <v>36.99804114</v>
      </c>
      <c r="C15096" s="8">
        <f t="array" ref="C15096">PRODUCT(1-'Sparkling Model'!D$2:D$38^A15096)</f>
        <v>0.9980424633</v>
      </c>
    </row>
    <row r="15097">
      <c r="A15097" s="6">
        <v>15095.0</v>
      </c>
      <c r="B15097" s="17">
        <f t="array" ref="B15097">SUM(1-'Sparkling Model'!D$2:D$38^A15097)</f>
        <v>36.99804211</v>
      </c>
      <c r="C15097" s="8">
        <f t="array" ref="C15097">PRODUCT(1-'Sparkling Model'!D$2:D$38^A15097)</f>
        <v>0.9980434292</v>
      </c>
    </row>
    <row r="15098">
      <c r="A15098" s="6">
        <v>15096.0</v>
      </c>
      <c r="B15098" s="17">
        <f t="array" ref="B15098">SUM(1-'Sparkling Model'!D$2:D$38^A15098)</f>
        <v>36.99804307</v>
      </c>
      <c r="C15098" s="8">
        <f t="array" ref="C15098">PRODUCT(1-'Sparkling Model'!D$2:D$38^A15098)</f>
        <v>0.9980443946</v>
      </c>
    </row>
    <row r="15099">
      <c r="A15099" s="6">
        <v>15097.0</v>
      </c>
      <c r="B15099" s="17">
        <f t="array" ref="B15099">SUM(1-'Sparkling Model'!D$2:D$38^A15099)</f>
        <v>36.99804404</v>
      </c>
      <c r="C15099" s="8">
        <f t="array" ref="C15099">PRODUCT(1-'Sparkling Model'!D$2:D$38^A15099)</f>
        <v>0.9980453595</v>
      </c>
    </row>
    <row r="15100">
      <c r="A15100" s="6">
        <v>15098.0</v>
      </c>
      <c r="B15100" s="17">
        <f t="array" ref="B15100">SUM(1-'Sparkling Model'!D$2:D$38^A15100)</f>
        <v>36.99804501</v>
      </c>
      <c r="C15100" s="8">
        <f t="array" ref="C15100">PRODUCT(1-'Sparkling Model'!D$2:D$38^A15100)</f>
        <v>0.998046324</v>
      </c>
    </row>
    <row r="15101">
      <c r="A15101" s="6">
        <v>15099.0</v>
      </c>
      <c r="B15101" s="17">
        <f t="array" ref="B15101">SUM(1-'Sparkling Model'!D$2:D$38^A15101)</f>
        <v>36.99804597</v>
      </c>
      <c r="C15101" s="8">
        <f t="array" ref="C15101">PRODUCT(1-'Sparkling Model'!D$2:D$38^A15101)</f>
        <v>0.998047288</v>
      </c>
    </row>
    <row r="15102">
      <c r="A15102" s="6">
        <v>15100.0</v>
      </c>
      <c r="B15102" s="17">
        <f t="array" ref="B15102">SUM(1-'Sparkling Model'!D$2:D$38^A15102)</f>
        <v>36.99804694</v>
      </c>
      <c r="C15102" s="8">
        <f t="array" ref="C15102">PRODUCT(1-'Sparkling Model'!D$2:D$38^A15102)</f>
        <v>0.9980482515</v>
      </c>
    </row>
    <row r="15103">
      <c r="A15103" s="6">
        <v>15101.0</v>
      </c>
      <c r="B15103" s="17">
        <f t="array" ref="B15103">SUM(1-'Sparkling Model'!D$2:D$38^A15103)</f>
        <v>36.9980479</v>
      </c>
      <c r="C15103" s="8">
        <f t="array" ref="C15103">PRODUCT(1-'Sparkling Model'!D$2:D$38^A15103)</f>
        <v>0.9980492145</v>
      </c>
    </row>
    <row r="15104">
      <c r="A15104" s="6">
        <v>15102.0</v>
      </c>
      <c r="B15104" s="17">
        <f t="array" ref="B15104">SUM(1-'Sparkling Model'!D$2:D$38^A15104)</f>
        <v>36.99804886</v>
      </c>
      <c r="C15104" s="8">
        <f t="array" ref="C15104">PRODUCT(1-'Sparkling Model'!D$2:D$38^A15104)</f>
        <v>0.9980501771</v>
      </c>
    </row>
    <row r="15105">
      <c r="A15105" s="6">
        <v>15103.0</v>
      </c>
      <c r="B15105" s="17">
        <f t="array" ref="B15105">SUM(1-'Sparkling Model'!D$2:D$38^A15105)</f>
        <v>36.99804983</v>
      </c>
      <c r="C15105" s="8">
        <f t="array" ref="C15105">PRODUCT(1-'Sparkling Model'!D$2:D$38^A15105)</f>
        <v>0.9980511392</v>
      </c>
    </row>
    <row r="15106">
      <c r="A15106" s="6">
        <v>15104.0</v>
      </c>
      <c r="B15106" s="17">
        <f t="array" ref="B15106">SUM(1-'Sparkling Model'!D$2:D$38^A15106)</f>
        <v>36.99805079</v>
      </c>
      <c r="C15106" s="8">
        <f t="array" ref="C15106">PRODUCT(1-'Sparkling Model'!D$2:D$38^A15106)</f>
        <v>0.9980521008</v>
      </c>
    </row>
    <row r="15107">
      <c r="A15107" s="6">
        <v>15105.0</v>
      </c>
      <c r="B15107" s="17">
        <f t="array" ref="B15107">SUM(1-'Sparkling Model'!D$2:D$38^A15107)</f>
        <v>36.99805175</v>
      </c>
      <c r="C15107" s="8">
        <f t="array" ref="C15107">PRODUCT(1-'Sparkling Model'!D$2:D$38^A15107)</f>
        <v>0.9980530619</v>
      </c>
    </row>
    <row r="15108">
      <c r="A15108" s="6">
        <v>15106.0</v>
      </c>
      <c r="B15108" s="17">
        <f t="array" ref="B15108">SUM(1-'Sparkling Model'!D$2:D$38^A15108)</f>
        <v>36.99805272</v>
      </c>
      <c r="C15108" s="8">
        <f t="array" ref="C15108">PRODUCT(1-'Sparkling Model'!D$2:D$38^A15108)</f>
        <v>0.9980540226</v>
      </c>
    </row>
    <row r="15109">
      <c r="A15109" s="6">
        <v>15107.0</v>
      </c>
      <c r="B15109" s="17">
        <f t="array" ref="B15109">SUM(1-'Sparkling Model'!D$2:D$38^A15109)</f>
        <v>36.99805368</v>
      </c>
      <c r="C15109" s="8">
        <f t="array" ref="C15109">PRODUCT(1-'Sparkling Model'!D$2:D$38^A15109)</f>
        <v>0.9980549828</v>
      </c>
    </row>
    <row r="15110">
      <c r="A15110" s="6">
        <v>15108.0</v>
      </c>
      <c r="B15110" s="17">
        <f t="array" ref="B15110">SUM(1-'Sparkling Model'!D$2:D$38^A15110)</f>
        <v>36.99805464</v>
      </c>
      <c r="C15110" s="8">
        <f t="array" ref="C15110">PRODUCT(1-'Sparkling Model'!D$2:D$38^A15110)</f>
        <v>0.9980559425</v>
      </c>
    </row>
    <row r="15111">
      <c r="A15111" s="6">
        <v>15109.0</v>
      </c>
      <c r="B15111" s="17">
        <f t="array" ref="B15111">SUM(1-'Sparkling Model'!D$2:D$38^A15111)</f>
        <v>36.9980556</v>
      </c>
      <c r="C15111" s="8">
        <f t="array" ref="C15111">PRODUCT(1-'Sparkling Model'!D$2:D$38^A15111)</f>
        <v>0.9980569017</v>
      </c>
    </row>
    <row r="15112">
      <c r="A15112" s="6">
        <v>15110.0</v>
      </c>
      <c r="B15112" s="17">
        <f t="array" ref="B15112">SUM(1-'Sparkling Model'!D$2:D$38^A15112)</f>
        <v>36.99805656</v>
      </c>
      <c r="C15112" s="8">
        <f t="array" ref="C15112">PRODUCT(1-'Sparkling Model'!D$2:D$38^A15112)</f>
        <v>0.9980578605</v>
      </c>
    </row>
    <row r="15113">
      <c r="A15113" s="6">
        <v>15111.0</v>
      </c>
      <c r="B15113" s="17">
        <f t="array" ref="B15113">SUM(1-'Sparkling Model'!D$2:D$38^A15113)</f>
        <v>36.99805752</v>
      </c>
      <c r="C15113" s="8">
        <f t="array" ref="C15113">PRODUCT(1-'Sparkling Model'!D$2:D$38^A15113)</f>
        <v>0.9980588187</v>
      </c>
    </row>
    <row r="15114">
      <c r="A15114" s="6">
        <v>15112.0</v>
      </c>
      <c r="B15114" s="17">
        <f t="array" ref="B15114">SUM(1-'Sparkling Model'!D$2:D$38^A15114)</f>
        <v>36.99805848</v>
      </c>
      <c r="C15114" s="8">
        <f t="array" ref="C15114">PRODUCT(1-'Sparkling Model'!D$2:D$38^A15114)</f>
        <v>0.9980597765</v>
      </c>
    </row>
    <row r="15115">
      <c r="A15115" s="6">
        <v>15113.0</v>
      </c>
      <c r="B15115" s="17">
        <f t="array" ref="B15115">SUM(1-'Sparkling Model'!D$2:D$38^A15115)</f>
        <v>36.99805944</v>
      </c>
      <c r="C15115" s="8">
        <f t="array" ref="C15115">PRODUCT(1-'Sparkling Model'!D$2:D$38^A15115)</f>
        <v>0.9980607339</v>
      </c>
    </row>
    <row r="15116">
      <c r="A15116" s="6">
        <v>15114.0</v>
      </c>
      <c r="B15116" s="17">
        <f t="array" ref="B15116">SUM(1-'Sparkling Model'!D$2:D$38^A15116)</f>
        <v>36.99806039</v>
      </c>
      <c r="C15116" s="8">
        <f t="array" ref="C15116">PRODUCT(1-'Sparkling Model'!D$2:D$38^A15116)</f>
        <v>0.9980616907</v>
      </c>
    </row>
    <row r="15117">
      <c r="A15117" s="6">
        <v>15115.0</v>
      </c>
      <c r="B15117" s="17">
        <f t="array" ref="B15117">SUM(1-'Sparkling Model'!D$2:D$38^A15117)</f>
        <v>36.99806135</v>
      </c>
      <c r="C15117" s="8">
        <f t="array" ref="C15117">PRODUCT(1-'Sparkling Model'!D$2:D$38^A15117)</f>
        <v>0.9980626471</v>
      </c>
    </row>
    <row r="15118">
      <c r="A15118" s="6">
        <v>15116.0</v>
      </c>
      <c r="B15118" s="17">
        <f t="array" ref="B15118">SUM(1-'Sparkling Model'!D$2:D$38^A15118)</f>
        <v>36.99806231</v>
      </c>
      <c r="C15118" s="8">
        <f t="array" ref="C15118">PRODUCT(1-'Sparkling Model'!D$2:D$38^A15118)</f>
        <v>0.998063603</v>
      </c>
    </row>
    <row r="15119">
      <c r="A15119" s="6">
        <v>15117.0</v>
      </c>
      <c r="B15119" s="17">
        <f t="array" ref="B15119">SUM(1-'Sparkling Model'!D$2:D$38^A15119)</f>
        <v>36.99806327</v>
      </c>
      <c r="C15119" s="8">
        <f t="array" ref="C15119">PRODUCT(1-'Sparkling Model'!D$2:D$38^A15119)</f>
        <v>0.9980645585</v>
      </c>
    </row>
    <row r="15120">
      <c r="A15120" s="6">
        <v>15118.0</v>
      </c>
      <c r="B15120" s="17">
        <f t="array" ref="B15120">SUM(1-'Sparkling Model'!D$2:D$38^A15120)</f>
        <v>36.99806422</v>
      </c>
      <c r="C15120" s="8">
        <f t="array" ref="C15120">PRODUCT(1-'Sparkling Model'!D$2:D$38^A15120)</f>
        <v>0.9980655135</v>
      </c>
    </row>
    <row r="15121">
      <c r="A15121" s="6">
        <v>15119.0</v>
      </c>
      <c r="B15121" s="17">
        <f t="array" ref="B15121">SUM(1-'Sparkling Model'!D$2:D$38^A15121)</f>
        <v>36.99806518</v>
      </c>
      <c r="C15121" s="8">
        <f t="array" ref="C15121">PRODUCT(1-'Sparkling Model'!D$2:D$38^A15121)</f>
        <v>0.9980664679</v>
      </c>
    </row>
    <row r="15122">
      <c r="A15122" s="6">
        <v>15120.0</v>
      </c>
      <c r="B15122" s="17">
        <f t="array" ref="B15122">SUM(1-'Sparkling Model'!D$2:D$38^A15122)</f>
        <v>36.99806613</v>
      </c>
      <c r="C15122" s="8">
        <f t="array" ref="C15122">PRODUCT(1-'Sparkling Model'!D$2:D$38^A15122)</f>
        <v>0.998067422</v>
      </c>
    </row>
    <row r="15123">
      <c r="A15123" s="6">
        <v>15121.0</v>
      </c>
      <c r="B15123" s="17">
        <f t="array" ref="B15123">SUM(1-'Sparkling Model'!D$2:D$38^A15123)</f>
        <v>36.99806709</v>
      </c>
      <c r="C15123" s="8">
        <f t="array" ref="C15123">PRODUCT(1-'Sparkling Model'!D$2:D$38^A15123)</f>
        <v>0.9980683755</v>
      </c>
    </row>
    <row r="15124">
      <c r="A15124" s="6">
        <v>15122.0</v>
      </c>
      <c r="B15124" s="17">
        <f t="array" ref="B15124">SUM(1-'Sparkling Model'!D$2:D$38^A15124)</f>
        <v>36.99806804</v>
      </c>
      <c r="C15124" s="8">
        <f t="array" ref="C15124">PRODUCT(1-'Sparkling Model'!D$2:D$38^A15124)</f>
        <v>0.9980693286</v>
      </c>
    </row>
    <row r="15125">
      <c r="A15125" s="6">
        <v>15123.0</v>
      </c>
      <c r="B15125" s="17">
        <f t="array" ref="B15125">SUM(1-'Sparkling Model'!D$2:D$38^A15125)</f>
        <v>36.998069</v>
      </c>
      <c r="C15125" s="8">
        <f t="array" ref="C15125">PRODUCT(1-'Sparkling Model'!D$2:D$38^A15125)</f>
        <v>0.9980702812</v>
      </c>
    </row>
    <row r="15126">
      <c r="A15126" s="6">
        <v>15124.0</v>
      </c>
      <c r="B15126" s="17">
        <f t="array" ref="B15126">SUM(1-'Sparkling Model'!D$2:D$38^A15126)</f>
        <v>36.99806995</v>
      </c>
      <c r="C15126" s="8">
        <f t="array" ref="C15126">PRODUCT(1-'Sparkling Model'!D$2:D$38^A15126)</f>
        <v>0.9980712334</v>
      </c>
    </row>
    <row r="15127">
      <c r="A15127" s="6">
        <v>15125.0</v>
      </c>
      <c r="B15127" s="17">
        <f t="array" ref="B15127">SUM(1-'Sparkling Model'!D$2:D$38^A15127)</f>
        <v>36.9980709</v>
      </c>
      <c r="C15127" s="8">
        <f t="array" ref="C15127">PRODUCT(1-'Sparkling Model'!D$2:D$38^A15127)</f>
        <v>0.998072185</v>
      </c>
    </row>
    <row r="15128">
      <c r="A15128" s="6">
        <v>15126.0</v>
      </c>
      <c r="B15128" s="17">
        <f t="array" ref="B15128">SUM(1-'Sparkling Model'!D$2:D$38^A15128)</f>
        <v>36.99807185</v>
      </c>
      <c r="C15128" s="8">
        <f t="array" ref="C15128">PRODUCT(1-'Sparkling Model'!D$2:D$38^A15128)</f>
        <v>0.9980731362</v>
      </c>
    </row>
    <row r="15129">
      <c r="A15129" s="6">
        <v>15127.0</v>
      </c>
      <c r="B15129" s="17">
        <f t="array" ref="B15129">SUM(1-'Sparkling Model'!D$2:D$38^A15129)</f>
        <v>36.99807281</v>
      </c>
      <c r="C15129" s="8">
        <f t="array" ref="C15129">PRODUCT(1-'Sparkling Model'!D$2:D$38^A15129)</f>
        <v>0.9980740869</v>
      </c>
    </row>
    <row r="15130">
      <c r="A15130" s="6">
        <v>15128.0</v>
      </c>
      <c r="B15130" s="17">
        <f t="array" ref="B15130">SUM(1-'Sparkling Model'!D$2:D$38^A15130)</f>
        <v>36.99807376</v>
      </c>
      <c r="C15130" s="8">
        <f t="array" ref="C15130">PRODUCT(1-'Sparkling Model'!D$2:D$38^A15130)</f>
        <v>0.9980750372</v>
      </c>
    </row>
    <row r="15131">
      <c r="A15131" s="6">
        <v>15129.0</v>
      </c>
      <c r="B15131" s="17">
        <f t="array" ref="B15131">SUM(1-'Sparkling Model'!D$2:D$38^A15131)</f>
        <v>36.99807471</v>
      </c>
      <c r="C15131" s="8">
        <f t="array" ref="C15131">PRODUCT(1-'Sparkling Model'!D$2:D$38^A15131)</f>
        <v>0.998075987</v>
      </c>
    </row>
    <row r="15132">
      <c r="A15132" s="6">
        <v>15130.0</v>
      </c>
      <c r="B15132" s="17">
        <f t="array" ref="B15132">SUM(1-'Sparkling Model'!D$2:D$38^A15132)</f>
        <v>36.99807566</v>
      </c>
      <c r="C15132" s="8">
        <f t="array" ref="C15132">PRODUCT(1-'Sparkling Model'!D$2:D$38^A15132)</f>
        <v>0.9980769363</v>
      </c>
    </row>
    <row r="15133">
      <c r="A15133" s="6">
        <v>15131.0</v>
      </c>
      <c r="B15133" s="17">
        <f t="array" ref="B15133">SUM(1-'Sparkling Model'!D$2:D$38^A15133)</f>
        <v>36.99807661</v>
      </c>
      <c r="C15133" s="8">
        <f t="array" ref="C15133">PRODUCT(1-'Sparkling Model'!D$2:D$38^A15133)</f>
        <v>0.9980778851</v>
      </c>
    </row>
    <row r="15134">
      <c r="A15134" s="6">
        <v>15132.0</v>
      </c>
      <c r="B15134" s="17">
        <f t="array" ref="B15134">SUM(1-'Sparkling Model'!D$2:D$38^A15134)</f>
        <v>36.99807756</v>
      </c>
      <c r="C15134" s="8">
        <f t="array" ref="C15134">PRODUCT(1-'Sparkling Model'!D$2:D$38^A15134)</f>
        <v>0.9980788335</v>
      </c>
    </row>
    <row r="15135">
      <c r="A15135" s="6">
        <v>15133.0</v>
      </c>
      <c r="B15135" s="17">
        <f t="array" ref="B15135">SUM(1-'Sparkling Model'!D$2:D$38^A15135)</f>
        <v>36.99807851</v>
      </c>
      <c r="C15135" s="8">
        <f t="array" ref="C15135">PRODUCT(1-'Sparkling Model'!D$2:D$38^A15135)</f>
        <v>0.9980797814</v>
      </c>
    </row>
    <row r="15136">
      <c r="A15136" s="6">
        <v>15134.0</v>
      </c>
      <c r="B15136" s="17">
        <f t="array" ref="B15136">SUM(1-'Sparkling Model'!D$2:D$38^A15136)</f>
        <v>36.99807946</v>
      </c>
      <c r="C15136" s="8">
        <f t="array" ref="C15136">PRODUCT(1-'Sparkling Model'!D$2:D$38^A15136)</f>
        <v>0.9980807289</v>
      </c>
    </row>
    <row r="15137">
      <c r="A15137" s="6">
        <v>15135.0</v>
      </c>
      <c r="B15137" s="17">
        <f t="array" ref="B15137">SUM(1-'Sparkling Model'!D$2:D$38^A15137)</f>
        <v>36.99808041</v>
      </c>
      <c r="C15137" s="8">
        <f t="array" ref="C15137">PRODUCT(1-'Sparkling Model'!D$2:D$38^A15137)</f>
        <v>0.9980816758</v>
      </c>
    </row>
    <row r="15138">
      <c r="A15138" s="6">
        <v>15136.0</v>
      </c>
      <c r="B15138" s="17">
        <f t="array" ref="B15138">SUM(1-'Sparkling Model'!D$2:D$38^A15138)</f>
        <v>36.99808135</v>
      </c>
      <c r="C15138" s="8">
        <f t="array" ref="C15138">PRODUCT(1-'Sparkling Model'!D$2:D$38^A15138)</f>
        <v>0.9980826223</v>
      </c>
    </row>
    <row r="15139">
      <c r="A15139" s="6">
        <v>15137.0</v>
      </c>
      <c r="B15139" s="17">
        <f t="array" ref="B15139">SUM(1-'Sparkling Model'!D$2:D$38^A15139)</f>
        <v>36.9980823</v>
      </c>
      <c r="C15139" s="8">
        <f t="array" ref="C15139">PRODUCT(1-'Sparkling Model'!D$2:D$38^A15139)</f>
        <v>0.9980835684</v>
      </c>
    </row>
    <row r="15140">
      <c r="A15140" s="6">
        <v>15138.0</v>
      </c>
      <c r="B15140" s="17">
        <f t="array" ref="B15140">SUM(1-'Sparkling Model'!D$2:D$38^A15140)</f>
        <v>36.99808325</v>
      </c>
      <c r="C15140" s="8">
        <f t="array" ref="C15140">PRODUCT(1-'Sparkling Model'!D$2:D$38^A15140)</f>
        <v>0.9980845139</v>
      </c>
    </row>
    <row r="15141">
      <c r="A15141" s="6">
        <v>15139.0</v>
      </c>
      <c r="B15141" s="17">
        <f t="array" ref="B15141">SUM(1-'Sparkling Model'!D$2:D$38^A15141)</f>
        <v>36.99808419</v>
      </c>
      <c r="C15141" s="8">
        <f t="array" ref="C15141">PRODUCT(1-'Sparkling Model'!D$2:D$38^A15141)</f>
        <v>0.998085459</v>
      </c>
    </row>
    <row r="15142">
      <c r="A15142" s="6">
        <v>15140.0</v>
      </c>
      <c r="B15142" s="17">
        <f t="array" ref="B15142">SUM(1-'Sparkling Model'!D$2:D$38^A15142)</f>
        <v>36.99808514</v>
      </c>
      <c r="C15142" s="8">
        <f t="array" ref="C15142">PRODUCT(1-'Sparkling Model'!D$2:D$38^A15142)</f>
        <v>0.9980864036</v>
      </c>
    </row>
    <row r="15143">
      <c r="A15143" s="6">
        <v>15141.0</v>
      </c>
      <c r="B15143" s="17">
        <f t="array" ref="B15143">SUM(1-'Sparkling Model'!D$2:D$38^A15143)</f>
        <v>36.99808609</v>
      </c>
      <c r="C15143" s="8">
        <f t="array" ref="C15143">PRODUCT(1-'Sparkling Model'!D$2:D$38^A15143)</f>
        <v>0.9980873478</v>
      </c>
    </row>
    <row r="15144">
      <c r="A15144" s="6">
        <v>15142.0</v>
      </c>
      <c r="B15144" s="17">
        <f t="array" ref="B15144">SUM(1-'Sparkling Model'!D$2:D$38^A15144)</f>
        <v>36.99808703</v>
      </c>
      <c r="C15144" s="8">
        <f t="array" ref="C15144">PRODUCT(1-'Sparkling Model'!D$2:D$38^A15144)</f>
        <v>0.9980882915</v>
      </c>
    </row>
    <row r="15145">
      <c r="A15145" s="6">
        <v>15143.0</v>
      </c>
      <c r="B15145" s="17">
        <f t="array" ref="B15145">SUM(1-'Sparkling Model'!D$2:D$38^A15145)</f>
        <v>36.99808797</v>
      </c>
      <c r="C15145" s="8">
        <f t="array" ref="C15145">PRODUCT(1-'Sparkling Model'!D$2:D$38^A15145)</f>
        <v>0.9980892347</v>
      </c>
    </row>
    <row r="15146">
      <c r="A15146" s="6">
        <v>15144.0</v>
      </c>
      <c r="B15146" s="17">
        <f t="array" ref="B15146">SUM(1-'Sparkling Model'!D$2:D$38^A15146)</f>
        <v>36.99808892</v>
      </c>
      <c r="C15146" s="8">
        <f t="array" ref="C15146">PRODUCT(1-'Sparkling Model'!D$2:D$38^A15146)</f>
        <v>0.9980901775</v>
      </c>
    </row>
    <row r="15147">
      <c r="A15147" s="6">
        <v>15145.0</v>
      </c>
      <c r="B15147" s="17">
        <f t="array" ref="B15147">SUM(1-'Sparkling Model'!D$2:D$38^A15147)</f>
        <v>36.99808986</v>
      </c>
      <c r="C15147" s="8">
        <f t="array" ref="C15147">PRODUCT(1-'Sparkling Model'!D$2:D$38^A15147)</f>
        <v>0.9980911198</v>
      </c>
    </row>
    <row r="15148">
      <c r="A15148" s="6">
        <v>15146.0</v>
      </c>
      <c r="B15148" s="17">
        <f t="array" ref="B15148">SUM(1-'Sparkling Model'!D$2:D$38^A15148)</f>
        <v>36.99809081</v>
      </c>
      <c r="C15148" s="8">
        <f t="array" ref="C15148">PRODUCT(1-'Sparkling Model'!D$2:D$38^A15148)</f>
        <v>0.9980920616</v>
      </c>
    </row>
    <row r="15149">
      <c r="A15149" s="6">
        <v>15147.0</v>
      </c>
      <c r="B15149" s="17">
        <f t="array" ref="B15149">SUM(1-'Sparkling Model'!D$2:D$38^A15149)</f>
        <v>36.99809175</v>
      </c>
      <c r="C15149" s="8">
        <f t="array" ref="C15149">PRODUCT(1-'Sparkling Model'!D$2:D$38^A15149)</f>
        <v>0.998093003</v>
      </c>
    </row>
    <row r="15150">
      <c r="A15150" s="6">
        <v>15148.0</v>
      </c>
      <c r="B15150" s="17">
        <f t="array" ref="B15150">SUM(1-'Sparkling Model'!D$2:D$38^A15150)</f>
        <v>36.99809269</v>
      </c>
      <c r="C15150" s="8">
        <f t="array" ref="C15150">PRODUCT(1-'Sparkling Model'!D$2:D$38^A15150)</f>
        <v>0.9980939439</v>
      </c>
    </row>
    <row r="15151">
      <c r="A15151" s="6">
        <v>15149.0</v>
      </c>
      <c r="B15151" s="17">
        <f t="array" ref="B15151">SUM(1-'Sparkling Model'!D$2:D$38^A15151)</f>
        <v>36.99809363</v>
      </c>
      <c r="C15151" s="8">
        <f t="array" ref="C15151">PRODUCT(1-'Sparkling Model'!D$2:D$38^A15151)</f>
        <v>0.9980948843</v>
      </c>
    </row>
    <row r="15152">
      <c r="A15152" s="6">
        <v>15150.0</v>
      </c>
      <c r="B15152" s="17">
        <f t="array" ref="B15152">SUM(1-'Sparkling Model'!D$2:D$38^A15152)</f>
        <v>36.99809457</v>
      </c>
      <c r="C15152" s="8">
        <f t="array" ref="C15152">PRODUCT(1-'Sparkling Model'!D$2:D$38^A15152)</f>
        <v>0.9980958243</v>
      </c>
    </row>
    <row r="15153">
      <c r="A15153" s="6">
        <v>15151.0</v>
      </c>
      <c r="B15153" s="17">
        <f t="array" ref="B15153">SUM(1-'Sparkling Model'!D$2:D$38^A15153)</f>
        <v>36.99809551</v>
      </c>
      <c r="C15153" s="8">
        <f t="array" ref="C15153">PRODUCT(1-'Sparkling Model'!D$2:D$38^A15153)</f>
        <v>0.9980967638</v>
      </c>
    </row>
    <row r="15154">
      <c r="A15154" s="6">
        <v>15152.0</v>
      </c>
      <c r="B15154" s="17">
        <f t="array" ref="B15154">SUM(1-'Sparkling Model'!D$2:D$38^A15154)</f>
        <v>36.99809645</v>
      </c>
      <c r="C15154" s="8">
        <f t="array" ref="C15154">PRODUCT(1-'Sparkling Model'!D$2:D$38^A15154)</f>
        <v>0.9980977028</v>
      </c>
    </row>
    <row r="15155">
      <c r="A15155" s="6">
        <v>15153.0</v>
      </c>
      <c r="B15155" s="17">
        <f t="array" ref="B15155">SUM(1-'Sparkling Model'!D$2:D$38^A15155)</f>
        <v>36.99809739</v>
      </c>
      <c r="C15155" s="8">
        <f t="array" ref="C15155">PRODUCT(1-'Sparkling Model'!D$2:D$38^A15155)</f>
        <v>0.9980986414</v>
      </c>
    </row>
    <row r="15156">
      <c r="A15156" s="6">
        <v>15154.0</v>
      </c>
      <c r="B15156" s="17">
        <f t="array" ref="B15156">SUM(1-'Sparkling Model'!D$2:D$38^A15156)</f>
        <v>36.99809833</v>
      </c>
      <c r="C15156" s="8">
        <f t="array" ref="C15156">PRODUCT(1-'Sparkling Model'!D$2:D$38^A15156)</f>
        <v>0.9980995795</v>
      </c>
    </row>
    <row r="15157">
      <c r="A15157" s="6">
        <v>15155.0</v>
      </c>
      <c r="B15157" s="17">
        <f t="array" ref="B15157">SUM(1-'Sparkling Model'!D$2:D$38^A15157)</f>
        <v>36.99809927</v>
      </c>
      <c r="C15157" s="8">
        <f t="array" ref="C15157">PRODUCT(1-'Sparkling Model'!D$2:D$38^A15157)</f>
        <v>0.9981005171</v>
      </c>
    </row>
    <row r="15158">
      <c r="A15158" s="6">
        <v>15156.0</v>
      </c>
      <c r="B15158" s="17">
        <f t="array" ref="B15158">SUM(1-'Sparkling Model'!D$2:D$38^A15158)</f>
        <v>36.99810021</v>
      </c>
      <c r="C15158" s="8">
        <f t="array" ref="C15158">PRODUCT(1-'Sparkling Model'!D$2:D$38^A15158)</f>
        <v>0.9981014543</v>
      </c>
    </row>
    <row r="15159">
      <c r="A15159" s="6">
        <v>15157.0</v>
      </c>
      <c r="B15159" s="17">
        <f t="array" ref="B15159">SUM(1-'Sparkling Model'!D$2:D$38^A15159)</f>
        <v>36.99810115</v>
      </c>
      <c r="C15159" s="8">
        <f t="array" ref="C15159">PRODUCT(1-'Sparkling Model'!D$2:D$38^A15159)</f>
        <v>0.998102391</v>
      </c>
    </row>
    <row r="15160">
      <c r="A15160" s="6">
        <v>15158.0</v>
      </c>
      <c r="B15160" s="17">
        <f t="array" ref="B15160">SUM(1-'Sparkling Model'!D$2:D$38^A15160)</f>
        <v>36.99810209</v>
      </c>
      <c r="C15160" s="8">
        <f t="array" ref="C15160">PRODUCT(1-'Sparkling Model'!D$2:D$38^A15160)</f>
        <v>0.9981033273</v>
      </c>
    </row>
    <row r="15161">
      <c r="A15161" s="6">
        <v>15159.0</v>
      </c>
      <c r="B15161" s="17">
        <f t="array" ref="B15161">SUM(1-'Sparkling Model'!D$2:D$38^A15161)</f>
        <v>36.99810302</v>
      </c>
      <c r="C15161" s="8">
        <f t="array" ref="C15161">PRODUCT(1-'Sparkling Model'!D$2:D$38^A15161)</f>
        <v>0.9981042631</v>
      </c>
    </row>
    <row r="15162">
      <c r="A15162" s="6">
        <v>15160.0</v>
      </c>
      <c r="B15162" s="17">
        <f t="array" ref="B15162">SUM(1-'Sparkling Model'!D$2:D$38^A15162)</f>
        <v>36.99810396</v>
      </c>
      <c r="C15162" s="8">
        <f t="array" ref="C15162">PRODUCT(1-'Sparkling Model'!D$2:D$38^A15162)</f>
        <v>0.9981051984</v>
      </c>
    </row>
    <row r="15163">
      <c r="A15163" s="6">
        <v>15161.0</v>
      </c>
      <c r="B15163" s="17">
        <f t="array" ref="B15163">SUM(1-'Sparkling Model'!D$2:D$38^A15163)</f>
        <v>36.9981049</v>
      </c>
      <c r="C15163" s="8">
        <f t="array" ref="C15163">PRODUCT(1-'Sparkling Model'!D$2:D$38^A15163)</f>
        <v>0.9981061332</v>
      </c>
    </row>
    <row r="15164">
      <c r="A15164" s="6">
        <v>15162.0</v>
      </c>
      <c r="B15164" s="17">
        <f t="array" ref="B15164">SUM(1-'Sparkling Model'!D$2:D$38^A15164)</f>
        <v>36.99810583</v>
      </c>
      <c r="C15164" s="8">
        <f t="array" ref="C15164">PRODUCT(1-'Sparkling Model'!D$2:D$38^A15164)</f>
        <v>0.9981070676</v>
      </c>
    </row>
    <row r="15165">
      <c r="A15165" s="6">
        <v>15163.0</v>
      </c>
      <c r="B15165" s="17">
        <f t="array" ref="B15165">SUM(1-'Sparkling Model'!D$2:D$38^A15165)</f>
        <v>36.99810677</v>
      </c>
      <c r="C15165" s="8">
        <f t="array" ref="C15165">PRODUCT(1-'Sparkling Model'!D$2:D$38^A15165)</f>
        <v>0.9981080016</v>
      </c>
    </row>
    <row r="15166">
      <c r="A15166" s="6">
        <v>15164.0</v>
      </c>
      <c r="B15166" s="17">
        <f t="array" ref="B15166">SUM(1-'Sparkling Model'!D$2:D$38^A15166)</f>
        <v>36.9981077</v>
      </c>
      <c r="C15166" s="8">
        <f t="array" ref="C15166">PRODUCT(1-'Sparkling Model'!D$2:D$38^A15166)</f>
        <v>0.9981089351</v>
      </c>
    </row>
    <row r="15167">
      <c r="A15167" s="6">
        <v>15165.0</v>
      </c>
      <c r="B15167" s="17">
        <f t="array" ref="B15167">SUM(1-'Sparkling Model'!D$2:D$38^A15167)</f>
        <v>36.99810864</v>
      </c>
      <c r="C15167" s="8">
        <f t="array" ref="C15167">PRODUCT(1-'Sparkling Model'!D$2:D$38^A15167)</f>
        <v>0.9981098681</v>
      </c>
    </row>
    <row r="15168">
      <c r="A15168" s="6">
        <v>15166.0</v>
      </c>
      <c r="B15168" s="17">
        <f t="array" ref="B15168">SUM(1-'Sparkling Model'!D$2:D$38^A15168)</f>
        <v>36.99810957</v>
      </c>
      <c r="C15168" s="8">
        <f t="array" ref="C15168">PRODUCT(1-'Sparkling Model'!D$2:D$38^A15168)</f>
        <v>0.9981108006</v>
      </c>
    </row>
    <row r="15169">
      <c r="A15169" s="6">
        <v>15167.0</v>
      </c>
      <c r="B15169" s="17">
        <f t="array" ref="B15169">SUM(1-'Sparkling Model'!D$2:D$38^A15169)</f>
        <v>36.9981105</v>
      </c>
      <c r="C15169" s="8">
        <f t="array" ref="C15169">PRODUCT(1-'Sparkling Model'!D$2:D$38^A15169)</f>
        <v>0.9981117327</v>
      </c>
    </row>
    <row r="15170">
      <c r="A15170" s="6">
        <v>15168.0</v>
      </c>
      <c r="B15170" s="17">
        <f t="array" ref="B15170">SUM(1-'Sparkling Model'!D$2:D$38^A15170)</f>
        <v>36.99811144</v>
      </c>
      <c r="C15170" s="8">
        <f t="array" ref="C15170">PRODUCT(1-'Sparkling Model'!D$2:D$38^A15170)</f>
        <v>0.9981126643</v>
      </c>
    </row>
    <row r="15171">
      <c r="A15171" s="6">
        <v>15169.0</v>
      </c>
      <c r="B15171" s="17">
        <f t="array" ref="B15171">SUM(1-'Sparkling Model'!D$2:D$38^A15171)</f>
        <v>36.99811237</v>
      </c>
      <c r="C15171" s="8">
        <f t="array" ref="C15171">PRODUCT(1-'Sparkling Model'!D$2:D$38^A15171)</f>
        <v>0.9981135955</v>
      </c>
    </row>
    <row r="15172">
      <c r="A15172" s="6">
        <v>15170.0</v>
      </c>
      <c r="B15172" s="17">
        <f t="array" ref="B15172">SUM(1-'Sparkling Model'!D$2:D$38^A15172)</f>
        <v>36.9981133</v>
      </c>
      <c r="C15172" s="8">
        <f t="array" ref="C15172">PRODUCT(1-'Sparkling Model'!D$2:D$38^A15172)</f>
        <v>0.9981145262</v>
      </c>
    </row>
    <row r="15173">
      <c r="A15173" s="6">
        <v>15171.0</v>
      </c>
      <c r="B15173" s="17">
        <f t="array" ref="B15173">SUM(1-'Sparkling Model'!D$2:D$38^A15173)</f>
        <v>36.99811423</v>
      </c>
      <c r="C15173" s="8">
        <f t="array" ref="C15173">PRODUCT(1-'Sparkling Model'!D$2:D$38^A15173)</f>
        <v>0.9981154565</v>
      </c>
    </row>
    <row r="15174">
      <c r="A15174" s="6">
        <v>15172.0</v>
      </c>
      <c r="B15174" s="17">
        <f t="array" ref="B15174">SUM(1-'Sparkling Model'!D$2:D$38^A15174)</f>
        <v>36.99811516</v>
      </c>
      <c r="C15174" s="8">
        <f t="array" ref="C15174">PRODUCT(1-'Sparkling Model'!D$2:D$38^A15174)</f>
        <v>0.9981163863</v>
      </c>
    </row>
    <row r="15175">
      <c r="A15175" s="6">
        <v>15173.0</v>
      </c>
      <c r="B15175" s="17">
        <f t="array" ref="B15175">SUM(1-'Sparkling Model'!D$2:D$38^A15175)</f>
        <v>36.99811609</v>
      </c>
      <c r="C15175" s="8">
        <f t="array" ref="C15175">PRODUCT(1-'Sparkling Model'!D$2:D$38^A15175)</f>
        <v>0.9981173156</v>
      </c>
    </row>
    <row r="15176">
      <c r="A15176" s="6">
        <v>15174.0</v>
      </c>
      <c r="B15176" s="17">
        <f t="array" ref="B15176">SUM(1-'Sparkling Model'!D$2:D$38^A15176)</f>
        <v>36.99811702</v>
      </c>
      <c r="C15176" s="8">
        <f t="array" ref="C15176">PRODUCT(1-'Sparkling Model'!D$2:D$38^A15176)</f>
        <v>0.9981182445</v>
      </c>
    </row>
    <row r="15177">
      <c r="A15177" s="6">
        <v>15175.0</v>
      </c>
      <c r="B15177" s="17">
        <f t="array" ref="B15177">SUM(1-'Sparkling Model'!D$2:D$38^A15177)</f>
        <v>36.99811795</v>
      </c>
      <c r="C15177" s="8">
        <f t="array" ref="C15177">PRODUCT(1-'Sparkling Model'!D$2:D$38^A15177)</f>
        <v>0.9981191729</v>
      </c>
    </row>
    <row r="15178">
      <c r="A15178" s="6">
        <v>15176.0</v>
      </c>
      <c r="B15178" s="17">
        <f t="array" ref="B15178">SUM(1-'Sparkling Model'!D$2:D$38^A15178)</f>
        <v>36.99811888</v>
      </c>
      <c r="C15178" s="8">
        <f t="array" ref="C15178">PRODUCT(1-'Sparkling Model'!D$2:D$38^A15178)</f>
        <v>0.9981201008</v>
      </c>
    </row>
    <row r="15179">
      <c r="A15179" s="6">
        <v>15177.0</v>
      </c>
      <c r="B15179" s="17">
        <f t="array" ref="B15179">SUM(1-'Sparkling Model'!D$2:D$38^A15179)</f>
        <v>36.99811981</v>
      </c>
      <c r="C15179" s="8">
        <f t="array" ref="C15179">PRODUCT(1-'Sparkling Model'!D$2:D$38^A15179)</f>
        <v>0.9981210283</v>
      </c>
    </row>
    <row r="15180">
      <c r="A15180" s="6">
        <v>15178.0</v>
      </c>
      <c r="B15180" s="17">
        <f t="array" ref="B15180">SUM(1-'Sparkling Model'!D$2:D$38^A15180)</f>
        <v>36.99812074</v>
      </c>
      <c r="C15180" s="8">
        <f t="array" ref="C15180">PRODUCT(1-'Sparkling Model'!D$2:D$38^A15180)</f>
        <v>0.9981219553</v>
      </c>
    </row>
    <row r="15181">
      <c r="A15181" s="6">
        <v>15179.0</v>
      </c>
      <c r="B15181" s="17">
        <f t="array" ref="B15181">SUM(1-'Sparkling Model'!D$2:D$38^A15181)</f>
        <v>36.99812167</v>
      </c>
      <c r="C15181" s="8">
        <f t="array" ref="C15181">PRODUCT(1-'Sparkling Model'!D$2:D$38^A15181)</f>
        <v>0.9981228819</v>
      </c>
    </row>
    <row r="15182">
      <c r="A15182" s="6">
        <v>15180.0</v>
      </c>
      <c r="B15182" s="17">
        <f t="array" ref="B15182">SUM(1-'Sparkling Model'!D$2:D$38^A15182)</f>
        <v>36.99812259</v>
      </c>
      <c r="C15182" s="8">
        <f t="array" ref="C15182">PRODUCT(1-'Sparkling Model'!D$2:D$38^A15182)</f>
        <v>0.998123808</v>
      </c>
    </row>
    <row r="15183">
      <c r="A15183" s="6">
        <v>15181.0</v>
      </c>
      <c r="B15183" s="17">
        <f t="array" ref="B15183">SUM(1-'Sparkling Model'!D$2:D$38^A15183)</f>
        <v>36.99812352</v>
      </c>
      <c r="C15183" s="8">
        <f t="array" ref="C15183">PRODUCT(1-'Sparkling Model'!D$2:D$38^A15183)</f>
        <v>0.9981247337</v>
      </c>
    </row>
    <row r="15184">
      <c r="A15184" s="6">
        <v>15182.0</v>
      </c>
      <c r="B15184" s="17">
        <f t="array" ref="B15184">SUM(1-'Sparkling Model'!D$2:D$38^A15184)</f>
        <v>36.99812445</v>
      </c>
      <c r="C15184" s="8">
        <f t="array" ref="C15184">PRODUCT(1-'Sparkling Model'!D$2:D$38^A15184)</f>
        <v>0.9981256589</v>
      </c>
    </row>
    <row r="15185">
      <c r="A15185" s="6">
        <v>15183.0</v>
      </c>
      <c r="B15185" s="17">
        <f t="array" ref="B15185">SUM(1-'Sparkling Model'!D$2:D$38^A15185)</f>
        <v>36.99812537</v>
      </c>
      <c r="C15185" s="8">
        <f t="array" ref="C15185">PRODUCT(1-'Sparkling Model'!D$2:D$38^A15185)</f>
        <v>0.9981265836</v>
      </c>
    </row>
    <row r="15186">
      <c r="A15186" s="6">
        <v>15184.0</v>
      </c>
      <c r="B15186" s="17">
        <f t="array" ref="B15186">SUM(1-'Sparkling Model'!D$2:D$38^A15186)</f>
        <v>36.9981263</v>
      </c>
      <c r="C15186" s="8">
        <f t="array" ref="C15186">PRODUCT(1-'Sparkling Model'!D$2:D$38^A15186)</f>
        <v>0.9981275079</v>
      </c>
    </row>
    <row r="15187">
      <c r="A15187" s="6">
        <v>15185.0</v>
      </c>
      <c r="B15187" s="17">
        <f t="array" ref="B15187">SUM(1-'Sparkling Model'!D$2:D$38^A15187)</f>
        <v>36.99812722</v>
      </c>
      <c r="C15187" s="8">
        <f t="array" ref="C15187">PRODUCT(1-'Sparkling Model'!D$2:D$38^A15187)</f>
        <v>0.9981284317</v>
      </c>
    </row>
    <row r="15188">
      <c r="A15188" s="6">
        <v>15186.0</v>
      </c>
      <c r="B15188" s="17">
        <f t="array" ref="B15188">SUM(1-'Sparkling Model'!D$2:D$38^A15188)</f>
        <v>36.99812815</v>
      </c>
      <c r="C15188" s="8">
        <f t="array" ref="C15188">PRODUCT(1-'Sparkling Model'!D$2:D$38^A15188)</f>
        <v>0.9981293551</v>
      </c>
    </row>
    <row r="15189">
      <c r="A15189" s="6">
        <v>15187.0</v>
      </c>
      <c r="B15189" s="17">
        <f t="array" ref="B15189">SUM(1-'Sparkling Model'!D$2:D$38^A15189)</f>
        <v>36.99812907</v>
      </c>
      <c r="C15189" s="8">
        <f t="array" ref="C15189">PRODUCT(1-'Sparkling Model'!D$2:D$38^A15189)</f>
        <v>0.998130278</v>
      </c>
    </row>
    <row r="15190">
      <c r="A15190" s="6">
        <v>15188.0</v>
      </c>
      <c r="B15190" s="17">
        <f t="array" ref="B15190">SUM(1-'Sparkling Model'!D$2:D$38^A15190)</f>
        <v>36.99813</v>
      </c>
      <c r="C15190" s="8">
        <f t="array" ref="C15190">PRODUCT(1-'Sparkling Model'!D$2:D$38^A15190)</f>
        <v>0.9981312005</v>
      </c>
    </row>
    <row r="15191">
      <c r="A15191" s="6">
        <v>15189.0</v>
      </c>
      <c r="B15191" s="17">
        <f t="array" ref="B15191">SUM(1-'Sparkling Model'!D$2:D$38^A15191)</f>
        <v>36.99813092</v>
      </c>
      <c r="C15191" s="8">
        <f t="array" ref="C15191">PRODUCT(1-'Sparkling Model'!D$2:D$38^A15191)</f>
        <v>0.9981321225</v>
      </c>
    </row>
    <row r="15192">
      <c r="A15192" s="6">
        <v>15190.0</v>
      </c>
      <c r="B15192" s="17">
        <f t="array" ref="B15192">SUM(1-'Sparkling Model'!D$2:D$38^A15192)</f>
        <v>36.99813184</v>
      </c>
      <c r="C15192" s="8">
        <f t="array" ref="C15192">PRODUCT(1-'Sparkling Model'!D$2:D$38^A15192)</f>
        <v>0.998133044</v>
      </c>
    </row>
    <row r="15193">
      <c r="A15193" s="6">
        <v>15191.0</v>
      </c>
      <c r="B15193" s="17">
        <f t="array" ref="B15193">SUM(1-'Sparkling Model'!D$2:D$38^A15193)</f>
        <v>36.99813276</v>
      </c>
      <c r="C15193" s="8">
        <f t="array" ref="C15193">PRODUCT(1-'Sparkling Model'!D$2:D$38^A15193)</f>
        <v>0.9981339651</v>
      </c>
    </row>
    <row r="15194">
      <c r="A15194" s="6">
        <v>15192.0</v>
      </c>
      <c r="B15194" s="17">
        <f t="array" ref="B15194">SUM(1-'Sparkling Model'!D$2:D$38^A15194)</f>
        <v>36.99813369</v>
      </c>
      <c r="C15194" s="8">
        <f t="array" ref="C15194">PRODUCT(1-'Sparkling Model'!D$2:D$38^A15194)</f>
        <v>0.9981348857</v>
      </c>
    </row>
    <row r="15195">
      <c r="A15195" s="6">
        <v>15193.0</v>
      </c>
      <c r="B15195" s="17">
        <f t="array" ref="B15195">SUM(1-'Sparkling Model'!D$2:D$38^A15195)</f>
        <v>36.99813461</v>
      </c>
      <c r="C15195" s="8">
        <f t="array" ref="C15195">PRODUCT(1-'Sparkling Model'!D$2:D$38^A15195)</f>
        <v>0.9981358059</v>
      </c>
    </row>
    <row r="15196">
      <c r="A15196" s="6">
        <v>15194.0</v>
      </c>
      <c r="B15196" s="17">
        <f t="array" ref="B15196">SUM(1-'Sparkling Model'!D$2:D$38^A15196)</f>
        <v>36.99813553</v>
      </c>
      <c r="C15196" s="8">
        <f t="array" ref="C15196">PRODUCT(1-'Sparkling Model'!D$2:D$38^A15196)</f>
        <v>0.9981367256</v>
      </c>
    </row>
    <row r="15197">
      <c r="A15197" s="6">
        <v>15195.0</v>
      </c>
      <c r="B15197" s="17">
        <f t="array" ref="B15197">SUM(1-'Sparkling Model'!D$2:D$38^A15197)</f>
        <v>36.99813645</v>
      </c>
      <c r="C15197" s="8">
        <f t="array" ref="C15197">PRODUCT(1-'Sparkling Model'!D$2:D$38^A15197)</f>
        <v>0.9981376449</v>
      </c>
    </row>
    <row r="15198">
      <c r="A15198" s="6">
        <v>15196.0</v>
      </c>
      <c r="B15198" s="17">
        <f t="array" ref="B15198">SUM(1-'Sparkling Model'!D$2:D$38^A15198)</f>
        <v>36.99813737</v>
      </c>
      <c r="C15198" s="8">
        <f t="array" ref="C15198">PRODUCT(1-'Sparkling Model'!D$2:D$38^A15198)</f>
        <v>0.9981385637</v>
      </c>
    </row>
    <row r="15199">
      <c r="A15199" s="6">
        <v>15197.0</v>
      </c>
      <c r="B15199" s="17">
        <f t="array" ref="B15199">SUM(1-'Sparkling Model'!D$2:D$38^A15199)</f>
        <v>36.99813829</v>
      </c>
      <c r="C15199" s="8">
        <f t="array" ref="C15199">PRODUCT(1-'Sparkling Model'!D$2:D$38^A15199)</f>
        <v>0.9981394821</v>
      </c>
    </row>
    <row r="15200">
      <c r="A15200" s="6">
        <v>15198.0</v>
      </c>
      <c r="B15200" s="17">
        <f t="array" ref="B15200">SUM(1-'Sparkling Model'!D$2:D$38^A15200)</f>
        <v>36.99813921</v>
      </c>
      <c r="C15200" s="8">
        <f t="array" ref="C15200">PRODUCT(1-'Sparkling Model'!D$2:D$38^A15200)</f>
        <v>0.9981404</v>
      </c>
    </row>
    <row r="15201">
      <c r="A15201" s="6">
        <v>15199.0</v>
      </c>
      <c r="B15201" s="17">
        <f t="array" ref="B15201">SUM(1-'Sparkling Model'!D$2:D$38^A15201)</f>
        <v>36.99814013</v>
      </c>
      <c r="C15201" s="8">
        <f t="array" ref="C15201">PRODUCT(1-'Sparkling Model'!D$2:D$38^A15201)</f>
        <v>0.9981413174</v>
      </c>
    </row>
    <row r="15202">
      <c r="A15202" s="6">
        <v>15200.0</v>
      </c>
      <c r="B15202" s="17">
        <f t="array" ref="B15202">SUM(1-'Sparkling Model'!D$2:D$38^A15202)</f>
        <v>36.99814104</v>
      </c>
      <c r="C15202" s="8">
        <f t="array" ref="C15202">PRODUCT(1-'Sparkling Model'!D$2:D$38^A15202)</f>
        <v>0.9981422344</v>
      </c>
    </row>
    <row r="15203">
      <c r="A15203" s="6">
        <v>15201.0</v>
      </c>
      <c r="B15203" s="17">
        <f t="array" ref="B15203">SUM(1-'Sparkling Model'!D$2:D$38^A15203)</f>
        <v>36.99814196</v>
      </c>
      <c r="C15203" s="8">
        <f t="array" ref="C15203">PRODUCT(1-'Sparkling Model'!D$2:D$38^A15203)</f>
        <v>0.998143151</v>
      </c>
    </row>
    <row r="15204">
      <c r="A15204" s="6">
        <v>15202.0</v>
      </c>
      <c r="B15204" s="17">
        <f t="array" ref="B15204">SUM(1-'Sparkling Model'!D$2:D$38^A15204)</f>
        <v>36.99814288</v>
      </c>
      <c r="C15204" s="8">
        <f t="array" ref="C15204">PRODUCT(1-'Sparkling Model'!D$2:D$38^A15204)</f>
        <v>0.998144067</v>
      </c>
    </row>
    <row r="15205">
      <c r="A15205" s="6">
        <v>15203.0</v>
      </c>
      <c r="B15205" s="17">
        <f t="array" ref="B15205">SUM(1-'Sparkling Model'!D$2:D$38^A15205)</f>
        <v>36.9981438</v>
      </c>
      <c r="C15205" s="8">
        <f t="array" ref="C15205">PRODUCT(1-'Sparkling Model'!D$2:D$38^A15205)</f>
        <v>0.9981449827</v>
      </c>
    </row>
    <row r="15206">
      <c r="A15206" s="6">
        <v>15204.0</v>
      </c>
      <c r="B15206" s="17">
        <f t="array" ref="B15206">SUM(1-'Sparkling Model'!D$2:D$38^A15206)</f>
        <v>36.99814471</v>
      </c>
      <c r="C15206" s="8">
        <f t="array" ref="C15206">PRODUCT(1-'Sparkling Model'!D$2:D$38^A15206)</f>
        <v>0.9981458979</v>
      </c>
    </row>
    <row r="15207">
      <c r="A15207" s="6">
        <v>15205.0</v>
      </c>
      <c r="B15207" s="17">
        <f t="array" ref="B15207">SUM(1-'Sparkling Model'!D$2:D$38^A15207)</f>
        <v>36.99814563</v>
      </c>
      <c r="C15207" s="8">
        <f t="array" ref="C15207">PRODUCT(1-'Sparkling Model'!D$2:D$38^A15207)</f>
        <v>0.9981468126</v>
      </c>
    </row>
    <row r="15208">
      <c r="A15208" s="6">
        <v>15206.0</v>
      </c>
      <c r="B15208" s="17">
        <f t="array" ref="B15208">SUM(1-'Sparkling Model'!D$2:D$38^A15208)</f>
        <v>36.99814654</v>
      </c>
      <c r="C15208" s="8">
        <f t="array" ref="C15208">PRODUCT(1-'Sparkling Model'!D$2:D$38^A15208)</f>
        <v>0.9981477269</v>
      </c>
    </row>
    <row r="15209">
      <c r="A15209" s="6">
        <v>15207.0</v>
      </c>
      <c r="B15209" s="17">
        <f t="array" ref="B15209">SUM(1-'Sparkling Model'!D$2:D$38^A15209)</f>
        <v>36.99814746</v>
      </c>
      <c r="C15209" s="8">
        <f t="array" ref="C15209">PRODUCT(1-'Sparkling Model'!D$2:D$38^A15209)</f>
        <v>0.9981486407</v>
      </c>
    </row>
    <row r="15210">
      <c r="A15210" s="6">
        <v>15208.0</v>
      </c>
      <c r="B15210" s="17">
        <f t="array" ref="B15210">SUM(1-'Sparkling Model'!D$2:D$38^A15210)</f>
        <v>36.99814837</v>
      </c>
      <c r="C15210" s="8">
        <f t="array" ref="C15210">PRODUCT(1-'Sparkling Model'!D$2:D$38^A15210)</f>
        <v>0.9981495541</v>
      </c>
    </row>
    <row r="15211">
      <c r="A15211" s="6">
        <v>15209.0</v>
      </c>
      <c r="B15211" s="17">
        <f t="array" ref="B15211">SUM(1-'Sparkling Model'!D$2:D$38^A15211)</f>
        <v>36.99814929</v>
      </c>
      <c r="C15211" s="8">
        <f t="array" ref="C15211">PRODUCT(1-'Sparkling Model'!D$2:D$38^A15211)</f>
        <v>0.998150467</v>
      </c>
    </row>
    <row r="15212">
      <c r="A15212" s="6">
        <v>15210.0</v>
      </c>
      <c r="B15212" s="17">
        <f t="array" ref="B15212">SUM(1-'Sparkling Model'!D$2:D$38^A15212)</f>
        <v>36.9981502</v>
      </c>
      <c r="C15212" s="8">
        <f t="array" ref="C15212">PRODUCT(1-'Sparkling Model'!D$2:D$38^A15212)</f>
        <v>0.9981513795</v>
      </c>
    </row>
    <row r="15213">
      <c r="A15213" s="6">
        <v>15211.0</v>
      </c>
      <c r="B15213" s="17">
        <f t="array" ref="B15213">SUM(1-'Sparkling Model'!D$2:D$38^A15213)</f>
        <v>36.99815111</v>
      </c>
      <c r="C15213" s="8">
        <f t="array" ref="C15213">PRODUCT(1-'Sparkling Model'!D$2:D$38^A15213)</f>
        <v>0.9981522915</v>
      </c>
    </row>
    <row r="15214">
      <c r="A15214" s="6">
        <v>15212.0</v>
      </c>
      <c r="B15214" s="17">
        <f t="array" ref="B15214">SUM(1-'Sparkling Model'!D$2:D$38^A15214)</f>
        <v>36.99815203</v>
      </c>
      <c r="C15214" s="8">
        <f t="array" ref="C15214">PRODUCT(1-'Sparkling Model'!D$2:D$38^A15214)</f>
        <v>0.998153203</v>
      </c>
    </row>
    <row r="15215">
      <c r="A15215" s="6">
        <v>15213.0</v>
      </c>
      <c r="B15215" s="17">
        <f t="array" ref="B15215">SUM(1-'Sparkling Model'!D$2:D$38^A15215)</f>
        <v>36.99815294</v>
      </c>
      <c r="C15215" s="8">
        <f t="array" ref="C15215">PRODUCT(1-'Sparkling Model'!D$2:D$38^A15215)</f>
        <v>0.9981541141</v>
      </c>
    </row>
    <row r="15216">
      <c r="A15216" s="6">
        <v>15214.0</v>
      </c>
      <c r="B15216" s="17">
        <f t="array" ref="B15216">SUM(1-'Sparkling Model'!D$2:D$38^A15216)</f>
        <v>36.99815385</v>
      </c>
      <c r="C15216" s="8">
        <f t="array" ref="C15216">PRODUCT(1-'Sparkling Model'!D$2:D$38^A15216)</f>
        <v>0.9981550248</v>
      </c>
    </row>
    <row r="15217">
      <c r="A15217" s="6">
        <v>15215.0</v>
      </c>
      <c r="B15217" s="17">
        <f t="array" ref="B15217">SUM(1-'Sparkling Model'!D$2:D$38^A15217)</f>
        <v>36.99815476</v>
      </c>
      <c r="C15217" s="8">
        <f t="array" ref="C15217">PRODUCT(1-'Sparkling Model'!D$2:D$38^A15217)</f>
        <v>0.998155935</v>
      </c>
    </row>
    <row r="15218">
      <c r="A15218" s="6">
        <v>15216.0</v>
      </c>
      <c r="B15218" s="17">
        <f t="array" ref="B15218">SUM(1-'Sparkling Model'!D$2:D$38^A15218)</f>
        <v>36.99815567</v>
      </c>
      <c r="C15218" s="8">
        <f t="array" ref="C15218">PRODUCT(1-'Sparkling Model'!D$2:D$38^A15218)</f>
        <v>0.9981568448</v>
      </c>
    </row>
    <row r="15219">
      <c r="A15219" s="6">
        <v>15217.0</v>
      </c>
      <c r="B15219" s="17">
        <f t="array" ref="B15219">SUM(1-'Sparkling Model'!D$2:D$38^A15219)</f>
        <v>36.99815658</v>
      </c>
      <c r="C15219" s="8">
        <f t="array" ref="C15219">PRODUCT(1-'Sparkling Model'!D$2:D$38^A15219)</f>
        <v>0.9981577541</v>
      </c>
    </row>
    <row r="15220">
      <c r="A15220" s="6">
        <v>15218.0</v>
      </c>
      <c r="B15220" s="17">
        <f t="array" ref="B15220">SUM(1-'Sparkling Model'!D$2:D$38^A15220)</f>
        <v>36.99815749</v>
      </c>
      <c r="C15220" s="8">
        <f t="array" ref="C15220">PRODUCT(1-'Sparkling Model'!D$2:D$38^A15220)</f>
        <v>0.998158663</v>
      </c>
    </row>
    <row r="15221">
      <c r="A15221" s="6">
        <v>15219.0</v>
      </c>
      <c r="B15221" s="17">
        <f t="array" ref="B15221">SUM(1-'Sparkling Model'!D$2:D$38^A15221)</f>
        <v>36.9981584</v>
      </c>
      <c r="C15221" s="8">
        <f t="array" ref="C15221">PRODUCT(1-'Sparkling Model'!D$2:D$38^A15221)</f>
        <v>0.9981595714</v>
      </c>
    </row>
    <row r="15222">
      <c r="A15222" s="6">
        <v>15220.0</v>
      </c>
      <c r="B15222" s="17">
        <f t="array" ref="B15222">SUM(1-'Sparkling Model'!D$2:D$38^A15222)</f>
        <v>36.99815931</v>
      </c>
      <c r="C15222" s="8">
        <f t="array" ref="C15222">PRODUCT(1-'Sparkling Model'!D$2:D$38^A15222)</f>
        <v>0.9981604793</v>
      </c>
    </row>
    <row r="15223">
      <c r="A15223" s="6">
        <v>15221.0</v>
      </c>
      <c r="B15223" s="17">
        <f t="array" ref="B15223">SUM(1-'Sparkling Model'!D$2:D$38^A15223)</f>
        <v>36.99816022</v>
      </c>
      <c r="C15223" s="8">
        <f t="array" ref="C15223">PRODUCT(1-'Sparkling Model'!D$2:D$38^A15223)</f>
        <v>0.9981613869</v>
      </c>
    </row>
    <row r="15224">
      <c r="A15224" s="6">
        <v>15222.0</v>
      </c>
      <c r="B15224" s="17">
        <f t="array" ref="B15224">SUM(1-'Sparkling Model'!D$2:D$38^A15224)</f>
        <v>36.99816113</v>
      </c>
      <c r="C15224" s="8">
        <f t="array" ref="C15224">PRODUCT(1-'Sparkling Model'!D$2:D$38^A15224)</f>
        <v>0.9981622939</v>
      </c>
    </row>
    <row r="15225">
      <c r="A15225" s="6">
        <v>15223.0</v>
      </c>
      <c r="B15225" s="17">
        <f t="array" ref="B15225">SUM(1-'Sparkling Model'!D$2:D$38^A15225)</f>
        <v>36.99816204</v>
      </c>
      <c r="C15225" s="8">
        <f t="array" ref="C15225">PRODUCT(1-'Sparkling Model'!D$2:D$38^A15225)</f>
        <v>0.9981632006</v>
      </c>
    </row>
    <row r="15226">
      <c r="A15226" s="6">
        <v>15224.0</v>
      </c>
      <c r="B15226" s="17">
        <f t="array" ref="B15226">SUM(1-'Sparkling Model'!D$2:D$38^A15226)</f>
        <v>36.99816294</v>
      </c>
      <c r="C15226" s="8">
        <f t="array" ref="C15226">PRODUCT(1-'Sparkling Model'!D$2:D$38^A15226)</f>
        <v>0.9981641067</v>
      </c>
    </row>
    <row r="15227">
      <c r="A15227" s="6">
        <v>15225.0</v>
      </c>
      <c r="B15227" s="17">
        <f t="array" ref="B15227">SUM(1-'Sparkling Model'!D$2:D$38^A15227)</f>
        <v>36.99816385</v>
      </c>
      <c r="C15227" s="8">
        <f t="array" ref="C15227">PRODUCT(1-'Sparkling Model'!D$2:D$38^A15227)</f>
        <v>0.9981650124</v>
      </c>
    </row>
    <row r="15228">
      <c r="A15228" s="6">
        <v>15226.0</v>
      </c>
      <c r="B15228" s="17">
        <f t="array" ref="B15228">SUM(1-'Sparkling Model'!D$2:D$38^A15228)</f>
        <v>36.99816476</v>
      </c>
      <c r="C15228" s="8">
        <f t="array" ref="C15228">PRODUCT(1-'Sparkling Model'!D$2:D$38^A15228)</f>
        <v>0.9981659177</v>
      </c>
    </row>
    <row r="15229">
      <c r="A15229" s="6">
        <v>15227.0</v>
      </c>
      <c r="B15229" s="17">
        <f t="array" ref="B15229">SUM(1-'Sparkling Model'!D$2:D$38^A15229)</f>
        <v>36.99816566</v>
      </c>
      <c r="C15229" s="8">
        <f t="array" ref="C15229">PRODUCT(1-'Sparkling Model'!D$2:D$38^A15229)</f>
        <v>0.9981668225</v>
      </c>
    </row>
    <row r="15230">
      <c r="A15230" s="6">
        <v>15228.0</v>
      </c>
      <c r="B15230" s="17">
        <f t="array" ref="B15230">SUM(1-'Sparkling Model'!D$2:D$38^A15230)</f>
        <v>36.99816657</v>
      </c>
      <c r="C15230" s="8">
        <f t="array" ref="C15230">PRODUCT(1-'Sparkling Model'!D$2:D$38^A15230)</f>
        <v>0.9981677269</v>
      </c>
    </row>
    <row r="15231">
      <c r="A15231" s="6">
        <v>15229.0</v>
      </c>
      <c r="B15231" s="17">
        <f t="array" ref="B15231">SUM(1-'Sparkling Model'!D$2:D$38^A15231)</f>
        <v>36.99816747</v>
      </c>
      <c r="C15231" s="8">
        <f t="array" ref="C15231">PRODUCT(1-'Sparkling Model'!D$2:D$38^A15231)</f>
        <v>0.9981686309</v>
      </c>
    </row>
    <row r="15232">
      <c r="A15232" s="6">
        <v>15230.0</v>
      </c>
      <c r="B15232" s="17">
        <f t="array" ref="B15232">SUM(1-'Sparkling Model'!D$2:D$38^A15232)</f>
        <v>36.99816838</v>
      </c>
      <c r="C15232" s="8">
        <f t="array" ref="C15232">PRODUCT(1-'Sparkling Model'!D$2:D$38^A15232)</f>
        <v>0.9981695343</v>
      </c>
    </row>
    <row r="15233">
      <c r="A15233" s="6">
        <v>15231.0</v>
      </c>
      <c r="B15233" s="17">
        <f t="array" ref="B15233">SUM(1-'Sparkling Model'!D$2:D$38^A15233)</f>
        <v>36.99816928</v>
      </c>
      <c r="C15233" s="8">
        <f t="array" ref="C15233">PRODUCT(1-'Sparkling Model'!D$2:D$38^A15233)</f>
        <v>0.9981704374</v>
      </c>
    </row>
    <row r="15234">
      <c r="A15234" s="6">
        <v>15232.0</v>
      </c>
      <c r="B15234" s="17">
        <f t="array" ref="B15234">SUM(1-'Sparkling Model'!D$2:D$38^A15234)</f>
        <v>36.99817019</v>
      </c>
      <c r="C15234" s="8">
        <f t="array" ref="C15234">PRODUCT(1-'Sparkling Model'!D$2:D$38^A15234)</f>
        <v>0.99817134</v>
      </c>
    </row>
    <row r="15235">
      <c r="A15235" s="6">
        <v>15233.0</v>
      </c>
      <c r="B15235" s="17">
        <f t="array" ref="B15235">SUM(1-'Sparkling Model'!D$2:D$38^A15235)</f>
        <v>36.99817109</v>
      </c>
      <c r="C15235" s="8">
        <f t="array" ref="C15235">PRODUCT(1-'Sparkling Model'!D$2:D$38^A15235)</f>
        <v>0.9981722421</v>
      </c>
    </row>
    <row r="15236">
      <c r="A15236" s="6">
        <v>15234.0</v>
      </c>
      <c r="B15236" s="17">
        <f t="array" ref="B15236">SUM(1-'Sparkling Model'!D$2:D$38^A15236)</f>
        <v>36.99817199</v>
      </c>
      <c r="C15236" s="8">
        <f t="array" ref="C15236">PRODUCT(1-'Sparkling Model'!D$2:D$38^A15236)</f>
        <v>0.9981731438</v>
      </c>
    </row>
    <row r="15237">
      <c r="A15237" s="6">
        <v>15235.0</v>
      </c>
      <c r="B15237" s="17">
        <f t="array" ref="B15237">SUM(1-'Sparkling Model'!D$2:D$38^A15237)</f>
        <v>36.99817289</v>
      </c>
      <c r="C15237" s="8">
        <f t="array" ref="C15237">PRODUCT(1-'Sparkling Model'!D$2:D$38^A15237)</f>
        <v>0.9981740451</v>
      </c>
    </row>
    <row r="15238">
      <c r="A15238" s="6">
        <v>15236.0</v>
      </c>
      <c r="B15238" s="17">
        <f t="array" ref="B15238">SUM(1-'Sparkling Model'!D$2:D$38^A15238)</f>
        <v>36.9981738</v>
      </c>
      <c r="C15238" s="8">
        <f t="array" ref="C15238">PRODUCT(1-'Sparkling Model'!D$2:D$38^A15238)</f>
        <v>0.9981749459</v>
      </c>
    </row>
    <row r="15239">
      <c r="A15239" s="6">
        <v>15237.0</v>
      </c>
      <c r="B15239" s="17">
        <f t="array" ref="B15239">SUM(1-'Sparkling Model'!D$2:D$38^A15239)</f>
        <v>36.9981747</v>
      </c>
      <c r="C15239" s="8">
        <f t="array" ref="C15239">PRODUCT(1-'Sparkling Model'!D$2:D$38^A15239)</f>
        <v>0.9981758462</v>
      </c>
    </row>
    <row r="15240">
      <c r="A15240" s="6">
        <v>15238.0</v>
      </c>
      <c r="B15240" s="17">
        <f t="array" ref="B15240">SUM(1-'Sparkling Model'!D$2:D$38^A15240)</f>
        <v>36.9981756</v>
      </c>
      <c r="C15240" s="8">
        <f t="array" ref="C15240">PRODUCT(1-'Sparkling Model'!D$2:D$38^A15240)</f>
        <v>0.9981767461</v>
      </c>
    </row>
    <row r="15241">
      <c r="A15241" s="6">
        <v>15239.0</v>
      </c>
      <c r="B15241" s="17">
        <f t="array" ref="B15241">SUM(1-'Sparkling Model'!D$2:D$38^A15241)</f>
        <v>36.9981765</v>
      </c>
      <c r="C15241" s="8">
        <f t="array" ref="C15241">PRODUCT(1-'Sparkling Model'!D$2:D$38^A15241)</f>
        <v>0.9981776456</v>
      </c>
    </row>
    <row r="15242">
      <c r="A15242" s="6">
        <v>15240.0</v>
      </c>
      <c r="B15242" s="17">
        <f t="array" ref="B15242">SUM(1-'Sparkling Model'!D$2:D$38^A15242)</f>
        <v>36.9981774</v>
      </c>
      <c r="C15242" s="8">
        <f t="array" ref="C15242">PRODUCT(1-'Sparkling Model'!D$2:D$38^A15242)</f>
        <v>0.9981785446</v>
      </c>
    </row>
    <row r="15243">
      <c r="A15243" s="6">
        <v>15241.0</v>
      </c>
      <c r="B15243" s="17">
        <f t="array" ref="B15243">SUM(1-'Sparkling Model'!D$2:D$38^A15243)</f>
        <v>36.9981783</v>
      </c>
      <c r="C15243" s="8">
        <f t="array" ref="C15243">PRODUCT(1-'Sparkling Model'!D$2:D$38^A15243)</f>
        <v>0.9981794432</v>
      </c>
    </row>
    <row r="15244">
      <c r="A15244" s="6">
        <v>15242.0</v>
      </c>
      <c r="B15244" s="17">
        <f t="array" ref="B15244">SUM(1-'Sparkling Model'!D$2:D$38^A15244)</f>
        <v>36.9981792</v>
      </c>
      <c r="C15244" s="8">
        <f t="array" ref="C15244">PRODUCT(1-'Sparkling Model'!D$2:D$38^A15244)</f>
        <v>0.9981803413</v>
      </c>
    </row>
    <row r="15245">
      <c r="A15245" s="6">
        <v>15243.0</v>
      </c>
      <c r="B15245" s="17">
        <f t="array" ref="B15245">SUM(1-'Sparkling Model'!D$2:D$38^A15245)</f>
        <v>36.9981801</v>
      </c>
      <c r="C15245" s="8">
        <f t="array" ref="C15245">PRODUCT(1-'Sparkling Model'!D$2:D$38^A15245)</f>
        <v>0.998181239</v>
      </c>
    </row>
    <row r="15246">
      <c r="A15246" s="6">
        <v>15244.0</v>
      </c>
      <c r="B15246" s="17">
        <f t="array" ref="B15246">SUM(1-'Sparkling Model'!D$2:D$38^A15246)</f>
        <v>36.998181</v>
      </c>
      <c r="C15246" s="8">
        <f t="array" ref="C15246">PRODUCT(1-'Sparkling Model'!D$2:D$38^A15246)</f>
        <v>0.9981821363</v>
      </c>
    </row>
    <row r="15247">
      <c r="A15247" s="6">
        <v>15245.0</v>
      </c>
      <c r="B15247" s="17">
        <f t="array" ref="B15247">SUM(1-'Sparkling Model'!D$2:D$38^A15247)</f>
        <v>36.99818189</v>
      </c>
      <c r="C15247" s="8">
        <f t="array" ref="C15247">PRODUCT(1-'Sparkling Model'!D$2:D$38^A15247)</f>
        <v>0.9981830331</v>
      </c>
    </row>
    <row r="15248">
      <c r="A15248" s="6">
        <v>15246.0</v>
      </c>
      <c r="B15248" s="17">
        <f t="array" ref="B15248">SUM(1-'Sparkling Model'!D$2:D$38^A15248)</f>
        <v>36.99818279</v>
      </c>
      <c r="C15248" s="8">
        <f t="array" ref="C15248">PRODUCT(1-'Sparkling Model'!D$2:D$38^A15248)</f>
        <v>0.9981839294</v>
      </c>
    </row>
    <row r="15249">
      <c r="A15249" s="6">
        <v>15247.0</v>
      </c>
      <c r="B15249" s="17">
        <f t="array" ref="B15249">SUM(1-'Sparkling Model'!D$2:D$38^A15249)</f>
        <v>36.99818369</v>
      </c>
      <c r="C15249" s="8">
        <f t="array" ref="C15249">PRODUCT(1-'Sparkling Model'!D$2:D$38^A15249)</f>
        <v>0.9981848254</v>
      </c>
    </row>
    <row r="15250">
      <c r="A15250" s="6">
        <v>15248.0</v>
      </c>
      <c r="B15250" s="17">
        <f t="array" ref="B15250">SUM(1-'Sparkling Model'!D$2:D$38^A15250)</f>
        <v>36.99818459</v>
      </c>
      <c r="C15250" s="8">
        <f t="array" ref="C15250">PRODUCT(1-'Sparkling Model'!D$2:D$38^A15250)</f>
        <v>0.9981857208</v>
      </c>
    </row>
    <row r="15251">
      <c r="A15251" s="6">
        <v>15249.0</v>
      </c>
      <c r="B15251" s="17">
        <f t="array" ref="B15251">SUM(1-'Sparkling Model'!D$2:D$38^A15251)</f>
        <v>36.99818548</v>
      </c>
      <c r="C15251" s="8">
        <f t="array" ref="C15251">PRODUCT(1-'Sparkling Model'!D$2:D$38^A15251)</f>
        <v>0.9981866159</v>
      </c>
    </row>
    <row r="15252">
      <c r="A15252" s="6">
        <v>15250.0</v>
      </c>
      <c r="B15252" s="17">
        <f t="array" ref="B15252">SUM(1-'Sparkling Model'!D$2:D$38^A15252)</f>
        <v>36.99818638</v>
      </c>
      <c r="C15252" s="8">
        <f t="array" ref="C15252">PRODUCT(1-'Sparkling Model'!D$2:D$38^A15252)</f>
        <v>0.9981875104</v>
      </c>
    </row>
    <row r="15253">
      <c r="A15253" s="6">
        <v>15251.0</v>
      </c>
      <c r="B15253" s="17">
        <f t="array" ref="B15253">SUM(1-'Sparkling Model'!D$2:D$38^A15253)</f>
        <v>36.99818727</v>
      </c>
      <c r="C15253" s="8">
        <f t="array" ref="C15253">PRODUCT(1-'Sparkling Model'!D$2:D$38^A15253)</f>
        <v>0.9981884046</v>
      </c>
    </row>
    <row r="15254">
      <c r="A15254" s="6">
        <v>15252.0</v>
      </c>
      <c r="B15254" s="17">
        <f t="array" ref="B15254">SUM(1-'Sparkling Model'!D$2:D$38^A15254)</f>
        <v>36.99818817</v>
      </c>
      <c r="C15254" s="8">
        <f t="array" ref="C15254">PRODUCT(1-'Sparkling Model'!D$2:D$38^A15254)</f>
        <v>0.9981892983</v>
      </c>
    </row>
    <row r="15255">
      <c r="A15255" s="6">
        <v>15253.0</v>
      </c>
      <c r="B15255" s="17">
        <f t="array" ref="B15255">SUM(1-'Sparkling Model'!D$2:D$38^A15255)</f>
        <v>36.99818906</v>
      </c>
      <c r="C15255" s="8">
        <f t="array" ref="C15255">PRODUCT(1-'Sparkling Model'!D$2:D$38^A15255)</f>
        <v>0.9981901916</v>
      </c>
    </row>
    <row r="15256">
      <c r="A15256" s="6">
        <v>15254.0</v>
      </c>
      <c r="B15256" s="17">
        <f t="array" ref="B15256">SUM(1-'Sparkling Model'!D$2:D$38^A15256)</f>
        <v>36.99818996</v>
      </c>
      <c r="C15256" s="8">
        <f t="array" ref="C15256">PRODUCT(1-'Sparkling Model'!D$2:D$38^A15256)</f>
        <v>0.9981910844</v>
      </c>
    </row>
    <row r="15257">
      <c r="A15257" s="6">
        <v>15255.0</v>
      </c>
      <c r="B15257" s="17">
        <f t="array" ref="B15257">SUM(1-'Sparkling Model'!D$2:D$38^A15257)</f>
        <v>36.99819085</v>
      </c>
      <c r="C15257" s="8">
        <f t="array" ref="C15257">PRODUCT(1-'Sparkling Model'!D$2:D$38^A15257)</f>
        <v>0.9981919768</v>
      </c>
    </row>
    <row r="15258">
      <c r="A15258" s="6">
        <v>15256.0</v>
      </c>
      <c r="B15258" s="17">
        <f t="array" ref="B15258">SUM(1-'Sparkling Model'!D$2:D$38^A15258)</f>
        <v>36.99819174</v>
      </c>
      <c r="C15258" s="8">
        <f t="array" ref="C15258">PRODUCT(1-'Sparkling Model'!D$2:D$38^A15258)</f>
        <v>0.9981928687</v>
      </c>
    </row>
    <row r="15259">
      <c r="A15259" s="6">
        <v>15257.0</v>
      </c>
      <c r="B15259" s="17">
        <f t="array" ref="B15259">SUM(1-'Sparkling Model'!D$2:D$38^A15259)</f>
        <v>36.99819263</v>
      </c>
      <c r="C15259" s="8">
        <f t="array" ref="C15259">PRODUCT(1-'Sparkling Model'!D$2:D$38^A15259)</f>
        <v>0.9981937602</v>
      </c>
    </row>
    <row r="15260">
      <c r="A15260" s="6">
        <v>15258.0</v>
      </c>
      <c r="B15260" s="17">
        <f t="array" ref="B15260">SUM(1-'Sparkling Model'!D$2:D$38^A15260)</f>
        <v>36.99819353</v>
      </c>
      <c r="C15260" s="8">
        <f t="array" ref="C15260">PRODUCT(1-'Sparkling Model'!D$2:D$38^A15260)</f>
        <v>0.9981946512</v>
      </c>
    </row>
    <row r="15261">
      <c r="A15261" s="6">
        <v>15259.0</v>
      </c>
      <c r="B15261" s="17">
        <f t="array" ref="B15261">SUM(1-'Sparkling Model'!D$2:D$38^A15261)</f>
        <v>36.99819442</v>
      </c>
      <c r="C15261" s="8">
        <f t="array" ref="C15261">PRODUCT(1-'Sparkling Model'!D$2:D$38^A15261)</f>
        <v>0.9981955418</v>
      </c>
    </row>
    <row r="15262">
      <c r="A15262" s="6">
        <v>15260.0</v>
      </c>
      <c r="B15262" s="17">
        <f t="array" ref="B15262">SUM(1-'Sparkling Model'!D$2:D$38^A15262)</f>
        <v>36.99819531</v>
      </c>
      <c r="C15262" s="8">
        <f t="array" ref="C15262">PRODUCT(1-'Sparkling Model'!D$2:D$38^A15262)</f>
        <v>0.998196432</v>
      </c>
    </row>
    <row r="15263">
      <c r="A15263" s="6">
        <v>15261.0</v>
      </c>
      <c r="B15263" s="17">
        <f t="array" ref="B15263">SUM(1-'Sparkling Model'!D$2:D$38^A15263)</f>
        <v>36.9981962</v>
      </c>
      <c r="C15263" s="8">
        <f t="array" ref="C15263">PRODUCT(1-'Sparkling Model'!D$2:D$38^A15263)</f>
        <v>0.9981973218</v>
      </c>
    </row>
    <row r="15264">
      <c r="A15264" s="6">
        <v>15262.0</v>
      </c>
      <c r="B15264" s="17">
        <f t="array" ref="B15264">SUM(1-'Sparkling Model'!D$2:D$38^A15264)</f>
        <v>36.99819709</v>
      </c>
      <c r="C15264" s="8">
        <f t="array" ref="C15264">PRODUCT(1-'Sparkling Model'!D$2:D$38^A15264)</f>
        <v>0.998198211</v>
      </c>
    </row>
    <row r="15265">
      <c r="A15265" s="6">
        <v>15263.0</v>
      </c>
      <c r="B15265" s="17">
        <f t="array" ref="B15265">SUM(1-'Sparkling Model'!D$2:D$38^A15265)</f>
        <v>36.99819798</v>
      </c>
      <c r="C15265" s="8">
        <f t="array" ref="C15265">PRODUCT(1-'Sparkling Model'!D$2:D$38^A15265)</f>
        <v>0.9981990999</v>
      </c>
    </row>
    <row r="15266">
      <c r="A15266" s="6">
        <v>15264.0</v>
      </c>
      <c r="B15266" s="17">
        <f t="array" ref="B15266">SUM(1-'Sparkling Model'!D$2:D$38^A15266)</f>
        <v>36.99819887</v>
      </c>
      <c r="C15266" s="8">
        <f t="array" ref="C15266">PRODUCT(1-'Sparkling Model'!D$2:D$38^A15266)</f>
        <v>0.9981999883</v>
      </c>
    </row>
    <row r="15267">
      <c r="A15267" s="6">
        <v>15265.0</v>
      </c>
      <c r="B15267" s="17">
        <f t="array" ref="B15267">SUM(1-'Sparkling Model'!D$2:D$38^A15267)</f>
        <v>36.99819976</v>
      </c>
      <c r="C15267" s="8">
        <f t="array" ref="C15267">PRODUCT(1-'Sparkling Model'!D$2:D$38^A15267)</f>
        <v>0.9982008763</v>
      </c>
    </row>
    <row r="15268">
      <c r="A15268" s="6">
        <v>15266.0</v>
      </c>
      <c r="B15268" s="17">
        <f t="array" ref="B15268">SUM(1-'Sparkling Model'!D$2:D$38^A15268)</f>
        <v>36.99820065</v>
      </c>
      <c r="C15268" s="8">
        <f t="array" ref="C15268">PRODUCT(1-'Sparkling Model'!D$2:D$38^A15268)</f>
        <v>0.9982017638</v>
      </c>
    </row>
    <row r="15269">
      <c r="A15269" s="6">
        <v>15267.0</v>
      </c>
      <c r="B15269" s="17">
        <f t="array" ref="B15269">SUM(1-'Sparkling Model'!D$2:D$38^A15269)</f>
        <v>36.99820154</v>
      </c>
      <c r="C15269" s="8">
        <f t="array" ref="C15269">PRODUCT(1-'Sparkling Model'!D$2:D$38^A15269)</f>
        <v>0.9982026509</v>
      </c>
    </row>
    <row r="15270">
      <c r="A15270" s="6">
        <v>15268.0</v>
      </c>
      <c r="B15270" s="17">
        <f t="array" ref="B15270">SUM(1-'Sparkling Model'!D$2:D$38^A15270)</f>
        <v>36.99820242</v>
      </c>
      <c r="C15270" s="8">
        <f t="array" ref="C15270">PRODUCT(1-'Sparkling Model'!D$2:D$38^A15270)</f>
        <v>0.9982035376</v>
      </c>
    </row>
    <row r="15271">
      <c r="A15271" s="6">
        <v>15269.0</v>
      </c>
      <c r="B15271" s="17">
        <f t="array" ref="B15271">SUM(1-'Sparkling Model'!D$2:D$38^A15271)</f>
        <v>36.99820331</v>
      </c>
      <c r="C15271" s="8">
        <f t="array" ref="C15271">PRODUCT(1-'Sparkling Model'!D$2:D$38^A15271)</f>
        <v>0.9982044238</v>
      </c>
    </row>
    <row r="15272">
      <c r="A15272" s="6">
        <v>15270.0</v>
      </c>
      <c r="B15272" s="17">
        <f t="array" ref="B15272">SUM(1-'Sparkling Model'!D$2:D$38^A15272)</f>
        <v>36.9982042</v>
      </c>
      <c r="C15272" s="8">
        <f t="array" ref="C15272">PRODUCT(1-'Sparkling Model'!D$2:D$38^A15272)</f>
        <v>0.9982053096</v>
      </c>
    </row>
    <row r="15273">
      <c r="A15273" s="6">
        <v>15271.0</v>
      </c>
      <c r="B15273" s="17">
        <f t="array" ref="B15273">SUM(1-'Sparkling Model'!D$2:D$38^A15273)</f>
        <v>36.99820509</v>
      </c>
      <c r="C15273" s="8">
        <f t="array" ref="C15273">PRODUCT(1-'Sparkling Model'!D$2:D$38^A15273)</f>
        <v>0.9982061949</v>
      </c>
    </row>
    <row r="15274">
      <c r="A15274" s="6">
        <v>15272.0</v>
      </c>
      <c r="B15274" s="17">
        <f t="array" ref="B15274">SUM(1-'Sparkling Model'!D$2:D$38^A15274)</f>
        <v>36.99820597</v>
      </c>
      <c r="C15274" s="8">
        <f t="array" ref="C15274">PRODUCT(1-'Sparkling Model'!D$2:D$38^A15274)</f>
        <v>0.9982070798</v>
      </c>
    </row>
    <row r="15275">
      <c r="A15275" s="6">
        <v>15273.0</v>
      </c>
      <c r="B15275" s="17">
        <f t="array" ref="B15275">SUM(1-'Sparkling Model'!D$2:D$38^A15275)</f>
        <v>36.99820686</v>
      </c>
      <c r="C15275" s="8">
        <f t="array" ref="C15275">PRODUCT(1-'Sparkling Model'!D$2:D$38^A15275)</f>
        <v>0.9982079643</v>
      </c>
    </row>
    <row r="15276">
      <c r="A15276" s="6">
        <v>15274.0</v>
      </c>
      <c r="B15276" s="17">
        <f t="array" ref="B15276">SUM(1-'Sparkling Model'!D$2:D$38^A15276)</f>
        <v>36.99820774</v>
      </c>
      <c r="C15276" s="8">
        <f t="array" ref="C15276">PRODUCT(1-'Sparkling Model'!D$2:D$38^A15276)</f>
        <v>0.9982088483</v>
      </c>
    </row>
    <row r="15277">
      <c r="A15277" s="6">
        <v>15275.0</v>
      </c>
      <c r="B15277" s="17">
        <f t="array" ref="B15277">SUM(1-'Sparkling Model'!D$2:D$38^A15277)</f>
        <v>36.99820863</v>
      </c>
      <c r="C15277" s="8">
        <f t="array" ref="C15277">PRODUCT(1-'Sparkling Model'!D$2:D$38^A15277)</f>
        <v>0.9982097319</v>
      </c>
    </row>
    <row r="15278">
      <c r="A15278" s="6">
        <v>15276.0</v>
      </c>
      <c r="B15278" s="17">
        <f t="array" ref="B15278">SUM(1-'Sparkling Model'!D$2:D$38^A15278)</f>
        <v>36.99820951</v>
      </c>
      <c r="C15278" s="8">
        <f t="array" ref="C15278">PRODUCT(1-'Sparkling Model'!D$2:D$38^A15278)</f>
        <v>0.998210615</v>
      </c>
    </row>
    <row r="15279">
      <c r="A15279" s="6">
        <v>15277.0</v>
      </c>
      <c r="B15279" s="17">
        <f t="array" ref="B15279">SUM(1-'Sparkling Model'!D$2:D$38^A15279)</f>
        <v>36.99821039</v>
      </c>
      <c r="C15279" s="8">
        <f t="array" ref="C15279">PRODUCT(1-'Sparkling Model'!D$2:D$38^A15279)</f>
        <v>0.9982114978</v>
      </c>
    </row>
    <row r="15280">
      <c r="A15280" s="6">
        <v>15278.0</v>
      </c>
      <c r="B15280" s="17">
        <f t="array" ref="B15280">SUM(1-'Sparkling Model'!D$2:D$38^A15280)</f>
        <v>36.99821128</v>
      </c>
      <c r="C15280" s="8">
        <f t="array" ref="C15280">PRODUCT(1-'Sparkling Model'!D$2:D$38^A15280)</f>
        <v>0.99821238</v>
      </c>
    </row>
    <row r="15281">
      <c r="A15281" s="6">
        <v>15279.0</v>
      </c>
      <c r="B15281" s="17">
        <f t="array" ref="B15281">SUM(1-'Sparkling Model'!D$2:D$38^A15281)</f>
        <v>36.99821216</v>
      </c>
      <c r="C15281" s="8">
        <f t="array" ref="C15281">PRODUCT(1-'Sparkling Model'!D$2:D$38^A15281)</f>
        <v>0.9982132619</v>
      </c>
    </row>
    <row r="15282">
      <c r="A15282" s="6">
        <v>15280.0</v>
      </c>
      <c r="B15282" s="17">
        <f t="array" ref="B15282">SUM(1-'Sparkling Model'!D$2:D$38^A15282)</f>
        <v>36.99821304</v>
      </c>
      <c r="C15282" s="8">
        <f t="array" ref="C15282">PRODUCT(1-'Sparkling Model'!D$2:D$38^A15282)</f>
        <v>0.9982141433</v>
      </c>
    </row>
    <row r="15283">
      <c r="A15283" s="6">
        <v>15281.0</v>
      </c>
      <c r="B15283" s="17">
        <f t="array" ref="B15283">SUM(1-'Sparkling Model'!D$2:D$38^A15283)</f>
        <v>36.99821393</v>
      </c>
      <c r="C15283" s="8">
        <f t="array" ref="C15283">PRODUCT(1-'Sparkling Model'!D$2:D$38^A15283)</f>
        <v>0.9982150243</v>
      </c>
    </row>
    <row r="15284">
      <c r="A15284" s="6">
        <v>15282.0</v>
      </c>
      <c r="B15284" s="17">
        <f t="array" ref="B15284">SUM(1-'Sparkling Model'!D$2:D$38^A15284)</f>
        <v>36.99821481</v>
      </c>
      <c r="C15284" s="8">
        <f t="array" ref="C15284">PRODUCT(1-'Sparkling Model'!D$2:D$38^A15284)</f>
        <v>0.9982159048</v>
      </c>
    </row>
    <row r="15285">
      <c r="A15285" s="6">
        <v>15283.0</v>
      </c>
      <c r="B15285" s="17">
        <f t="array" ref="B15285">SUM(1-'Sparkling Model'!D$2:D$38^A15285)</f>
        <v>36.99821569</v>
      </c>
      <c r="C15285" s="8">
        <f t="array" ref="C15285">PRODUCT(1-'Sparkling Model'!D$2:D$38^A15285)</f>
        <v>0.9982167849</v>
      </c>
    </row>
    <row r="15286">
      <c r="A15286" s="6">
        <v>15284.0</v>
      </c>
      <c r="B15286" s="17">
        <f t="array" ref="B15286">SUM(1-'Sparkling Model'!D$2:D$38^A15286)</f>
        <v>36.99821657</v>
      </c>
      <c r="C15286" s="8">
        <f t="array" ref="C15286">PRODUCT(1-'Sparkling Model'!D$2:D$38^A15286)</f>
        <v>0.9982176646</v>
      </c>
    </row>
    <row r="15287">
      <c r="A15287" s="6">
        <v>15285.0</v>
      </c>
      <c r="B15287" s="17">
        <f t="array" ref="B15287">SUM(1-'Sparkling Model'!D$2:D$38^A15287)</f>
        <v>36.99821745</v>
      </c>
      <c r="C15287" s="8">
        <f t="array" ref="C15287">PRODUCT(1-'Sparkling Model'!D$2:D$38^A15287)</f>
        <v>0.9982185438</v>
      </c>
    </row>
    <row r="15288">
      <c r="A15288" s="6">
        <v>15286.0</v>
      </c>
      <c r="B15288" s="17">
        <f t="array" ref="B15288">SUM(1-'Sparkling Model'!D$2:D$38^A15288)</f>
        <v>36.99821833</v>
      </c>
      <c r="C15288" s="8">
        <f t="array" ref="C15288">PRODUCT(1-'Sparkling Model'!D$2:D$38^A15288)</f>
        <v>0.9982194226</v>
      </c>
    </row>
    <row r="15289">
      <c r="A15289" s="6">
        <v>15287.0</v>
      </c>
      <c r="B15289" s="17">
        <f t="array" ref="B15289">SUM(1-'Sparkling Model'!D$2:D$38^A15289)</f>
        <v>36.99821921</v>
      </c>
      <c r="C15289" s="8">
        <f t="array" ref="C15289">PRODUCT(1-'Sparkling Model'!D$2:D$38^A15289)</f>
        <v>0.9982203009</v>
      </c>
    </row>
    <row r="15290">
      <c r="A15290" s="6">
        <v>15288.0</v>
      </c>
      <c r="B15290" s="17">
        <f t="array" ref="B15290">SUM(1-'Sparkling Model'!D$2:D$38^A15290)</f>
        <v>36.99822009</v>
      </c>
      <c r="C15290" s="8">
        <f t="array" ref="C15290">PRODUCT(1-'Sparkling Model'!D$2:D$38^A15290)</f>
        <v>0.9982211789</v>
      </c>
    </row>
    <row r="15291">
      <c r="A15291" s="6">
        <v>15289.0</v>
      </c>
      <c r="B15291" s="17">
        <f t="array" ref="B15291">SUM(1-'Sparkling Model'!D$2:D$38^A15291)</f>
        <v>36.99822097</v>
      </c>
      <c r="C15291" s="8">
        <f t="array" ref="C15291">PRODUCT(1-'Sparkling Model'!D$2:D$38^A15291)</f>
        <v>0.9982220564</v>
      </c>
    </row>
    <row r="15292">
      <c r="A15292" s="6">
        <v>15290.0</v>
      </c>
      <c r="B15292" s="17">
        <f t="array" ref="B15292">SUM(1-'Sparkling Model'!D$2:D$38^A15292)</f>
        <v>36.99822184</v>
      </c>
      <c r="C15292" s="8">
        <f t="array" ref="C15292">PRODUCT(1-'Sparkling Model'!D$2:D$38^A15292)</f>
        <v>0.9982229334</v>
      </c>
    </row>
    <row r="15293">
      <c r="A15293" s="6">
        <v>15291.0</v>
      </c>
      <c r="B15293" s="17">
        <f t="array" ref="B15293">SUM(1-'Sparkling Model'!D$2:D$38^A15293)</f>
        <v>36.99822272</v>
      </c>
      <c r="C15293" s="8">
        <f t="array" ref="C15293">PRODUCT(1-'Sparkling Model'!D$2:D$38^A15293)</f>
        <v>0.99822381</v>
      </c>
    </row>
    <row r="15294">
      <c r="A15294" s="6">
        <v>15292.0</v>
      </c>
      <c r="B15294" s="17">
        <f t="array" ref="B15294">SUM(1-'Sparkling Model'!D$2:D$38^A15294)</f>
        <v>36.9982236</v>
      </c>
      <c r="C15294" s="8">
        <f t="array" ref="C15294">PRODUCT(1-'Sparkling Model'!D$2:D$38^A15294)</f>
        <v>0.9982246862</v>
      </c>
    </row>
    <row r="15295">
      <c r="A15295" s="6">
        <v>15293.0</v>
      </c>
      <c r="B15295" s="17">
        <f t="array" ref="B15295">SUM(1-'Sparkling Model'!D$2:D$38^A15295)</f>
        <v>36.99822448</v>
      </c>
      <c r="C15295" s="8">
        <f t="array" ref="C15295">PRODUCT(1-'Sparkling Model'!D$2:D$38^A15295)</f>
        <v>0.998225562</v>
      </c>
    </row>
    <row r="15296">
      <c r="A15296" s="6">
        <v>15294.0</v>
      </c>
      <c r="B15296" s="17">
        <f t="array" ref="B15296">SUM(1-'Sparkling Model'!D$2:D$38^A15296)</f>
        <v>36.99822535</v>
      </c>
      <c r="C15296" s="8">
        <f t="array" ref="C15296">PRODUCT(1-'Sparkling Model'!D$2:D$38^A15296)</f>
        <v>0.9982264373</v>
      </c>
    </row>
    <row r="15297">
      <c r="A15297" s="6">
        <v>15295.0</v>
      </c>
      <c r="B15297" s="17">
        <f t="array" ref="B15297">SUM(1-'Sparkling Model'!D$2:D$38^A15297)</f>
        <v>36.99822623</v>
      </c>
      <c r="C15297" s="8">
        <f t="array" ref="C15297">PRODUCT(1-'Sparkling Model'!D$2:D$38^A15297)</f>
        <v>0.9982273122</v>
      </c>
    </row>
    <row r="15298">
      <c r="A15298" s="6">
        <v>15296.0</v>
      </c>
      <c r="B15298" s="17">
        <f t="array" ref="B15298">SUM(1-'Sparkling Model'!D$2:D$38^A15298)</f>
        <v>36.9982271</v>
      </c>
      <c r="C15298" s="8">
        <f t="array" ref="C15298">PRODUCT(1-'Sparkling Model'!D$2:D$38^A15298)</f>
        <v>0.9982281867</v>
      </c>
    </row>
    <row r="15299">
      <c r="A15299" s="6">
        <v>15297.0</v>
      </c>
      <c r="B15299" s="17">
        <f t="array" ref="B15299">SUM(1-'Sparkling Model'!D$2:D$38^A15299)</f>
        <v>36.99822798</v>
      </c>
      <c r="C15299" s="8">
        <f t="array" ref="C15299">PRODUCT(1-'Sparkling Model'!D$2:D$38^A15299)</f>
        <v>0.9982290607</v>
      </c>
    </row>
    <row r="15300">
      <c r="A15300" s="6">
        <v>15298.0</v>
      </c>
      <c r="B15300" s="17">
        <f t="array" ref="B15300">SUM(1-'Sparkling Model'!D$2:D$38^A15300)</f>
        <v>36.99822885</v>
      </c>
      <c r="C15300" s="8">
        <f t="array" ref="C15300">PRODUCT(1-'Sparkling Model'!D$2:D$38^A15300)</f>
        <v>0.9982299343</v>
      </c>
    </row>
    <row r="15301">
      <c r="A15301" s="6">
        <v>15299.0</v>
      </c>
      <c r="B15301" s="17">
        <f t="array" ref="B15301">SUM(1-'Sparkling Model'!D$2:D$38^A15301)</f>
        <v>36.99822973</v>
      </c>
      <c r="C15301" s="8">
        <f t="array" ref="C15301">PRODUCT(1-'Sparkling Model'!D$2:D$38^A15301)</f>
        <v>0.9982308074</v>
      </c>
    </row>
    <row r="15302">
      <c r="A15302" s="6">
        <v>15300.0</v>
      </c>
      <c r="B15302" s="17">
        <f t="array" ref="B15302">SUM(1-'Sparkling Model'!D$2:D$38^A15302)</f>
        <v>36.9982306</v>
      </c>
      <c r="C15302" s="8">
        <f t="array" ref="C15302">PRODUCT(1-'Sparkling Model'!D$2:D$38^A15302)</f>
        <v>0.9982316802</v>
      </c>
    </row>
    <row r="15303">
      <c r="A15303" s="6">
        <v>15301.0</v>
      </c>
      <c r="B15303" s="17">
        <f t="array" ref="B15303">SUM(1-'Sparkling Model'!D$2:D$38^A15303)</f>
        <v>36.99823148</v>
      </c>
      <c r="C15303" s="8">
        <f t="array" ref="C15303">PRODUCT(1-'Sparkling Model'!D$2:D$38^A15303)</f>
        <v>0.9982325525</v>
      </c>
    </row>
    <row r="15304">
      <c r="A15304" s="6">
        <v>15302.0</v>
      </c>
      <c r="B15304" s="17">
        <f t="array" ref="B15304">SUM(1-'Sparkling Model'!D$2:D$38^A15304)</f>
        <v>36.99823235</v>
      </c>
      <c r="C15304" s="8">
        <f t="array" ref="C15304">PRODUCT(1-'Sparkling Model'!D$2:D$38^A15304)</f>
        <v>0.9982334243</v>
      </c>
    </row>
    <row r="15305">
      <c r="A15305" s="6">
        <v>15303.0</v>
      </c>
      <c r="B15305" s="17">
        <f t="array" ref="B15305">SUM(1-'Sparkling Model'!D$2:D$38^A15305)</f>
        <v>36.99823322</v>
      </c>
      <c r="C15305" s="8">
        <f t="array" ref="C15305">PRODUCT(1-'Sparkling Model'!D$2:D$38^A15305)</f>
        <v>0.9982342958</v>
      </c>
    </row>
    <row r="15306">
      <c r="A15306" s="6">
        <v>15304.0</v>
      </c>
      <c r="B15306" s="17">
        <f t="array" ref="B15306">SUM(1-'Sparkling Model'!D$2:D$38^A15306)</f>
        <v>36.99823409</v>
      </c>
      <c r="C15306" s="8">
        <f t="array" ref="C15306">PRODUCT(1-'Sparkling Model'!D$2:D$38^A15306)</f>
        <v>0.9982351668</v>
      </c>
    </row>
    <row r="15307">
      <c r="A15307" s="6">
        <v>15305.0</v>
      </c>
      <c r="B15307" s="17">
        <f t="array" ref="B15307">SUM(1-'Sparkling Model'!D$2:D$38^A15307)</f>
        <v>36.99823496</v>
      </c>
      <c r="C15307" s="8">
        <f t="array" ref="C15307">PRODUCT(1-'Sparkling Model'!D$2:D$38^A15307)</f>
        <v>0.9982360373</v>
      </c>
    </row>
    <row r="15308">
      <c r="A15308" s="6">
        <v>15306.0</v>
      </c>
      <c r="B15308" s="17">
        <f t="array" ref="B15308">SUM(1-'Sparkling Model'!D$2:D$38^A15308)</f>
        <v>36.99823584</v>
      </c>
      <c r="C15308" s="8">
        <f t="array" ref="C15308">PRODUCT(1-'Sparkling Model'!D$2:D$38^A15308)</f>
        <v>0.9982369075</v>
      </c>
    </row>
    <row r="15309">
      <c r="A15309" s="6">
        <v>15307.0</v>
      </c>
      <c r="B15309" s="17">
        <f t="array" ref="B15309">SUM(1-'Sparkling Model'!D$2:D$38^A15309)</f>
        <v>36.99823671</v>
      </c>
      <c r="C15309" s="8">
        <f t="array" ref="C15309">PRODUCT(1-'Sparkling Model'!D$2:D$38^A15309)</f>
        <v>0.9982377772</v>
      </c>
    </row>
    <row r="15310">
      <c r="A15310" s="6">
        <v>15308.0</v>
      </c>
      <c r="B15310" s="17">
        <f t="array" ref="B15310">SUM(1-'Sparkling Model'!D$2:D$38^A15310)</f>
        <v>36.99823758</v>
      </c>
      <c r="C15310" s="8">
        <f t="array" ref="C15310">PRODUCT(1-'Sparkling Model'!D$2:D$38^A15310)</f>
        <v>0.9982386465</v>
      </c>
    </row>
    <row r="15311">
      <c r="A15311" s="6">
        <v>15309.0</v>
      </c>
      <c r="B15311" s="17">
        <f t="array" ref="B15311">SUM(1-'Sparkling Model'!D$2:D$38^A15311)</f>
        <v>36.99823845</v>
      </c>
      <c r="C15311" s="8">
        <f t="array" ref="C15311">PRODUCT(1-'Sparkling Model'!D$2:D$38^A15311)</f>
        <v>0.9982395153</v>
      </c>
    </row>
    <row r="15312">
      <c r="A15312" s="6">
        <v>15310.0</v>
      </c>
      <c r="B15312" s="17">
        <f t="array" ref="B15312">SUM(1-'Sparkling Model'!D$2:D$38^A15312)</f>
        <v>36.99823932</v>
      </c>
      <c r="C15312" s="8">
        <f t="array" ref="C15312">PRODUCT(1-'Sparkling Model'!D$2:D$38^A15312)</f>
        <v>0.9982403838</v>
      </c>
    </row>
    <row r="15313">
      <c r="A15313" s="6">
        <v>15311.0</v>
      </c>
      <c r="B15313" s="17">
        <f t="array" ref="B15313">SUM(1-'Sparkling Model'!D$2:D$38^A15313)</f>
        <v>36.99824019</v>
      </c>
      <c r="C15313" s="8">
        <f t="array" ref="C15313">PRODUCT(1-'Sparkling Model'!D$2:D$38^A15313)</f>
        <v>0.9982412517</v>
      </c>
    </row>
    <row r="15314">
      <c r="A15314" s="6">
        <v>15312.0</v>
      </c>
      <c r="B15314" s="17">
        <f t="array" ref="B15314">SUM(1-'Sparkling Model'!D$2:D$38^A15314)</f>
        <v>36.99824105</v>
      </c>
      <c r="C15314" s="8">
        <f t="array" ref="C15314">PRODUCT(1-'Sparkling Model'!D$2:D$38^A15314)</f>
        <v>0.9982421193</v>
      </c>
    </row>
    <row r="15315">
      <c r="A15315" s="6">
        <v>15313.0</v>
      </c>
      <c r="B15315" s="17">
        <f t="array" ref="B15315">SUM(1-'Sparkling Model'!D$2:D$38^A15315)</f>
        <v>36.99824192</v>
      </c>
      <c r="C15315" s="8">
        <f t="array" ref="C15315">PRODUCT(1-'Sparkling Model'!D$2:D$38^A15315)</f>
        <v>0.9982429864</v>
      </c>
    </row>
    <row r="15316">
      <c r="A15316" s="6">
        <v>15314.0</v>
      </c>
      <c r="B15316" s="17">
        <f t="array" ref="B15316">SUM(1-'Sparkling Model'!D$2:D$38^A15316)</f>
        <v>36.99824279</v>
      </c>
      <c r="C15316" s="8">
        <f t="array" ref="C15316">PRODUCT(1-'Sparkling Model'!D$2:D$38^A15316)</f>
        <v>0.9982438532</v>
      </c>
    </row>
    <row r="15317">
      <c r="A15317" s="6">
        <v>15315.0</v>
      </c>
      <c r="B15317" s="17">
        <f t="array" ref="B15317">SUM(1-'Sparkling Model'!D$2:D$38^A15317)</f>
        <v>36.99824366</v>
      </c>
      <c r="C15317" s="8">
        <f t="array" ref="C15317">PRODUCT(1-'Sparkling Model'!D$2:D$38^A15317)</f>
        <v>0.9982447194</v>
      </c>
    </row>
    <row r="15318">
      <c r="A15318" s="6">
        <v>15316.0</v>
      </c>
      <c r="B15318" s="17">
        <f t="array" ref="B15318">SUM(1-'Sparkling Model'!D$2:D$38^A15318)</f>
        <v>36.99824452</v>
      </c>
      <c r="C15318" s="8">
        <f t="array" ref="C15318">PRODUCT(1-'Sparkling Model'!D$2:D$38^A15318)</f>
        <v>0.9982455853</v>
      </c>
    </row>
    <row r="15319">
      <c r="A15319" s="6">
        <v>15317.0</v>
      </c>
      <c r="B15319" s="17">
        <f t="array" ref="B15319">SUM(1-'Sparkling Model'!D$2:D$38^A15319)</f>
        <v>36.99824539</v>
      </c>
      <c r="C15319" s="8">
        <f t="array" ref="C15319">PRODUCT(1-'Sparkling Model'!D$2:D$38^A15319)</f>
        <v>0.9982464507</v>
      </c>
    </row>
    <row r="15320">
      <c r="A15320" s="6">
        <v>15318.0</v>
      </c>
      <c r="B15320" s="17">
        <f t="array" ref="B15320">SUM(1-'Sparkling Model'!D$2:D$38^A15320)</f>
        <v>36.99824626</v>
      </c>
      <c r="C15320" s="8">
        <f t="array" ref="C15320">PRODUCT(1-'Sparkling Model'!D$2:D$38^A15320)</f>
        <v>0.9982473157</v>
      </c>
    </row>
    <row r="15321">
      <c r="A15321" s="6">
        <v>15319.0</v>
      </c>
      <c r="B15321" s="17">
        <f t="array" ref="B15321">SUM(1-'Sparkling Model'!D$2:D$38^A15321)</f>
        <v>36.99824712</v>
      </c>
      <c r="C15321" s="8">
        <f t="array" ref="C15321">PRODUCT(1-'Sparkling Model'!D$2:D$38^A15321)</f>
        <v>0.9982481803</v>
      </c>
    </row>
    <row r="15322">
      <c r="A15322" s="6">
        <v>15320.0</v>
      </c>
      <c r="B15322" s="17">
        <f t="array" ref="B15322">SUM(1-'Sparkling Model'!D$2:D$38^A15322)</f>
        <v>36.99824799</v>
      </c>
      <c r="C15322" s="8">
        <f t="array" ref="C15322">PRODUCT(1-'Sparkling Model'!D$2:D$38^A15322)</f>
        <v>0.9982490444</v>
      </c>
    </row>
    <row r="15323">
      <c r="A15323" s="6">
        <v>15321.0</v>
      </c>
      <c r="B15323" s="17">
        <f t="array" ref="B15323">SUM(1-'Sparkling Model'!D$2:D$38^A15323)</f>
        <v>36.99824885</v>
      </c>
      <c r="C15323" s="8">
        <f t="array" ref="C15323">PRODUCT(1-'Sparkling Model'!D$2:D$38^A15323)</f>
        <v>0.9982499081</v>
      </c>
    </row>
    <row r="15324">
      <c r="A15324" s="6">
        <v>15322.0</v>
      </c>
      <c r="B15324" s="17">
        <f t="array" ref="B15324">SUM(1-'Sparkling Model'!D$2:D$38^A15324)</f>
        <v>36.99824972</v>
      </c>
      <c r="C15324" s="8">
        <f t="array" ref="C15324">PRODUCT(1-'Sparkling Model'!D$2:D$38^A15324)</f>
        <v>0.9982507714</v>
      </c>
    </row>
    <row r="15325">
      <c r="A15325" s="6">
        <v>15323.0</v>
      </c>
      <c r="B15325" s="17">
        <f t="array" ref="B15325">SUM(1-'Sparkling Model'!D$2:D$38^A15325)</f>
        <v>36.99825058</v>
      </c>
      <c r="C15325" s="8">
        <f t="array" ref="C15325">PRODUCT(1-'Sparkling Model'!D$2:D$38^A15325)</f>
        <v>0.9982516342</v>
      </c>
    </row>
    <row r="15326">
      <c r="A15326" s="6">
        <v>15324.0</v>
      </c>
      <c r="B15326" s="17">
        <f t="array" ref="B15326">SUM(1-'Sparkling Model'!D$2:D$38^A15326)</f>
        <v>36.99825144</v>
      </c>
      <c r="C15326" s="8">
        <f t="array" ref="C15326">PRODUCT(1-'Sparkling Model'!D$2:D$38^A15326)</f>
        <v>0.9982524967</v>
      </c>
    </row>
    <row r="15327">
      <c r="A15327" s="6">
        <v>15325.0</v>
      </c>
      <c r="B15327" s="17">
        <f t="array" ref="B15327">SUM(1-'Sparkling Model'!D$2:D$38^A15327)</f>
        <v>36.99825231</v>
      </c>
      <c r="C15327" s="8">
        <f t="array" ref="C15327">PRODUCT(1-'Sparkling Model'!D$2:D$38^A15327)</f>
        <v>0.9982533587</v>
      </c>
    </row>
    <row r="15328">
      <c r="A15328" s="6">
        <v>15326.0</v>
      </c>
      <c r="B15328" s="17">
        <f t="array" ref="B15328">SUM(1-'Sparkling Model'!D$2:D$38^A15328)</f>
        <v>36.99825317</v>
      </c>
      <c r="C15328" s="8">
        <f t="array" ref="C15328">PRODUCT(1-'Sparkling Model'!D$2:D$38^A15328)</f>
        <v>0.9982542202</v>
      </c>
    </row>
    <row r="15329">
      <c r="A15329" s="6">
        <v>15327.0</v>
      </c>
      <c r="B15329" s="17">
        <f t="array" ref="B15329">SUM(1-'Sparkling Model'!D$2:D$38^A15329)</f>
        <v>36.99825403</v>
      </c>
      <c r="C15329" s="8">
        <f t="array" ref="C15329">PRODUCT(1-'Sparkling Model'!D$2:D$38^A15329)</f>
        <v>0.9982550814</v>
      </c>
    </row>
    <row r="15330">
      <c r="A15330" s="6">
        <v>15328.0</v>
      </c>
      <c r="B15330" s="17">
        <f t="array" ref="B15330">SUM(1-'Sparkling Model'!D$2:D$38^A15330)</f>
        <v>36.99825489</v>
      </c>
      <c r="C15330" s="8">
        <f t="array" ref="C15330">PRODUCT(1-'Sparkling Model'!D$2:D$38^A15330)</f>
        <v>0.9982559421</v>
      </c>
    </row>
    <row r="15331">
      <c r="A15331" s="6">
        <v>15329.0</v>
      </c>
      <c r="B15331" s="17">
        <f t="array" ref="B15331">SUM(1-'Sparkling Model'!D$2:D$38^A15331)</f>
        <v>36.99825575</v>
      </c>
      <c r="C15331" s="8">
        <f t="array" ref="C15331">PRODUCT(1-'Sparkling Model'!D$2:D$38^A15331)</f>
        <v>0.9982568024</v>
      </c>
    </row>
    <row r="15332">
      <c r="A15332" s="6">
        <v>15330.0</v>
      </c>
      <c r="B15332" s="17">
        <f t="array" ref="B15332">SUM(1-'Sparkling Model'!D$2:D$38^A15332)</f>
        <v>36.99825662</v>
      </c>
      <c r="C15332" s="8">
        <f t="array" ref="C15332">PRODUCT(1-'Sparkling Model'!D$2:D$38^A15332)</f>
        <v>0.9982576623</v>
      </c>
    </row>
    <row r="15333">
      <c r="A15333" s="6">
        <v>15331.0</v>
      </c>
      <c r="B15333" s="17">
        <f t="array" ref="B15333">SUM(1-'Sparkling Model'!D$2:D$38^A15333)</f>
        <v>36.99825748</v>
      </c>
      <c r="C15333" s="8">
        <f t="array" ref="C15333">PRODUCT(1-'Sparkling Model'!D$2:D$38^A15333)</f>
        <v>0.9982585217</v>
      </c>
    </row>
    <row r="15334">
      <c r="A15334" s="6">
        <v>15332.0</v>
      </c>
      <c r="B15334" s="17">
        <f t="array" ref="B15334">SUM(1-'Sparkling Model'!D$2:D$38^A15334)</f>
        <v>36.99825834</v>
      </c>
      <c r="C15334" s="8">
        <f t="array" ref="C15334">PRODUCT(1-'Sparkling Model'!D$2:D$38^A15334)</f>
        <v>0.9982593807</v>
      </c>
    </row>
    <row r="15335">
      <c r="A15335" s="6">
        <v>15333.0</v>
      </c>
      <c r="B15335" s="17">
        <f t="array" ref="B15335">SUM(1-'Sparkling Model'!D$2:D$38^A15335)</f>
        <v>36.9982592</v>
      </c>
      <c r="C15335" s="8">
        <f t="array" ref="C15335">PRODUCT(1-'Sparkling Model'!D$2:D$38^A15335)</f>
        <v>0.9982602393</v>
      </c>
    </row>
    <row r="15336">
      <c r="A15336" s="6">
        <v>15334.0</v>
      </c>
      <c r="B15336" s="17">
        <f t="array" ref="B15336">SUM(1-'Sparkling Model'!D$2:D$38^A15336)</f>
        <v>36.99826005</v>
      </c>
      <c r="C15336" s="8">
        <f t="array" ref="C15336">PRODUCT(1-'Sparkling Model'!D$2:D$38^A15336)</f>
        <v>0.9982610975</v>
      </c>
    </row>
    <row r="15337">
      <c r="A15337" s="6">
        <v>15335.0</v>
      </c>
      <c r="B15337" s="17">
        <f t="array" ref="B15337">SUM(1-'Sparkling Model'!D$2:D$38^A15337)</f>
        <v>36.99826091</v>
      </c>
      <c r="C15337" s="8">
        <f t="array" ref="C15337">PRODUCT(1-'Sparkling Model'!D$2:D$38^A15337)</f>
        <v>0.9982619553</v>
      </c>
    </row>
    <row r="15338">
      <c r="A15338" s="6">
        <v>15336.0</v>
      </c>
      <c r="B15338" s="17">
        <f t="array" ref="B15338">SUM(1-'Sparkling Model'!D$2:D$38^A15338)</f>
        <v>36.99826177</v>
      </c>
      <c r="C15338" s="8">
        <f t="array" ref="C15338">PRODUCT(1-'Sparkling Model'!D$2:D$38^A15338)</f>
        <v>0.9982628126</v>
      </c>
    </row>
    <row r="15339">
      <c r="A15339" s="6">
        <v>15337.0</v>
      </c>
      <c r="B15339" s="17">
        <f t="array" ref="B15339">SUM(1-'Sparkling Model'!D$2:D$38^A15339)</f>
        <v>36.99826263</v>
      </c>
      <c r="C15339" s="8">
        <f t="array" ref="C15339">PRODUCT(1-'Sparkling Model'!D$2:D$38^A15339)</f>
        <v>0.9982636695</v>
      </c>
    </row>
    <row r="15340">
      <c r="A15340" s="6">
        <v>15338.0</v>
      </c>
      <c r="B15340" s="17">
        <f t="array" ref="B15340">SUM(1-'Sparkling Model'!D$2:D$38^A15340)</f>
        <v>36.99826349</v>
      </c>
      <c r="C15340" s="8">
        <f t="array" ref="C15340">PRODUCT(1-'Sparkling Model'!D$2:D$38^A15340)</f>
        <v>0.998264526</v>
      </c>
    </row>
    <row r="15341">
      <c r="A15341" s="6">
        <v>15339.0</v>
      </c>
      <c r="B15341" s="17">
        <f t="array" ref="B15341">SUM(1-'Sparkling Model'!D$2:D$38^A15341)</f>
        <v>36.99826434</v>
      </c>
      <c r="C15341" s="8">
        <f t="array" ref="C15341">PRODUCT(1-'Sparkling Model'!D$2:D$38^A15341)</f>
        <v>0.998265382</v>
      </c>
    </row>
    <row r="15342">
      <c r="A15342" s="6">
        <v>15340.0</v>
      </c>
      <c r="B15342" s="17">
        <f t="array" ref="B15342">SUM(1-'Sparkling Model'!D$2:D$38^A15342)</f>
        <v>36.9982652</v>
      </c>
      <c r="C15342" s="8">
        <f t="array" ref="C15342">PRODUCT(1-'Sparkling Model'!D$2:D$38^A15342)</f>
        <v>0.9982662376</v>
      </c>
    </row>
    <row r="15343">
      <c r="A15343" s="6">
        <v>15341.0</v>
      </c>
      <c r="B15343" s="17">
        <f t="array" ref="B15343">SUM(1-'Sparkling Model'!D$2:D$38^A15343)</f>
        <v>36.99826606</v>
      </c>
      <c r="C15343" s="8">
        <f t="array" ref="C15343">PRODUCT(1-'Sparkling Model'!D$2:D$38^A15343)</f>
        <v>0.9982670929</v>
      </c>
    </row>
    <row r="15344">
      <c r="A15344" s="6">
        <v>15342.0</v>
      </c>
      <c r="B15344" s="17">
        <f t="array" ref="B15344">SUM(1-'Sparkling Model'!D$2:D$38^A15344)</f>
        <v>36.99826691</v>
      </c>
      <c r="C15344" s="8">
        <f t="array" ref="C15344">PRODUCT(1-'Sparkling Model'!D$2:D$38^A15344)</f>
        <v>0.9982679476</v>
      </c>
    </row>
    <row r="15345">
      <c r="A15345" s="6">
        <v>15343.0</v>
      </c>
      <c r="B15345" s="17">
        <f t="array" ref="B15345">SUM(1-'Sparkling Model'!D$2:D$38^A15345)</f>
        <v>36.99826777</v>
      </c>
      <c r="C15345" s="8">
        <f t="array" ref="C15345">PRODUCT(1-'Sparkling Model'!D$2:D$38^A15345)</f>
        <v>0.998268802</v>
      </c>
    </row>
    <row r="15346">
      <c r="A15346" s="6">
        <v>15344.0</v>
      </c>
      <c r="B15346" s="17">
        <f t="array" ref="B15346">SUM(1-'Sparkling Model'!D$2:D$38^A15346)</f>
        <v>36.99826862</v>
      </c>
      <c r="C15346" s="8">
        <f t="array" ref="C15346">PRODUCT(1-'Sparkling Model'!D$2:D$38^A15346)</f>
        <v>0.9982696559</v>
      </c>
    </row>
    <row r="15347">
      <c r="A15347" s="6">
        <v>15345.0</v>
      </c>
      <c r="B15347" s="17">
        <f t="array" ref="B15347">SUM(1-'Sparkling Model'!D$2:D$38^A15347)</f>
        <v>36.99826948</v>
      </c>
      <c r="C15347" s="8">
        <f t="array" ref="C15347">PRODUCT(1-'Sparkling Model'!D$2:D$38^A15347)</f>
        <v>0.9982705094</v>
      </c>
    </row>
    <row r="15348">
      <c r="A15348" s="6">
        <v>15346.0</v>
      </c>
      <c r="B15348" s="17">
        <f t="array" ref="B15348">SUM(1-'Sparkling Model'!D$2:D$38^A15348)</f>
        <v>36.99827033</v>
      </c>
      <c r="C15348" s="8">
        <f t="array" ref="C15348">PRODUCT(1-'Sparkling Model'!D$2:D$38^A15348)</f>
        <v>0.9982713625</v>
      </c>
    </row>
    <row r="15349">
      <c r="A15349" s="6">
        <v>15347.0</v>
      </c>
      <c r="B15349" s="17">
        <f t="array" ref="B15349">SUM(1-'Sparkling Model'!D$2:D$38^A15349)</f>
        <v>36.99827119</v>
      </c>
      <c r="C15349" s="8">
        <f t="array" ref="C15349">PRODUCT(1-'Sparkling Model'!D$2:D$38^A15349)</f>
        <v>0.9982722152</v>
      </c>
    </row>
    <row r="15350">
      <c r="A15350" s="6">
        <v>15348.0</v>
      </c>
      <c r="B15350" s="17">
        <f t="array" ref="B15350">SUM(1-'Sparkling Model'!D$2:D$38^A15350)</f>
        <v>36.99827204</v>
      </c>
      <c r="C15350" s="8">
        <f t="array" ref="C15350">PRODUCT(1-'Sparkling Model'!D$2:D$38^A15350)</f>
        <v>0.9982730675</v>
      </c>
    </row>
    <row r="15351">
      <c r="A15351" s="6">
        <v>15349.0</v>
      </c>
      <c r="B15351" s="17">
        <f t="array" ref="B15351">SUM(1-'Sparkling Model'!D$2:D$38^A15351)</f>
        <v>36.99827289</v>
      </c>
      <c r="C15351" s="8">
        <f t="array" ref="C15351">PRODUCT(1-'Sparkling Model'!D$2:D$38^A15351)</f>
        <v>0.9982739193</v>
      </c>
    </row>
    <row r="15352">
      <c r="A15352" s="6">
        <v>15350.0</v>
      </c>
      <c r="B15352" s="17">
        <f t="array" ref="B15352">SUM(1-'Sparkling Model'!D$2:D$38^A15352)</f>
        <v>36.99827374</v>
      </c>
      <c r="C15352" s="8">
        <f t="array" ref="C15352">PRODUCT(1-'Sparkling Model'!D$2:D$38^A15352)</f>
        <v>0.9982747707</v>
      </c>
    </row>
    <row r="15353">
      <c r="A15353" s="6">
        <v>15351.0</v>
      </c>
      <c r="B15353" s="17">
        <f t="array" ref="B15353">SUM(1-'Sparkling Model'!D$2:D$38^A15353)</f>
        <v>36.9982746</v>
      </c>
      <c r="C15353" s="8">
        <f t="array" ref="C15353">PRODUCT(1-'Sparkling Model'!D$2:D$38^A15353)</f>
        <v>0.9982756217</v>
      </c>
    </row>
    <row r="15354">
      <c r="A15354" s="6">
        <v>15352.0</v>
      </c>
      <c r="B15354" s="17">
        <f t="array" ref="B15354">SUM(1-'Sparkling Model'!D$2:D$38^A15354)</f>
        <v>36.99827545</v>
      </c>
      <c r="C15354" s="8">
        <f t="array" ref="C15354">PRODUCT(1-'Sparkling Model'!D$2:D$38^A15354)</f>
        <v>0.9982764722</v>
      </c>
    </row>
    <row r="15355">
      <c r="A15355" s="6">
        <v>15353.0</v>
      </c>
      <c r="B15355" s="17">
        <f t="array" ref="B15355">SUM(1-'Sparkling Model'!D$2:D$38^A15355)</f>
        <v>36.9982763</v>
      </c>
      <c r="C15355" s="8">
        <f t="array" ref="C15355">PRODUCT(1-'Sparkling Model'!D$2:D$38^A15355)</f>
        <v>0.9982773224</v>
      </c>
    </row>
    <row r="15356">
      <c r="A15356" s="6">
        <v>15354.0</v>
      </c>
      <c r="B15356" s="17">
        <f t="array" ref="B15356">SUM(1-'Sparkling Model'!D$2:D$38^A15356)</f>
        <v>36.99827715</v>
      </c>
      <c r="C15356" s="8">
        <f t="array" ref="C15356">PRODUCT(1-'Sparkling Model'!D$2:D$38^A15356)</f>
        <v>0.9982781721</v>
      </c>
    </row>
    <row r="15357">
      <c r="A15357" s="6">
        <v>15355.0</v>
      </c>
      <c r="B15357" s="17">
        <f t="array" ref="B15357">SUM(1-'Sparkling Model'!D$2:D$38^A15357)</f>
        <v>36.998278</v>
      </c>
      <c r="C15357" s="8">
        <f t="array" ref="C15357">PRODUCT(1-'Sparkling Model'!D$2:D$38^A15357)</f>
        <v>0.9982790214</v>
      </c>
    </row>
    <row r="15358">
      <c r="A15358" s="6">
        <v>15356.0</v>
      </c>
      <c r="B15358" s="17">
        <f t="array" ref="B15358">SUM(1-'Sparkling Model'!D$2:D$38^A15358)</f>
        <v>36.99827885</v>
      </c>
      <c r="C15358" s="8">
        <f t="array" ref="C15358">PRODUCT(1-'Sparkling Model'!D$2:D$38^A15358)</f>
        <v>0.9982798703</v>
      </c>
    </row>
    <row r="15359">
      <c r="A15359" s="6">
        <v>15357.0</v>
      </c>
      <c r="B15359" s="17">
        <f t="array" ref="B15359">SUM(1-'Sparkling Model'!D$2:D$38^A15359)</f>
        <v>36.9982797</v>
      </c>
      <c r="C15359" s="8">
        <f t="array" ref="C15359">PRODUCT(1-'Sparkling Model'!D$2:D$38^A15359)</f>
        <v>0.9982807188</v>
      </c>
    </row>
    <row r="15360">
      <c r="A15360" s="6">
        <v>15358.0</v>
      </c>
      <c r="B15360" s="17">
        <f t="array" ref="B15360">SUM(1-'Sparkling Model'!D$2:D$38^A15360)</f>
        <v>36.99828055</v>
      </c>
      <c r="C15360" s="8">
        <f t="array" ref="C15360">PRODUCT(1-'Sparkling Model'!D$2:D$38^A15360)</f>
        <v>0.9982815668</v>
      </c>
    </row>
    <row r="15361">
      <c r="A15361" s="6">
        <v>15359.0</v>
      </c>
      <c r="B15361" s="17">
        <f t="array" ref="B15361">SUM(1-'Sparkling Model'!D$2:D$38^A15361)</f>
        <v>36.9982814</v>
      </c>
      <c r="C15361" s="8">
        <f t="array" ref="C15361">PRODUCT(1-'Sparkling Model'!D$2:D$38^A15361)</f>
        <v>0.9982824144</v>
      </c>
    </row>
    <row r="15362">
      <c r="A15362" s="6">
        <v>15360.0</v>
      </c>
      <c r="B15362" s="17">
        <f t="array" ref="B15362">SUM(1-'Sparkling Model'!D$2:D$38^A15362)</f>
        <v>36.99828225</v>
      </c>
      <c r="C15362" s="8">
        <f t="array" ref="C15362">PRODUCT(1-'Sparkling Model'!D$2:D$38^A15362)</f>
        <v>0.9982832616</v>
      </c>
    </row>
    <row r="15363">
      <c r="A15363" s="6">
        <v>15361.0</v>
      </c>
      <c r="B15363" s="17">
        <f t="array" ref="B15363">SUM(1-'Sparkling Model'!D$2:D$38^A15363)</f>
        <v>36.99828309</v>
      </c>
      <c r="C15363" s="8">
        <f t="array" ref="C15363">PRODUCT(1-'Sparkling Model'!D$2:D$38^A15363)</f>
        <v>0.9982841084</v>
      </c>
    </row>
    <row r="15364">
      <c r="A15364" s="6">
        <v>15362.0</v>
      </c>
      <c r="B15364" s="17">
        <f t="array" ref="B15364">SUM(1-'Sparkling Model'!D$2:D$38^A15364)</f>
        <v>36.99828394</v>
      </c>
      <c r="C15364" s="8">
        <f t="array" ref="C15364">PRODUCT(1-'Sparkling Model'!D$2:D$38^A15364)</f>
        <v>0.9982849548</v>
      </c>
    </row>
    <row r="15365">
      <c r="A15365" s="6">
        <v>15363.0</v>
      </c>
      <c r="B15365" s="17">
        <f t="array" ref="B15365">SUM(1-'Sparkling Model'!D$2:D$38^A15365)</f>
        <v>36.99828479</v>
      </c>
      <c r="C15365" s="8">
        <f t="array" ref="C15365">PRODUCT(1-'Sparkling Model'!D$2:D$38^A15365)</f>
        <v>0.9982858007</v>
      </c>
    </row>
    <row r="15366">
      <c r="A15366" s="6">
        <v>15364.0</v>
      </c>
      <c r="B15366" s="17">
        <f t="array" ref="B15366">SUM(1-'Sparkling Model'!D$2:D$38^A15366)</f>
        <v>36.99828563</v>
      </c>
      <c r="C15366" s="8">
        <f t="array" ref="C15366">PRODUCT(1-'Sparkling Model'!D$2:D$38^A15366)</f>
        <v>0.9982866463</v>
      </c>
    </row>
    <row r="15367">
      <c r="A15367" s="6">
        <v>15365.0</v>
      </c>
      <c r="B15367" s="17">
        <f t="array" ref="B15367">SUM(1-'Sparkling Model'!D$2:D$38^A15367)</f>
        <v>36.99828648</v>
      </c>
      <c r="C15367" s="8">
        <f t="array" ref="C15367">PRODUCT(1-'Sparkling Model'!D$2:D$38^A15367)</f>
        <v>0.9982874914</v>
      </c>
    </row>
    <row r="15368">
      <c r="A15368" s="6">
        <v>15366.0</v>
      </c>
      <c r="B15368" s="17">
        <f t="array" ref="B15368">SUM(1-'Sparkling Model'!D$2:D$38^A15368)</f>
        <v>36.99828733</v>
      </c>
      <c r="C15368" s="8">
        <f t="array" ref="C15368">PRODUCT(1-'Sparkling Model'!D$2:D$38^A15368)</f>
        <v>0.9982883361</v>
      </c>
    </row>
    <row r="15369">
      <c r="A15369" s="6">
        <v>15367.0</v>
      </c>
      <c r="B15369" s="17">
        <f t="array" ref="B15369">SUM(1-'Sparkling Model'!D$2:D$38^A15369)</f>
        <v>36.99828817</v>
      </c>
      <c r="C15369" s="8">
        <f t="array" ref="C15369">PRODUCT(1-'Sparkling Model'!D$2:D$38^A15369)</f>
        <v>0.9982891803</v>
      </c>
    </row>
    <row r="15370">
      <c r="A15370" s="6">
        <v>15368.0</v>
      </c>
      <c r="B15370" s="17">
        <f t="array" ref="B15370">SUM(1-'Sparkling Model'!D$2:D$38^A15370)</f>
        <v>36.99828902</v>
      </c>
      <c r="C15370" s="8">
        <f t="array" ref="C15370">PRODUCT(1-'Sparkling Model'!D$2:D$38^A15370)</f>
        <v>0.9982900242</v>
      </c>
    </row>
    <row r="15371">
      <c r="A15371" s="6">
        <v>15369.0</v>
      </c>
      <c r="B15371" s="17">
        <f t="array" ref="B15371">SUM(1-'Sparkling Model'!D$2:D$38^A15371)</f>
        <v>36.99828986</v>
      </c>
      <c r="C15371" s="8">
        <f t="array" ref="C15371">PRODUCT(1-'Sparkling Model'!D$2:D$38^A15371)</f>
        <v>0.9982908677</v>
      </c>
    </row>
    <row r="15372">
      <c r="A15372" s="6">
        <v>15370.0</v>
      </c>
      <c r="B15372" s="17">
        <f t="array" ref="B15372">SUM(1-'Sparkling Model'!D$2:D$38^A15372)</f>
        <v>36.9982907</v>
      </c>
      <c r="C15372" s="8">
        <f t="array" ref="C15372">PRODUCT(1-'Sparkling Model'!D$2:D$38^A15372)</f>
        <v>0.9982917107</v>
      </c>
    </row>
    <row r="15373">
      <c r="A15373" s="6">
        <v>15371.0</v>
      </c>
      <c r="B15373" s="17">
        <f t="array" ref="B15373">SUM(1-'Sparkling Model'!D$2:D$38^A15373)</f>
        <v>36.99829155</v>
      </c>
      <c r="C15373" s="8">
        <f t="array" ref="C15373">PRODUCT(1-'Sparkling Model'!D$2:D$38^A15373)</f>
        <v>0.9982925533</v>
      </c>
    </row>
    <row r="15374">
      <c r="A15374" s="6">
        <v>15372.0</v>
      </c>
      <c r="B15374" s="17">
        <f t="array" ref="B15374">SUM(1-'Sparkling Model'!D$2:D$38^A15374)</f>
        <v>36.99829239</v>
      </c>
      <c r="C15374" s="8">
        <f t="array" ref="C15374">PRODUCT(1-'Sparkling Model'!D$2:D$38^A15374)</f>
        <v>0.9982933955</v>
      </c>
    </row>
    <row r="15375">
      <c r="A15375" s="6">
        <v>15373.0</v>
      </c>
      <c r="B15375" s="17">
        <f t="array" ref="B15375">SUM(1-'Sparkling Model'!D$2:D$38^A15375)</f>
        <v>36.99829323</v>
      </c>
      <c r="C15375" s="8">
        <f t="array" ref="C15375">PRODUCT(1-'Sparkling Model'!D$2:D$38^A15375)</f>
        <v>0.9982942372</v>
      </c>
    </row>
    <row r="15376">
      <c r="A15376" s="6">
        <v>15374.0</v>
      </c>
      <c r="B15376" s="17">
        <f t="array" ref="B15376">SUM(1-'Sparkling Model'!D$2:D$38^A15376)</f>
        <v>36.99829408</v>
      </c>
      <c r="C15376" s="8">
        <f t="array" ref="C15376">PRODUCT(1-'Sparkling Model'!D$2:D$38^A15376)</f>
        <v>0.9982950786</v>
      </c>
    </row>
    <row r="15377">
      <c r="A15377" s="6">
        <v>15375.0</v>
      </c>
      <c r="B15377" s="17">
        <f t="array" ref="B15377">SUM(1-'Sparkling Model'!D$2:D$38^A15377)</f>
        <v>36.99829492</v>
      </c>
      <c r="C15377" s="8">
        <f t="array" ref="C15377">PRODUCT(1-'Sparkling Model'!D$2:D$38^A15377)</f>
        <v>0.9982959195</v>
      </c>
    </row>
    <row r="15378">
      <c r="A15378" s="6">
        <v>15376.0</v>
      </c>
      <c r="B15378" s="17">
        <f t="array" ref="B15378">SUM(1-'Sparkling Model'!D$2:D$38^A15378)</f>
        <v>36.99829576</v>
      </c>
      <c r="C15378" s="8">
        <f t="array" ref="C15378">PRODUCT(1-'Sparkling Model'!D$2:D$38^A15378)</f>
        <v>0.9982967601</v>
      </c>
    </row>
    <row r="15379">
      <c r="A15379" s="6">
        <v>15377.0</v>
      </c>
      <c r="B15379" s="17">
        <f t="array" ref="B15379">SUM(1-'Sparkling Model'!D$2:D$38^A15379)</f>
        <v>36.9982966</v>
      </c>
      <c r="C15379" s="8">
        <f t="array" ref="C15379">PRODUCT(1-'Sparkling Model'!D$2:D$38^A15379)</f>
        <v>0.9982976002</v>
      </c>
    </row>
    <row r="15380">
      <c r="A15380" s="6">
        <v>15378.0</v>
      </c>
      <c r="B15380" s="17">
        <f t="array" ref="B15380">SUM(1-'Sparkling Model'!D$2:D$38^A15380)</f>
        <v>36.99829744</v>
      </c>
      <c r="C15380" s="8">
        <f t="array" ref="C15380">PRODUCT(1-'Sparkling Model'!D$2:D$38^A15380)</f>
        <v>0.9982984399</v>
      </c>
    </row>
    <row r="15381">
      <c r="A15381" s="6">
        <v>15379.0</v>
      </c>
      <c r="B15381" s="17">
        <f t="array" ref="B15381">SUM(1-'Sparkling Model'!D$2:D$38^A15381)</f>
        <v>36.99829828</v>
      </c>
      <c r="C15381" s="8">
        <f t="array" ref="C15381">PRODUCT(1-'Sparkling Model'!D$2:D$38^A15381)</f>
        <v>0.9982992792</v>
      </c>
    </row>
    <row r="15382">
      <c r="A15382" s="6">
        <v>15380.0</v>
      </c>
      <c r="B15382" s="17">
        <f t="array" ref="B15382">SUM(1-'Sparkling Model'!D$2:D$38^A15382)</f>
        <v>36.99829912</v>
      </c>
      <c r="C15382" s="8">
        <f t="array" ref="C15382">PRODUCT(1-'Sparkling Model'!D$2:D$38^A15382)</f>
        <v>0.998300118</v>
      </c>
    </row>
    <row r="15383">
      <c r="A15383" s="6">
        <v>15381.0</v>
      </c>
      <c r="B15383" s="17">
        <f t="array" ref="B15383">SUM(1-'Sparkling Model'!D$2:D$38^A15383)</f>
        <v>36.99829996</v>
      </c>
      <c r="C15383" s="8">
        <f t="array" ref="C15383">PRODUCT(1-'Sparkling Model'!D$2:D$38^A15383)</f>
        <v>0.9983009565</v>
      </c>
    </row>
    <row r="15384">
      <c r="A15384" s="6">
        <v>15382.0</v>
      </c>
      <c r="B15384" s="17">
        <f t="array" ref="B15384">SUM(1-'Sparkling Model'!D$2:D$38^A15384)</f>
        <v>36.9983008</v>
      </c>
      <c r="C15384" s="8">
        <f t="array" ref="C15384">PRODUCT(1-'Sparkling Model'!D$2:D$38^A15384)</f>
        <v>0.9983017945</v>
      </c>
    </row>
    <row r="15385">
      <c r="A15385" s="6">
        <v>15383.0</v>
      </c>
      <c r="B15385" s="17">
        <f t="array" ref="B15385">SUM(1-'Sparkling Model'!D$2:D$38^A15385)</f>
        <v>36.99830164</v>
      </c>
      <c r="C15385" s="8">
        <f t="array" ref="C15385">PRODUCT(1-'Sparkling Model'!D$2:D$38^A15385)</f>
        <v>0.9983026321</v>
      </c>
    </row>
    <row r="15386">
      <c r="A15386" s="6">
        <v>15384.0</v>
      </c>
      <c r="B15386" s="17">
        <f t="array" ref="B15386">SUM(1-'Sparkling Model'!D$2:D$38^A15386)</f>
        <v>36.99830248</v>
      </c>
      <c r="C15386" s="8">
        <f t="array" ref="C15386">PRODUCT(1-'Sparkling Model'!D$2:D$38^A15386)</f>
        <v>0.9983034693</v>
      </c>
    </row>
    <row r="15387">
      <c r="A15387" s="6">
        <v>15385.0</v>
      </c>
      <c r="B15387" s="17">
        <f t="array" ref="B15387">SUM(1-'Sparkling Model'!D$2:D$38^A15387)</f>
        <v>36.99830331</v>
      </c>
      <c r="C15387" s="8">
        <f t="array" ref="C15387">PRODUCT(1-'Sparkling Model'!D$2:D$38^A15387)</f>
        <v>0.9983043061</v>
      </c>
    </row>
    <row r="15388">
      <c r="A15388" s="6">
        <v>15386.0</v>
      </c>
      <c r="B15388" s="17">
        <f t="array" ref="B15388">SUM(1-'Sparkling Model'!D$2:D$38^A15388)</f>
        <v>36.99830415</v>
      </c>
      <c r="C15388" s="8">
        <f t="array" ref="C15388">PRODUCT(1-'Sparkling Model'!D$2:D$38^A15388)</f>
        <v>0.9983051425</v>
      </c>
    </row>
    <row r="15389">
      <c r="A15389" s="6">
        <v>15387.0</v>
      </c>
      <c r="B15389" s="17">
        <f t="array" ref="B15389">SUM(1-'Sparkling Model'!D$2:D$38^A15389)</f>
        <v>36.99830499</v>
      </c>
      <c r="C15389" s="8">
        <f t="array" ref="C15389">PRODUCT(1-'Sparkling Model'!D$2:D$38^A15389)</f>
        <v>0.9983059785</v>
      </c>
    </row>
    <row r="15390">
      <c r="A15390" s="6">
        <v>15388.0</v>
      </c>
      <c r="B15390" s="17">
        <f t="array" ref="B15390">SUM(1-'Sparkling Model'!D$2:D$38^A15390)</f>
        <v>36.99830583</v>
      </c>
      <c r="C15390" s="8">
        <f t="array" ref="C15390">PRODUCT(1-'Sparkling Model'!D$2:D$38^A15390)</f>
        <v>0.998306814</v>
      </c>
    </row>
    <row r="15391">
      <c r="A15391" s="6">
        <v>15389.0</v>
      </c>
      <c r="B15391" s="17">
        <f t="array" ref="B15391">SUM(1-'Sparkling Model'!D$2:D$38^A15391)</f>
        <v>36.99830666</v>
      </c>
      <c r="C15391" s="8">
        <f t="array" ref="C15391">PRODUCT(1-'Sparkling Model'!D$2:D$38^A15391)</f>
        <v>0.9983076492</v>
      </c>
    </row>
    <row r="15392">
      <c r="A15392" s="6">
        <v>15390.0</v>
      </c>
      <c r="B15392" s="17">
        <f t="array" ref="B15392">SUM(1-'Sparkling Model'!D$2:D$38^A15392)</f>
        <v>36.9983075</v>
      </c>
      <c r="C15392" s="8">
        <f t="array" ref="C15392">PRODUCT(1-'Sparkling Model'!D$2:D$38^A15392)</f>
        <v>0.9983084839</v>
      </c>
    </row>
    <row r="15393">
      <c r="A15393" s="6">
        <v>15391.0</v>
      </c>
      <c r="B15393" s="17">
        <f t="array" ref="B15393">SUM(1-'Sparkling Model'!D$2:D$38^A15393)</f>
        <v>36.99830833</v>
      </c>
      <c r="C15393" s="8">
        <f t="array" ref="C15393">PRODUCT(1-'Sparkling Model'!D$2:D$38^A15393)</f>
        <v>0.9983093182</v>
      </c>
    </row>
    <row r="15394">
      <c r="A15394" s="6">
        <v>15392.0</v>
      </c>
      <c r="B15394" s="17">
        <f t="array" ref="B15394">SUM(1-'Sparkling Model'!D$2:D$38^A15394)</f>
        <v>36.99830917</v>
      </c>
      <c r="C15394" s="8">
        <f t="array" ref="C15394">PRODUCT(1-'Sparkling Model'!D$2:D$38^A15394)</f>
        <v>0.9983101521</v>
      </c>
    </row>
    <row r="15395">
      <c r="A15395" s="6">
        <v>15393.0</v>
      </c>
      <c r="B15395" s="17">
        <f t="array" ref="B15395">SUM(1-'Sparkling Model'!D$2:D$38^A15395)</f>
        <v>36.99831</v>
      </c>
      <c r="C15395" s="8">
        <f t="array" ref="C15395">PRODUCT(1-'Sparkling Model'!D$2:D$38^A15395)</f>
        <v>0.9983109856</v>
      </c>
    </row>
    <row r="15396">
      <c r="A15396" s="6">
        <v>15394.0</v>
      </c>
      <c r="B15396" s="17">
        <f t="array" ref="B15396">SUM(1-'Sparkling Model'!D$2:D$38^A15396)</f>
        <v>36.99831084</v>
      </c>
      <c r="C15396" s="8">
        <f t="array" ref="C15396">PRODUCT(1-'Sparkling Model'!D$2:D$38^A15396)</f>
        <v>0.9983118187</v>
      </c>
    </row>
    <row r="15397">
      <c r="A15397" s="6">
        <v>15395.0</v>
      </c>
      <c r="B15397" s="17">
        <f t="array" ref="B15397">SUM(1-'Sparkling Model'!D$2:D$38^A15397)</f>
        <v>36.99831167</v>
      </c>
      <c r="C15397" s="8">
        <f t="array" ref="C15397">PRODUCT(1-'Sparkling Model'!D$2:D$38^A15397)</f>
        <v>0.9983126513</v>
      </c>
    </row>
    <row r="15398">
      <c r="A15398" s="6">
        <v>15396.0</v>
      </c>
      <c r="B15398" s="17">
        <f t="array" ref="B15398">SUM(1-'Sparkling Model'!D$2:D$38^A15398)</f>
        <v>36.9983125</v>
      </c>
      <c r="C15398" s="8">
        <f t="array" ref="C15398">PRODUCT(1-'Sparkling Model'!D$2:D$38^A15398)</f>
        <v>0.9983134836</v>
      </c>
    </row>
    <row r="15399">
      <c r="A15399" s="6">
        <v>15397.0</v>
      </c>
      <c r="B15399" s="17">
        <f t="array" ref="B15399">SUM(1-'Sparkling Model'!D$2:D$38^A15399)</f>
        <v>36.99831334</v>
      </c>
      <c r="C15399" s="8">
        <f t="array" ref="C15399">PRODUCT(1-'Sparkling Model'!D$2:D$38^A15399)</f>
        <v>0.9983143154</v>
      </c>
    </row>
    <row r="15400">
      <c r="A15400" s="6">
        <v>15398.0</v>
      </c>
      <c r="B15400" s="17">
        <f t="array" ref="B15400">SUM(1-'Sparkling Model'!D$2:D$38^A15400)</f>
        <v>36.99831417</v>
      </c>
      <c r="C15400" s="8">
        <f t="array" ref="C15400">PRODUCT(1-'Sparkling Model'!D$2:D$38^A15400)</f>
        <v>0.9983151468</v>
      </c>
    </row>
    <row r="15401">
      <c r="A15401" s="6">
        <v>15399.0</v>
      </c>
      <c r="B15401" s="17">
        <f t="array" ref="B15401">SUM(1-'Sparkling Model'!D$2:D$38^A15401)</f>
        <v>36.998315</v>
      </c>
      <c r="C15401" s="8">
        <f t="array" ref="C15401">PRODUCT(1-'Sparkling Model'!D$2:D$38^A15401)</f>
        <v>0.9983159779</v>
      </c>
    </row>
    <row r="15402">
      <c r="A15402" s="6">
        <v>15400.0</v>
      </c>
      <c r="B15402" s="17">
        <f t="array" ref="B15402">SUM(1-'Sparkling Model'!D$2:D$38^A15402)</f>
        <v>36.99831583</v>
      </c>
      <c r="C15402" s="8">
        <f t="array" ref="C15402">PRODUCT(1-'Sparkling Model'!D$2:D$38^A15402)</f>
        <v>0.9983168085</v>
      </c>
    </row>
    <row r="15403">
      <c r="A15403" s="6">
        <v>15401.0</v>
      </c>
      <c r="B15403" s="17">
        <f t="array" ref="B15403">SUM(1-'Sparkling Model'!D$2:D$38^A15403)</f>
        <v>36.99831666</v>
      </c>
      <c r="C15403" s="8">
        <f t="array" ref="C15403">PRODUCT(1-'Sparkling Model'!D$2:D$38^A15403)</f>
        <v>0.9983176387</v>
      </c>
    </row>
    <row r="15404">
      <c r="A15404" s="6">
        <v>15402.0</v>
      </c>
      <c r="B15404" s="17">
        <f t="array" ref="B15404">SUM(1-'Sparkling Model'!D$2:D$38^A15404)</f>
        <v>36.99831749</v>
      </c>
      <c r="C15404" s="8">
        <f t="array" ref="C15404">PRODUCT(1-'Sparkling Model'!D$2:D$38^A15404)</f>
        <v>0.9983184684</v>
      </c>
    </row>
    <row r="15405">
      <c r="A15405" s="6">
        <v>15403.0</v>
      </c>
      <c r="B15405" s="17">
        <f t="array" ref="B15405">SUM(1-'Sparkling Model'!D$2:D$38^A15405)</f>
        <v>36.99831832</v>
      </c>
      <c r="C15405" s="8">
        <f t="array" ref="C15405">PRODUCT(1-'Sparkling Model'!D$2:D$38^A15405)</f>
        <v>0.9983192978</v>
      </c>
    </row>
    <row r="15406">
      <c r="A15406" s="6">
        <v>15404.0</v>
      </c>
      <c r="B15406" s="17">
        <f t="array" ref="B15406">SUM(1-'Sparkling Model'!D$2:D$38^A15406)</f>
        <v>36.99831915</v>
      </c>
      <c r="C15406" s="8">
        <f t="array" ref="C15406">PRODUCT(1-'Sparkling Model'!D$2:D$38^A15406)</f>
        <v>0.9983201268</v>
      </c>
    </row>
    <row r="15407">
      <c r="A15407" s="6">
        <v>15405.0</v>
      </c>
      <c r="B15407" s="17">
        <f t="array" ref="B15407">SUM(1-'Sparkling Model'!D$2:D$38^A15407)</f>
        <v>36.99831998</v>
      </c>
      <c r="C15407" s="8">
        <f t="array" ref="C15407">PRODUCT(1-'Sparkling Model'!D$2:D$38^A15407)</f>
        <v>0.9983209553</v>
      </c>
    </row>
    <row r="15408">
      <c r="A15408" s="6">
        <v>15406.0</v>
      </c>
      <c r="B15408" s="17">
        <f t="array" ref="B15408">SUM(1-'Sparkling Model'!D$2:D$38^A15408)</f>
        <v>36.99832081</v>
      </c>
      <c r="C15408" s="8">
        <f t="array" ref="C15408">PRODUCT(1-'Sparkling Model'!D$2:D$38^A15408)</f>
        <v>0.9983217835</v>
      </c>
    </row>
    <row r="15409">
      <c r="A15409" s="6">
        <v>15407.0</v>
      </c>
      <c r="B15409" s="17">
        <f t="array" ref="B15409">SUM(1-'Sparkling Model'!D$2:D$38^A15409)</f>
        <v>36.99832164</v>
      </c>
      <c r="C15409" s="8">
        <f t="array" ref="C15409">PRODUCT(1-'Sparkling Model'!D$2:D$38^A15409)</f>
        <v>0.9983226112</v>
      </c>
    </row>
    <row r="15410">
      <c r="A15410" s="6">
        <v>15408.0</v>
      </c>
      <c r="B15410" s="17">
        <f t="array" ref="B15410">SUM(1-'Sparkling Model'!D$2:D$38^A15410)</f>
        <v>36.99832247</v>
      </c>
      <c r="C15410" s="8">
        <f t="array" ref="C15410">PRODUCT(1-'Sparkling Model'!D$2:D$38^A15410)</f>
        <v>0.9983234385</v>
      </c>
    </row>
    <row r="15411">
      <c r="A15411" s="6">
        <v>15409.0</v>
      </c>
      <c r="B15411" s="17">
        <f t="array" ref="B15411">SUM(1-'Sparkling Model'!D$2:D$38^A15411)</f>
        <v>36.9983233</v>
      </c>
      <c r="C15411" s="8">
        <f t="array" ref="C15411">PRODUCT(1-'Sparkling Model'!D$2:D$38^A15411)</f>
        <v>0.9983242655</v>
      </c>
    </row>
    <row r="15412">
      <c r="A15412" s="6">
        <v>15410.0</v>
      </c>
      <c r="B15412" s="17">
        <f t="array" ref="B15412">SUM(1-'Sparkling Model'!D$2:D$38^A15412)</f>
        <v>36.99832413</v>
      </c>
      <c r="C15412" s="8">
        <f t="array" ref="C15412">PRODUCT(1-'Sparkling Model'!D$2:D$38^A15412)</f>
        <v>0.998325092</v>
      </c>
    </row>
    <row r="15413">
      <c r="A15413" s="6">
        <v>15411.0</v>
      </c>
      <c r="B15413" s="17">
        <f t="array" ref="B15413">SUM(1-'Sparkling Model'!D$2:D$38^A15413)</f>
        <v>36.99832495</v>
      </c>
      <c r="C15413" s="8">
        <f t="array" ref="C15413">PRODUCT(1-'Sparkling Model'!D$2:D$38^A15413)</f>
        <v>0.9983259181</v>
      </c>
    </row>
    <row r="15414">
      <c r="A15414" s="6">
        <v>15412.0</v>
      </c>
      <c r="B15414" s="17">
        <f t="array" ref="B15414">SUM(1-'Sparkling Model'!D$2:D$38^A15414)</f>
        <v>36.99832578</v>
      </c>
      <c r="C15414" s="8">
        <f t="array" ref="C15414">PRODUCT(1-'Sparkling Model'!D$2:D$38^A15414)</f>
        <v>0.9983267438</v>
      </c>
    </row>
    <row r="15415">
      <c r="A15415" s="6">
        <v>15413.0</v>
      </c>
      <c r="B15415" s="17">
        <f t="array" ref="B15415">SUM(1-'Sparkling Model'!D$2:D$38^A15415)</f>
        <v>36.9983266</v>
      </c>
      <c r="C15415" s="8">
        <f t="array" ref="C15415">PRODUCT(1-'Sparkling Model'!D$2:D$38^A15415)</f>
        <v>0.998327569</v>
      </c>
    </row>
    <row r="15416">
      <c r="A15416" s="6">
        <v>15414.0</v>
      </c>
      <c r="B15416" s="17">
        <f t="array" ref="B15416">SUM(1-'Sparkling Model'!D$2:D$38^A15416)</f>
        <v>36.99832743</v>
      </c>
      <c r="C15416" s="8">
        <f t="array" ref="C15416">PRODUCT(1-'Sparkling Model'!D$2:D$38^A15416)</f>
        <v>0.9983283939</v>
      </c>
    </row>
    <row r="15417">
      <c r="A15417" s="6">
        <v>15415.0</v>
      </c>
      <c r="B15417" s="17">
        <f t="array" ref="B15417">SUM(1-'Sparkling Model'!D$2:D$38^A15417)</f>
        <v>36.99832826</v>
      </c>
      <c r="C15417" s="8">
        <f t="array" ref="C15417">PRODUCT(1-'Sparkling Model'!D$2:D$38^A15417)</f>
        <v>0.9983292184</v>
      </c>
    </row>
    <row r="15418">
      <c r="A15418" s="6">
        <v>15416.0</v>
      </c>
      <c r="B15418" s="17">
        <f t="array" ref="B15418">SUM(1-'Sparkling Model'!D$2:D$38^A15418)</f>
        <v>36.99832908</v>
      </c>
      <c r="C15418" s="8">
        <f t="array" ref="C15418">PRODUCT(1-'Sparkling Model'!D$2:D$38^A15418)</f>
        <v>0.9983300424</v>
      </c>
    </row>
    <row r="15419">
      <c r="A15419" s="6">
        <v>15417.0</v>
      </c>
      <c r="B15419" s="17">
        <f t="array" ref="B15419">SUM(1-'Sparkling Model'!D$2:D$38^A15419)</f>
        <v>36.99832991</v>
      </c>
      <c r="C15419" s="8">
        <f t="array" ref="C15419">PRODUCT(1-'Sparkling Model'!D$2:D$38^A15419)</f>
        <v>0.9983308661</v>
      </c>
    </row>
    <row r="15420">
      <c r="A15420" s="6">
        <v>15418.0</v>
      </c>
      <c r="B15420" s="17">
        <f t="array" ref="B15420">SUM(1-'Sparkling Model'!D$2:D$38^A15420)</f>
        <v>36.99833073</v>
      </c>
      <c r="C15420" s="8">
        <f t="array" ref="C15420">PRODUCT(1-'Sparkling Model'!D$2:D$38^A15420)</f>
        <v>0.9983316893</v>
      </c>
    </row>
    <row r="15421">
      <c r="A15421" s="6">
        <v>15419.0</v>
      </c>
      <c r="B15421" s="17">
        <f t="array" ref="B15421">SUM(1-'Sparkling Model'!D$2:D$38^A15421)</f>
        <v>36.99833155</v>
      </c>
      <c r="C15421" s="8">
        <f t="array" ref="C15421">PRODUCT(1-'Sparkling Model'!D$2:D$38^A15421)</f>
        <v>0.9983325122</v>
      </c>
    </row>
    <row r="15422">
      <c r="A15422" s="6">
        <v>15420.0</v>
      </c>
      <c r="B15422" s="17">
        <f t="array" ref="B15422">SUM(1-'Sparkling Model'!D$2:D$38^A15422)</f>
        <v>36.99833238</v>
      </c>
      <c r="C15422" s="8">
        <f t="array" ref="C15422">PRODUCT(1-'Sparkling Model'!D$2:D$38^A15422)</f>
        <v>0.9983333346</v>
      </c>
    </row>
    <row r="15423">
      <c r="A15423" s="6">
        <v>15421.0</v>
      </c>
      <c r="B15423" s="17">
        <f t="array" ref="B15423">SUM(1-'Sparkling Model'!D$2:D$38^A15423)</f>
        <v>36.9983332</v>
      </c>
      <c r="C15423" s="8">
        <f t="array" ref="C15423">PRODUCT(1-'Sparkling Model'!D$2:D$38^A15423)</f>
        <v>0.9983341566</v>
      </c>
    </row>
    <row r="15424">
      <c r="A15424" s="6">
        <v>15422.0</v>
      </c>
      <c r="B15424" s="17">
        <f t="array" ref="B15424">SUM(1-'Sparkling Model'!D$2:D$38^A15424)</f>
        <v>36.99833402</v>
      </c>
      <c r="C15424" s="8">
        <f t="array" ref="C15424">PRODUCT(1-'Sparkling Model'!D$2:D$38^A15424)</f>
        <v>0.9983349782</v>
      </c>
    </row>
    <row r="15425">
      <c r="A15425" s="6">
        <v>15423.0</v>
      </c>
      <c r="B15425" s="17">
        <f t="array" ref="B15425">SUM(1-'Sparkling Model'!D$2:D$38^A15425)</f>
        <v>36.99833484</v>
      </c>
      <c r="C15425" s="8">
        <f t="array" ref="C15425">PRODUCT(1-'Sparkling Model'!D$2:D$38^A15425)</f>
        <v>0.9983357995</v>
      </c>
    </row>
    <row r="15426">
      <c r="A15426" s="6">
        <v>15424.0</v>
      </c>
      <c r="B15426" s="17">
        <f t="array" ref="B15426">SUM(1-'Sparkling Model'!D$2:D$38^A15426)</f>
        <v>36.99833567</v>
      </c>
      <c r="C15426" s="8">
        <f t="array" ref="C15426">PRODUCT(1-'Sparkling Model'!D$2:D$38^A15426)</f>
        <v>0.9983366203</v>
      </c>
    </row>
    <row r="15427">
      <c r="A15427" s="6">
        <v>15425.0</v>
      </c>
      <c r="B15427" s="17">
        <f t="array" ref="B15427">SUM(1-'Sparkling Model'!D$2:D$38^A15427)</f>
        <v>36.99833649</v>
      </c>
      <c r="C15427" s="8">
        <f t="array" ref="C15427">PRODUCT(1-'Sparkling Model'!D$2:D$38^A15427)</f>
        <v>0.9983374407</v>
      </c>
    </row>
    <row r="15428">
      <c r="A15428" s="6">
        <v>15426.0</v>
      </c>
      <c r="B15428" s="17">
        <f t="array" ref="B15428">SUM(1-'Sparkling Model'!D$2:D$38^A15428)</f>
        <v>36.99833731</v>
      </c>
      <c r="C15428" s="8">
        <f t="array" ref="C15428">PRODUCT(1-'Sparkling Model'!D$2:D$38^A15428)</f>
        <v>0.9983382607</v>
      </c>
    </row>
    <row r="15429">
      <c r="A15429" s="6">
        <v>15427.0</v>
      </c>
      <c r="B15429" s="17">
        <f t="array" ref="B15429">SUM(1-'Sparkling Model'!D$2:D$38^A15429)</f>
        <v>36.99833813</v>
      </c>
      <c r="C15429" s="8">
        <f t="array" ref="C15429">PRODUCT(1-'Sparkling Model'!D$2:D$38^A15429)</f>
        <v>0.9983390802</v>
      </c>
    </row>
    <row r="15430">
      <c r="A15430" s="6">
        <v>15428.0</v>
      </c>
      <c r="B15430" s="17">
        <f t="array" ref="B15430">SUM(1-'Sparkling Model'!D$2:D$38^A15430)</f>
        <v>36.99833895</v>
      </c>
      <c r="C15430" s="8">
        <f t="array" ref="C15430">PRODUCT(1-'Sparkling Model'!D$2:D$38^A15430)</f>
        <v>0.9983398994</v>
      </c>
    </row>
    <row r="15431">
      <c r="A15431" s="6">
        <v>15429.0</v>
      </c>
      <c r="B15431" s="17">
        <f t="array" ref="B15431">SUM(1-'Sparkling Model'!D$2:D$38^A15431)</f>
        <v>36.99833977</v>
      </c>
      <c r="C15431" s="8">
        <f t="array" ref="C15431">PRODUCT(1-'Sparkling Model'!D$2:D$38^A15431)</f>
        <v>0.9983407182</v>
      </c>
    </row>
    <row r="15432">
      <c r="A15432" s="6">
        <v>15430.0</v>
      </c>
      <c r="B15432" s="17">
        <f t="array" ref="B15432">SUM(1-'Sparkling Model'!D$2:D$38^A15432)</f>
        <v>36.99834059</v>
      </c>
      <c r="C15432" s="8">
        <f t="array" ref="C15432">PRODUCT(1-'Sparkling Model'!D$2:D$38^A15432)</f>
        <v>0.9983415366</v>
      </c>
    </row>
    <row r="15433">
      <c r="A15433" s="6">
        <v>15431.0</v>
      </c>
      <c r="B15433" s="17">
        <f t="array" ref="B15433">SUM(1-'Sparkling Model'!D$2:D$38^A15433)</f>
        <v>36.99834141</v>
      </c>
      <c r="C15433" s="8">
        <f t="array" ref="C15433">PRODUCT(1-'Sparkling Model'!D$2:D$38^A15433)</f>
        <v>0.9983423545</v>
      </c>
    </row>
    <row r="15434">
      <c r="A15434" s="6">
        <v>15432.0</v>
      </c>
      <c r="B15434" s="17">
        <f t="array" ref="B15434">SUM(1-'Sparkling Model'!D$2:D$38^A15434)</f>
        <v>36.99834223</v>
      </c>
      <c r="C15434" s="8">
        <f t="array" ref="C15434">PRODUCT(1-'Sparkling Model'!D$2:D$38^A15434)</f>
        <v>0.9983431721</v>
      </c>
    </row>
    <row r="15435">
      <c r="A15435" s="6">
        <v>15433.0</v>
      </c>
      <c r="B15435" s="17">
        <f t="array" ref="B15435">SUM(1-'Sparkling Model'!D$2:D$38^A15435)</f>
        <v>36.99834304</v>
      </c>
      <c r="C15435" s="8">
        <f t="array" ref="C15435">PRODUCT(1-'Sparkling Model'!D$2:D$38^A15435)</f>
        <v>0.9983439893</v>
      </c>
    </row>
    <row r="15436">
      <c r="A15436" s="6">
        <v>15434.0</v>
      </c>
      <c r="B15436" s="17">
        <f t="array" ref="B15436">SUM(1-'Sparkling Model'!D$2:D$38^A15436)</f>
        <v>36.99834386</v>
      </c>
      <c r="C15436" s="8">
        <f t="array" ref="C15436">PRODUCT(1-'Sparkling Model'!D$2:D$38^A15436)</f>
        <v>0.998344806</v>
      </c>
    </row>
    <row r="15437">
      <c r="A15437" s="6">
        <v>15435.0</v>
      </c>
      <c r="B15437" s="17">
        <f t="array" ref="B15437">SUM(1-'Sparkling Model'!D$2:D$38^A15437)</f>
        <v>36.99834468</v>
      </c>
      <c r="C15437" s="8">
        <f t="array" ref="C15437">PRODUCT(1-'Sparkling Model'!D$2:D$38^A15437)</f>
        <v>0.9983456224</v>
      </c>
    </row>
    <row r="15438">
      <c r="A15438" s="6">
        <v>15436.0</v>
      </c>
      <c r="B15438" s="17">
        <f t="array" ref="B15438">SUM(1-'Sparkling Model'!D$2:D$38^A15438)</f>
        <v>36.9983455</v>
      </c>
      <c r="C15438" s="8">
        <f t="array" ref="C15438">PRODUCT(1-'Sparkling Model'!D$2:D$38^A15438)</f>
        <v>0.9983464383</v>
      </c>
    </row>
    <row r="15439">
      <c r="A15439" s="6">
        <v>15437.0</v>
      </c>
      <c r="B15439" s="17">
        <f t="array" ref="B15439">SUM(1-'Sparkling Model'!D$2:D$38^A15439)</f>
        <v>36.99834631</v>
      </c>
      <c r="C15439" s="8">
        <f t="array" ref="C15439">PRODUCT(1-'Sparkling Model'!D$2:D$38^A15439)</f>
        <v>0.9983472539</v>
      </c>
    </row>
    <row r="15440">
      <c r="A15440" s="6">
        <v>15438.0</v>
      </c>
      <c r="B15440" s="17">
        <f t="array" ref="B15440">SUM(1-'Sparkling Model'!D$2:D$38^A15440)</f>
        <v>36.99834713</v>
      </c>
      <c r="C15440" s="8">
        <f t="array" ref="C15440">PRODUCT(1-'Sparkling Model'!D$2:D$38^A15440)</f>
        <v>0.998348069</v>
      </c>
    </row>
    <row r="15441">
      <c r="A15441" s="6">
        <v>15439.0</v>
      </c>
      <c r="B15441" s="17">
        <f t="array" ref="B15441">SUM(1-'Sparkling Model'!D$2:D$38^A15441)</f>
        <v>36.99834794</v>
      </c>
      <c r="C15441" s="8">
        <f t="array" ref="C15441">PRODUCT(1-'Sparkling Model'!D$2:D$38^A15441)</f>
        <v>0.9983488837</v>
      </c>
    </row>
    <row r="15442">
      <c r="A15442" s="6">
        <v>15440.0</v>
      </c>
      <c r="B15442" s="17">
        <f t="array" ref="B15442">SUM(1-'Sparkling Model'!D$2:D$38^A15442)</f>
        <v>36.99834876</v>
      </c>
      <c r="C15442" s="8">
        <f t="array" ref="C15442">PRODUCT(1-'Sparkling Model'!D$2:D$38^A15442)</f>
        <v>0.9983496981</v>
      </c>
    </row>
    <row r="15443">
      <c r="A15443" s="6">
        <v>15441.0</v>
      </c>
      <c r="B15443" s="17">
        <f t="array" ref="B15443">SUM(1-'Sparkling Model'!D$2:D$38^A15443)</f>
        <v>36.99834957</v>
      </c>
      <c r="C15443" s="8">
        <f t="array" ref="C15443">PRODUCT(1-'Sparkling Model'!D$2:D$38^A15443)</f>
        <v>0.998350512</v>
      </c>
    </row>
    <row r="15444">
      <c r="A15444" s="6">
        <v>15442.0</v>
      </c>
      <c r="B15444" s="17">
        <f t="array" ref="B15444">SUM(1-'Sparkling Model'!D$2:D$38^A15444)</f>
        <v>36.99835039</v>
      </c>
      <c r="C15444" s="8">
        <f t="array" ref="C15444">PRODUCT(1-'Sparkling Model'!D$2:D$38^A15444)</f>
        <v>0.9983513255</v>
      </c>
    </row>
    <row r="15445">
      <c r="A15445" s="6">
        <v>15443.0</v>
      </c>
      <c r="B15445" s="17">
        <f t="array" ref="B15445">SUM(1-'Sparkling Model'!D$2:D$38^A15445)</f>
        <v>36.9983512</v>
      </c>
      <c r="C15445" s="8">
        <f t="array" ref="C15445">PRODUCT(1-'Sparkling Model'!D$2:D$38^A15445)</f>
        <v>0.9983521387</v>
      </c>
    </row>
    <row r="15446">
      <c r="A15446" s="6">
        <v>15444.0</v>
      </c>
      <c r="B15446" s="17">
        <f t="array" ref="B15446">SUM(1-'Sparkling Model'!D$2:D$38^A15446)</f>
        <v>36.99835202</v>
      </c>
      <c r="C15446" s="8">
        <f t="array" ref="C15446">PRODUCT(1-'Sparkling Model'!D$2:D$38^A15446)</f>
        <v>0.9983529514</v>
      </c>
    </row>
    <row r="15447">
      <c r="A15447" s="6">
        <v>15445.0</v>
      </c>
      <c r="B15447" s="17">
        <f t="array" ref="B15447">SUM(1-'Sparkling Model'!D$2:D$38^A15447)</f>
        <v>36.99835283</v>
      </c>
      <c r="C15447" s="8">
        <f t="array" ref="C15447">PRODUCT(1-'Sparkling Model'!D$2:D$38^A15447)</f>
        <v>0.9983537637</v>
      </c>
    </row>
    <row r="15448">
      <c r="A15448" s="6">
        <v>15446.0</v>
      </c>
      <c r="B15448" s="17">
        <f t="array" ref="B15448">SUM(1-'Sparkling Model'!D$2:D$38^A15448)</f>
        <v>36.99835364</v>
      </c>
      <c r="C15448" s="8">
        <f t="array" ref="C15448">PRODUCT(1-'Sparkling Model'!D$2:D$38^A15448)</f>
        <v>0.9983545756</v>
      </c>
    </row>
    <row r="15449">
      <c r="A15449" s="6">
        <v>15447.0</v>
      </c>
      <c r="B15449" s="17">
        <f t="array" ref="B15449">SUM(1-'Sparkling Model'!D$2:D$38^A15449)</f>
        <v>36.99835446</v>
      </c>
      <c r="C15449" s="8">
        <f t="array" ref="C15449">PRODUCT(1-'Sparkling Model'!D$2:D$38^A15449)</f>
        <v>0.9983553871</v>
      </c>
    </row>
    <row r="15450">
      <c r="A15450" s="6">
        <v>15448.0</v>
      </c>
      <c r="B15450" s="17">
        <f t="array" ref="B15450">SUM(1-'Sparkling Model'!D$2:D$38^A15450)</f>
        <v>36.99835527</v>
      </c>
      <c r="C15450" s="8">
        <f t="array" ref="C15450">PRODUCT(1-'Sparkling Model'!D$2:D$38^A15450)</f>
        <v>0.9983561983</v>
      </c>
    </row>
    <row r="15451">
      <c r="A15451" s="6">
        <v>15449.0</v>
      </c>
      <c r="B15451" s="17">
        <f t="array" ref="B15451">SUM(1-'Sparkling Model'!D$2:D$38^A15451)</f>
        <v>36.99835608</v>
      </c>
      <c r="C15451" s="8">
        <f t="array" ref="C15451">PRODUCT(1-'Sparkling Model'!D$2:D$38^A15451)</f>
        <v>0.998357009</v>
      </c>
    </row>
    <row r="15452">
      <c r="A15452" s="6">
        <v>15450.0</v>
      </c>
      <c r="B15452" s="17">
        <f t="array" ref="B15452">SUM(1-'Sparkling Model'!D$2:D$38^A15452)</f>
        <v>36.99835689</v>
      </c>
      <c r="C15452" s="8">
        <f t="array" ref="C15452">PRODUCT(1-'Sparkling Model'!D$2:D$38^A15452)</f>
        <v>0.9983578193</v>
      </c>
    </row>
    <row r="15453">
      <c r="A15453" s="6">
        <v>15451.0</v>
      </c>
      <c r="B15453" s="17">
        <f t="array" ref="B15453">SUM(1-'Sparkling Model'!D$2:D$38^A15453)</f>
        <v>36.9983577</v>
      </c>
      <c r="C15453" s="8">
        <f t="array" ref="C15453">PRODUCT(1-'Sparkling Model'!D$2:D$38^A15453)</f>
        <v>0.9983586292</v>
      </c>
    </row>
    <row r="15454">
      <c r="A15454" s="6">
        <v>15452.0</v>
      </c>
      <c r="B15454" s="17">
        <f t="array" ref="B15454">SUM(1-'Sparkling Model'!D$2:D$38^A15454)</f>
        <v>36.99835851</v>
      </c>
      <c r="C15454" s="8">
        <f t="array" ref="C15454">PRODUCT(1-'Sparkling Model'!D$2:D$38^A15454)</f>
        <v>0.9983594387</v>
      </c>
    </row>
    <row r="15455">
      <c r="A15455" s="6">
        <v>15453.0</v>
      </c>
      <c r="B15455" s="17">
        <f t="array" ref="B15455">SUM(1-'Sparkling Model'!D$2:D$38^A15455)</f>
        <v>36.99835932</v>
      </c>
      <c r="C15455" s="8">
        <f t="array" ref="C15455">PRODUCT(1-'Sparkling Model'!D$2:D$38^A15455)</f>
        <v>0.9983602478</v>
      </c>
    </row>
    <row r="15456">
      <c r="A15456" s="6">
        <v>15454.0</v>
      </c>
      <c r="B15456" s="17">
        <f t="array" ref="B15456">SUM(1-'Sparkling Model'!D$2:D$38^A15456)</f>
        <v>36.99836013</v>
      </c>
      <c r="C15456" s="8">
        <f t="array" ref="C15456">PRODUCT(1-'Sparkling Model'!D$2:D$38^A15456)</f>
        <v>0.9983610566</v>
      </c>
    </row>
    <row r="15457">
      <c r="A15457" s="6">
        <v>15455.0</v>
      </c>
      <c r="B15457" s="17">
        <f t="array" ref="B15457">SUM(1-'Sparkling Model'!D$2:D$38^A15457)</f>
        <v>36.99836094</v>
      </c>
      <c r="C15457" s="8">
        <f t="array" ref="C15457">PRODUCT(1-'Sparkling Model'!D$2:D$38^A15457)</f>
        <v>0.9983618649</v>
      </c>
    </row>
    <row r="15458">
      <c r="A15458" s="6">
        <v>15456.0</v>
      </c>
      <c r="B15458" s="17">
        <f t="array" ref="B15458">SUM(1-'Sparkling Model'!D$2:D$38^A15458)</f>
        <v>36.99836175</v>
      </c>
      <c r="C15458" s="8">
        <f t="array" ref="C15458">PRODUCT(1-'Sparkling Model'!D$2:D$38^A15458)</f>
        <v>0.9983626728</v>
      </c>
    </row>
    <row r="15459">
      <c r="A15459" s="6">
        <v>15457.0</v>
      </c>
      <c r="B15459" s="17">
        <f t="array" ref="B15459">SUM(1-'Sparkling Model'!D$2:D$38^A15459)</f>
        <v>36.99836256</v>
      </c>
      <c r="C15459" s="8">
        <f t="array" ref="C15459">PRODUCT(1-'Sparkling Model'!D$2:D$38^A15459)</f>
        <v>0.9983634803</v>
      </c>
    </row>
    <row r="15460">
      <c r="A15460" s="6">
        <v>15458.0</v>
      </c>
      <c r="B15460" s="17">
        <f t="array" ref="B15460">SUM(1-'Sparkling Model'!D$2:D$38^A15460)</f>
        <v>36.99836337</v>
      </c>
      <c r="C15460" s="8">
        <f t="array" ref="C15460">PRODUCT(1-'Sparkling Model'!D$2:D$38^A15460)</f>
        <v>0.9983642874</v>
      </c>
    </row>
    <row r="15461">
      <c r="A15461" s="6">
        <v>15459.0</v>
      </c>
      <c r="B15461" s="17">
        <f t="array" ref="B15461">SUM(1-'Sparkling Model'!D$2:D$38^A15461)</f>
        <v>36.99836417</v>
      </c>
      <c r="C15461" s="8">
        <f t="array" ref="C15461">PRODUCT(1-'Sparkling Model'!D$2:D$38^A15461)</f>
        <v>0.9983650941</v>
      </c>
    </row>
    <row r="15462">
      <c r="A15462" s="6">
        <v>15460.0</v>
      </c>
      <c r="B15462" s="17">
        <f t="array" ref="B15462">SUM(1-'Sparkling Model'!D$2:D$38^A15462)</f>
        <v>36.99836498</v>
      </c>
      <c r="C15462" s="8">
        <f t="array" ref="C15462">PRODUCT(1-'Sparkling Model'!D$2:D$38^A15462)</f>
        <v>0.9983659004</v>
      </c>
    </row>
    <row r="15463">
      <c r="A15463" s="6">
        <v>15461.0</v>
      </c>
      <c r="B15463" s="17">
        <f t="array" ref="B15463">SUM(1-'Sparkling Model'!D$2:D$38^A15463)</f>
        <v>36.99836579</v>
      </c>
      <c r="C15463" s="8">
        <f t="array" ref="C15463">PRODUCT(1-'Sparkling Model'!D$2:D$38^A15463)</f>
        <v>0.9983667064</v>
      </c>
    </row>
    <row r="15464">
      <c r="A15464" s="6">
        <v>15462.0</v>
      </c>
      <c r="B15464" s="17">
        <f t="array" ref="B15464">SUM(1-'Sparkling Model'!D$2:D$38^A15464)</f>
        <v>36.99836659</v>
      </c>
      <c r="C15464" s="8">
        <f t="array" ref="C15464">PRODUCT(1-'Sparkling Model'!D$2:D$38^A15464)</f>
        <v>0.9983675119</v>
      </c>
    </row>
    <row r="15465">
      <c r="A15465" s="6">
        <v>15463.0</v>
      </c>
      <c r="B15465" s="17">
        <f t="array" ref="B15465">SUM(1-'Sparkling Model'!D$2:D$38^A15465)</f>
        <v>36.9983674</v>
      </c>
      <c r="C15465" s="8">
        <f t="array" ref="C15465">PRODUCT(1-'Sparkling Model'!D$2:D$38^A15465)</f>
        <v>0.998368317</v>
      </c>
    </row>
    <row r="15466">
      <c r="A15466" s="6">
        <v>15464.0</v>
      </c>
      <c r="B15466" s="17">
        <f t="array" ref="B15466">SUM(1-'Sparkling Model'!D$2:D$38^A15466)</f>
        <v>36.99836821</v>
      </c>
      <c r="C15466" s="8">
        <f t="array" ref="C15466">PRODUCT(1-'Sparkling Model'!D$2:D$38^A15466)</f>
        <v>0.9983691217</v>
      </c>
    </row>
    <row r="15467">
      <c r="A15467" s="6">
        <v>15465.0</v>
      </c>
      <c r="B15467" s="17">
        <f t="array" ref="B15467">SUM(1-'Sparkling Model'!D$2:D$38^A15467)</f>
        <v>36.99836901</v>
      </c>
      <c r="C15467" s="8">
        <f t="array" ref="C15467">PRODUCT(1-'Sparkling Model'!D$2:D$38^A15467)</f>
        <v>0.9983699261</v>
      </c>
    </row>
    <row r="15468">
      <c r="A15468" s="6">
        <v>15466.0</v>
      </c>
      <c r="B15468" s="17">
        <f t="array" ref="B15468">SUM(1-'Sparkling Model'!D$2:D$38^A15468)</f>
        <v>36.99836982</v>
      </c>
      <c r="C15468" s="8">
        <f t="array" ref="C15468">PRODUCT(1-'Sparkling Model'!D$2:D$38^A15468)</f>
        <v>0.99837073</v>
      </c>
    </row>
    <row r="15469">
      <c r="A15469" s="6">
        <v>15467.0</v>
      </c>
      <c r="B15469" s="17">
        <f t="array" ref="B15469">SUM(1-'Sparkling Model'!D$2:D$38^A15469)</f>
        <v>36.99837062</v>
      </c>
      <c r="C15469" s="8">
        <f t="array" ref="C15469">PRODUCT(1-'Sparkling Model'!D$2:D$38^A15469)</f>
        <v>0.9983715335</v>
      </c>
    </row>
    <row r="15470">
      <c r="A15470" s="6">
        <v>15468.0</v>
      </c>
      <c r="B15470" s="17">
        <f t="array" ref="B15470">SUM(1-'Sparkling Model'!D$2:D$38^A15470)</f>
        <v>36.99837142</v>
      </c>
      <c r="C15470" s="8">
        <f t="array" ref="C15470">PRODUCT(1-'Sparkling Model'!D$2:D$38^A15470)</f>
        <v>0.9983723367</v>
      </c>
    </row>
    <row r="15471">
      <c r="A15471" s="6">
        <v>15469.0</v>
      </c>
      <c r="B15471" s="17">
        <f t="array" ref="B15471">SUM(1-'Sparkling Model'!D$2:D$38^A15471)</f>
        <v>36.99837223</v>
      </c>
      <c r="C15471" s="8">
        <f t="array" ref="C15471">PRODUCT(1-'Sparkling Model'!D$2:D$38^A15471)</f>
        <v>0.9983731394</v>
      </c>
    </row>
    <row r="15472">
      <c r="A15472" s="6">
        <v>15470.0</v>
      </c>
      <c r="B15472" s="17">
        <f t="array" ref="B15472">SUM(1-'Sparkling Model'!D$2:D$38^A15472)</f>
        <v>36.99837303</v>
      </c>
      <c r="C15472" s="8">
        <f t="array" ref="C15472">PRODUCT(1-'Sparkling Model'!D$2:D$38^A15472)</f>
        <v>0.9983739417</v>
      </c>
    </row>
    <row r="15473">
      <c r="A15473" s="6">
        <v>15471.0</v>
      </c>
      <c r="B15473" s="17">
        <f t="array" ref="B15473">SUM(1-'Sparkling Model'!D$2:D$38^A15473)</f>
        <v>36.99837383</v>
      </c>
      <c r="C15473" s="8">
        <f t="array" ref="C15473">PRODUCT(1-'Sparkling Model'!D$2:D$38^A15473)</f>
        <v>0.9983747437</v>
      </c>
    </row>
    <row r="15474">
      <c r="A15474" s="6">
        <v>15472.0</v>
      </c>
      <c r="B15474" s="17">
        <f t="array" ref="B15474">SUM(1-'Sparkling Model'!D$2:D$38^A15474)</f>
        <v>36.99837464</v>
      </c>
      <c r="C15474" s="8">
        <f t="array" ref="C15474">PRODUCT(1-'Sparkling Model'!D$2:D$38^A15474)</f>
        <v>0.9983755452</v>
      </c>
    </row>
    <row r="15475">
      <c r="A15475" s="6">
        <v>15473.0</v>
      </c>
      <c r="B15475" s="17">
        <f t="array" ref="B15475">SUM(1-'Sparkling Model'!D$2:D$38^A15475)</f>
        <v>36.99837544</v>
      </c>
      <c r="C15475" s="8">
        <f t="array" ref="C15475">PRODUCT(1-'Sparkling Model'!D$2:D$38^A15475)</f>
        <v>0.9983763464</v>
      </c>
    </row>
    <row r="15476">
      <c r="A15476" s="6">
        <v>15474.0</v>
      </c>
      <c r="B15476" s="17">
        <f t="array" ref="B15476">SUM(1-'Sparkling Model'!D$2:D$38^A15476)</f>
        <v>36.99837624</v>
      </c>
      <c r="C15476" s="8">
        <f t="array" ref="C15476">PRODUCT(1-'Sparkling Model'!D$2:D$38^A15476)</f>
        <v>0.9983771471</v>
      </c>
    </row>
    <row r="15477">
      <c r="A15477" s="6">
        <v>15475.0</v>
      </c>
      <c r="B15477" s="17">
        <f t="array" ref="B15477">SUM(1-'Sparkling Model'!D$2:D$38^A15477)</f>
        <v>36.99837704</v>
      </c>
      <c r="C15477" s="8">
        <f t="array" ref="C15477">PRODUCT(1-'Sparkling Model'!D$2:D$38^A15477)</f>
        <v>0.9983779475</v>
      </c>
    </row>
    <row r="15478">
      <c r="A15478" s="6">
        <v>15476.0</v>
      </c>
      <c r="B15478" s="17">
        <f t="array" ref="B15478">SUM(1-'Sparkling Model'!D$2:D$38^A15478)</f>
        <v>36.99837784</v>
      </c>
      <c r="C15478" s="8">
        <f t="array" ref="C15478">PRODUCT(1-'Sparkling Model'!D$2:D$38^A15478)</f>
        <v>0.9983787474</v>
      </c>
    </row>
    <row r="15479">
      <c r="A15479" s="6">
        <v>15477.0</v>
      </c>
      <c r="B15479" s="17">
        <f t="array" ref="B15479">SUM(1-'Sparkling Model'!D$2:D$38^A15479)</f>
        <v>36.99837864</v>
      </c>
      <c r="C15479" s="8">
        <f t="array" ref="C15479">PRODUCT(1-'Sparkling Model'!D$2:D$38^A15479)</f>
        <v>0.998379547</v>
      </c>
    </row>
    <row r="15480">
      <c r="A15480" s="6">
        <v>15478.0</v>
      </c>
      <c r="B15480" s="17">
        <f t="array" ref="B15480">SUM(1-'Sparkling Model'!D$2:D$38^A15480)</f>
        <v>36.99837944</v>
      </c>
      <c r="C15480" s="8">
        <f t="array" ref="C15480">PRODUCT(1-'Sparkling Model'!D$2:D$38^A15480)</f>
        <v>0.9983803462</v>
      </c>
    </row>
    <row r="15481">
      <c r="A15481" s="6">
        <v>15479.0</v>
      </c>
      <c r="B15481" s="17">
        <f t="array" ref="B15481">SUM(1-'Sparkling Model'!D$2:D$38^A15481)</f>
        <v>36.99838024</v>
      </c>
      <c r="C15481" s="8">
        <f t="array" ref="C15481">PRODUCT(1-'Sparkling Model'!D$2:D$38^A15481)</f>
        <v>0.998381145</v>
      </c>
    </row>
    <row r="15482">
      <c r="A15482" s="6">
        <v>15480.0</v>
      </c>
      <c r="B15482" s="17">
        <f t="array" ref="B15482">SUM(1-'Sparkling Model'!D$2:D$38^A15482)</f>
        <v>36.99838104</v>
      </c>
      <c r="C15482" s="8">
        <f t="array" ref="C15482">PRODUCT(1-'Sparkling Model'!D$2:D$38^A15482)</f>
        <v>0.9983819433</v>
      </c>
    </row>
    <row r="15483">
      <c r="A15483" s="6">
        <v>15481.0</v>
      </c>
      <c r="B15483" s="17">
        <f t="array" ref="B15483">SUM(1-'Sparkling Model'!D$2:D$38^A15483)</f>
        <v>36.99838184</v>
      </c>
      <c r="C15483" s="8">
        <f t="array" ref="C15483">PRODUCT(1-'Sparkling Model'!D$2:D$38^A15483)</f>
        <v>0.9983827413</v>
      </c>
    </row>
    <row r="15484">
      <c r="A15484" s="6">
        <v>15482.0</v>
      </c>
      <c r="B15484" s="17">
        <f t="array" ref="B15484">SUM(1-'Sparkling Model'!D$2:D$38^A15484)</f>
        <v>36.99838264</v>
      </c>
      <c r="C15484" s="8">
        <f t="array" ref="C15484">PRODUCT(1-'Sparkling Model'!D$2:D$38^A15484)</f>
        <v>0.9983835389</v>
      </c>
    </row>
    <row r="15485">
      <c r="A15485" s="6">
        <v>15483.0</v>
      </c>
      <c r="B15485" s="17">
        <f t="array" ref="B15485">SUM(1-'Sparkling Model'!D$2:D$38^A15485)</f>
        <v>36.99838344</v>
      </c>
      <c r="C15485" s="8">
        <f t="array" ref="C15485">PRODUCT(1-'Sparkling Model'!D$2:D$38^A15485)</f>
        <v>0.9983843361</v>
      </c>
    </row>
    <row r="15486">
      <c r="A15486" s="6">
        <v>15484.0</v>
      </c>
      <c r="B15486" s="17">
        <f t="array" ref="B15486">SUM(1-'Sparkling Model'!D$2:D$38^A15486)</f>
        <v>36.99838423</v>
      </c>
      <c r="C15486" s="8">
        <f t="array" ref="C15486">PRODUCT(1-'Sparkling Model'!D$2:D$38^A15486)</f>
        <v>0.9983851329</v>
      </c>
    </row>
    <row r="15487">
      <c r="A15487" s="6">
        <v>15485.0</v>
      </c>
      <c r="B15487" s="17">
        <f t="array" ref="B15487">SUM(1-'Sparkling Model'!D$2:D$38^A15487)</f>
        <v>36.99838503</v>
      </c>
      <c r="C15487" s="8">
        <f t="array" ref="C15487">PRODUCT(1-'Sparkling Model'!D$2:D$38^A15487)</f>
        <v>0.9983859293</v>
      </c>
    </row>
    <row r="15488">
      <c r="A15488" s="6">
        <v>15486.0</v>
      </c>
      <c r="B15488" s="17">
        <f t="array" ref="B15488">SUM(1-'Sparkling Model'!D$2:D$38^A15488)</f>
        <v>36.99838583</v>
      </c>
      <c r="C15488" s="8">
        <f t="array" ref="C15488">PRODUCT(1-'Sparkling Model'!D$2:D$38^A15488)</f>
        <v>0.9983867254</v>
      </c>
    </row>
    <row r="15489">
      <c r="A15489" s="6">
        <v>15487.0</v>
      </c>
      <c r="B15489" s="17">
        <f t="array" ref="B15489">SUM(1-'Sparkling Model'!D$2:D$38^A15489)</f>
        <v>36.99838663</v>
      </c>
      <c r="C15489" s="8">
        <f t="array" ref="C15489">PRODUCT(1-'Sparkling Model'!D$2:D$38^A15489)</f>
        <v>0.998387521</v>
      </c>
    </row>
    <row r="15490">
      <c r="A15490" s="6">
        <v>15488.0</v>
      </c>
      <c r="B15490" s="17">
        <f t="array" ref="B15490">SUM(1-'Sparkling Model'!D$2:D$38^A15490)</f>
        <v>36.99838742</v>
      </c>
      <c r="C15490" s="8">
        <f t="array" ref="C15490">PRODUCT(1-'Sparkling Model'!D$2:D$38^A15490)</f>
        <v>0.9983883162</v>
      </c>
    </row>
    <row r="15491">
      <c r="A15491" s="6">
        <v>15489.0</v>
      </c>
      <c r="B15491" s="17">
        <f t="array" ref="B15491">SUM(1-'Sparkling Model'!D$2:D$38^A15491)</f>
        <v>36.99838822</v>
      </c>
      <c r="C15491" s="8">
        <f t="array" ref="C15491">PRODUCT(1-'Sparkling Model'!D$2:D$38^A15491)</f>
        <v>0.998389111</v>
      </c>
    </row>
    <row r="15492">
      <c r="A15492" s="6">
        <v>15490.0</v>
      </c>
      <c r="B15492" s="17">
        <f t="array" ref="B15492">SUM(1-'Sparkling Model'!D$2:D$38^A15492)</f>
        <v>36.99838901</v>
      </c>
      <c r="C15492" s="8">
        <f t="array" ref="C15492">PRODUCT(1-'Sparkling Model'!D$2:D$38^A15492)</f>
        <v>0.9983899055</v>
      </c>
    </row>
    <row r="15493">
      <c r="A15493" s="6">
        <v>15491.0</v>
      </c>
      <c r="B15493" s="17">
        <f t="array" ref="B15493">SUM(1-'Sparkling Model'!D$2:D$38^A15493)</f>
        <v>36.99838981</v>
      </c>
      <c r="C15493" s="8">
        <f t="array" ref="C15493">PRODUCT(1-'Sparkling Model'!D$2:D$38^A15493)</f>
        <v>0.9983906995</v>
      </c>
    </row>
    <row r="15494">
      <c r="A15494" s="6">
        <v>15492.0</v>
      </c>
      <c r="B15494" s="17">
        <f t="array" ref="B15494">SUM(1-'Sparkling Model'!D$2:D$38^A15494)</f>
        <v>36.9983906</v>
      </c>
      <c r="C15494" s="8">
        <f t="array" ref="C15494">PRODUCT(1-'Sparkling Model'!D$2:D$38^A15494)</f>
        <v>0.9983914932</v>
      </c>
    </row>
    <row r="15495">
      <c r="A15495" s="6">
        <v>15493.0</v>
      </c>
      <c r="B15495" s="17">
        <f t="array" ref="B15495">SUM(1-'Sparkling Model'!D$2:D$38^A15495)</f>
        <v>36.9983914</v>
      </c>
      <c r="C15495" s="8">
        <f t="array" ref="C15495">PRODUCT(1-'Sparkling Model'!D$2:D$38^A15495)</f>
        <v>0.9983922865</v>
      </c>
    </row>
    <row r="15496">
      <c r="A15496" s="6">
        <v>15494.0</v>
      </c>
      <c r="B15496" s="17">
        <f t="array" ref="B15496">SUM(1-'Sparkling Model'!D$2:D$38^A15496)</f>
        <v>36.99839219</v>
      </c>
      <c r="C15496" s="8">
        <f t="array" ref="C15496">PRODUCT(1-'Sparkling Model'!D$2:D$38^A15496)</f>
        <v>0.9983930793</v>
      </c>
    </row>
    <row r="15497">
      <c r="A15497" s="6">
        <v>15495.0</v>
      </c>
      <c r="B15497" s="17">
        <f t="array" ref="B15497">SUM(1-'Sparkling Model'!D$2:D$38^A15497)</f>
        <v>36.99839298</v>
      </c>
      <c r="C15497" s="8">
        <f t="array" ref="C15497">PRODUCT(1-'Sparkling Model'!D$2:D$38^A15497)</f>
        <v>0.9983938718</v>
      </c>
    </row>
    <row r="15498">
      <c r="A15498" s="6">
        <v>15496.0</v>
      </c>
      <c r="B15498" s="17">
        <f t="array" ref="B15498">SUM(1-'Sparkling Model'!D$2:D$38^A15498)</f>
        <v>36.99839378</v>
      </c>
      <c r="C15498" s="8">
        <f t="array" ref="C15498">PRODUCT(1-'Sparkling Model'!D$2:D$38^A15498)</f>
        <v>0.9983946639</v>
      </c>
    </row>
    <row r="15499">
      <c r="A15499" s="6">
        <v>15497.0</v>
      </c>
      <c r="B15499" s="17">
        <f t="array" ref="B15499">SUM(1-'Sparkling Model'!D$2:D$38^A15499)</f>
        <v>36.99839457</v>
      </c>
      <c r="C15499" s="8">
        <f t="array" ref="C15499">PRODUCT(1-'Sparkling Model'!D$2:D$38^A15499)</f>
        <v>0.9983954556</v>
      </c>
    </row>
    <row r="15500">
      <c r="A15500" s="6">
        <v>15498.0</v>
      </c>
      <c r="B15500" s="17">
        <f t="array" ref="B15500">SUM(1-'Sparkling Model'!D$2:D$38^A15500)</f>
        <v>36.99839536</v>
      </c>
      <c r="C15500" s="8">
        <f t="array" ref="C15500">PRODUCT(1-'Sparkling Model'!D$2:D$38^A15500)</f>
        <v>0.9983962469</v>
      </c>
    </row>
    <row r="15501">
      <c r="A15501" s="6">
        <v>15499.0</v>
      </c>
      <c r="B15501" s="17">
        <f t="array" ref="B15501">SUM(1-'Sparkling Model'!D$2:D$38^A15501)</f>
        <v>36.99839615</v>
      </c>
      <c r="C15501" s="8">
        <f t="array" ref="C15501">PRODUCT(1-'Sparkling Model'!D$2:D$38^A15501)</f>
        <v>0.9983970378</v>
      </c>
    </row>
    <row r="15502">
      <c r="A15502" s="6">
        <v>15500.0</v>
      </c>
      <c r="B15502" s="17">
        <f t="array" ref="B15502">SUM(1-'Sparkling Model'!D$2:D$38^A15502)</f>
        <v>36.99839694</v>
      </c>
      <c r="C15502" s="8">
        <f t="array" ref="C15502">PRODUCT(1-'Sparkling Model'!D$2:D$38^A15502)</f>
        <v>0.9983978283</v>
      </c>
    </row>
    <row r="15503">
      <c r="A15503" s="6">
        <v>15501.0</v>
      </c>
      <c r="B15503" s="17">
        <f t="array" ref="B15503">SUM(1-'Sparkling Model'!D$2:D$38^A15503)</f>
        <v>36.99839773</v>
      </c>
      <c r="C15503" s="8">
        <f t="array" ref="C15503">PRODUCT(1-'Sparkling Model'!D$2:D$38^A15503)</f>
        <v>0.9983986185</v>
      </c>
    </row>
    <row r="15504">
      <c r="A15504" s="6">
        <v>15502.0</v>
      </c>
      <c r="B15504" s="17">
        <f t="array" ref="B15504">SUM(1-'Sparkling Model'!D$2:D$38^A15504)</f>
        <v>36.99839853</v>
      </c>
      <c r="C15504" s="8">
        <f t="array" ref="C15504">PRODUCT(1-'Sparkling Model'!D$2:D$38^A15504)</f>
        <v>0.9983994082</v>
      </c>
    </row>
    <row r="15505">
      <c r="A15505" s="6">
        <v>15503.0</v>
      </c>
      <c r="B15505" s="17">
        <f t="array" ref="B15505">SUM(1-'Sparkling Model'!D$2:D$38^A15505)</f>
        <v>36.99839932</v>
      </c>
      <c r="C15505" s="8">
        <f t="array" ref="C15505">PRODUCT(1-'Sparkling Model'!D$2:D$38^A15505)</f>
        <v>0.9984001976</v>
      </c>
    </row>
    <row r="15506">
      <c r="A15506" s="6">
        <v>15504.0</v>
      </c>
      <c r="B15506" s="17">
        <f t="array" ref="B15506">SUM(1-'Sparkling Model'!D$2:D$38^A15506)</f>
        <v>36.99840011</v>
      </c>
      <c r="C15506" s="8">
        <f t="array" ref="C15506">PRODUCT(1-'Sparkling Model'!D$2:D$38^A15506)</f>
        <v>0.9984009865</v>
      </c>
    </row>
    <row r="15507">
      <c r="A15507" s="6">
        <v>15505.0</v>
      </c>
      <c r="B15507" s="17">
        <f t="array" ref="B15507">SUM(1-'Sparkling Model'!D$2:D$38^A15507)</f>
        <v>36.9984009</v>
      </c>
      <c r="C15507" s="8">
        <f t="array" ref="C15507">PRODUCT(1-'Sparkling Model'!D$2:D$38^A15507)</f>
        <v>0.9984017751</v>
      </c>
    </row>
    <row r="15508">
      <c r="A15508" s="6">
        <v>15506.0</v>
      </c>
      <c r="B15508" s="17">
        <f t="array" ref="B15508">SUM(1-'Sparkling Model'!D$2:D$38^A15508)</f>
        <v>36.99840168</v>
      </c>
      <c r="C15508" s="8">
        <f t="array" ref="C15508">PRODUCT(1-'Sparkling Model'!D$2:D$38^A15508)</f>
        <v>0.9984025633</v>
      </c>
    </row>
    <row r="15509">
      <c r="A15509" s="6">
        <v>15507.0</v>
      </c>
      <c r="B15509" s="17">
        <f t="array" ref="B15509">SUM(1-'Sparkling Model'!D$2:D$38^A15509)</f>
        <v>36.99840247</v>
      </c>
      <c r="C15509" s="8">
        <f t="array" ref="C15509">PRODUCT(1-'Sparkling Model'!D$2:D$38^A15509)</f>
        <v>0.9984033511</v>
      </c>
    </row>
    <row r="15510">
      <c r="A15510" s="6">
        <v>15508.0</v>
      </c>
      <c r="B15510" s="17">
        <f t="array" ref="B15510">SUM(1-'Sparkling Model'!D$2:D$38^A15510)</f>
        <v>36.99840326</v>
      </c>
      <c r="C15510" s="8">
        <f t="array" ref="C15510">PRODUCT(1-'Sparkling Model'!D$2:D$38^A15510)</f>
        <v>0.9984041385</v>
      </c>
    </row>
    <row r="15511">
      <c r="A15511" s="6">
        <v>15509.0</v>
      </c>
      <c r="B15511" s="17">
        <f t="array" ref="B15511">SUM(1-'Sparkling Model'!D$2:D$38^A15511)</f>
        <v>36.99840405</v>
      </c>
      <c r="C15511" s="8">
        <f t="array" ref="C15511">PRODUCT(1-'Sparkling Model'!D$2:D$38^A15511)</f>
        <v>0.9984049255</v>
      </c>
    </row>
    <row r="15512">
      <c r="A15512" s="6">
        <v>15510.0</v>
      </c>
      <c r="B15512" s="17">
        <f t="array" ref="B15512">SUM(1-'Sparkling Model'!D$2:D$38^A15512)</f>
        <v>36.99840484</v>
      </c>
      <c r="C15512" s="8">
        <f t="array" ref="C15512">PRODUCT(1-'Sparkling Model'!D$2:D$38^A15512)</f>
        <v>0.9984057121</v>
      </c>
    </row>
    <row r="15513">
      <c r="A15513" s="6">
        <v>15511.0</v>
      </c>
      <c r="B15513" s="17">
        <f t="array" ref="B15513">SUM(1-'Sparkling Model'!D$2:D$38^A15513)</f>
        <v>36.99840562</v>
      </c>
      <c r="C15513" s="8">
        <f t="array" ref="C15513">PRODUCT(1-'Sparkling Model'!D$2:D$38^A15513)</f>
        <v>0.9984064983</v>
      </c>
    </row>
    <row r="15514">
      <c r="A15514" s="6">
        <v>15512.0</v>
      </c>
      <c r="B15514" s="17">
        <f t="array" ref="B15514">SUM(1-'Sparkling Model'!D$2:D$38^A15514)</f>
        <v>36.99840641</v>
      </c>
      <c r="C15514" s="8">
        <f t="array" ref="C15514">PRODUCT(1-'Sparkling Model'!D$2:D$38^A15514)</f>
        <v>0.9984072842</v>
      </c>
    </row>
    <row r="15515">
      <c r="A15515" s="6">
        <v>15513.0</v>
      </c>
      <c r="B15515" s="17">
        <f t="array" ref="B15515">SUM(1-'Sparkling Model'!D$2:D$38^A15515)</f>
        <v>36.9984072</v>
      </c>
      <c r="C15515" s="8">
        <f t="array" ref="C15515">PRODUCT(1-'Sparkling Model'!D$2:D$38^A15515)</f>
        <v>0.9984080696</v>
      </c>
    </row>
    <row r="15516">
      <c r="A15516" s="6">
        <v>15514.0</v>
      </c>
      <c r="B15516" s="17">
        <f t="array" ref="B15516">SUM(1-'Sparkling Model'!D$2:D$38^A15516)</f>
        <v>36.99840798</v>
      </c>
      <c r="C15516" s="8">
        <f t="array" ref="C15516">PRODUCT(1-'Sparkling Model'!D$2:D$38^A15516)</f>
        <v>0.9984088547</v>
      </c>
    </row>
    <row r="15517">
      <c r="A15517" s="6">
        <v>15515.0</v>
      </c>
      <c r="B15517" s="17">
        <f t="array" ref="B15517">SUM(1-'Sparkling Model'!D$2:D$38^A15517)</f>
        <v>36.99840877</v>
      </c>
      <c r="C15517" s="8">
        <f t="array" ref="C15517">PRODUCT(1-'Sparkling Model'!D$2:D$38^A15517)</f>
        <v>0.9984096394</v>
      </c>
    </row>
    <row r="15518">
      <c r="A15518" s="6">
        <v>15516.0</v>
      </c>
      <c r="B15518" s="17">
        <f t="array" ref="B15518">SUM(1-'Sparkling Model'!D$2:D$38^A15518)</f>
        <v>36.99840955</v>
      </c>
      <c r="C15518" s="8">
        <f t="array" ref="C15518">PRODUCT(1-'Sparkling Model'!D$2:D$38^A15518)</f>
        <v>0.9984104237</v>
      </c>
    </row>
    <row r="15519">
      <c r="A15519" s="6">
        <v>15517.0</v>
      </c>
      <c r="B15519" s="17">
        <f t="array" ref="B15519">SUM(1-'Sparkling Model'!D$2:D$38^A15519)</f>
        <v>36.99841034</v>
      </c>
      <c r="C15519" s="8">
        <f t="array" ref="C15519">PRODUCT(1-'Sparkling Model'!D$2:D$38^A15519)</f>
        <v>0.9984112076</v>
      </c>
    </row>
    <row r="15520">
      <c r="A15520" s="6">
        <v>15518.0</v>
      </c>
      <c r="B15520" s="17">
        <f t="array" ref="B15520">SUM(1-'Sparkling Model'!D$2:D$38^A15520)</f>
        <v>36.99841112</v>
      </c>
      <c r="C15520" s="8">
        <f t="array" ref="C15520">PRODUCT(1-'Sparkling Model'!D$2:D$38^A15520)</f>
        <v>0.9984119911</v>
      </c>
    </row>
    <row r="15521">
      <c r="A15521" s="6">
        <v>15519.0</v>
      </c>
      <c r="B15521" s="17">
        <f t="array" ref="B15521">SUM(1-'Sparkling Model'!D$2:D$38^A15521)</f>
        <v>36.99841191</v>
      </c>
      <c r="C15521" s="8">
        <f t="array" ref="C15521">PRODUCT(1-'Sparkling Model'!D$2:D$38^A15521)</f>
        <v>0.9984127742</v>
      </c>
    </row>
    <row r="15522">
      <c r="A15522" s="6">
        <v>15520.0</v>
      </c>
      <c r="B15522" s="17">
        <f t="array" ref="B15522">SUM(1-'Sparkling Model'!D$2:D$38^A15522)</f>
        <v>36.99841269</v>
      </c>
      <c r="C15522" s="8">
        <f t="array" ref="C15522">PRODUCT(1-'Sparkling Model'!D$2:D$38^A15522)</f>
        <v>0.998413557</v>
      </c>
    </row>
    <row r="15523">
      <c r="A15523" s="6">
        <v>15521.0</v>
      </c>
      <c r="B15523" s="17">
        <f t="array" ref="B15523">SUM(1-'Sparkling Model'!D$2:D$38^A15523)</f>
        <v>36.99841347</v>
      </c>
      <c r="C15523" s="8">
        <f t="array" ref="C15523">PRODUCT(1-'Sparkling Model'!D$2:D$38^A15523)</f>
        <v>0.9984143393</v>
      </c>
    </row>
    <row r="15524">
      <c r="A15524" s="6">
        <v>15522.0</v>
      </c>
      <c r="B15524" s="17">
        <f t="array" ref="B15524">SUM(1-'Sparkling Model'!D$2:D$38^A15524)</f>
        <v>36.99841426</v>
      </c>
      <c r="C15524" s="8">
        <f t="array" ref="C15524">PRODUCT(1-'Sparkling Model'!D$2:D$38^A15524)</f>
        <v>0.9984151213</v>
      </c>
    </row>
    <row r="15525">
      <c r="A15525" s="6">
        <v>15523.0</v>
      </c>
      <c r="B15525" s="17">
        <f t="array" ref="B15525">SUM(1-'Sparkling Model'!D$2:D$38^A15525)</f>
        <v>36.99841504</v>
      </c>
      <c r="C15525" s="8">
        <f t="array" ref="C15525">PRODUCT(1-'Sparkling Model'!D$2:D$38^A15525)</f>
        <v>0.9984159029</v>
      </c>
    </row>
    <row r="15526">
      <c r="A15526" s="6">
        <v>15524.0</v>
      </c>
      <c r="B15526" s="17">
        <f t="array" ref="B15526">SUM(1-'Sparkling Model'!D$2:D$38^A15526)</f>
        <v>36.99841582</v>
      </c>
      <c r="C15526" s="8">
        <f t="array" ref="C15526">PRODUCT(1-'Sparkling Model'!D$2:D$38^A15526)</f>
        <v>0.9984166841</v>
      </c>
    </row>
    <row r="15527">
      <c r="A15527" s="6">
        <v>15525.0</v>
      </c>
      <c r="B15527" s="17">
        <f t="array" ref="B15527">SUM(1-'Sparkling Model'!D$2:D$38^A15527)</f>
        <v>36.9984166</v>
      </c>
      <c r="C15527" s="8">
        <f t="array" ref="C15527">PRODUCT(1-'Sparkling Model'!D$2:D$38^A15527)</f>
        <v>0.9984174649</v>
      </c>
    </row>
    <row r="15528">
      <c r="A15528" s="6">
        <v>15526.0</v>
      </c>
      <c r="B15528" s="17">
        <f t="array" ref="B15528">SUM(1-'Sparkling Model'!D$2:D$38^A15528)</f>
        <v>36.99841738</v>
      </c>
      <c r="C15528" s="8">
        <f t="array" ref="C15528">PRODUCT(1-'Sparkling Model'!D$2:D$38^A15528)</f>
        <v>0.9984182453</v>
      </c>
    </row>
    <row r="15529">
      <c r="A15529" s="6">
        <v>15527.0</v>
      </c>
      <c r="B15529" s="17">
        <f t="array" ref="B15529">SUM(1-'Sparkling Model'!D$2:D$38^A15529)</f>
        <v>36.99841816</v>
      </c>
      <c r="C15529" s="8">
        <f t="array" ref="C15529">PRODUCT(1-'Sparkling Model'!D$2:D$38^A15529)</f>
        <v>0.9984190253</v>
      </c>
    </row>
    <row r="15530">
      <c r="A15530" s="6">
        <v>15528.0</v>
      </c>
      <c r="B15530" s="17">
        <f t="array" ref="B15530">SUM(1-'Sparkling Model'!D$2:D$38^A15530)</f>
        <v>36.99841894</v>
      </c>
      <c r="C15530" s="8">
        <f t="array" ref="C15530">PRODUCT(1-'Sparkling Model'!D$2:D$38^A15530)</f>
        <v>0.998419805</v>
      </c>
    </row>
    <row r="15531">
      <c r="A15531" s="6">
        <v>15529.0</v>
      </c>
      <c r="B15531" s="17">
        <f t="array" ref="B15531">SUM(1-'Sparkling Model'!D$2:D$38^A15531)</f>
        <v>36.99841972</v>
      </c>
      <c r="C15531" s="8">
        <f t="array" ref="C15531">PRODUCT(1-'Sparkling Model'!D$2:D$38^A15531)</f>
        <v>0.9984205843</v>
      </c>
    </row>
    <row r="15532">
      <c r="A15532" s="6">
        <v>15530.0</v>
      </c>
      <c r="B15532" s="17">
        <f t="array" ref="B15532">SUM(1-'Sparkling Model'!D$2:D$38^A15532)</f>
        <v>36.9984205</v>
      </c>
      <c r="C15532" s="8">
        <f t="array" ref="C15532">PRODUCT(1-'Sparkling Model'!D$2:D$38^A15532)</f>
        <v>0.9984213631</v>
      </c>
    </row>
    <row r="15533">
      <c r="A15533" s="6">
        <v>15531.0</v>
      </c>
      <c r="B15533" s="17">
        <f t="array" ref="B15533">SUM(1-'Sparkling Model'!D$2:D$38^A15533)</f>
        <v>36.99842128</v>
      </c>
      <c r="C15533" s="8">
        <f t="array" ref="C15533">PRODUCT(1-'Sparkling Model'!D$2:D$38^A15533)</f>
        <v>0.9984221416</v>
      </c>
    </row>
    <row r="15534">
      <c r="A15534" s="6">
        <v>15532.0</v>
      </c>
      <c r="B15534" s="17">
        <f t="array" ref="B15534">SUM(1-'Sparkling Model'!D$2:D$38^A15534)</f>
        <v>36.99842206</v>
      </c>
      <c r="C15534" s="8">
        <f t="array" ref="C15534">PRODUCT(1-'Sparkling Model'!D$2:D$38^A15534)</f>
        <v>0.9984229197</v>
      </c>
    </row>
    <row r="15535">
      <c r="A15535" s="6">
        <v>15533.0</v>
      </c>
      <c r="B15535" s="17">
        <f t="array" ref="B15535">SUM(1-'Sparkling Model'!D$2:D$38^A15535)</f>
        <v>36.99842284</v>
      </c>
      <c r="C15535" s="8">
        <f t="array" ref="C15535">PRODUCT(1-'Sparkling Model'!D$2:D$38^A15535)</f>
        <v>0.9984236975</v>
      </c>
    </row>
    <row r="15536">
      <c r="A15536" s="6">
        <v>15534.0</v>
      </c>
      <c r="B15536" s="17">
        <f t="array" ref="B15536">SUM(1-'Sparkling Model'!D$2:D$38^A15536)</f>
        <v>36.99842362</v>
      </c>
      <c r="C15536" s="8">
        <f t="array" ref="C15536">PRODUCT(1-'Sparkling Model'!D$2:D$38^A15536)</f>
        <v>0.9984244748</v>
      </c>
    </row>
    <row r="15537">
      <c r="A15537" s="6">
        <v>15535.0</v>
      </c>
      <c r="B15537" s="17">
        <f t="array" ref="B15537">SUM(1-'Sparkling Model'!D$2:D$38^A15537)</f>
        <v>36.9984244</v>
      </c>
      <c r="C15537" s="8">
        <f t="array" ref="C15537">PRODUCT(1-'Sparkling Model'!D$2:D$38^A15537)</f>
        <v>0.9984252518</v>
      </c>
    </row>
    <row r="15538">
      <c r="A15538" s="6">
        <v>15536.0</v>
      </c>
      <c r="B15538" s="17">
        <f t="array" ref="B15538">SUM(1-'Sparkling Model'!D$2:D$38^A15538)</f>
        <v>36.99842517</v>
      </c>
      <c r="C15538" s="8">
        <f t="array" ref="C15538">PRODUCT(1-'Sparkling Model'!D$2:D$38^A15538)</f>
        <v>0.9984260283</v>
      </c>
    </row>
    <row r="15539">
      <c r="A15539" s="6">
        <v>15537.0</v>
      </c>
      <c r="B15539" s="17">
        <f t="array" ref="B15539">SUM(1-'Sparkling Model'!D$2:D$38^A15539)</f>
        <v>36.99842595</v>
      </c>
      <c r="C15539" s="8">
        <f t="array" ref="C15539">PRODUCT(1-'Sparkling Model'!D$2:D$38^A15539)</f>
        <v>0.9984268045</v>
      </c>
    </row>
    <row r="15540">
      <c r="A15540" s="6">
        <v>15538.0</v>
      </c>
      <c r="B15540" s="17">
        <f t="array" ref="B15540">SUM(1-'Sparkling Model'!D$2:D$38^A15540)</f>
        <v>36.99842673</v>
      </c>
      <c r="C15540" s="8">
        <f t="array" ref="C15540">PRODUCT(1-'Sparkling Model'!D$2:D$38^A15540)</f>
        <v>0.9984275803</v>
      </c>
    </row>
    <row r="15541">
      <c r="A15541" s="6">
        <v>15539.0</v>
      </c>
      <c r="B15541" s="17">
        <f t="array" ref="B15541">SUM(1-'Sparkling Model'!D$2:D$38^A15541)</f>
        <v>36.9984275</v>
      </c>
      <c r="C15541" s="8">
        <f t="array" ref="C15541">PRODUCT(1-'Sparkling Model'!D$2:D$38^A15541)</f>
        <v>0.9984283558</v>
      </c>
    </row>
    <row r="15542">
      <c r="A15542" s="6">
        <v>15540.0</v>
      </c>
      <c r="B15542" s="17">
        <f t="array" ref="B15542">SUM(1-'Sparkling Model'!D$2:D$38^A15542)</f>
        <v>36.99842828</v>
      </c>
      <c r="C15542" s="8">
        <f t="array" ref="C15542">PRODUCT(1-'Sparkling Model'!D$2:D$38^A15542)</f>
        <v>0.9984291308</v>
      </c>
    </row>
    <row r="15543">
      <c r="A15543" s="6">
        <v>15541.0</v>
      </c>
      <c r="B15543" s="17">
        <f t="array" ref="B15543">SUM(1-'Sparkling Model'!D$2:D$38^A15543)</f>
        <v>36.99842906</v>
      </c>
      <c r="C15543" s="8">
        <f t="array" ref="C15543">PRODUCT(1-'Sparkling Model'!D$2:D$38^A15543)</f>
        <v>0.9984299054</v>
      </c>
    </row>
    <row r="15544">
      <c r="A15544" s="6">
        <v>15542.0</v>
      </c>
      <c r="B15544" s="17">
        <f t="array" ref="B15544">SUM(1-'Sparkling Model'!D$2:D$38^A15544)</f>
        <v>36.99842983</v>
      </c>
      <c r="C15544" s="8">
        <f t="array" ref="C15544">PRODUCT(1-'Sparkling Model'!D$2:D$38^A15544)</f>
        <v>0.9984306797</v>
      </c>
    </row>
    <row r="15545">
      <c r="A15545" s="6">
        <v>15543.0</v>
      </c>
      <c r="B15545" s="17">
        <f t="array" ref="B15545">SUM(1-'Sparkling Model'!D$2:D$38^A15545)</f>
        <v>36.99843061</v>
      </c>
      <c r="C15545" s="8">
        <f t="array" ref="C15545">PRODUCT(1-'Sparkling Model'!D$2:D$38^A15545)</f>
        <v>0.9984314536</v>
      </c>
    </row>
    <row r="15546">
      <c r="A15546" s="6">
        <v>15544.0</v>
      </c>
      <c r="B15546" s="17">
        <f t="array" ref="B15546">SUM(1-'Sparkling Model'!D$2:D$38^A15546)</f>
        <v>36.99843138</v>
      </c>
      <c r="C15546" s="8">
        <f t="array" ref="C15546">PRODUCT(1-'Sparkling Model'!D$2:D$38^A15546)</f>
        <v>0.9984322271</v>
      </c>
    </row>
    <row r="15547">
      <c r="A15547" s="6">
        <v>15545.0</v>
      </c>
      <c r="B15547" s="17">
        <f t="array" ref="B15547">SUM(1-'Sparkling Model'!D$2:D$38^A15547)</f>
        <v>36.99843215</v>
      </c>
      <c r="C15547" s="8">
        <f t="array" ref="C15547">PRODUCT(1-'Sparkling Model'!D$2:D$38^A15547)</f>
        <v>0.9984330002</v>
      </c>
    </row>
    <row r="15548">
      <c r="A15548" s="6">
        <v>15546.0</v>
      </c>
      <c r="B15548" s="17">
        <f t="array" ref="B15548">SUM(1-'Sparkling Model'!D$2:D$38^A15548)</f>
        <v>36.99843293</v>
      </c>
      <c r="C15548" s="8">
        <f t="array" ref="C15548">PRODUCT(1-'Sparkling Model'!D$2:D$38^A15548)</f>
        <v>0.998433773</v>
      </c>
    </row>
    <row r="15549">
      <c r="A15549" s="6">
        <v>15547.0</v>
      </c>
      <c r="B15549" s="17">
        <f t="array" ref="B15549">SUM(1-'Sparkling Model'!D$2:D$38^A15549)</f>
        <v>36.9984337</v>
      </c>
      <c r="C15549" s="8">
        <f t="array" ref="C15549">PRODUCT(1-'Sparkling Model'!D$2:D$38^A15549)</f>
        <v>0.9984345453</v>
      </c>
    </row>
    <row r="15550">
      <c r="A15550" s="6">
        <v>15548.0</v>
      </c>
      <c r="B15550" s="17">
        <f t="array" ref="B15550">SUM(1-'Sparkling Model'!D$2:D$38^A15550)</f>
        <v>36.99843447</v>
      </c>
      <c r="C15550" s="8">
        <f t="array" ref="C15550">PRODUCT(1-'Sparkling Model'!D$2:D$38^A15550)</f>
        <v>0.9984353173</v>
      </c>
    </row>
    <row r="15551">
      <c r="A15551" s="6">
        <v>15549.0</v>
      </c>
      <c r="B15551" s="17">
        <f t="array" ref="B15551">SUM(1-'Sparkling Model'!D$2:D$38^A15551)</f>
        <v>36.99843525</v>
      </c>
      <c r="C15551" s="8">
        <f t="array" ref="C15551">PRODUCT(1-'Sparkling Model'!D$2:D$38^A15551)</f>
        <v>0.9984360889</v>
      </c>
    </row>
    <row r="15552">
      <c r="A15552" s="6">
        <v>15550.0</v>
      </c>
      <c r="B15552" s="17">
        <f t="array" ref="B15552">SUM(1-'Sparkling Model'!D$2:D$38^A15552)</f>
        <v>36.99843602</v>
      </c>
      <c r="C15552" s="8">
        <f t="array" ref="C15552">PRODUCT(1-'Sparkling Model'!D$2:D$38^A15552)</f>
        <v>0.9984368601</v>
      </c>
    </row>
    <row r="15553">
      <c r="A15553" s="6">
        <v>15551.0</v>
      </c>
      <c r="B15553" s="17">
        <f t="array" ref="B15553">SUM(1-'Sparkling Model'!D$2:D$38^A15553)</f>
        <v>36.99843679</v>
      </c>
      <c r="C15553" s="8">
        <f t="array" ref="C15553">PRODUCT(1-'Sparkling Model'!D$2:D$38^A15553)</f>
        <v>0.998437631</v>
      </c>
    </row>
    <row r="15554">
      <c r="A15554" s="6">
        <v>15552.0</v>
      </c>
      <c r="B15554" s="17">
        <f t="array" ref="B15554">SUM(1-'Sparkling Model'!D$2:D$38^A15554)</f>
        <v>36.99843756</v>
      </c>
      <c r="C15554" s="8">
        <f t="array" ref="C15554">PRODUCT(1-'Sparkling Model'!D$2:D$38^A15554)</f>
        <v>0.9984384014</v>
      </c>
    </row>
    <row r="15555">
      <c r="A15555" s="6">
        <v>15553.0</v>
      </c>
      <c r="B15555" s="17">
        <f t="array" ref="B15555">SUM(1-'Sparkling Model'!D$2:D$38^A15555)</f>
        <v>36.99843833</v>
      </c>
      <c r="C15555" s="8">
        <f t="array" ref="C15555">PRODUCT(1-'Sparkling Model'!D$2:D$38^A15555)</f>
        <v>0.9984391715</v>
      </c>
    </row>
    <row r="15556">
      <c r="A15556" s="6">
        <v>15554.0</v>
      </c>
      <c r="B15556" s="17">
        <f t="array" ref="B15556">SUM(1-'Sparkling Model'!D$2:D$38^A15556)</f>
        <v>36.9984391</v>
      </c>
      <c r="C15556" s="8">
        <f t="array" ref="C15556">PRODUCT(1-'Sparkling Model'!D$2:D$38^A15556)</f>
        <v>0.9984399412</v>
      </c>
    </row>
    <row r="15557">
      <c r="A15557" s="6">
        <v>15555.0</v>
      </c>
      <c r="B15557" s="17">
        <f t="array" ref="B15557">SUM(1-'Sparkling Model'!D$2:D$38^A15557)</f>
        <v>36.99843987</v>
      </c>
      <c r="C15557" s="8">
        <f t="array" ref="C15557">PRODUCT(1-'Sparkling Model'!D$2:D$38^A15557)</f>
        <v>0.9984407105</v>
      </c>
    </row>
    <row r="15558">
      <c r="A15558" s="6">
        <v>15556.0</v>
      </c>
      <c r="B15558" s="17">
        <f t="array" ref="B15558">SUM(1-'Sparkling Model'!D$2:D$38^A15558)</f>
        <v>36.99844064</v>
      </c>
      <c r="C15558" s="8">
        <f t="array" ref="C15558">PRODUCT(1-'Sparkling Model'!D$2:D$38^A15558)</f>
        <v>0.9984414794</v>
      </c>
    </row>
    <row r="15559">
      <c r="A15559" s="6">
        <v>15557.0</v>
      </c>
      <c r="B15559" s="17">
        <f t="array" ref="B15559">SUM(1-'Sparkling Model'!D$2:D$38^A15559)</f>
        <v>36.99844141</v>
      </c>
      <c r="C15559" s="8">
        <f t="array" ref="C15559">PRODUCT(1-'Sparkling Model'!D$2:D$38^A15559)</f>
        <v>0.998442248</v>
      </c>
    </row>
    <row r="15560">
      <c r="A15560" s="6">
        <v>15558.0</v>
      </c>
      <c r="B15560" s="17">
        <f t="array" ref="B15560">SUM(1-'Sparkling Model'!D$2:D$38^A15560)</f>
        <v>36.99844218</v>
      </c>
      <c r="C15560" s="8">
        <f t="array" ref="C15560">PRODUCT(1-'Sparkling Model'!D$2:D$38^A15560)</f>
        <v>0.9984430161</v>
      </c>
    </row>
    <row r="15561">
      <c r="A15561" s="6">
        <v>15559.0</v>
      </c>
      <c r="B15561" s="17">
        <f t="array" ref="B15561">SUM(1-'Sparkling Model'!D$2:D$38^A15561)</f>
        <v>36.99844295</v>
      </c>
      <c r="C15561" s="8">
        <f t="array" ref="C15561">PRODUCT(1-'Sparkling Model'!D$2:D$38^A15561)</f>
        <v>0.9984437839</v>
      </c>
    </row>
    <row r="15562">
      <c r="A15562" s="6">
        <v>15560.0</v>
      </c>
      <c r="B15562" s="17">
        <f t="array" ref="B15562">SUM(1-'Sparkling Model'!D$2:D$38^A15562)</f>
        <v>36.99844372</v>
      </c>
      <c r="C15562" s="8">
        <f t="array" ref="C15562">PRODUCT(1-'Sparkling Model'!D$2:D$38^A15562)</f>
        <v>0.9984445513</v>
      </c>
    </row>
    <row r="15563">
      <c r="A15563" s="6">
        <v>15561.0</v>
      </c>
      <c r="B15563" s="17">
        <f t="array" ref="B15563">SUM(1-'Sparkling Model'!D$2:D$38^A15563)</f>
        <v>36.99844449</v>
      </c>
      <c r="C15563" s="8">
        <f t="array" ref="C15563">PRODUCT(1-'Sparkling Model'!D$2:D$38^A15563)</f>
        <v>0.9984453184</v>
      </c>
    </row>
    <row r="15564">
      <c r="A15564" s="6">
        <v>15562.0</v>
      </c>
      <c r="B15564" s="17">
        <f t="array" ref="B15564">SUM(1-'Sparkling Model'!D$2:D$38^A15564)</f>
        <v>36.99844525</v>
      </c>
      <c r="C15564" s="8">
        <f t="array" ref="C15564">PRODUCT(1-'Sparkling Model'!D$2:D$38^A15564)</f>
        <v>0.998446085</v>
      </c>
    </row>
    <row r="15565">
      <c r="A15565" s="6">
        <v>15563.0</v>
      </c>
      <c r="B15565" s="17">
        <f t="array" ref="B15565">SUM(1-'Sparkling Model'!D$2:D$38^A15565)</f>
        <v>36.99844602</v>
      </c>
      <c r="C15565" s="8">
        <f t="array" ref="C15565">PRODUCT(1-'Sparkling Model'!D$2:D$38^A15565)</f>
        <v>0.9984468513</v>
      </c>
    </row>
    <row r="15566">
      <c r="A15566" s="6">
        <v>15564.0</v>
      </c>
      <c r="B15566" s="17">
        <f t="array" ref="B15566">SUM(1-'Sparkling Model'!D$2:D$38^A15566)</f>
        <v>36.99844679</v>
      </c>
      <c r="C15566" s="8">
        <f t="array" ref="C15566">PRODUCT(1-'Sparkling Model'!D$2:D$38^A15566)</f>
        <v>0.9984476172</v>
      </c>
    </row>
    <row r="15567">
      <c r="A15567" s="6">
        <v>15565.0</v>
      </c>
      <c r="B15567" s="17">
        <f t="array" ref="B15567">SUM(1-'Sparkling Model'!D$2:D$38^A15567)</f>
        <v>36.99844755</v>
      </c>
      <c r="C15567" s="8">
        <f t="array" ref="C15567">PRODUCT(1-'Sparkling Model'!D$2:D$38^A15567)</f>
        <v>0.9984483827</v>
      </c>
    </row>
    <row r="15568">
      <c r="A15568" s="6">
        <v>15566.0</v>
      </c>
      <c r="B15568" s="17">
        <f t="array" ref="B15568">SUM(1-'Sparkling Model'!D$2:D$38^A15568)</f>
        <v>36.99844832</v>
      </c>
      <c r="C15568" s="8">
        <f t="array" ref="C15568">PRODUCT(1-'Sparkling Model'!D$2:D$38^A15568)</f>
        <v>0.9984491478</v>
      </c>
    </row>
    <row r="15569">
      <c r="A15569" s="6">
        <v>15567.0</v>
      </c>
      <c r="B15569" s="17">
        <f t="array" ref="B15569">SUM(1-'Sparkling Model'!D$2:D$38^A15569)</f>
        <v>36.99844909</v>
      </c>
      <c r="C15569" s="8">
        <f t="array" ref="C15569">PRODUCT(1-'Sparkling Model'!D$2:D$38^A15569)</f>
        <v>0.9984499126</v>
      </c>
    </row>
    <row r="15570">
      <c r="A15570" s="6">
        <v>15568.0</v>
      </c>
      <c r="B15570" s="17">
        <f t="array" ref="B15570">SUM(1-'Sparkling Model'!D$2:D$38^A15570)</f>
        <v>36.99844985</v>
      </c>
      <c r="C15570" s="8">
        <f t="array" ref="C15570">PRODUCT(1-'Sparkling Model'!D$2:D$38^A15570)</f>
        <v>0.998450677</v>
      </c>
    </row>
    <row r="15571">
      <c r="A15571" s="6">
        <v>15569.0</v>
      </c>
      <c r="B15571" s="17">
        <f t="array" ref="B15571">SUM(1-'Sparkling Model'!D$2:D$38^A15571)</f>
        <v>36.99845062</v>
      </c>
      <c r="C15571" s="8">
        <f t="array" ref="C15571">PRODUCT(1-'Sparkling Model'!D$2:D$38^A15571)</f>
        <v>0.998451441</v>
      </c>
    </row>
    <row r="15572">
      <c r="A15572" s="6">
        <v>15570.0</v>
      </c>
      <c r="B15572" s="17">
        <f t="array" ref="B15572">SUM(1-'Sparkling Model'!D$2:D$38^A15572)</f>
        <v>36.99845138</v>
      </c>
      <c r="C15572" s="8">
        <f t="array" ref="C15572">PRODUCT(1-'Sparkling Model'!D$2:D$38^A15572)</f>
        <v>0.9984522046</v>
      </c>
    </row>
    <row r="15573">
      <c r="A15573" s="6">
        <v>15571.0</v>
      </c>
      <c r="B15573" s="17">
        <f t="array" ref="B15573">SUM(1-'Sparkling Model'!D$2:D$38^A15573)</f>
        <v>36.99845214</v>
      </c>
      <c r="C15573" s="8">
        <f t="array" ref="C15573">PRODUCT(1-'Sparkling Model'!D$2:D$38^A15573)</f>
        <v>0.9984529679</v>
      </c>
    </row>
    <row r="15574">
      <c r="A15574" s="6">
        <v>15572.0</v>
      </c>
      <c r="B15574" s="17">
        <f t="array" ref="B15574">SUM(1-'Sparkling Model'!D$2:D$38^A15574)</f>
        <v>36.99845291</v>
      </c>
      <c r="C15574" s="8">
        <f t="array" ref="C15574">PRODUCT(1-'Sparkling Model'!D$2:D$38^A15574)</f>
        <v>0.9984537307</v>
      </c>
    </row>
    <row r="15575">
      <c r="A15575" s="6">
        <v>15573.0</v>
      </c>
      <c r="B15575" s="17">
        <f t="array" ref="B15575">SUM(1-'Sparkling Model'!D$2:D$38^A15575)</f>
        <v>36.99845367</v>
      </c>
      <c r="C15575" s="8">
        <f t="array" ref="C15575">PRODUCT(1-'Sparkling Model'!D$2:D$38^A15575)</f>
        <v>0.9984544932</v>
      </c>
    </row>
    <row r="15576">
      <c r="A15576" s="6">
        <v>15574.0</v>
      </c>
      <c r="B15576" s="17">
        <f t="array" ref="B15576">SUM(1-'Sparkling Model'!D$2:D$38^A15576)</f>
        <v>36.99845443</v>
      </c>
      <c r="C15576" s="8">
        <f t="array" ref="C15576">PRODUCT(1-'Sparkling Model'!D$2:D$38^A15576)</f>
        <v>0.9984552553</v>
      </c>
    </row>
    <row r="15577">
      <c r="A15577" s="6">
        <v>15575.0</v>
      </c>
      <c r="B15577" s="17">
        <f t="array" ref="B15577">SUM(1-'Sparkling Model'!D$2:D$38^A15577)</f>
        <v>36.9984552</v>
      </c>
      <c r="C15577" s="8">
        <f t="array" ref="C15577">PRODUCT(1-'Sparkling Model'!D$2:D$38^A15577)</f>
        <v>0.9984560171</v>
      </c>
    </row>
    <row r="15578">
      <c r="A15578" s="6">
        <v>15576.0</v>
      </c>
      <c r="B15578" s="17">
        <f t="array" ref="B15578">SUM(1-'Sparkling Model'!D$2:D$38^A15578)</f>
        <v>36.99845596</v>
      </c>
      <c r="C15578" s="8">
        <f t="array" ref="C15578">PRODUCT(1-'Sparkling Model'!D$2:D$38^A15578)</f>
        <v>0.9984567784</v>
      </c>
    </row>
    <row r="15579">
      <c r="A15579" s="6">
        <v>15577.0</v>
      </c>
      <c r="B15579" s="17">
        <f t="array" ref="B15579">SUM(1-'Sparkling Model'!D$2:D$38^A15579)</f>
        <v>36.99845672</v>
      </c>
      <c r="C15579" s="8">
        <f t="array" ref="C15579">PRODUCT(1-'Sparkling Model'!D$2:D$38^A15579)</f>
        <v>0.9984575394</v>
      </c>
    </row>
    <row r="15580">
      <c r="A15580" s="6">
        <v>15578.0</v>
      </c>
      <c r="B15580" s="17">
        <f t="array" ref="B15580">SUM(1-'Sparkling Model'!D$2:D$38^A15580)</f>
        <v>36.99845748</v>
      </c>
      <c r="C15580" s="8">
        <f t="array" ref="C15580">PRODUCT(1-'Sparkling Model'!D$2:D$38^A15580)</f>
        <v>0.9984583</v>
      </c>
    </row>
    <row r="15581">
      <c r="A15581" s="6">
        <v>15579.0</v>
      </c>
      <c r="B15581" s="17">
        <f t="array" ref="B15581">SUM(1-'Sparkling Model'!D$2:D$38^A15581)</f>
        <v>36.99845824</v>
      </c>
      <c r="C15581" s="8">
        <f t="array" ref="C15581">PRODUCT(1-'Sparkling Model'!D$2:D$38^A15581)</f>
        <v>0.9984590603</v>
      </c>
    </row>
    <row r="15582">
      <c r="A15582" s="6">
        <v>15580.0</v>
      </c>
      <c r="B15582" s="17">
        <f t="array" ref="B15582">SUM(1-'Sparkling Model'!D$2:D$38^A15582)</f>
        <v>36.998459</v>
      </c>
      <c r="C15582" s="8">
        <f t="array" ref="C15582">PRODUCT(1-'Sparkling Model'!D$2:D$38^A15582)</f>
        <v>0.9984598201</v>
      </c>
    </row>
    <row r="15583">
      <c r="A15583" s="6">
        <v>15581.0</v>
      </c>
      <c r="B15583" s="17">
        <f t="array" ref="B15583">SUM(1-'Sparkling Model'!D$2:D$38^A15583)</f>
        <v>36.99845976</v>
      </c>
      <c r="C15583" s="8">
        <f t="array" ref="C15583">PRODUCT(1-'Sparkling Model'!D$2:D$38^A15583)</f>
        <v>0.9984605796</v>
      </c>
    </row>
    <row r="15584">
      <c r="A15584" s="6">
        <v>15582.0</v>
      </c>
      <c r="B15584" s="17">
        <f t="array" ref="B15584">SUM(1-'Sparkling Model'!D$2:D$38^A15584)</f>
        <v>36.99846052</v>
      </c>
      <c r="C15584" s="8">
        <f t="array" ref="C15584">PRODUCT(1-'Sparkling Model'!D$2:D$38^A15584)</f>
        <v>0.9984613387</v>
      </c>
    </row>
    <row r="15585">
      <c r="A15585" s="6">
        <v>15583.0</v>
      </c>
      <c r="B15585" s="17">
        <f t="array" ref="B15585">SUM(1-'Sparkling Model'!D$2:D$38^A15585)</f>
        <v>36.99846128</v>
      </c>
      <c r="C15585" s="8">
        <f t="array" ref="C15585">PRODUCT(1-'Sparkling Model'!D$2:D$38^A15585)</f>
        <v>0.9984620974</v>
      </c>
    </row>
    <row r="15586">
      <c r="A15586" s="6">
        <v>15584.0</v>
      </c>
      <c r="B15586" s="17">
        <f t="array" ref="B15586">SUM(1-'Sparkling Model'!D$2:D$38^A15586)</f>
        <v>36.99846204</v>
      </c>
      <c r="C15586" s="8">
        <f t="array" ref="C15586">PRODUCT(1-'Sparkling Model'!D$2:D$38^A15586)</f>
        <v>0.9984628558</v>
      </c>
    </row>
    <row r="15587">
      <c r="A15587" s="6">
        <v>15585.0</v>
      </c>
      <c r="B15587" s="17">
        <f t="array" ref="B15587">SUM(1-'Sparkling Model'!D$2:D$38^A15587)</f>
        <v>36.9984628</v>
      </c>
      <c r="C15587" s="8">
        <f t="array" ref="C15587">PRODUCT(1-'Sparkling Model'!D$2:D$38^A15587)</f>
        <v>0.9984636138</v>
      </c>
    </row>
    <row r="15588">
      <c r="A15588" s="6">
        <v>15586.0</v>
      </c>
      <c r="B15588" s="17">
        <f t="array" ref="B15588">SUM(1-'Sparkling Model'!D$2:D$38^A15588)</f>
        <v>36.99846356</v>
      </c>
      <c r="C15588" s="8">
        <f t="array" ref="C15588">PRODUCT(1-'Sparkling Model'!D$2:D$38^A15588)</f>
        <v>0.9984643714</v>
      </c>
    </row>
    <row r="15589">
      <c r="A15589" s="6">
        <v>15587.0</v>
      </c>
      <c r="B15589" s="17">
        <f t="array" ref="B15589">SUM(1-'Sparkling Model'!D$2:D$38^A15589)</f>
        <v>36.99846432</v>
      </c>
      <c r="C15589" s="8">
        <f t="array" ref="C15589">PRODUCT(1-'Sparkling Model'!D$2:D$38^A15589)</f>
        <v>0.9984651286</v>
      </c>
    </row>
    <row r="15590">
      <c r="A15590" s="6">
        <v>15588.0</v>
      </c>
      <c r="B15590" s="17">
        <f t="array" ref="B15590">SUM(1-'Sparkling Model'!D$2:D$38^A15590)</f>
        <v>36.99846507</v>
      </c>
      <c r="C15590" s="8">
        <f t="array" ref="C15590">PRODUCT(1-'Sparkling Model'!D$2:D$38^A15590)</f>
        <v>0.9984658855</v>
      </c>
    </row>
    <row r="15591">
      <c r="A15591" s="6">
        <v>15589.0</v>
      </c>
      <c r="B15591" s="17">
        <f t="array" ref="B15591">SUM(1-'Sparkling Model'!D$2:D$38^A15591)</f>
        <v>36.99846583</v>
      </c>
      <c r="C15591" s="8">
        <f t="array" ref="C15591">PRODUCT(1-'Sparkling Model'!D$2:D$38^A15591)</f>
        <v>0.998466642</v>
      </c>
    </row>
    <row r="15592">
      <c r="A15592" s="6">
        <v>15590.0</v>
      </c>
      <c r="B15592" s="17">
        <f t="array" ref="B15592">SUM(1-'Sparkling Model'!D$2:D$38^A15592)</f>
        <v>36.99846659</v>
      </c>
      <c r="C15592" s="8">
        <f t="array" ref="C15592">PRODUCT(1-'Sparkling Model'!D$2:D$38^A15592)</f>
        <v>0.9984673981</v>
      </c>
    </row>
    <row r="15593">
      <c r="A15593" s="6">
        <v>15591.0</v>
      </c>
      <c r="B15593" s="17">
        <f t="array" ref="B15593">SUM(1-'Sparkling Model'!D$2:D$38^A15593)</f>
        <v>36.99846735</v>
      </c>
      <c r="C15593" s="8">
        <f t="array" ref="C15593">PRODUCT(1-'Sparkling Model'!D$2:D$38^A15593)</f>
        <v>0.9984681538</v>
      </c>
    </row>
    <row r="15594">
      <c r="A15594" s="6">
        <v>15592.0</v>
      </c>
      <c r="B15594" s="17">
        <f t="array" ref="B15594">SUM(1-'Sparkling Model'!D$2:D$38^A15594)</f>
        <v>36.9984681</v>
      </c>
      <c r="C15594" s="8">
        <f t="array" ref="C15594">PRODUCT(1-'Sparkling Model'!D$2:D$38^A15594)</f>
        <v>0.9984689092</v>
      </c>
    </row>
    <row r="15595">
      <c r="A15595" s="6">
        <v>15593.0</v>
      </c>
      <c r="B15595" s="17">
        <f t="array" ref="B15595">SUM(1-'Sparkling Model'!D$2:D$38^A15595)</f>
        <v>36.99846886</v>
      </c>
      <c r="C15595" s="8">
        <f t="array" ref="C15595">PRODUCT(1-'Sparkling Model'!D$2:D$38^A15595)</f>
        <v>0.9984696642</v>
      </c>
    </row>
    <row r="15596">
      <c r="A15596" s="6">
        <v>15594.0</v>
      </c>
      <c r="B15596" s="17">
        <f t="array" ref="B15596">SUM(1-'Sparkling Model'!D$2:D$38^A15596)</f>
        <v>36.99846961</v>
      </c>
      <c r="C15596" s="8">
        <f t="array" ref="C15596">PRODUCT(1-'Sparkling Model'!D$2:D$38^A15596)</f>
        <v>0.9984704188</v>
      </c>
    </row>
    <row r="15597">
      <c r="A15597" s="6">
        <v>15595.0</v>
      </c>
      <c r="B15597" s="17">
        <f t="array" ref="B15597">SUM(1-'Sparkling Model'!D$2:D$38^A15597)</f>
        <v>36.99847037</v>
      </c>
      <c r="C15597" s="8">
        <f t="array" ref="C15597">PRODUCT(1-'Sparkling Model'!D$2:D$38^A15597)</f>
        <v>0.998471173</v>
      </c>
    </row>
    <row r="15598">
      <c r="A15598" s="6">
        <v>15596.0</v>
      </c>
      <c r="B15598" s="17">
        <f t="array" ref="B15598">SUM(1-'Sparkling Model'!D$2:D$38^A15598)</f>
        <v>36.99847112</v>
      </c>
      <c r="C15598" s="8">
        <f t="array" ref="C15598">PRODUCT(1-'Sparkling Model'!D$2:D$38^A15598)</f>
        <v>0.9984719269</v>
      </c>
    </row>
    <row r="15599">
      <c r="A15599" s="6">
        <v>15597.0</v>
      </c>
      <c r="B15599" s="17">
        <f t="array" ref="B15599">SUM(1-'Sparkling Model'!D$2:D$38^A15599)</f>
        <v>36.99847188</v>
      </c>
      <c r="C15599" s="8">
        <f t="array" ref="C15599">PRODUCT(1-'Sparkling Model'!D$2:D$38^A15599)</f>
        <v>0.9984726804</v>
      </c>
    </row>
    <row r="15600">
      <c r="A15600" s="6">
        <v>15598.0</v>
      </c>
      <c r="B15600" s="17">
        <f t="array" ref="B15600">SUM(1-'Sparkling Model'!D$2:D$38^A15600)</f>
        <v>36.99847263</v>
      </c>
      <c r="C15600" s="8">
        <f t="array" ref="C15600">PRODUCT(1-'Sparkling Model'!D$2:D$38^A15600)</f>
        <v>0.9984734335</v>
      </c>
    </row>
    <row r="15601">
      <c r="A15601" s="6">
        <v>15599.0</v>
      </c>
      <c r="B15601" s="17">
        <f t="array" ref="B15601">SUM(1-'Sparkling Model'!D$2:D$38^A15601)</f>
        <v>36.99847338</v>
      </c>
      <c r="C15601" s="8">
        <f t="array" ref="C15601">PRODUCT(1-'Sparkling Model'!D$2:D$38^A15601)</f>
        <v>0.9984741862</v>
      </c>
    </row>
    <row r="15602">
      <c r="A15602" s="6">
        <v>15600.0</v>
      </c>
      <c r="B15602" s="17">
        <f t="array" ref="B15602">SUM(1-'Sparkling Model'!D$2:D$38^A15602)</f>
        <v>36.99847414</v>
      </c>
      <c r="C15602" s="8">
        <f t="array" ref="C15602">PRODUCT(1-'Sparkling Model'!D$2:D$38^A15602)</f>
        <v>0.9984749386</v>
      </c>
    </row>
    <row r="15603">
      <c r="A15603" s="6">
        <v>15601.0</v>
      </c>
      <c r="B15603" s="17">
        <f t="array" ref="B15603">SUM(1-'Sparkling Model'!D$2:D$38^A15603)</f>
        <v>36.99847489</v>
      </c>
      <c r="C15603" s="8">
        <f t="array" ref="C15603">PRODUCT(1-'Sparkling Model'!D$2:D$38^A15603)</f>
        <v>0.9984756906</v>
      </c>
    </row>
    <row r="15604">
      <c r="A15604" s="6">
        <v>15602.0</v>
      </c>
      <c r="B15604" s="17">
        <f t="array" ref="B15604">SUM(1-'Sparkling Model'!D$2:D$38^A15604)</f>
        <v>36.99847564</v>
      </c>
      <c r="C15604" s="8">
        <f t="array" ref="C15604">PRODUCT(1-'Sparkling Model'!D$2:D$38^A15604)</f>
        <v>0.9984764423</v>
      </c>
    </row>
    <row r="15605">
      <c r="A15605" s="6">
        <v>15603.0</v>
      </c>
      <c r="B15605" s="17">
        <f t="array" ref="B15605">SUM(1-'Sparkling Model'!D$2:D$38^A15605)</f>
        <v>36.99847639</v>
      </c>
      <c r="C15605" s="8">
        <f t="array" ref="C15605">PRODUCT(1-'Sparkling Model'!D$2:D$38^A15605)</f>
        <v>0.9984771935</v>
      </c>
    </row>
    <row r="15606">
      <c r="A15606" s="6">
        <v>15604.0</v>
      </c>
      <c r="B15606" s="17">
        <f t="array" ref="B15606">SUM(1-'Sparkling Model'!D$2:D$38^A15606)</f>
        <v>36.99847715</v>
      </c>
      <c r="C15606" s="8">
        <f t="array" ref="C15606">PRODUCT(1-'Sparkling Model'!D$2:D$38^A15606)</f>
        <v>0.9984779444</v>
      </c>
    </row>
    <row r="15607">
      <c r="A15607" s="6">
        <v>15605.0</v>
      </c>
      <c r="B15607" s="17">
        <f t="array" ref="B15607">SUM(1-'Sparkling Model'!D$2:D$38^A15607)</f>
        <v>36.9984779</v>
      </c>
      <c r="C15607" s="8">
        <f t="array" ref="C15607">PRODUCT(1-'Sparkling Model'!D$2:D$38^A15607)</f>
        <v>0.998478695</v>
      </c>
    </row>
    <row r="15608">
      <c r="A15608" s="6">
        <v>15606.0</v>
      </c>
      <c r="B15608" s="17">
        <f t="array" ref="B15608">SUM(1-'Sparkling Model'!D$2:D$38^A15608)</f>
        <v>36.99847865</v>
      </c>
      <c r="C15608" s="8">
        <f t="array" ref="C15608">PRODUCT(1-'Sparkling Model'!D$2:D$38^A15608)</f>
        <v>0.9984794451</v>
      </c>
    </row>
    <row r="15609">
      <c r="A15609" s="6">
        <v>15607.0</v>
      </c>
      <c r="B15609" s="17">
        <f t="array" ref="B15609">SUM(1-'Sparkling Model'!D$2:D$38^A15609)</f>
        <v>36.9984794</v>
      </c>
      <c r="C15609" s="8">
        <f t="array" ref="C15609">PRODUCT(1-'Sparkling Model'!D$2:D$38^A15609)</f>
        <v>0.9984801949</v>
      </c>
    </row>
    <row r="15610">
      <c r="A15610" s="6">
        <v>15608.0</v>
      </c>
      <c r="B15610" s="17">
        <f t="array" ref="B15610">SUM(1-'Sparkling Model'!D$2:D$38^A15610)</f>
        <v>36.99848015</v>
      </c>
      <c r="C15610" s="8">
        <f t="array" ref="C15610">PRODUCT(1-'Sparkling Model'!D$2:D$38^A15610)</f>
        <v>0.9984809443</v>
      </c>
    </row>
    <row r="15611">
      <c r="A15611" s="6">
        <v>15609.0</v>
      </c>
      <c r="B15611" s="17">
        <f t="array" ref="B15611">SUM(1-'Sparkling Model'!D$2:D$38^A15611)</f>
        <v>36.9984809</v>
      </c>
      <c r="C15611" s="8">
        <f t="array" ref="C15611">PRODUCT(1-'Sparkling Model'!D$2:D$38^A15611)</f>
        <v>0.9984816933</v>
      </c>
    </row>
    <row r="15612">
      <c r="A15612" s="6">
        <v>15610.0</v>
      </c>
      <c r="B15612" s="17">
        <f t="array" ref="B15612">SUM(1-'Sparkling Model'!D$2:D$38^A15612)</f>
        <v>36.99848165</v>
      </c>
      <c r="C15612" s="8">
        <f t="array" ref="C15612">PRODUCT(1-'Sparkling Model'!D$2:D$38^A15612)</f>
        <v>0.998482442</v>
      </c>
    </row>
    <row r="15613">
      <c r="A15613" s="6">
        <v>15611.0</v>
      </c>
      <c r="B15613" s="17">
        <f t="array" ref="B15613">SUM(1-'Sparkling Model'!D$2:D$38^A15613)</f>
        <v>36.9984824</v>
      </c>
      <c r="C15613" s="8">
        <f t="array" ref="C15613">PRODUCT(1-'Sparkling Model'!D$2:D$38^A15613)</f>
        <v>0.9984831903</v>
      </c>
    </row>
    <row r="15614">
      <c r="A15614" s="6">
        <v>15612.0</v>
      </c>
      <c r="B15614" s="17">
        <f t="array" ref="B15614">SUM(1-'Sparkling Model'!D$2:D$38^A15614)</f>
        <v>36.99848315</v>
      </c>
      <c r="C15614" s="8">
        <f t="array" ref="C15614">PRODUCT(1-'Sparkling Model'!D$2:D$38^A15614)</f>
        <v>0.9984839382</v>
      </c>
    </row>
    <row r="15615">
      <c r="A15615" s="6">
        <v>15613.0</v>
      </c>
      <c r="B15615" s="17">
        <f t="array" ref="B15615">SUM(1-'Sparkling Model'!D$2:D$38^A15615)</f>
        <v>36.9984839</v>
      </c>
      <c r="C15615" s="8">
        <f t="array" ref="C15615">PRODUCT(1-'Sparkling Model'!D$2:D$38^A15615)</f>
        <v>0.9984846858</v>
      </c>
    </row>
    <row r="15616">
      <c r="A15616" s="6">
        <v>15614.0</v>
      </c>
      <c r="B15616" s="17">
        <f t="array" ref="B15616">SUM(1-'Sparkling Model'!D$2:D$38^A15616)</f>
        <v>36.99848464</v>
      </c>
      <c r="C15616" s="8">
        <f t="array" ref="C15616">PRODUCT(1-'Sparkling Model'!D$2:D$38^A15616)</f>
        <v>0.998485433</v>
      </c>
    </row>
    <row r="15617">
      <c r="A15617" s="6">
        <v>15615.0</v>
      </c>
      <c r="B15617" s="17">
        <f t="array" ref="B15617">SUM(1-'Sparkling Model'!D$2:D$38^A15617)</f>
        <v>36.99848539</v>
      </c>
      <c r="C15617" s="8">
        <f t="array" ref="C15617">PRODUCT(1-'Sparkling Model'!D$2:D$38^A15617)</f>
        <v>0.9984861798</v>
      </c>
    </row>
    <row r="15618">
      <c r="A15618" s="6">
        <v>15616.0</v>
      </c>
      <c r="B15618" s="17">
        <f t="array" ref="B15618">SUM(1-'Sparkling Model'!D$2:D$38^A15618)</f>
        <v>36.99848614</v>
      </c>
      <c r="C15618" s="8">
        <f t="array" ref="C15618">PRODUCT(1-'Sparkling Model'!D$2:D$38^A15618)</f>
        <v>0.9984869262</v>
      </c>
    </row>
    <row r="15619">
      <c r="A15619" s="6">
        <v>15617.0</v>
      </c>
      <c r="B15619" s="17">
        <f t="array" ref="B15619">SUM(1-'Sparkling Model'!D$2:D$38^A15619)</f>
        <v>36.99848688</v>
      </c>
      <c r="C15619" s="8">
        <f t="array" ref="C15619">PRODUCT(1-'Sparkling Model'!D$2:D$38^A15619)</f>
        <v>0.9984876723</v>
      </c>
    </row>
    <row r="15620">
      <c r="A15620" s="6">
        <v>15618.0</v>
      </c>
      <c r="B15620" s="17">
        <f t="array" ref="B15620">SUM(1-'Sparkling Model'!D$2:D$38^A15620)</f>
        <v>36.99848763</v>
      </c>
      <c r="C15620" s="8">
        <f t="array" ref="C15620">PRODUCT(1-'Sparkling Model'!D$2:D$38^A15620)</f>
        <v>0.998488418</v>
      </c>
    </row>
    <row r="15621">
      <c r="A15621" s="6">
        <v>15619.0</v>
      </c>
      <c r="B15621" s="17">
        <f t="array" ref="B15621">SUM(1-'Sparkling Model'!D$2:D$38^A15621)</f>
        <v>36.99848838</v>
      </c>
      <c r="C15621" s="8">
        <f t="array" ref="C15621">PRODUCT(1-'Sparkling Model'!D$2:D$38^A15621)</f>
        <v>0.9984891634</v>
      </c>
    </row>
    <row r="15622">
      <c r="A15622" s="6">
        <v>15620.0</v>
      </c>
      <c r="B15622" s="17">
        <f t="array" ref="B15622">SUM(1-'Sparkling Model'!D$2:D$38^A15622)</f>
        <v>36.99848912</v>
      </c>
      <c r="C15622" s="8">
        <f t="array" ref="C15622">PRODUCT(1-'Sparkling Model'!D$2:D$38^A15622)</f>
        <v>0.9984899084</v>
      </c>
    </row>
    <row r="15623">
      <c r="A15623" s="6">
        <v>15621.0</v>
      </c>
      <c r="B15623" s="17">
        <f t="array" ref="B15623">SUM(1-'Sparkling Model'!D$2:D$38^A15623)</f>
        <v>36.99848987</v>
      </c>
      <c r="C15623" s="8">
        <f t="array" ref="C15623">PRODUCT(1-'Sparkling Model'!D$2:D$38^A15623)</f>
        <v>0.998490653</v>
      </c>
    </row>
    <row r="15624">
      <c r="A15624" s="6">
        <v>15622.0</v>
      </c>
      <c r="B15624" s="17">
        <f t="array" ref="B15624">SUM(1-'Sparkling Model'!D$2:D$38^A15624)</f>
        <v>36.99849061</v>
      </c>
      <c r="C15624" s="8">
        <f t="array" ref="C15624">PRODUCT(1-'Sparkling Model'!D$2:D$38^A15624)</f>
        <v>0.9984913972</v>
      </c>
    </row>
    <row r="15625">
      <c r="A15625" s="6">
        <v>15623.0</v>
      </c>
      <c r="B15625" s="17">
        <f t="array" ref="B15625">SUM(1-'Sparkling Model'!D$2:D$38^A15625)</f>
        <v>36.99849136</v>
      </c>
      <c r="C15625" s="8">
        <f t="array" ref="C15625">PRODUCT(1-'Sparkling Model'!D$2:D$38^A15625)</f>
        <v>0.9984921411</v>
      </c>
    </row>
    <row r="15626">
      <c r="A15626" s="6">
        <v>15624.0</v>
      </c>
      <c r="B15626" s="17">
        <f t="array" ref="B15626">SUM(1-'Sparkling Model'!D$2:D$38^A15626)</f>
        <v>36.9984921</v>
      </c>
      <c r="C15626" s="8">
        <f t="array" ref="C15626">PRODUCT(1-'Sparkling Model'!D$2:D$38^A15626)</f>
        <v>0.9984928846</v>
      </c>
    </row>
    <row r="15627">
      <c r="A15627" s="6">
        <v>15625.0</v>
      </c>
      <c r="B15627" s="17">
        <f t="array" ref="B15627">SUM(1-'Sparkling Model'!D$2:D$38^A15627)</f>
        <v>36.99849285</v>
      </c>
      <c r="C15627" s="8">
        <f t="array" ref="C15627">PRODUCT(1-'Sparkling Model'!D$2:D$38^A15627)</f>
        <v>0.9984936277</v>
      </c>
    </row>
    <row r="15628">
      <c r="A15628" s="6">
        <v>15626.0</v>
      </c>
      <c r="B15628" s="17">
        <f t="array" ref="B15628">SUM(1-'Sparkling Model'!D$2:D$38^A15628)</f>
        <v>36.99849359</v>
      </c>
      <c r="C15628" s="8">
        <f t="array" ref="C15628">PRODUCT(1-'Sparkling Model'!D$2:D$38^A15628)</f>
        <v>0.9984943705</v>
      </c>
    </row>
    <row r="15629">
      <c r="A15629" s="6">
        <v>15627.0</v>
      </c>
      <c r="B15629" s="17">
        <f t="array" ref="B15629">SUM(1-'Sparkling Model'!D$2:D$38^A15629)</f>
        <v>36.99849433</v>
      </c>
      <c r="C15629" s="8">
        <f t="array" ref="C15629">PRODUCT(1-'Sparkling Model'!D$2:D$38^A15629)</f>
        <v>0.9984951129</v>
      </c>
    </row>
    <row r="15630">
      <c r="A15630" s="6">
        <v>15628.0</v>
      </c>
      <c r="B15630" s="17">
        <f t="array" ref="B15630">SUM(1-'Sparkling Model'!D$2:D$38^A15630)</f>
        <v>36.99849508</v>
      </c>
      <c r="C15630" s="8">
        <f t="array" ref="C15630">PRODUCT(1-'Sparkling Model'!D$2:D$38^A15630)</f>
        <v>0.9984958549</v>
      </c>
    </row>
    <row r="15631">
      <c r="A15631" s="6">
        <v>15629.0</v>
      </c>
      <c r="B15631" s="17">
        <f t="array" ref="B15631">SUM(1-'Sparkling Model'!D$2:D$38^A15631)</f>
        <v>36.99849582</v>
      </c>
      <c r="C15631" s="8">
        <f t="array" ref="C15631">PRODUCT(1-'Sparkling Model'!D$2:D$38^A15631)</f>
        <v>0.9984965966</v>
      </c>
    </row>
    <row r="15632">
      <c r="A15632" s="6">
        <v>15630.0</v>
      </c>
      <c r="B15632" s="17">
        <f t="array" ref="B15632">SUM(1-'Sparkling Model'!D$2:D$38^A15632)</f>
        <v>36.99849656</v>
      </c>
      <c r="C15632" s="8">
        <f t="array" ref="C15632">PRODUCT(1-'Sparkling Model'!D$2:D$38^A15632)</f>
        <v>0.9984973379</v>
      </c>
    </row>
    <row r="15633">
      <c r="A15633" s="6">
        <v>15631.0</v>
      </c>
      <c r="B15633" s="17">
        <f t="array" ref="B15633">SUM(1-'Sparkling Model'!D$2:D$38^A15633)</f>
        <v>36.9984973</v>
      </c>
      <c r="C15633" s="8">
        <f t="array" ref="C15633">PRODUCT(1-'Sparkling Model'!D$2:D$38^A15633)</f>
        <v>0.9984980788</v>
      </c>
    </row>
    <row r="15634">
      <c r="A15634" s="6">
        <v>15632.0</v>
      </c>
      <c r="B15634" s="17">
        <f t="array" ref="B15634">SUM(1-'Sparkling Model'!D$2:D$38^A15634)</f>
        <v>36.99849804</v>
      </c>
      <c r="C15634" s="8">
        <f t="array" ref="C15634">PRODUCT(1-'Sparkling Model'!D$2:D$38^A15634)</f>
        <v>0.9984988194</v>
      </c>
    </row>
    <row r="15635">
      <c r="A15635" s="6">
        <v>15633.0</v>
      </c>
      <c r="B15635" s="17">
        <f t="array" ref="B15635">SUM(1-'Sparkling Model'!D$2:D$38^A15635)</f>
        <v>36.99849878</v>
      </c>
      <c r="C15635" s="8">
        <f t="array" ref="C15635">PRODUCT(1-'Sparkling Model'!D$2:D$38^A15635)</f>
        <v>0.9984995596</v>
      </c>
    </row>
    <row r="15636">
      <c r="A15636" s="6">
        <v>15634.0</v>
      </c>
      <c r="B15636" s="17">
        <f t="array" ref="B15636">SUM(1-'Sparkling Model'!D$2:D$38^A15636)</f>
        <v>36.99849952</v>
      </c>
      <c r="C15636" s="8">
        <f t="array" ref="C15636">PRODUCT(1-'Sparkling Model'!D$2:D$38^A15636)</f>
        <v>0.9985002994</v>
      </c>
    </row>
    <row r="15637">
      <c r="A15637" s="6">
        <v>15635.0</v>
      </c>
      <c r="B15637" s="17">
        <f t="array" ref="B15637">SUM(1-'Sparkling Model'!D$2:D$38^A15637)</f>
        <v>36.99850027</v>
      </c>
      <c r="C15637" s="8">
        <f t="array" ref="C15637">PRODUCT(1-'Sparkling Model'!D$2:D$38^A15637)</f>
        <v>0.9985010389</v>
      </c>
    </row>
    <row r="15638">
      <c r="A15638" s="6">
        <v>15636.0</v>
      </c>
      <c r="B15638" s="17">
        <f t="array" ref="B15638">SUM(1-'Sparkling Model'!D$2:D$38^A15638)</f>
        <v>36.99850101</v>
      </c>
      <c r="C15638" s="8">
        <f t="array" ref="C15638">PRODUCT(1-'Sparkling Model'!D$2:D$38^A15638)</f>
        <v>0.998501778</v>
      </c>
    </row>
    <row r="15639">
      <c r="A15639" s="6">
        <v>15637.0</v>
      </c>
      <c r="B15639" s="17">
        <f t="array" ref="B15639">SUM(1-'Sparkling Model'!D$2:D$38^A15639)</f>
        <v>36.99850174</v>
      </c>
      <c r="C15639" s="8">
        <f t="array" ref="C15639">PRODUCT(1-'Sparkling Model'!D$2:D$38^A15639)</f>
        <v>0.9985025167</v>
      </c>
    </row>
    <row r="15640">
      <c r="A15640" s="6">
        <v>15638.0</v>
      </c>
      <c r="B15640" s="17">
        <f t="array" ref="B15640">SUM(1-'Sparkling Model'!D$2:D$38^A15640)</f>
        <v>36.99850248</v>
      </c>
      <c r="C15640" s="8">
        <f t="array" ref="C15640">PRODUCT(1-'Sparkling Model'!D$2:D$38^A15640)</f>
        <v>0.9985032551</v>
      </c>
    </row>
    <row r="15641">
      <c r="A15641" s="6">
        <v>15639.0</v>
      </c>
      <c r="B15641" s="17">
        <f t="array" ref="B15641">SUM(1-'Sparkling Model'!D$2:D$38^A15641)</f>
        <v>36.99850322</v>
      </c>
      <c r="C15641" s="8">
        <f t="array" ref="C15641">PRODUCT(1-'Sparkling Model'!D$2:D$38^A15641)</f>
        <v>0.9985039931</v>
      </c>
    </row>
    <row r="15642">
      <c r="A15642" s="6">
        <v>15640.0</v>
      </c>
      <c r="B15642" s="17">
        <f t="array" ref="B15642">SUM(1-'Sparkling Model'!D$2:D$38^A15642)</f>
        <v>36.99850396</v>
      </c>
      <c r="C15642" s="8">
        <f t="array" ref="C15642">PRODUCT(1-'Sparkling Model'!D$2:D$38^A15642)</f>
        <v>0.9985047308</v>
      </c>
    </row>
    <row r="15643">
      <c r="A15643" s="6">
        <v>15641.0</v>
      </c>
      <c r="B15643" s="17">
        <f t="array" ref="B15643">SUM(1-'Sparkling Model'!D$2:D$38^A15643)</f>
        <v>36.9985047</v>
      </c>
      <c r="C15643" s="8">
        <f t="array" ref="C15643">PRODUCT(1-'Sparkling Model'!D$2:D$38^A15643)</f>
        <v>0.998505468</v>
      </c>
    </row>
    <row r="15644">
      <c r="A15644" s="6">
        <v>15642.0</v>
      </c>
      <c r="B15644" s="17">
        <f t="array" ref="B15644">SUM(1-'Sparkling Model'!D$2:D$38^A15644)</f>
        <v>36.99850544</v>
      </c>
      <c r="C15644" s="8">
        <f t="array" ref="C15644">PRODUCT(1-'Sparkling Model'!D$2:D$38^A15644)</f>
        <v>0.998506205</v>
      </c>
    </row>
    <row r="15645">
      <c r="A15645" s="6">
        <v>15643.0</v>
      </c>
      <c r="B15645" s="17">
        <f t="array" ref="B15645">SUM(1-'Sparkling Model'!D$2:D$38^A15645)</f>
        <v>36.99850617</v>
      </c>
      <c r="C15645" s="8">
        <f t="array" ref="C15645">PRODUCT(1-'Sparkling Model'!D$2:D$38^A15645)</f>
        <v>0.9985069415</v>
      </c>
    </row>
    <row r="15646">
      <c r="A15646" s="6">
        <v>15644.0</v>
      </c>
      <c r="B15646" s="17">
        <f t="array" ref="B15646">SUM(1-'Sparkling Model'!D$2:D$38^A15646)</f>
        <v>36.99850691</v>
      </c>
      <c r="C15646" s="8">
        <f t="array" ref="C15646">PRODUCT(1-'Sparkling Model'!D$2:D$38^A15646)</f>
        <v>0.9985076777</v>
      </c>
    </row>
    <row r="15647">
      <c r="A15647" s="6">
        <v>15645.0</v>
      </c>
      <c r="B15647" s="17">
        <f t="array" ref="B15647">SUM(1-'Sparkling Model'!D$2:D$38^A15647)</f>
        <v>36.99850765</v>
      </c>
      <c r="C15647" s="8">
        <f t="array" ref="C15647">PRODUCT(1-'Sparkling Model'!D$2:D$38^A15647)</f>
        <v>0.9985084135</v>
      </c>
    </row>
    <row r="15648">
      <c r="A15648" s="6">
        <v>15646.0</v>
      </c>
      <c r="B15648" s="17">
        <f t="array" ref="B15648">SUM(1-'Sparkling Model'!D$2:D$38^A15648)</f>
        <v>36.99850838</v>
      </c>
      <c r="C15648" s="8">
        <f t="array" ref="C15648">PRODUCT(1-'Sparkling Model'!D$2:D$38^A15648)</f>
        <v>0.998509149</v>
      </c>
    </row>
    <row r="15649">
      <c r="A15649" s="6">
        <v>15647.0</v>
      </c>
      <c r="B15649" s="17">
        <f t="array" ref="B15649">SUM(1-'Sparkling Model'!D$2:D$38^A15649)</f>
        <v>36.99850912</v>
      </c>
      <c r="C15649" s="8">
        <f t="array" ref="C15649">PRODUCT(1-'Sparkling Model'!D$2:D$38^A15649)</f>
        <v>0.9985098841</v>
      </c>
    </row>
    <row r="15650">
      <c r="A15650" s="6">
        <v>15648.0</v>
      </c>
      <c r="B15650" s="17">
        <f t="array" ref="B15650">SUM(1-'Sparkling Model'!D$2:D$38^A15650)</f>
        <v>36.99850986</v>
      </c>
      <c r="C15650" s="8">
        <f t="array" ref="C15650">PRODUCT(1-'Sparkling Model'!D$2:D$38^A15650)</f>
        <v>0.9985106188</v>
      </c>
    </row>
    <row r="15651">
      <c r="A15651" s="6">
        <v>15649.0</v>
      </c>
      <c r="B15651" s="17">
        <f t="array" ref="B15651">SUM(1-'Sparkling Model'!D$2:D$38^A15651)</f>
        <v>36.99851059</v>
      </c>
      <c r="C15651" s="8">
        <f t="array" ref="C15651">PRODUCT(1-'Sparkling Model'!D$2:D$38^A15651)</f>
        <v>0.9985113532</v>
      </c>
    </row>
    <row r="15652">
      <c r="A15652" s="6">
        <v>15650.0</v>
      </c>
      <c r="B15652" s="17">
        <f t="array" ref="B15652">SUM(1-'Sparkling Model'!D$2:D$38^A15652)</f>
        <v>36.99851132</v>
      </c>
      <c r="C15652" s="8">
        <f t="array" ref="C15652">PRODUCT(1-'Sparkling Model'!D$2:D$38^A15652)</f>
        <v>0.9985120872</v>
      </c>
    </row>
    <row r="15653">
      <c r="A15653" s="6">
        <v>15651.0</v>
      </c>
      <c r="B15653" s="17">
        <f t="array" ref="B15653">SUM(1-'Sparkling Model'!D$2:D$38^A15653)</f>
        <v>36.99851206</v>
      </c>
      <c r="C15653" s="8">
        <f t="array" ref="C15653">PRODUCT(1-'Sparkling Model'!D$2:D$38^A15653)</f>
        <v>0.9985128208</v>
      </c>
    </row>
    <row r="15654">
      <c r="A15654" s="6">
        <v>15652.0</v>
      </c>
      <c r="B15654" s="17">
        <f t="array" ref="B15654">SUM(1-'Sparkling Model'!D$2:D$38^A15654)</f>
        <v>36.99851279</v>
      </c>
      <c r="C15654" s="8">
        <f t="array" ref="C15654">PRODUCT(1-'Sparkling Model'!D$2:D$38^A15654)</f>
        <v>0.9985135541</v>
      </c>
    </row>
    <row r="15655">
      <c r="A15655" s="6">
        <v>15653.0</v>
      </c>
      <c r="B15655" s="17">
        <f t="array" ref="B15655">SUM(1-'Sparkling Model'!D$2:D$38^A15655)</f>
        <v>36.99851353</v>
      </c>
      <c r="C15655" s="8">
        <f t="array" ref="C15655">PRODUCT(1-'Sparkling Model'!D$2:D$38^A15655)</f>
        <v>0.998514287</v>
      </c>
    </row>
    <row r="15656">
      <c r="A15656" s="6">
        <v>15654.0</v>
      </c>
      <c r="B15656" s="17">
        <f t="array" ref="B15656">SUM(1-'Sparkling Model'!D$2:D$38^A15656)</f>
        <v>36.99851426</v>
      </c>
      <c r="C15656" s="8">
        <f t="array" ref="C15656">PRODUCT(1-'Sparkling Model'!D$2:D$38^A15656)</f>
        <v>0.9985150196</v>
      </c>
    </row>
    <row r="15657">
      <c r="A15657" s="6">
        <v>15655.0</v>
      </c>
      <c r="B15657" s="17">
        <f t="array" ref="B15657">SUM(1-'Sparkling Model'!D$2:D$38^A15657)</f>
        <v>36.99851499</v>
      </c>
      <c r="C15657" s="8">
        <f t="array" ref="C15657">PRODUCT(1-'Sparkling Model'!D$2:D$38^A15657)</f>
        <v>0.9985157518</v>
      </c>
    </row>
    <row r="15658">
      <c r="A15658" s="6">
        <v>15656.0</v>
      </c>
      <c r="B15658" s="17">
        <f t="array" ref="B15658">SUM(1-'Sparkling Model'!D$2:D$38^A15658)</f>
        <v>36.99851573</v>
      </c>
      <c r="C15658" s="8">
        <f t="array" ref="C15658">PRODUCT(1-'Sparkling Model'!D$2:D$38^A15658)</f>
        <v>0.9985164836</v>
      </c>
    </row>
    <row r="15659">
      <c r="A15659" s="6">
        <v>15657.0</v>
      </c>
      <c r="B15659" s="17">
        <f t="array" ref="B15659">SUM(1-'Sparkling Model'!D$2:D$38^A15659)</f>
        <v>36.99851646</v>
      </c>
      <c r="C15659" s="8">
        <f t="array" ref="C15659">PRODUCT(1-'Sparkling Model'!D$2:D$38^A15659)</f>
        <v>0.9985172151</v>
      </c>
    </row>
    <row r="15660">
      <c r="A15660" s="6">
        <v>15658.0</v>
      </c>
      <c r="B15660" s="17">
        <f t="array" ref="B15660">SUM(1-'Sparkling Model'!D$2:D$38^A15660)</f>
        <v>36.99851719</v>
      </c>
      <c r="C15660" s="8">
        <f t="array" ref="C15660">PRODUCT(1-'Sparkling Model'!D$2:D$38^A15660)</f>
        <v>0.9985179462</v>
      </c>
    </row>
    <row r="15661">
      <c r="A15661" s="6">
        <v>15659.0</v>
      </c>
      <c r="B15661" s="17">
        <f t="array" ref="B15661">SUM(1-'Sparkling Model'!D$2:D$38^A15661)</f>
        <v>36.99851792</v>
      </c>
      <c r="C15661" s="8">
        <f t="array" ref="C15661">PRODUCT(1-'Sparkling Model'!D$2:D$38^A15661)</f>
        <v>0.9985186769</v>
      </c>
    </row>
    <row r="15662">
      <c r="A15662" s="6">
        <v>15660.0</v>
      </c>
      <c r="B15662" s="17">
        <f t="array" ref="B15662">SUM(1-'Sparkling Model'!D$2:D$38^A15662)</f>
        <v>36.99851865</v>
      </c>
      <c r="C15662" s="8">
        <f t="array" ref="C15662">PRODUCT(1-'Sparkling Model'!D$2:D$38^A15662)</f>
        <v>0.9985194073</v>
      </c>
    </row>
    <row r="15663">
      <c r="A15663" s="6">
        <v>15661.0</v>
      </c>
      <c r="B15663" s="17">
        <f t="array" ref="B15663">SUM(1-'Sparkling Model'!D$2:D$38^A15663)</f>
        <v>36.99851938</v>
      </c>
      <c r="C15663" s="8">
        <f t="array" ref="C15663">PRODUCT(1-'Sparkling Model'!D$2:D$38^A15663)</f>
        <v>0.9985201373</v>
      </c>
    </row>
    <row r="15664">
      <c r="A15664" s="6">
        <v>15662.0</v>
      </c>
      <c r="B15664" s="17">
        <f t="array" ref="B15664">SUM(1-'Sparkling Model'!D$2:D$38^A15664)</f>
        <v>36.99852011</v>
      </c>
      <c r="C15664" s="8">
        <f t="array" ref="C15664">PRODUCT(1-'Sparkling Model'!D$2:D$38^A15664)</f>
        <v>0.998520867</v>
      </c>
    </row>
    <row r="15665">
      <c r="A15665" s="6">
        <v>15663.0</v>
      </c>
      <c r="B15665" s="17">
        <f t="array" ref="B15665">SUM(1-'Sparkling Model'!D$2:D$38^A15665)</f>
        <v>36.99852084</v>
      </c>
      <c r="C15665" s="8">
        <f t="array" ref="C15665">PRODUCT(1-'Sparkling Model'!D$2:D$38^A15665)</f>
        <v>0.9985215963</v>
      </c>
    </row>
    <row r="15666">
      <c r="A15666" s="6">
        <v>15664.0</v>
      </c>
      <c r="B15666" s="17">
        <f t="array" ref="B15666">SUM(1-'Sparkling Model'!D$2:D$38^A15666)</f>
        <v>36.99852157</v>
      </c>
      <c r="C15666" s="8">
        <f t="array" ref="C15666">PRODUCT(1-'Sparkling Model'!D$2:D$38^A15666)</f>
        <v>0.9985223253</v>
      </c>
    </row>
    <row r="15667">
      <c r="A15667" s="6">
        <v>15665.0</v>
      </c>
      <c r="B15667" s="17">
        <f t="array" ref="B15667">SUM(1-'Sparkling Model'!D$2:D$38^A15667)</f>
        <v>36.9985223</v>
      </c>
      <c r="C15667" s="8">
        <f t="array" ref="C15667">PRODUCT(1-'Sparkling Model'!D$2:D$38^A15667)</f>
        <v>0.9985230538</v>
      </c>
    </row>
    <row r="15668">
      <c r="A15668" s="6">
        <v>15666.0</v>
      </c>
      <c r="B15668" s="17">
        <f t="array" ref="B15668">SUM(1-'Sparkling Model'!D$2:D$38^A15668)</f>
        <v>36.99852303</v>
      </c>
      <c r="C15668" s="8">
        <f t="array" ref="C15668">PRODUCT(1-'Sparkling Model'!D$2:D$38^A15668)</f>
        <v>0.9985237821</v>
      </c>
    </row>
    <row r="15669">
      <c r="A15669" s="6">
        <v>15667.0</v>
      </c>
      <c r="B15669" s="17">
        <f t="array" ref="B15669">SUM(1-'Sparkling Model'!D$2:D$38^A15669)</f>
        <v>36.99852376</v>
      </c>
      <c r="C15669" s="8">
        <f t="array" ref="C15669">PRODUCT(1-'Sparkling Model'!D$2:D$38^A15669)</f>
        <v>0.9985245099</v>
      </c>
    </row>
    <row r="15670">
      <c r="A15670" s="6">
        <v>15668.0</v>
      </c>
      <c r="B15670" s="17">
        <f t="array" ref="B15670">SUM(1-'Sparkling Model'!D$2:D$38^A15670)</f>
        <v>36.99852449</v>
      </c>
      <c r="C15670" s="8">
        <f t="array" ref="C15670">PRODUCT(1-'Sparkling Model'!D$2:D$38^A15670)</f>
        <v>0.9985252374</v>
      </c>
    </row>
    <row r="15671">
      <c r="A15671" s="6">
        <v>15669.0</v>
      </c>
      <c r="B15671" s="17">
        <f t="array" ref="B15671">SUM(1-'Sparkling Model'!D$2:D$38^A15671)</f>
        <v>36.99852522</v>
      </c>
      <c r="C15671" s="8">
        <f t="array" ref="C15671">PRODUCT(1-'Sparkling Model'!D$2:D$38^A15671)</f>
        <v>0.9985259646</v>
      </c>
    </row>
    <row r="15672">
      <c r="A15672" s="6">
        <v>15670.0</v>
      </c>
      <c r="B15672" s="17">
        <f t="array" ref="B15672">SUM(1-'Sparkling Model'!D$2:D$38^A15672)</f>
        <v>36.99852594</v>
      </c>
      <c r="C15672" s="8">
        <f t="array" ref="C15672">PRODUCT(1-'Sparkling Model'!D$2:D$38^A15672)</f>
        <v>0.9985266913</v>
      </c>
    </row>
    <row r="15673">
      <c r="A15673" s="6">
        <v>15671.0</v>
      </c>
      <c r="B15673" s="17">
        <f t="array" ref="B15673">SUM(1-'Sparkling Model'!D$2:D$38^A15673)</f>
        <v>36.99852667</v>
      </c>
      <c r="C15673" s="8">
        <f t="array" ref="C15673">PRODUCT(1-'Sparkling Model'!D$2:D$38^A15673)</f>
        <v>0.9985274178</v>
      </c>
    </row>
    <row r="15674">
      <c r="A15674" s="6">
        <v>15672.0</v>
      </c>
      <c r="B15674" s="17">
        <f t="array" ref="B15674">SUM(1-'Sparkling Model'!D$2:D$38^A15674)</f>
        <v>36.9985274</v>
      </c>
      <c r="C15674" s="8">
        <f t="array" ref="C15674">PRODUCT(1-'Sparkling Model'!D$2:D$38^A15674)</f>
        <v>0.9985281438</v>
      </c>
    </row>
    <row r="15675">
      <c r="A15675" s="6">
        <v>15673.0</v>
      </c>
      <c r="B15675" s="17">
        <f t="array" ref="B15675">SUM(1-'Sparkling Model'!D$2:D$38^A15675)</f>
        <v>36.99852812</v>
      </c>
      <c r="C15675" s="8">
        <f t="array" ref="C15675">PRODUCT(1-'Sparkling Model'!D$2:D$38^A15675)</f>
        <v>0.9985288695</v>
      </c>
    </row>
    <row r="15676">
      <c r="A15676" s="6">
        <v>15674.0</v>
      </c>
      <c r="B15676" s="17">
        <f t="array" ref="B15676">SUM(1-'Sparkling Model'!D$2:D$38^A15676)</f>
        <v>36.99852885</v>
      </c>
      <c r="C15676" s="8">
        <f t="array" ref="C15676">PRODUCT(1-'Sparkling Model'!D$2:D$38^A15676)</f>
        <v>0.9985295949</v>
      </c>
    </row>
    <row r="15677">
      <c r="A15677" s="6">
        <v>15675.0</v>
      </c>
      <c r="B15677" s="17">
        <f t="array" ref="B15677">SUM(1-'Sparkling Model'!D$2:D$38^A15677)</f>
        <v>36.99852958</v>
      </c>
      <c r="C15677" s="8">
        <f t="array" ref="C15677">PRODUCT(1-'Sparkling Model'!D$2:D$38^A15677)</f>
        <v>0.9985303199</v>
      </c>
    </row>
    <row r="15678">
      <c r="A15678" s="6">
        <v>15676.0</v>
      </c>
      <c r="B15678" s="17">
        <f t="array" ref="B15678">SUM(1-'Sparkling Model'!D$2:D$38^A15678)</f>
        <v>36.9985303</v>
      </c>
      <c r="C15678" s="8">
        <f t="array" ref="C15678">PRODUCT(1-'Sparkling Model'!D$2:D$38^A15678)</f>
        <v>0.9985310445</v>
      </c>
    </row>
    <row r="15679">
      <c r="A15679" s="6">
        <v>15677.0</v>
      </c>
      <c r="B15679" s="17">
        <f t="array" ref="B15679">SUM(1-'Sparkling Model'!D$2:D$38^A15679)</f>
        <v>36.99853103</v>
      </c>
      <c r="C15679" s="8">
        <f t="array" ref="C15679">PRODUCT(1-'Sparkling Model'!D$2:D$38^A15679)</f>
        <v>0.9985317688</v>
      </c>
    </row>
    <row r="15680">
      <c r="A15680" s="6">
        <v>15678.0</v>
      </c>
      <c r="B15680" s="17">
        <f t="array" ref="B15680">SUM(1-'Sparkling Model'!D$2:D$38^A15680)</f>
        <v>36.99853175</v>
      </c>
      <c r="C15680" s="8">
        <f t="array" ref="C15680">PRODUCT(1-'Sparkling Model'!D$2:D$38^A15680)</f>
        <v>0.9985324927</v>
      </c>
    </row>
    <row r="15681">
      <c r="A15681" s="6">
        <v>15679.0</v>
      </c>
      <c r="B15681" s="17">
        <f t="array" ref="B15681">SUM(1-'Sparkling Model'!D$2:D$38^A15681)</f>
        <v>36.99853248</v>
      </c>
      <c r="C15681" s="8">
        <f t="array" ref="C15681">PRODUCT(1-'Sparkling Model'!D$2:D$38^A15681)</f>
        <v>0.9985332162</v>
      </c>
    </row>
    <row r="15682">
      <c r="A15682" s="6">
        <v>15680.0</v>
      </c>
      <c r="B15682" s="17">
        <f t="array" ref="B15682">SUM(1-'Sparkling Model'!D$2:D$38^A15682)</f>
        <v>36.9985332</v>
      </c>
      <c r="C15682" s="8">
        <f t="array" ref="C15682">PRODUCT(1-'Sparkling Model'!D$2:D$38^A15682)</f>
        <v>0.9985339394</v>
      </c>
    </row>
    <row r="15683">
      <c r="A15683" s="6">
        <v>15681.0</v>
      </c>
      <c r="B15683" s="17">
        <f t="array" ref="B15683">SUM(1-'Sparkling Model'!D$2:D$38^A15683)</f>
        <v>36.99853392</v>
      </c>
      <c r="C15683" s="8">
        <f t="array" ref="C15683">PRODUCT(1-'Sparkling Model'!D$2:D$38^A15683)</f>
        <v>0.9985346623</v>
      </c>
    </row>
    <row r="15684">
      <c r="A15684" s="6">
        <v>15682.0</v>
      </c>
      <c r="B15684" s="17">
        <f t="array" ref="B15684">SUM(1-'Sparkling Model'!D$2:D$38^A15684)</f>
        <v>36.99853465</v>
      </c>
      <c r="C15684" s="8">
        <f t="array" ref="C15684">PRODUCT(1-'Sparkling Model'!D$2:D$38^A15684)</f>
        <v>0.9985353848</v>
      </c>
    </row>
    <row r="15685">
      <c r="A15685" s="6">
        <v>15683.0</v>
      </c>
      <c r="B15685" s="17">
        <f t="array" ref="B15685">SUM(1-'Sparkling Model'!D$2:D$38^A15685)</f>
        <v>36.99853537</v>
      </c>
      <c r="C15685" s="8">
        <f t="array" ref="C15685">PRODUCT(1-'Sparkling Model'!D$2:D$38^A15685)</f>
        <v>0.9985361069</v>
      </c>
    </row>
    <row r="15686">
      <c r="A15686" s="6">
        <v>15684.0</v>
      </c>
      <c r="B15686" s="17">
        <f t="array" ref="B15686">SUM(1-'Sparkling Model'!D$2:D$38^A15686)</f>
        <v>36.99853609</v>
      </c>
      <c r="C15686" s="8">
        <f t="array" ref="C15686">PRODUCT(1-'Sparkling Model'!D$2:D$38^A15686)</f>
        <v>0.9985368287</v>
      </c>
    </row>
    <row r="15687">
      <c r="A15687" s="6">
        <v>15685.0</v>
      </c>
      <c r="B15687" s="17">
        <f t="array" ref="B15687">SUM(1-'Sparkling Model'!D$2:D$38^A15687)</f>
        <v>36.99853681</v>
      </c>
      <c r="C15687" s="8">
        <f t="array" ref="C15687">PRODUCT(1-'Sparkling Model'!D$2:D$38^A15687)</f>
        <v>0.9985375501</v>
      </c>
    </row>
    <row r="15688">
      <c r="A15688" s="6">
        <v>15686.0</v>
      </c>
      <c r="B15688" s="17">
        <f t="array" ref="B15688">SUM(1-'Sparkling Model'!D$2:D$38^A15688)</f>
        <v>36.99853754</v>
      </c>
      <c r="C15688" s="8">
        <f t="array" ref="C15688">PRODUCT(1-'Sparkling Model'!D$2:D$38^A15688)</f>
        <v>0.9985382711</v>
      </c>
    </row>
    <row r="15689">
      <c r="A15689" s="6">
        <v>15687.0</v>
      </c>
      <c r="B15689" s="17">
        <f t="array" ref="B15689">SUM(1-'Sparkling Model'!D$2:D$38^A15689)</f>
        <v>36.99853826</v>
      </c>
      <c r="C15689" s="8">
        <f t="array" ref="C15689">PRODUCT(1-'Sparkling Model'!D$2:D$38^A15689)</f>
        <v>0.9985389918</v>
      </c>
    </row>
    <row r="15690">
      <c r="A15690" s="6">
        <v>15688.0</v>
      </c>
      <c r="B15690" s="17">
        <f t="array" ref="B15690">SUM(1-'Sparkling Model'!D$2:D$38^A15690)</f>
        <v>36.99853898</v>
      </c>
      <c r="C15690" s="8">
        <f t="array" ref="C15690">PRODUCT(1-'Sparkling Model'!D$2:D$38^A15690)</f>
        <v>0.9985397122</v>
      </c>
    </row>
    <row r="15691">
      <c r="A15691" s="6">
        <v>15689.0</v>
      </c>
      <c r="B15691" s="17">
        <f t="array" ref="B15691">SUM(1-'Sparkling Model'!D$2:D$38^A15691)</f>
        <v>36.9985397</v>
      </c>
      <c r="C15691" s="8">
        <f t="array" ref="C15691">PRODUCT(1-'Sparkling Model'!D$2:D$38^A15691)</f>
        <v>0.9985404322</v>
      </c>
    </row>
    <row r="15692">
      <c r="A15692" s="6">
        <v>15690.0</v>
      </c>
      <c r="B15692" s="17">
        <f t="array" ref="B15692">SUM(1-'Sparkling Model'!D$2:D$38^A15692)</f>
        <v>36.99854042</v>
      </c>
      <c r="C15692" s="8">
        <f t="array" ref="C15692">PRODUCT(1-'Sparkling Model'!D$2:D$38^A15692)</f>
        <v>0.9985411518</v>
      </c>
    </row>
    <row r="15693">
      <c r="A15693" s="6">
        <v>15691.0</v>
      </c>
      <c r="B15693" s="17">
        <f t="array" ref="B15693">SUM(1-'Sparkling Model'!D$2:D$38^A15693)</f>
        <v>36.99854114</v>
      </c>
      <c r="C15693" s="8">
        <f t="array" ref="C15693">PRODUCT(1-'Sparkling Model'!D$2:D$38^A15693)</f>
        <v>0.9985418711</v>
      </c>
    </row>
    <row r="15694">
      <c r="A15694" s="6">
        <v>15692.0</v>
      </c>
      <c r="B15694" s="17">
        <f t="array" ref="B15694">SUM(1-'Sparkling Model'!D$2:D$38^A15694)</f>
        <v>36.99854186</v>
      </c>
      <c r="C15694" s="8">
        <f t="array" ref="C15694">PRODUCT(1-'Sparkling Model'!D$2:D$38^A15694)</f>
        <v>0.99854259</v>
      </c>
    </row>
    <row r="15695">
      <c r="A15695" s="6">
        <v>15693.0</v>
      </c>
      <c r="B15695" s="17">
        <f t="array" ref="B15695">SUM(1-'Sparkling Model'!D$2:D$38^A15695)</f>
        <v>36.99854258</v>
      </c>
      <c r="C15695" s="8">
        <f t="array" ref="C15695">PRODUCT(1-'Sparkling Model'!D$2:D$38^A15695)</f>
        <v>0.9985433086</v>
      </c>
    </row>
    <row r="15696">
      <c r="A15696" s="6">
        <v>15694.0</v>
      </c>
      <c r="B15696" s="17">
        <f t="array" ref="B15696">SUM(1-'Sparkling Model'!D$2:D$38^A15696)</f>
        <v>36.9985433</v>
      </c>
      <c r="C15696" s="8">
        <f t="array" ref="C15696">PRODUCT(1-'Sparkling Model'!D$2:D$38^A15696)</f>
        <v>0.9985440268</v>
      </c>
    </row>
    <row r="15697">
      <c r="A15697" s="6">
        <v>15695.0</v>
      </c>
      <c r="B15697" s="17">
        <f t="array" ref="B15697">SUM(1-'Sparkling Model'!D$2:D$38^A15697)</f>
        <v>36.99854402</v>
      </c>
      <c r="C15697" s="8">
        <f t="array" ref="C15697">PRODUCT(1-'Sparkling Model'!D$2:D$38^A15697)</f>
        <v>0.9985447446</v>
      </c>
    </row>
    <row r="15698">
      <c r="A15698" s="6">
        <v>15696.0</v>
      </c>
      <c r="B15698" s="17">
        <f t="array" ref="B15698">SUM(1-'Sparkling Model'!D$2:D$38^A15698)</f>
        <v>36.99854473</v>
      </c>
      <c r="C15698" s="8">
        <f t="array" ref="C15698">PRODUCT(1-'Sparkling Model'!D$2:D$38^A15698)</f>
        <v>0.9985454621</v>
      </c>
    </row>
    <row r="15699">
      <c r="A15699" s="6">
        <v>15697.0</v>
      </c>
      <c r="B15699" s="17">
        <f t="array" ref="B15699">SUM(1-'Sparkling Model'!D$2:D$38^A15699)</f>
        <v>36.99854545</v>
      </c>
      <c r="C15699" s="8">
        <f t="array" ref="C15699">PRODUCT(1-'Sparkling Model'!D$2:D$38^A15699)</f>
        <v>0.9985461793</v>
      </c>
    </row>
    <row r="15700">
      <c r="A15700" s="6">
        <v>15698.0</v>
      </c>
      <c r="B15700" s="17">
        <f t="array" ref="B15700">SUM(1-'Sparkling Model'!D$2:D$38^A15700)</f>
        <v>36.99854617</v>
      </c>
      <c r="C15700" s="8">
        <f t="array" ref="C15700">PRODUCT(1-'Sparkling Model'!D$2:D$38^A15700)</f>
        <v>0.9985468961</v>
      </c>
    </row>
    <row r="15701">
      <c r="A15701" s="6">
        <v>15699.0</v>
      </c>
      <c r="B15701" s="17">
        <f t="array" ref="B15701">SUM(1-'Sparkling Model'!D$2:D$38^A15701)</f>
        <v>36.99854689</v>
      </c>
      <c r="C15701" s="8">
        <f t="array" ref="C15701">PRODUCT(1-'Sparkling Model'!D$2:D$38^A15701)</f>
        <v>0.9985476125</v>
      </c>
    </row>
    <row r="15702">
      <c r="A15702" s="6">
        <v>15700.0</v>
      </c>
      <c r="B15702" s="17">
        <f t="array" ref="B15702">SUM(1-'Sparkling Model'!D$2:D$38^A15702)</f>
        <v>36.9985476</v>
      </c>
      <c r="C15702" s="8">
        <f t="array" ref="C15702">PRODUCT(1-'Sparkling Model'!D$2:D$38^A15702)</f>
        <v>0.9985483286</v>
      </c>
    </row>
    <row r="15703">
      <c r="A15703" s="6">
        <v>15701.0</v>
      </c>
      <c r="B15703" s="17">
        <f t="array" ref="B15703">SUM(1-'Sparkling Model'!D$2:D$38^A15703)</f>
        <v>36.99854832</v>
      </c>
      <c r="C15703" s="8">
        <f t="array" ref="C15703">PRODUCT(1-'Sparkling Model'!D$2:D$38^A15703)</f>
        <v>0.9985490443</v>
      </c>
    </row>
    <row r="15704">
      <c r="A15704" s="6">
        <v>15702.0</v>
      </c>
      <c r="B15704" s="17">
        <f t="array" ref="B15704">SUM(1-'Sparkling Model'!D$2:D$38^A15704)</f>
        <v>36.99854904</v>
      </c>
      <c r="C15704" s="8">
        <f t="array" ref="C15704">PRODUCT(1-'Sparkling Model'!D$2:D$38^A15704)</f>
        <v>0.9985497597</v>
      </c>
    </row>
    <row r="15705">
      <c r="A15705" s="6">
        <v>15703.0</v>
      </c>
      <c r="B15705" s="17">
        <f t="array" ref="B15705">SUM(1-'Sparkling Model'!D$2:D$38^A15705)</f>
        <v>36.99854975</v>
      </c>
      <c r="C15705" s="8">
        <f t="array" ref="C15705">PRODUCT(1-'Sparkling Model'!D$2:D$38^A15705)</f>
        <v>0.9985504747</v>
      </c>
    </row>
    <row r="15706">
      <c r="A15706" s="6">
        <v>15704.0</v>
      </c>
      <c r="B15706" s="17">
        <f t="array" ref="B15706">SUM(1-'Sparkling Model'!D$2:D$38^A15706)</f>
        <v>36.99855047</v>
      </c>
      <c r="C15706" s="8">
        <f t="array" ref="C15706">PRODUCT(1-'Sparkling Model'!D$2:D$38^A15706)</f>
        <v>0.9985511894</v>
      </c>
    </row>
    <row r="15707">
      <c r="A15707" s="6">
        <v>15705.0</v>
      </c>
      <c r="B15707" s="17">
        <f t="array" ref="B15707">SUM(1-'Sparkling Model'!D$2:D$38^A15707)</f>
        <v>36.99855118</v>
      </c>
      <c r="C15707" s="8">
        <f t="array" ref="C15707">PRODUCT(1-'Sparkling Model'!D$2:D$38^A15707)</f>
        <v>0.9985519037</v>
      </c>
    </row>
    <row r="15708">
      <c r="A15708" s="6">
        <v>15706.0</v>
      </c>
      <c r="B15708" s="17">
        <f t="array" ref="B15708">SUM(1-'Sparkling Model'!D$2:D$38^A15708)</f>
        <v>36.9985519</v>
      </c>
      <c r="C15708" s="8">
        <f t="array" ref="C15708">PRODUCT(1-'Sparkling Model'!D$2:D$38^A15708)</f>
        <v>0.9985526176</v>
      </c>
    </row>
    <row r="15709">
      <c r="A15709" s="6">
        <v>15707.0</v>
      </c>
      <c r="B15709" s="17">
        <f t="array" ref="B15709">SUM(1-'Sparkling Model'!D$2:D$38^A15709)</f>
        <v>36.99855261</v>
      </c>
      <c r="C15709" s="8">
        <f t="array" ref="C15709">PRODUCT(1-'Sparkling Model'!D$2:D$38^A15709)</f>
        <v>0.9985533313</v>
      </c>
    </row>
    <row r="15710">
      <c r="A15710" s="6">
        <v>15708.0</v>
      </c>
      <c r="B15710" s="17">
        <f t="array" ref="B15710">SUM(1-'Sparkling Model'!D$2:D$38^A15710)</f>
        <v>36.99855332</v>
      </c>
      <c r="C15710" s="8">
        <f t="array" ref="C15710">PRODUCT(1-'Sparkling Model'!D$2:D$38^A15710)</f>
        <v>0.9985540445</v>
      </c>
    </row>
    <row r="15711">
      <c r="A15711" s="6">
        <v>15709.0</v>
      </c>
      <c r="B15711" s="17">
        <f t="array" ref="B15711">SUM(1-'Sparkling Model'!D$2:D$38^A15711)</f>
        <v>36.99855404</v>
      </c>
      <c r="C15711" s="8">
        <f t="array" ref="C15711">PRODUCT(1-'Sparkling Model'!D$2:D$38^A15711)</f>
        <v>0.9985547574</v>
      </c>
    </row>
    <row r="15712">
      <c r="A15712" s="6">
        <v>15710.0</v>
      </c>
      <c r="B15712" s="17">
        <f t="array" ref="B15712">SUM(1-'Sparkling Model'!D$2:D$38^A15712)</f>
        <v>36.99855475</v>
      </c>
      <c r="C15712" s="8">
        <f t="array" ref="C15712">PRODUCT(1-'Sparkling Model'!D$2:D$38^A15712)</f>
        <v>0.99855547</v>
      </c>
    </row>
    <row r="15713">
      <c r="A15713" s="6">
        <v>15711.0</v>
      </c>
      <c r="B15713" s="17">
        <f t="array" ref="B15713">SUM(1-'Sparkling Model'!D$2:D$38^A15713)</f>
        <v>36.99855546</v>
      </c>
      <c r="C15713" s="8">
        <f t="array" ref="C15713">PRODUCT(1-'Sparkling Model'!D$2:D$38^A15713)</f>
        <v>0.9985561822</v>
      </c>
    </row>
    <row r="15714">
      <c r="A15714" s="6">
        <v>15712.0</v>
      </c>
      <c r="B15714" s="17">
        <f t="array" ref="B15714">SUM(1-'Sparkling Model'!D$2:D$38^A15714)</f>
        <v>36.99855618</v>
      </c>
      <c r="C15714" s="8">
        <f t="array" ref="C15714">PRODUCT(1-'Sparkling Model'!D$2:D$38^A15714)</f>
        <v>0.998556894</v>
      </c>
    </row>
    <row r="15715">
      <c r="A15715" s="6">
        <v>15713.0</v>
      </c>
      <c r="B15715" s="17">
        <f t="array" ref="B15715">SUM(1-'Sparkling Model'!D$2:D$38^A15715)</f>
        <v>36.99855689</v>
      </c>
      <c r="C15715" s="8">
        <f t="array" ref="C15715">PRODUCT(1-'Sparkling Model'!D$2:D$38^A15715)</f>
        <v>0.9985576055</v>
      </c>
    </row>
    <row r="15716">
      <c r="A15716" s="6">
        <v>15714.0</v>
      </c>
      <c r="B15716" s="17">
        <f t="array" ref="B15716">SUM(1-'Sparkling Model'!D$2:D$38^A15716)</f>
        <v>36.9985576</v>
      </c>
      <c r="C15716" s="8">
        <f t="array" ref="C15716">PRODUCT(1-'Sparkling Model'!D$2:D$38^A15716)</f>
        <v>0.9985583166</v>
      </c>
    </row>
    <row r="15717">
      <c r="A15717" s="6">
        <v>15715.0</v>
      </c>
      <c r="B15717" s="17">
        <f t="array" ref="B15717">SUM(1-'Sparkling Model'!D$2:D$38^A15717)</f>
        <v>36.99855831</v>
      </c>
      <c r="C15717" s="8">
        <f t="array" ref="C15717">PRODUCT(1-'Sparkling Model'!D$2:D$38^A15717)</f>
        <v>0.9985590274</v>
      </c>
    </row>
    <row r="15718">
      <c r="A15718" s="6">
        <v>15716.0</v>
      </c>
      <c r="B15718" s="17">
        <f t="array" ref="B15718">SUM(1-'Sparkling Model'!D$2:D$38^A15718)</f>
        <v>36.99855902</v>
      </c>
      <c r="C15718" s="8">
        <f t="array" ref="C15718">PRODUCT(1-'Sparkling Model'!D$2:D$38^A15718)</f>
        <v>0.9985597379</v>
      </c>
    </row>
    <row r="15719">
      <c r="A15719" s="6">
        <v>15717.0</v>
      </c>
      <c r="B15719" s="17">
        <f t="array" ref="B15719">SUM(1-'Sparkling Model'!D$2:D$38^A15719)</f>
        <v>36.99855973</v>
      </c>
      <c r="C15719" s="8">
        <f t="array" ref="C15719">PRODUCT(1-'Sparkling Model'!D$2:D$38^A15719)</f>
        <v>0.998560448</v>
      </c>
    </row>
    <row r="15720">
      <c r="A15720" s="6">
        <v>15718.0</v>
      </c>
      <c r="B15720" s="17">
        <f t="array" ref="B15720">SUM(1-'Sparkling Model'!D$2:D$38^A15720)</f>
        <v>36.99856045</v>
      </c>
      <c r="C15720" s="8">
        <f t="array" ref="C15720">PRODUCT(1-'Sparkling Model'!D$2:D$38^A15720)</f>
        <v>0.9985611577</v>
      </c>
    </row>
    <row r="15721">
      <c r="A15721" s="6">
        <v>15719.0</v>
      </c>
      <c r="B15721" s="17">
        <f t="array" ref="B15721">SUM(1-'Sparkling Model'!D$2:D$38^A15721)</f>
        <v>36.99856116</v>
      </c>
      <c r="C15721" s="8">
        <f t="array" ref="C15721">PRODUCT(1-'Sparkling Model'!D$2:D$38^A15721)</f>
        <v>0.9985618671</v>
      </c>
    </row>
    <row r="15722">
      <c r="A15722" s="6">
        <v>15720.0</v>
      </c>
      <c r="B15722" s="17">
        <f t="array" ref="B15722">SUM(1-'Sparkling Model'!D$2:D$38^A15722)</f>
        <v>36.99856186</v>
      </c>
      <c r="C15722" s="8">
        <f t="array" ref="C15722">PRODUCT(1-'Sparkling Model'!D$2:D$38^A15722)</f>
        <v>0.9985625761</v>
      </c>
    </row>
    <row r="15723">
      <c r="A15723" s="6">
        <v>15721.0</v>
      </c>
      <c r="B15723" s="17">
        <f t="array" ref="B15723">SUM(1-'Sparkling Model'!D$2:D$38^A15723)</f>
        <v>36.99856257</v>
      </c>
      <c r="C15723" s="8">
        <f t="array" ref="C15723">PRODUCT(1-'Sparkling Model'!D$2:D$38^A15723)</f>
        <v>0.9985632848</v>
      </c>
    </row>
    <row r="15724">
      <c r="A15724" s="6">
        <v>15722.0</v>
      </c>
      <c r="B15724" s="17">
        <f t="array" ref="B15724">SUM(1-'Sparkling Model'!D$2:D$38^A15724)</f>
        <v>36.99856328</v>
      </c>
      <c r="C15724" s="8">
        <f t="array" ref="C15724">PRODUCT(1-'Sparkling Model'!D$2:D$38^A15724)</f>
        <v>0.9985639931</v>
      </c>
    </row>
    <row r="15725">
      <c r="A15725" s="6">
        <v>15723.0</v>
      </c>
      <c r="B15725" s="17">
        <f t="array" ref="B15725">SUM(1-'Sparkling Model'!D$2:D$38^A15725)</f>
        <v>36.99856399</v>
      </c>
      <c r="C15725" s="8">
        <f t="array" ref="C15725">PRODUCT(1-'Sparkling Model'!D$2:D$38^A15725)</f>
        <v>0.9985647011</v>
      </c>
    </row>
    <row r="15726">
      <c r="A15726" s="6">
        <v>15724.0</v>
      </c>
      <c r="B15726" s="17">
        <f t="array" ref="B15726">SUM(1-'Sparkling Model'!D$2:D$38^A15726)</f>
        <v>36.9985647</v>
      </c>
      <c r="C15726" s="8">
        <f t="array" ref="C15726">PRODUCT(1-'Sparkling Model'!D$2:D$38^A15726)</f>
        <v>0.9985654088</v>
      </c>
    </row>
    <row r="15727">
      <c r="A15727" s="6">
        <v>15725.0</v>
      </c>
      <c r="B15727" s="17">
        <f t="array" ref="B15727">SUM(1-'Sparkling Model'!D$2:D$38^A15727)</f>
        <v>36.99856541</v>
      </c>
      <c r="C15727" s="8">
        <f t="array" ref="C15727">PRODUCT(1-'Sparkling Model'!D$2:D$38^A15727)</f>
        <v>0.998566116</v>
      </c>
    </row>
    <row r="15728">
      <c r="A15728" s="6">
        <v>15726.0</v>
      </c>
      <c r="B15728" s="17">
        <f t="array" ref="B15728">SUM(1-'Sparkling Model'!D$2:D$38^A15728)</f>
        <v>36.99856612</v>
      </c>
      <c r="C15728" s="8">
        <f t="array" ref="C15728">PRODUCT(1-'Sparkling Model'!D$2:D$38^A15728)</f>
        <v>0.998566823</v>
      </c>
    </row>
    <row r="15729">
      <c r="A15729" s="6">
        <v>15727.0</v>
      </c>
      <c r="B15729" s="17">
        <f t="array" ref="B15729">SUM(1-'Sparkling Model'!D$2:D$38^A15729)</f>
        <v>36.99856682</v>
      </c>
      <c r="C15729" s="8">
        <f t="array" ref="C15729">PRODUCT(1-'Sparkling Model'!D$2:D$38^A15729)</f>
        <v>0.9985675296</v>
      </c>
    </row>
    <row r="15730">
      <c r="A15730" s="6">
        <v>15728.0</v>
      </c>
      <c r="B15730" s="17">
        <f t="array" ref="B15730">SUM(1-'Sparkling Model'!D$2:D$38^A15730)</f>
        <v>36.99856753</v>
      </c>
      <c r="C15730" s="8">
        <f t="array" ref="C15730">PRODUCT(1-'Sparkling Model'!D$2:D$38^A15730)</f>
        <v>0.9985682358</v>
      </c>
    </row>
    <row r="15731">
      <c r="A15731" s="6">
        <v>15729.0</v>
      </c>
      <c r="B15731" s="17">
        <f t="array" ref="B15731">SUM(1-'Sparkling Model'!D$2:D$38^A15731)</f>
        <v>36.99856824</v>
      </c>
      <c r="C15731" s="8">
        <f t="array" ref="C15731">PRODUCT(1-'Sparkling Model'!D$2:D$38^A15731)</f>
        <v>0.9985689417</v>
      </c>
    </row>
    <row r="15732">
      <c r="A15732" s="6">
        <v>15730.0</v>
      </c>
      <c r="B15732" s="17">
        <f t="array" ref="B15732">SUM(1-'Sparkling Model'!D$2:D$38^A15732)</f>
        <v>36.99856894</v>
      </c>
      <c r="C15732" s="8">
        <f t="array" ref="C15732">PRODUCT(1-'Sparkling Model'!D$2:D$38^A15732)</f>
        <v>0.9985696472</v>
      </c>
    </row>
    <row r="15733">
      <c r="A15733" s="6">
        <v>15731.0</v>
      </c>
      <c r="B15733" s="17">
        <f t="array" ref="B15733">SUM(1-'Sparkling Model'!D$2:D$38^A15733)</f>
        <v>36.99856965</v>
      </c>
      <c r="C15733" s="8">
        <f t="array" ref="C15733">PRODUCT(1-'Sparkling Model'!D$2:D$38^A15733)</f>
        <v>0.9985703524</v>
      </c>
    </row>
    <row r="15734">
      <c r="A15734" s="6">
        <v>15732.0</v>
      </c>
      <c r="B15734" s="17">
        <f t="array" ref="B15734">SUM(1-'Sparkling Model'!D$2:D$38^A15734)</f>
        <v>36.99857035</v>
      </c>
      <c r="C15734" s="8">
        <f t="array" ref="C15734">PRODUCT(1-'Sparkling Model'!D$2:D$38^A15734)</f>
        <v>0.9985710573</v>
      </c>
    </row>
    <row r="15735">
      <c r="A15735" s="6">
        <v>15733.0</v>
      </c>
      <c r="B15735" s="17">
        <f t="array" ref="B15735">SUM(1-'Sparkling Model'!D$2:D$38^A15735)</f>
        <v>36.99857106</v>
      </c>
      <c r="C15735" s="8">
        <f t="array" ref="C15735">PRODUCT(1-'Sparkling Model'!D$2:D$38^A15735)</f>
        <v>0.9985717618</v>
      </c>
    </row>
    <row r="15736">
      <c r="A15736" s="6">
        <v>15734.0</v>
      </c>
      <c r="B15736" s="17">
        <f t="array" ref="B15736">SUM(1-'Sparkling Model'!D$2:D$38^A15736)</f>
        <v>36.99857176</v>
      </c>
      <c r="C15736" s="8">
        <f t="array" ref="C15736">PRODUCT(1-'Sparkling Model'!D$2:D$38^A15736)</f>
        <v>0.9985724659</v>
      </c>
    </row>
    <row r="15737">
      <c r="A15737" s="6">
        <v>15735.0</v>
      </c>
      <c r="B15737" s="17">
        <f t="array" ref="B15737">SUM(1-'Sparkling Model'!D$2:D$38^A15737)</f>
        <v>36.99857247</v>
      </c>
      <c r="C15737" s="8">
        <f t="array" ref="C15737">PRODUCT(1-'Sparkling Model'!D$2:D$38^A15737)</f>
        <v>0.9985731697</v>
      </c>
    </row>
    <row r="15738">
      <c r="A15738" s="6">
        <v>15736.0</v>
      </c>
      <c r="B15738" s="17">
        <f t="array" ref="B15738">SUM(1-'Sparkling Model'!D$2:D$38^A15738)</f>
        <v>36.99857317</v>
      </c>
      <c r="C15738" s="8">
        <f t="array" ref="C15738">PRODUCT(1-'Sparkling Model'!D$2:D$38^A15738)</f>
        <v>0.9985738732</v>
      </c>
    </row>
    <row r="15739">
      <c r="A15739" s="6">
        <v>15737.0</v>
      </c>
      <c r="B15739" s="17">
        <f t="array" ref="B15739">SUM(1-'Sparkling Model'!D$2:D$38^A15739)</f>
        <v>36.99857388</v>
      </c>
      <c r="C15739" s="8">
        <f t="array" ref="C15739">PRODUCT(1-'Sparkling Model'!D$2:D$38^A15739)</f>
        <v>0.9985745763</v>
      </c>
    </row>
    <row r="15740">
      <c r="A15740" s="6">
        <v>15738.0</v>
      </c>
      <c r="B15740" s="17">
        <f t="array" ref="B15740">SUM(1-'Sparkling Model'!D$2:D$38^A15740)</f>
        <v>36.99857458</v>
      </c>
      <c r="C15740" s="8">
        <f t="array" ref="C15740">PRODUCT(1-'Sparkling Model'!D$2:D$38^A15740)</f>
        <v>0.998575279</v>
      </c>
    </row>
    <row r="15741">
      <c r="A15741" s="6">
        <v>15739.0</v>
      </c>
      <c r="B15741" s="17">
        <f t="array" ref="B15741">SUM(1-'Sparkling Model'!D$2:D$38^A15741)</f>
        <v>36.99857528</v>
      </c>
      <c r="C15741" s="8">
        <f t="array" ref="C15741">PRODUCT(1-'Sparkling Model'!D$2:D$38^A15741)</f>
        <v>0.9985759814</v>
      </c>
    </row>
    <row r="15742">
      <c r="A15742" s="6">
        <v>15740.0</v>
      </c>
      <c r="B15742" s="17">
        <f t="array" ref="B15742">SUM(1-'Sparkling Model'!D$2:D$38^A15742)</f>
        <v>36.99857599</v>
      </c>
      <c r="C15742" s="8">
        <f t="array" ref="C15742">PRODUCT(1-'Sparkling Model'!D$2:D$38^A15742)</f>
        <v>0.9985766835</v>
      </c>
    </row>
    <row r="15743">
      <c r="A15743" s="6">
        <v>15741.0</v>
      </c>
      <c r="B15743" s="17">
        <f t="array" ref="B15743">SUM(1-'Sparkling Model'!D$2:D$38^A15743)</f>
        <v>36.99857669</v>
      </c>
      <c r="C15743" s="8">
        <f t="array" ref="C15743">PRODUCT(1-'Sparkling Model'!D$2:D$38^A15743)</f>
        <v>0.9985773852</v>
      </c>
    </row>
    <row r="15744">
      <c r="A15744" s="6">
        <v>15742.0</v>
      </c>
      <c r="B15744" s="17">
        <f t="array" ref="B15744">SUM(1-'Sparkling Model'!D$2:D$38^A15744)</f>
        <v>36.99857739</v>
      </c>
      <c r="C15744" s="8">
        <f t="array" ref="C15744">PRODUCT(1-'Sparkling Model'!D$2:D$38^A15744)</f>
        <v>0.9985780866</v>
      </c>
    </row>
    <row r="15745">
      <c r="A15745" s="6">
        <v>15743.0</v>
      </c>
      <c r="B15745" s="17">
        <f t="array" ref="B15745">SUM(1-'Sparkling Model'!D$2:D$38^A15745)</f>
        <v>36.99857809</v>
      </c>
      <c r="C15745" s="8">
        <f t="array" ref="C15745">PRODUCT(1-'Sparkling Model'!D$2:D$38^A15745)</f>
        <v>0.9985787876</v>
      </c>
    </row>
    <row r="15746">
      <c r="A15746" s="6">
        <v>15744.0</v>
      </c>
      <c r="B15746" s="17">
        <f t="array" ref="B15746">SUM(1-'Sparkling Model'!D$2:D$38^A15746)</f>
        <v>36.99857879</v>
      </c>
      <c r="C15746" s="8">
        <f t="array" ref="C15746">PRODUCT(1-'Sparkling Model'!D$2:D$38^A15746)</f>
        <v>0.9985794883</v>
      </c>
    </row>
    <row r="15747">
      <c r="A15747" s="6">
        <v>15745.0</v>
      </c>
      <c r="B15747" s="17">
        <f t="array" ref="B15747">SUM(1-'Sparkling Model'!D$2:D$38^A15747)</f>
        <v>36.99857949</v>
      </c>
      <c r="C15747" s="8">
        <f t="array" ref="C15747">PRODUCT(1-'Sparkling Model'!D$2:D$38^A15747)</f>
        <v>0.9985801886</v>
      </c>
    </row>
    <row r="15748">
      <c r="A15748" s="6">
        <v>15746.0</v>
      </c>
      <c r="B15748" s="17">
        <f t="array" ref="B15748">SUM(1-'Sparkling Model'!D$2:D$38^A15748)</f>
        <v>36.9985802</v>
      </c>
      <c r="C15748" s="8">
        <f t="array" ref="C15748">PRODUCT(1-'Sparkling Model'!D$2:D$38^A15748)</f>
        <v>0.9985808886</v>
      </c>
    </row>
    <row r="15749">
      <c r="A15749" s="6">
        <v>15747.0</v>
      </c>
      <c r="B15749" s="17">
        <f t="array" ref="B15749">SUM(1-'Sparkling Model'!D$2:D$38^A15749)</f>
        <v>36.9985809</v>
      </c>
      <c r="C15749" s="8">
        <f t="array" ref="C15749">PRODUCT(1-'Sparkling Model'!D$2:D$38^A15749)</f>
        <v>0.9985815882</v>
      </c>
    </row>
    <row r="15750">
      <c r="A15750" s="6">
        <v>15748.0</v>
      </c>
      <c r="B15750" s="17">
        <f t="array" ref="B15750">SUM(1-'Sparkling Model'!D$2:D$38^A15750)</f>
        <v>36.9985816</v>
      </c>
      <c r="C15750" s="8">
        <f t="array" ref="C15750">PRODUCT(1-'Sparkling Model'!D$2:D$38^A15750)</f>
        <v>0.9985822875</v>
      </c>
    </row>
    <row r="15751">
      <c r="A15751" s="6">
        <v>15749.0</v>
      </c>
      <c r="B15751" s="17">
        <f t="array" ref="B15751">SUM(1-'Sparkling Model'!D$2:D$38^A15751)</f>
        <v>36.9985823</v>
      </c>
      <c r="C15751" s="8">
        <f t="array" ref="C15751">PRODUCT(1-'Sparkling Model'!D$2:D$38^A15751)</f>
        <v>0.9985829864</v>
      </c>
    </row>
    <row r="15752">
      <c r="A15752" s="6">
        <v>15750.0</v>
      </c>
      <c r="B15752" s="17">
        <f t="array" ref="B15752">SUM(1-'Sparkling Model'!D$2:D$38^A15752)</f>
        <v>36.99858299</v>
      </c>
      <c r="C15752" s="8">
        <f t="array" ref="C15752">PRODUCT(1-'Sparkling Model'!D$2:D$38^A15752)</f>
        <v>0.998583685</v>
      </c>
    </row>
    <row r="15753">
      <c r="A15753" s="6">
        <v>15751.0</v>
      </c>
      <c r="B15753" s="17">
        <f t="array" ref="B15753">SUM(1-'Sparkling Model'!D$2:D$38^A15753)</f>
        <v>36.99858369</v>
      </c>
      <c r="C15753" s="8">
        <f t="array" ref="C15753">PRODUCT(1-'Sparkling Model'!D$2:D$38^A15753)</f>
        <v>0.9985843833</v>
      </c>
    </row>
    <row r="15754">
      <c r="A15754" s="6">
        <v>15752.0</v>
      </c>
      <c r="B15754" s="17">
        <f t="array" ref="B15754">SUM(1-'Sparkling Model'!D$2:D$38^A15754)</f>
        <v>36.99858439</v>
      </c>
      <c r="C15754" s="8">
        <f t="array" ref="C15754">PRODUCT(1-'Sparkling Model'!D$2:D$38^A15754)</f>
        <v>0.9985850812</v>
      </c>
    </row>
    <row r="15755">
      <c r="A15755" s="6">
        <v>15753.0</v>
      </c>
      <c r="B15755" s="17">
        <f t="array" ref="B15755">SUM(1-'Sparkling Model'!D$2:D$38^A15755)</f>
        <v>36.99858509</v>
      </c>
      <c r="C15755" s="8">
        <f t="array" ref="C15755">PRODUCT(1-'Sparkling Model'!D$2:D$38^A15755)</f>
        <v>0.9985857787</v>
      </c>
    </row>
    <row r="15756">
      <c r="A15756" s="6">
        <v>15754.0</v>
      </c>
      <c r="B15756" s="17">
        <f t="array" ref="B15756">SUM(1-'Sparkling Model'!D$2:D$38^A15756)</f>
        <v>36.99858579</v>
      </c>
      <c r="C15756" s="8">
        <f t="array" ref="C15756">PRODUCT(1-'Sparkling Model'!D$2:D$38^A15756)</f>
        <v>0.998586476</v>
      </c>
    </row>
    <row r="15757">
      <c r="A15757" s="6">
        <v>15755.0</v>
      </c>
      <c r="B15757" s="17">
        <f t="array" ref="B15757">SUM(1-'Sparkling Model'!D$2:D$38^A15757)</f>
        <v>36.99858649</v>
      </c>
      <c r="C15757" s="8">
        <f t="array" ref="C15757">PRODUCT(1-'Sparkling Model'!D$2:D$38^A15757)</f>
        <v>0.9985871728</v>
      </c>
    </row>
    <row r="15758">
      <c r="A15758" s="6">
        <v>15756.0</v>
      </c>
      <c r="B15758" s="17">
        <f t="array" ref="B15758">SUM(1-'Sparkling Model'!D$2:D$38^A15758)</f>
        <v>36.99858718</v>
      </c>
      <c r="C15758" s="8">
        <f t="array" ref="C15758">PRODUCT(1-'Sparkling Model'!D$2:D$38^A15758)</f>
        <v>0.9985878694</v>
      </c>
    </row>
    <row r="15759">
      <c r="A15759" s="6">
        <v>15757.0</v>
      </c>
      <c r="B15759" s="17">
        <f t="array" ref="B15759">SUM(1-'Sparkling Model'!D$2:D$38^A15759)</f>
        <v>36.99858788</v>
      </c>
      <c r="C15759" s="8">
        <f t="array" ref="C15759">PRODUCT(1-'Sparkling Model'!D$2:D$38^A15759)</f>
        <v>0.9985885655</v>
      </c>
    </row>
    <row r="15760">
      <c r="A15760" s="6">
        <v>15758.0</v>
      </c>
      <c r="B15760" s="17">
        <f t="array" ref="B15760">SUM(1-'Sparkling Model'!D$2:D$38^A15760)</f>
        <v>36.99858858</v>
      </c>
      <c r="C15760" s="8">
        <f t="array" ref="C15760">PRODUCT(1-'Sparkling Model'!D$2:D$38^A15760)</f>
        <v>0.9985892614</v>
      </c>
    </row>
    <row r="15761">
      <c r="A15761" s="6">
        <v>15759.0</v>
      </c>
      <c r="B15761" s="17">
        <f t="array" ref="B15761">SUM(1-'Sparkling Model'!D$2:D$38^A15761)</f>
        <v>36.99858927</v>
      </c>
      <c r="C15761" s="8">
        <f t="array" ref="C15761">PRODUCT(1-'Sparkling Model'!D$2:D$38^A15761)</f>
        <v>0.9985899569</v>
      </c>
    </row>
    <row r="15762">
      <c r="A15762" s="6">
        <v>15760.0</v>
      </c>
      <c r="B15762" s="17">
        <f t="array" ref="B15762">SUM(1-'Sparkling Model'!D$2:D$38^A15762)</f>
        <v>36.99858997</v>
      </c>
      <c r="C15762" s="8">
        <f t="array" ref="C15762">PRODUCT(1-'Sparkling Model'!D$2:D$38^A15762)</f>
        <v>0.998590652</v>
      </c>
    </row>
    <row r="15763">
      <c r="A15763" s="6">
        <v>15761.0</v>
      </c>
      <c r="B15763" s="17">
        <f t="array" ref="B15763">SUM(1-'Sparkling Model'!D$2:D$38^A15763)</f>
        <v>36.99859066</v>
      </c>
      <c r="C15763" s="8">
        <f t="array" ref="C15763">PRODUCT(1-'Sparkling Model'!D$2:D$38^A15763)</f>
        <v>0.9985913468</v>
      </c>
    </row>
    <row r="15764">
      <c r="A15764" s="6">
        <v>15762.0</v>
      </c>
      <c r="B15764" s="17">
        <f t="array" ref="B15764">SUM(1-'Sparkling Model'!D$2:D$38^A15764)</f>
        <v>36.99859136</v>
      </c>
      <c r="C15764" s="8">
        <f t="array" ref="C15764">PRODUCT(1-'Sparkling Model'!D$2:D$38^A15764)</f>
        <v>0.9985920413</v>
      </c>
    </row>
    <row r="15765">
      <c r="A15765" s="6">
        <v>15763.0</v>
      </c>
      <c r="B15765" s="17">
        <f t="array" ref="B15765">SUM(1-'Sparkling Model'!D$2:D$38^A15765)</f>
        <v>36.99859205</v>
      </c>
      <c r="C15765" s="8">
        <f t="array" ref="C15765">PRODUCT(1-'Sparkling Model'!D$2:D$38^A15765)</f>
        <v>0.9985927354</v>
      </c>
    </row>
    <row r="15766">
      <c r="A15766" s="6">
        <v>15764.0</v>
      </c>
      <c r="B15766" s="17">
        <f t="array" ref="B15766">SUM(1-'Sparkling Model'!D$2:D$38^A15766)</f>
        <v>36.99859275</v>
      </c>
      <c r="C15766" s="8">
        <f t="array" ref="C15766">PRODUCT(1-'Sparkling Model'!D$2:D$38^A15766)</f>
        <v>0.9985934292</v>
      </c>
    </row>
    <row r="15767">
      <c r="A15767" s="6">
        <v>15765.0</v>
      </c>
      <c r="B15767" s="17">
        <f t="array" ref="B15767">SUM(1-'Sparkling Model'!D$2:D$38^A15767)</f>
        <v>36.99859344</v>
      </c>
      <c r="C15767" s="8">
        <f t="array" ref="C15767">PRODUCT(1-'Sparkling Model'!D$2:D$38^A15767)</f>
        <v>0.9985941226</v>
      </c>
    </row>
    <row r="15768">
      <c r="A15768" s="6">
        <v>15766.0</v>
      </c>
      <c r="B15768" s="17">
        <f t="array" ref="B15768">SUM(1-'Sparkling Model'!D$2:D$38^A15768)</f>
        <v>36.99859414</v>
      </c>
      <c r="C15768" s="8">
        <f t="array" ref="C15768">PRODUCT(1-'Sparkling Model'!D$2:D$38^A15768)</f>
        <v>0.9985948157</v>
      </c>
    </row>
    <row r="15769">
      <c r="A15769" s="6">
        <v>15767.0</v>
      </c>
      <c r="B15769" s="17">
        <f t="array" ref="B15769">SUM(1-'Sparkling Model'!D$2:D$38^A15769)</f>
        <v>36.99859483</v>
      </c>
      <c r="C15769" s="8">
        <f t="array" ref="C15769">PRODUCT(1-'Sparkling Model'!D$2:D$38^A15769)</f>
        <v>0.9985955085</v>
      </c>
    </row>
    <row r="15770">
      <c r="A15770" s="6">
        <v>15768.0</v>
      </c>
      <c r="B15770" s="17">
        <f t="array" ref="B15770">SUM(1-'Sparkling Model'!D$2:D$38^A15770)</f>
        <v>36.99859552</v>
      </c>
      <c r="C15770" s="8">
        <f t="array" ref="C15770">PRODUCT(1-'Sparkling Model'!D$2:D$38^A15770)</f>
        <v>0.9985962009</v>
      </c>
    </row>
    <row r="15771">
      <c r="A15771" s="6">
        <v>15769.0</v>
      </c>
      <c r="B15771" s="17">
        <f t="array" ref="B15771">SUM(1-'Sparkling Model'!D$2:D$38^A15771)</f>
        <v>36.99859622</v>
      </c>
      <c r="C15771" s="8">
        <f t="array" ref="C15771">PRODUCT(1-'Sparkling Model'!D$2:D$38^A15771)</f>
        <v>0.998596893</v>
      </c>
    </row>
    <row r="15772">
      <c r="A15772" s="6">
        <v>15770.0</v>
      </c>
      <c r="B15772" s="17">
        <f t="array" ref="B15772">SUM(1-'Sparkling Model'!D$2:D$38^A15772)</f>
        <v>36.99859691</v>
      </c>
      <c r="C15772" s="8">
        <f t="array" ref="C15772">PRODUCT(1-'Sparkling Model'!D$2:D$38^A15772)</f>
        <v>0.9985975847</v>
      </c>
    </row>
    <row r="15773">
      <c r="A15773" s="6">
        <v>15771.0</v>
      </c>
      <c r="B15773" s="17">
        <f t="array" ref="B15773">SUM(1-'Sparkling Model'!D$2:D$38^A15773)</f>
        <v>36.9985976</v>
      </c>
      <c r="C15773" s="8">
        <f t="array" ref="C15773">PRODUCT(1-'Sparkling Model'!D$2:D$38^A15773)</f>
        <v>0.9985982761</v>
      </c>
    </row>
    <row r="15774">
      <c r="A15774" s="6">
        <v>15772.0</v>
      </c>
      <c r="B15774" s="17">
        <f t="array" ref="B15774">SUM(1-'Sparkling Model'!D$2:D$38^A15774)</f>
        <v>36.99859829</v>
      </c>
      <c r="C15774" s="8">
        <f t="array" ref="C15774">PRODUCT(1-'Sparkling Model'!D$2:D$38^A15774)</f>
        <v>0.9985989671</v>
      </c>
    </row>
    <row r="15775">
      <c r="A15775" s="6">
        <v>15773.0</v>
      </c>
      <c r="B15775" s="17">
        <f t="array" ref="B15775">SUM(1-'Sparkling Model'!D$2:D$38^A15775)</f>
        <v>36.99859898</v>
      </c>
      <c r="C15775" s="8">
        <f t="array" ref="C15775">PRODUCT(1-'Sparkling Model'!D$2:D$38^A15775)</f>
        <v>0.9985996578</v>
      </c>
    </row>
    <row r="15776">
      <c r="A15776" s="6">
        <v>15774.0</v>
      </c>
      <c r="B15776" s="17">
        <f t="array" ref="B15776">SUM(1-'Sparkling Model'!D$2:D$38^A15776)</f>
        <v>36.99859967</v>
      </c>
      <c r="C15776" s="8">
        <f t="array" ref="C15776">PRODUCT(1-'Sparkling Model'!D$2:D$38^A15776)</f>
        <v>0.9986003482</v>
      </c>
    </row>
    <row r="15777">
      <c r="A15777" s="6">
        <v>15775.0</v>
      </c>
      <c r="B15777" s="17">
        <f t="array" ref="B15777">SUM(1-'Sparkling Model'!D$2:D$38^A15777)</f>
        <v>36.99860036</v>
      </c>
      <c r="C15777" s="8">
        <f t="array" ref="C15777">PRODUCT(1-'Sparkling Model'!D$2:D$38^A15777)</f>
        <v>0.9986010382</v>
      </c>
    </row>
    <row r="15778">
      <c r="A15778" s="6">
        <v>15776.0</v>
      </c>
      <c r="B15778" s="17">
        <f t="array" ref="B15778">SUM(1-'Sparkling Model'!D$2:D$38^A15778)</f>
        <v>36.99860106</v>
      </c>
      <c r="C15778" s="8">
        <f t="array" ref="C15778">PRODUCT(1-'Sparkling Model'!D$2:D$38^A15778)</f>
        <v>0.9986017279</v>
      </c>
    </row>
    <row r="15779">
      <c r="A15779" s="6">
        <v>15777.0</v>
      </c>
      <c r="B15779" s="17">
        <f t="array" ref="B15779">SUM(1-'Sparkling Model'!D$2:D$38^A15779)</f>
        <v>36.99860175</v>
      </c>
      <c r="C15779" s="8">
        <f t="array" ref="C15779">PRODUCT(1-'Sparkling Model'!D$2:D$38^A15779)</f>
        <v>0.9986024172</v>
      </c>
    </row>
    <row r="15780">
      <c r="A15780" s="6">
        <v>15778.0</v>
      </c>
      <c r="B15780" s="17">
        <f t="array" ref="B15780">SUM(1-'Sparkling Model'!D$2:D$38^A15780)</f>
        <v>36.99860243</v>
      </c>
      <c r="C15780" s="8">
        <f t="array" ref="C15780">PRODUCT(1-'Sparkling Model'!D$2:D$38^A15780)</f>
        <v>0.9986031062</v>
      </c>
    </row>
    <row r="15781">
      <c r="A15781" s="6">
        <v>15779.0</v>
      </c>
      <c r="B15781" s="17">
        <f t="array" ref="B15781">SUM(1-'Sparkling Model'!D$2:D$38^A15781)</f>
        <v>36.99860312</v>
      </c>
      <c r="C15781" s="8">
        <f t="array" ref="C15781">PRODUCT(1-'Sparkling Model'!D$2:D$38^A15781)</f>
        <v>0.9986037948</v>
      </c>
    </row>
    <row r="15782">
      <c r="A15782" s="6">
        <v>15780.0</v>
      </c>
      <c r="B15782" s="17">
        <f t="array" ref="B15782">SUM(1-'Sparkling Model'!D$2:D$38^A15782)</f>
        <v>36.99860381</v>
      </c>
      <c r="C15782" s="8">
        <f t="array" ref="C15782">PRODUCT(1-'Sparkling Model'!D$2:D$38^A15782)</f>
        <v>0.9986044832</v>
      </c>
    </row>
    <row r="15783">
      <c r="A15783" s="6">
        <v>15781.0</v>
      </c>
      <c r="B15783" s="17">
        <f t="array" ref="B15783">SUM(1-'Sparkling Model'!D$2:D$38^A15783)</f>
        <v>36.9986045</v>
      </c>
      <c r="C15783" s="8">
        <f t="array" ref="C15783">PRODUCT(1-'Sparkling Model'!D$2:D$38^A15783)</f>
        <v>0.9986051711</v>
      </c>
    </row>
    <row r="15784">
      <c r="A15784" s="6">
        <v>15782.0</v>
      </c>
      <c r="B15784" s="17">
        <f t="array" ref="B15784">SUM(1-'Sparkling Model'!D$2:D$38^A15784)</f>
        <v>36.99860519</v>
      </c>
      <c r="C15784" s="8">
        <f t="array" ref="C15784">PRODUCT(1-'Sparkling Model'!D$2:D$38^A15784)</f>
        <v>0.9986058588</v>
      </c>
    </row>
    <row r="15785">
      <c r="A15785" s="6">
        <v>15783.0</v>
      </c>
      <c r="B15785" s="17">
        <f t="array" ref="B15785">SUM(1-'Sparkling Model'!D$2:D$38^A15785)</f>
        <v>36.99860588</v>
      </c>
      <c r="C15785" s="8">
        <f t="array" ref="C15785">PRODUCT(1-'Sparkling Model'!D$2:D$38^A15785)</f>
        <v>0.9986065461</v>
      </c>
    </row>
    <row r="15786">
      <c r="A15786" s="6">
        <v>15784.0</v>
      </c>
      <c r="B15786" s="17">
        <f t="array" ref="B15786">SUM(1-'Sparkling Model'!D$2:D$38^A15786)</f>
        <v>36.99860657</v>
      </c>
      <c r="C15786" s="8">
        <f t="array" ref="C15786">PRODUCT(1-'Sparkling Model'!D$2:D$38^A15786)</f>
        <v>0.998607233</v>
      </c>
    </row>
    <row r="15787">
      <c r="A15787" s="6">
        <v>15785.0</v>
      </c>
      <c r="B15787" s="17">
        <f t="array" ref="B15787">SUM(1-'Sparkling Model'!D$2:D$38^A15787)</f>
        <v>36.99860725</v>
      </c>
      <c r="C15787" s="8">
        <f t="array" ref="C15787">PRODUCT(1-'Sparkling Model'!D$2:D$38^A15787)</f>
        <v>0.9986079196</v>
      </c>
    </row>
    <row r="15788">
      <c r="A15788" s="6">
        <v>15786.0</v>
      </c>
      <c r="B15788" s="17">
        <f t="array" ref="B15788">SUM(1-'Sparkling Model'!D$2:D$38^A15788)</f>
        <v>36.99860794</v>
      </c>
      <c r="C15788" s="8">
        <f t="array" ref="C15788">PRODUCT(1-'Sparkling Model'!D$2:D$38^A15788)</f>
        <v>0.9986086059</v>
      </c>
    </row>
    <row r="15789">
      <c r="A15789" s="6">
        <v>15787.0</v>
      </c>
      <c r="B15789" s="17">
        <f t="array" ref="B15789">SUM(1-'Sparkling Model'!D$2:D$38^A15789)</f>
        <v>36.99860863</v>
      </c>
      <c r="C15789" s="8">
        <f t="array" ref="C15789">PRODUCT(1-'Sparkling Model'!D$2:D$38^A15789)</f>
        <v>0.9986092918</v>
      </c>
    </row>
    <row r="15790">
      <c r="A15790" s="6">
        <v>15788.0</v>
      </c>
      <c r="B15790" s="17">
        <f t="array" ref="B15790">SUM(1-'Sparkling Model'!D$2:D$38^A15790)</f>
        <v>36.99860931</v>
      </c>
      <c r="C15790" s="8">
        <f t="array" ref="C15790">PRODUCT(1-'Sparkling Model'!D$2:D$38^A15790)</f>
        <v>0.9986099774</v>
      </c>
    </row>
    <row r="15791">
      <c r="A15791" s="6">
        <v>15789.0</v>
      </c>
      <c r="B15791" s="17">
        <f t="array" ref="B15791">SUM(1-'Sparkling Model'!D$2:D$38^A15791)</f>
        <v>36.99861</v>
      </c>
      <c r="C15791" s="8">
        <f t="array" ref="C15791">PRODUCT(1-'Sparkling Model'!D$2:D$38^A15791)</f>
        <v>0.9986106627</v>
      </c>
    </row>
    <row r="15792">
      <c r="A15792" s="6">
        <v>15790.0</v>
      </c>
      <c r="B15792" s="17">
        <f t="array" ref="B15792">SUM(1-'Sparkling Model'!D$2:D$38^A15792)</f>
        <v>36.99861068</v>
      </c>
      <c r="C15792" s="8">
        <f t="array" ref="C15792">PRODUCT(1-'Sparkling Model'!D$2:D$38^A15792)</f>
        <v>0.9986113476</v>
      </c>
    </row>
    <row r="15793">
      <c r="A15793" s="6">
        <v>15791.0</v>
      </c>
      <c r="B15793" s="17">
        <f t="array" ref="B15793">SUM(1-'Sparkling Model'!D$2:D$38^A15793)</f>
        <v>36.99861137</v>
      </c>
      <c r="C15793" s="8">
        <f t="array" ref="C15793">PRODUCT(1-'Sparkling Model'!D$2:D$38^A15793)</f>
        <v>0.9986120322</v>
      </c>
    </row>
    <row r="15794">
      <c r="A15794" s="6">
        <v>15792.0</v>
      </c>
      <c r="B15794" s="17">
        <f t="array" ref="B15794">SUM(1-'Sparkling Model'!D$2:D$38^A15794)</f>
        <v>36.99861205</v>
      </c>
      <c r="C15794" s="8">
        <f t="array" ref="C15794">PRODUCT(1-'Sparkling Model'!D$2:D$38^A15794)</f>
        <v>0.9986127164</v>
      </c>
    </row>
    <row r="15795">
      <c r="A15795" s="6">
        <v>15793.0</v>
      </c>
      <c r="B15795" s="17">
        <f t="array" ref="B15795">SUM(1-'Sparkling Model'!D$2:D$38^A15795)</f>
        <v>36.99861274</v>
      </c>
      <c r="C15795" s="8">
        <f t="array" ref="C15795">PRODUCT(1-'Sparkling Model'!D$2:D$38^A15795)</f>
        <v>0.9986134003</v>
      </c>
    </row>
    <row r="15796">
      <c r="A15796" s="6">
        <v>15794.0</v>
      </c>
      <c r="B15796" s="17">
        <f t="array" ref="B15796">SUM(1-'Sparkling Model'!D$2:D$38^A15796)</f>
        <v>36.99861342</v>
      </c>
      <c r="C15796" s="8">
        <f t="array" ref="C15796">PRODUCT(1-'Sparkling Model'!D$2:D$38^A15796)</f>
        <v>0.9986140839</v>
      </c>
    </row>
    <row r="15797">
      <c r="A15797" s="6">
        <v>15795.0</v>
      </c>
      <c r="B15797" s="17">
        <f t="array" ref="B15797">SUM(1-'Sparkling Model'!D$2:D$38^A15797)</f>
        <v>36.99861411</v>
      </c>
      <c r="C15797" s="8">
        <f t="array" ref="C15797">PRODUCT(1-'Sparkling Model'!D$2:D$38^A15797)</f>
        <v>0.9986147671</v>
      </c>
    </row>
    <row r="15798">
      <c r="A15798" s="6">
        <v>15796.0</v>
      </c>
      <c r="B15798" s="17">
        <f t="array" ref="B15798">SUM(1-'Sparkling Model'!D$2:D$38^A15798)</f>
        <v>36.99861479</v>
      </c>
      <c r="C15798" s="8">
        <f t="array" ref="C15798">PRODUCT(1-'Sparkling Model'!D$2:D$38^A15798)</f>
        <v>0.99861545</v>
      </c>
    </row>
    <row r="15799">
      <c r="A15799" s="6">
        <v>15797.0</v>
      </c>
      <c r="B15799" s="17">
        <f t="array" ref="B15799">SUM(1-'Sparkling Model'!D$2:D$38^A15799)</f>
        <v>36.99861547</v>
      </c>
      <c r="C15799" s="8">
        <f t="array" ref="C15799">PRODUCT(1-'Sparkling Model'!D$2:D$38^A15799)</f>
        <v>0.9986161326</v>
      </c>
    </row>
    <row r="15800">
      <c r="A15800" s="6">
        <v>15798.0</v>
      </c>
      <c r="B15800" s="17">
        <f t="array" ref="B15800">SUM(1-'Sparkling Model'!D$2:D$38^A15800)</f>
        <v>36.99861616</v>
      </c>
      <c r="C15800" s="8">
        <f t="array" ref="C15800">PRODUCT(1-'Sparkling Model'!D$2:D$38^A15800)</f>
        <v>0.9986168148</v>
      </c>
    </row>
    <row r="15801">
      <c r="A15801" s="6">
        <v>15799.0</v>
      </c>
      <c r="B15801" s="17">
        <f t="array" ref="B15801">SUM(1-'Sparkling Model'!D$2:D$38^A15801)</f>
        <v>36.99861684</v>
      </c>
      <c r="C15801" s="8">
        <f t="array" ref="C15801">PRODUCT(1-'Sparkling Model'!D$2:D$38^A15801)</f>
        <v>0.9986174967</v>
      </c>
    </row>
    <row r="15802">
      <c r="A15802" s="6">
        <v>15800.0</v>
      </c>
      <c r="B15802" s="17">
        <f t="array" ref="B15802">SUM(1-'Sparkling Model'!D$2:D$38^A15802)</f>
        <v>36.99861752</v>
      </c>
      <c r="C15802" s="8">
        <f t="array" ref="C15802">PRODUCT(1-'Sparkling Model'!D$2:D$38^A15802)</f>
        <v>0.9986181782</v>
      </c>
    </row>
    <row r="15803">
      <c r="A15803" s="6">
        <v>15801.0</v>
      </c>
      <c r="B15803" s="17">
        <f t="array" ref="B15803">SUM(1-'Sparkling Model'!D$2:D$38^A15803)</f>
        <v>36.9986182</v>
      </c>
      <c r="C15803" s="8">
        <f t="array" ref="C15803">PRODUCT(1-'Sparkling Model'!D$2:D$38^A15803)</f>
        <v>0.9986188594</v>
      </c>
    </row>
    <row r="15804">
      <c r="A15804" s="6">
        <v>15802.0</v>
      </c>
      <c r="B15804" s="17">
        <f t="array" ref="B15804">SUM(1-'Sparkling Model'!D$2:D$38^A15804)</f>
        <v>36.99861888</v>
      </c>
      <c r="C15804" s="8">
        <f t="array" ref="C15804">PRODUCT(1-'Sparkling Model'!D$2:D$38^A15804)</f>
        <v>0.9986195403</v>
      </c>
    </row>
    <row r="15805">
      <c r="A15805" s="6">
        <v>15803.0</v>
      </c>
      <c r="B15805" s="17">
        <f t="array" ref="B15805">SUM(1-'Sparkling Model'!D$2:D$38^A15805)</f>
        <v>36.99861957</v>
      </c>
      <c r="C15805" s="8">
        <f t="array" ref="C15805">PRODUCT(1-'Sparkling Model'!D$2:D$38^A15805)</f>
        <v>0.9986202208</v>
      </c>
    </row>
    <row r="15806">
      <c r="A15806" s="6">
        <v>15804.0</v>
      </c>
      <c r="B15806" s="17">
        <f t="array" ref="B15806">SUM(1-'Sparkling Model'!D$2:D$38^A15806)</f>
        <v>36.99862025</v>
      </c>
      <c r="C15806" s="8">
        <f t="array" ref="C15806">PRODUCT(1-'Sparkling Model'!D$2:D$38^A15806)</f>
        <v>0.998620901</v>
      </c>
    </row>
    <row r="15807">
      <c r="A15807" s="6">
        <v>15805.0</v>
      </c>
      <c r="B15807" s="17">
        <f t="array" ref="B15807">SUM(1-'Sparkling Model'!D$2:D$38^A15807)</f>
        <v>36.99862093</v>
      </c>
      <c r="C15807" s="8">
        <f t="array" ref="C15807">PRODUCT(1-'Sparkling Model'!D$2:D$38^A15807)</f>
        <v>0.9986215808</v>
      </c>
    </row>
    <row r="15808">
      <c r="A15808" s="6">
        <v>15806.0</v>
      </c>
      <c r="B15808" s="17">
        <f t="array" ref="B15808">SUM(1-'Sparkling Model'!D$2:D$38^A15808)</f>
        <v>36.99862161</v>
      </c>
      <c r="C15808" s="8">
        <f t="array" ref="C15808">PRODUCT(1-'Sparkling Model'!D$2:D$38^A15808)</f>
        <v>0.9986222604</v>
      </c>
    </row>
    <row r="15809">
      <c r="A15809" s="6">
        <v>15807.0</v>
      </c>
      <c r="B15809" s="17">
        <f t="array" ref="B15809">SUM(1-'Sparkling Model'!D$2:D$38^A15809)</f>
        <v>36.99862229</v>
      </c>
      <c r="C15809" s="8">
        <f t="array" ref="C15809">PRODUCT(1-'Sparkling Model'!D$2:D$38^A15809)</f>
        <v>0.9986229396</v>
      </c>
    </row>
    <row r="15810">
      <c r="A15810" s="6">
        <v>15808.0</v>
      </c>
      <c r="B15810" s="17">
        <f t="array" ref="B15810">SUM(1-'Sparkling Model'!D$2:D$38^A15810)</f>
        <v>36.99862297</v>
      </c>
      <c r="C15810" s="8">
        <f t="array" ref="C15810">PRODUCT(1-'Sparkling Model'!D$2:D$38^A15810)</f>
        <v>0.9986236184</v>
      </c>
    </row>
    <row r="15811">
      <c r="A15811" s="6">
        <v>15809.0</v>
      </c>
      <c r="B15811" s="17">
        <f t="array" ref="B15811">SUM(1-'Sparkling Model'!D$2:D$38^A15811)</f>
        <v>36.99862365</v>
      </c>
      <c r="C15811" s="8">
        <f t="array" ref="C15811">PRODUCT(1-'Sparkling Model'!D$2:D$38^A15811)</f>
        <v>0.9986242969</v>
      </c>
    </row>
    <row r="15812">
      <c r="A15812" s="6">
        <v>15810.0</v>
      </c>
      <c r="B15812" s="17">
        <f t="array" ref="B15812">SUM(1-'Sparkling Model'!D$2:D$38^A15812)</f>
        <v>36.99862432</v>
      </c>
      <c r="C15812" s="8">
        <f t="array" ref="C15812">PRODUCT(1-'Sparkling Model'!D$2:D$38^A15812)</f>
        <v>0.9986249751</v>
      </c>
    </row>
    <row r="15813">
      <c r="A15813" s="6">
        <v>15811.0</v>
      </c>
      <c r="B15813" s="17">
        <f t="array" ref="B15813">SUM(1-'Sparkling Model'!D$2:D$38^A15813)</f>
        <v>36.998625</v>
      </c>
      <c r="C15813" s="8">
        <f t="array" ref="C15813">PRODUCT(1-'Sparkling Model'!D$2:D$38^A15813)</f>
        <v>0.998625653</v>
      </c>
    </row>
    <row r="15814">
      <c r="A15814" s="6">
        <v>15812.0</v>
      </c>
      <c r="B15814" s="17">
        <f t="array" ref="B15814">SUM(1-'Sparkling Model'!D$2:D$38^A15814)</f>
        <v>36.99862568</v>
      </c>
      <c r="C15814" s="8">
        <f t="array" ref="C15814">PRODUCT(1-'Sparkling Model'!D$2:D$38^A15814)</f>
        <v>0.9986263305</v>
      </c>
    </row>
    <row r="15815">
      <c r="A15815" s="6">
        <v>15813.0</v>
      </c>
      <c r="B15815" s="17">
        <f t="array" ref="B15815">SUM(1-'Sparkling Model'!D$2:D$38^A15815)</f>
        <v>36.99862636</v>
      </c>
      <c r="C15815" s="8">
        <f t="array" ref="C15815">PRODUCT(1-'Sparkling Model'!D$2:D$38^A15815)</f>
        <v>0.9986270076</v>
      </c>
    </row>
    <row r="15816">
      <c r="A15816" s="6">
        <v>15814.0</v>
      </c>
      <c r="B15816" s="17">
        <f t="array" ref="B15816">SUM(1-'Sparkling Model'!D$2:D$38^A15816)</f>
        <v>36.99862704</v>
      </c>
      <c r="C15816" s="8">
        <f t="array" ref="C15816">PRODUCT(1-'Sparkling Model'!D$2:D$38^A15816)</f>
        <v>0.9986276845</v>
      </c>
    </row>
    <row r="15817">
      <c r="A15817" s="6">
        <v>15815.0</v>
      </c>
      <c r="B15817" s="17">
        <f t="array" ref="B15817">SUM(1-'Sparkling Model'!D$2:D$38^A15817)</f>
        <v>36.99862771</v>
      </c>
      <c r="C15817" s="8">
        <f t="array" ref="C15817">PRODUCT(1-'Sparkling Model'!D$2:D$38^A15817)</f>
        <v>0.998628361</v>
      </c>
    </row>
    <row r="15818">
      <c r="A15818" s="6">
        <v>15816.0</v>
      </c>
      <c r="B15818" s="17">
        <f t="array" ref="B15818">SUM(1-'Sparkling Model'!D$2:D$38^A15818)</f>
        <v>36.99862839</v>
      </c>
      <c r="C15818" s="8">
        <f t="array" ref="C15818">PRODUCT(1-'Sparkling Model'!D$2:D$38^A15818)</f>
        <v>0.9986290372</v>
      </c>
    </row>
    <row r="15819">
      <c r="A15819" s="6">
        <v>15817.0</v>
      </c>
      <c r="B15819" s="17">
        <f t="array" ref="B15819">SUM(1-'Sparkling Model'!D$2:D$38^A15819)</f>
        <v>36.99862907</v>
      </c>
      <c r="C15819" s="8">
        <f t="array" ref="C15819">PRODUCT(1-'Sparkling Model'!D$2:D$38^A15819)</f>
        <v>0.998629713</v>
      </c>
    </row>
    <row r="15820">
      <c r="A15820" s="6">
        <v>15818.0</v>
      </c>
      <c r="B15820" s="17">
        <f t="array" ref="B15820">SUM(1-'Sparkling Model'!D$2:D$38^A15820)</f>
        <v>36.99862974</v>
      </c>
      <c r="C15820" s="8">
        <f t="array" ref="C15820">PRODUCT(1-'Sparkling Model'!D$2:D$38^A15820)</f>
        <v>0.9986303885</v>
      </c>
    </row>
    <row r="15821">
      <c r="A15821" s="6">
        <v>15819.0</v>
      </c>
      <c r="B15821" s="17">
        <f t="array" ref="B15821">SUM(1-'Sparkling Model'!D$2:D$38^A15821)</f>
        <v>36.99863042</v>
      </c>
      <c r="C15821" s="8">
        <f t="array" ref="C15821">PRODUCT(1-'Sparkling Model'!D$2:D$38^A15821)</f>
        <v>0.9986310637</v>
      </c>
    </row>
    <row r="15822">
      <c r="A15822" s="6">
        <v>15820.0</v>
      </c>
      <c r="B15822" s="17">
        <f t="array" ref="B15822">SUM(1-'Sparkling Model'!D$2:D$38^A15822)</f>
        <v>36.99863109</v>
      </c>
      <c r="C15822" s="8">
        <f t="array" ref="C15822">PRODUCT(1-'Sparkling Model'!D$2:D$38^A15822)</f>
        <v>0.9986317385</v>
      </c>
    </row>
    <row r="15823">
      <c r="A15823" s="6">
        <v>15821.0</v>
      </c>
      <c r="B15823" s="17">
        <f t="array" ref="B15823">SUM(1-'Sparkling Model'!D$2:D$38^A15823)</f>
        <v>36.99863177</v>
      </c>
      <c r="C15823" s="8">
        <f t="array" ref="C15823">PRODUCT(1-'Sparkling Model'!D$2:D$38^A15823)</f>
        <v>0.998632413</v>
      </c>
    </row>
    <row r="15824">
      <c r="A15824" s="6">
        <v>15822.0</v>
      </c>
      <c r="B15824" s="17">
        <f t="array" ref="B15824">SUM(1-'Sparkling Model'!D$2:D$38^A15824)</f>
        <v>36.99863244</v>
      </c>
      <c r="C15824" s="8">
        <f t="array" ref="C15824">PRODUCT(1-'Sparkling Model'!D$2:D$38^A15824)</f>
        <v>0.9986330872</v>
      </c>
    </row>
    <row r="15825">
      <c r="A15825" s="6">
        <v>15823.0</v>
      </c>
      <c r="B15825" s="17">
        <f t="array" ref="B15825">SUM(1-'Sparkling Model'!D$2:D$38^A15825)</f>
        <v>36.99863312</v>
      </c>
      <c r="C15825" s="8">
        <f t="array" ref="C15825">PRODUCT(1-'Sparkling Model'!D$2:D$38^A15825)</f>
        <v>0.998633761</v>
      </c>
    </row>
    <row r="15826">
      <c r="A15826" s="6">
        <v>15824.0</v>
      </c>
      <c r="B15826" s="17">
        <f t="array" ref="B15826">SUM(1-'Sparkling Model'!D$2:D$38^A15826)</f>
        <v>36.99863379</v>
      </c>
      <c r="C15826" s="8">
        <f t="array" ref="C15826">PRODUCT(1-'Sparkling Model'!D$2:D$38^A15826)</f>
        <v>0.9986344345</v>
      </c>
    </row>
    <row r="15827">
      <c r="A15827" s="6">
        <v>15825.0</v>
      </c>
      <c r="B15827" s="17">
        <f t="array" ref="B15827">SUM(1-'Sparkling Model'!D$2:D$38^A15827)</f>
        <v>36.99863447</v>
      </c>
      <c r="C15827" s="8">
        <f t="array" ref="C15827">PRODUCT(1-'Sparkling Model'!D$2:D$38^A15827)</f>
        <v>0.9986351077</v>
      </c>
    </row>
    <row r="15828">
      <c r="A15828" s="6">
        <v>15826.0</v>
      </c>
      <c r="B15828" s="17">
        <f t="array" ref="B15828">SUM(1-'Sparkling Model'!D$2:D$38^A15828)</f>
        <v>36.99863514</v>
      </c>
      <c r="C15828" s="8">
        <f t="array" ref="C15828">PRODUCT(1-'Sparkling Model'!D$2:D$38^A15828)</f>
        <v>0.9986357805</v>
      </c>
    </row>
    <row r="15829">
      <c r="A15829" s="6">
        <v>15827.0</v>
      </c>
      <c r="B15829" s="17">
        <f t="array" ref="B15829">SUM(1-'Sparkling Model'!D$2:D$38^A15829)</f>
        <v>36.99863581</v>
      </c>
      <c r="C15829" s="8">
        <f t="array" ref="C15829">PRODUCT(1-'Sparkling Model'!D$2:D$38^A15829)</f>
        <v>0.998636453</v>
      </c>
    </row>
    <row r="15830">
      <c r="A15830" s="6">
        <v>15828.0</v>
      </c>
      <c r="B15830" s="17">
        <f t="array" ref="B15830">SUM(1-'Sparkling Model'!D$2:D$38^A15830)</f>
        <v>36.99863649</v>
      </c>
      <c r="C15830" s="8">
        <f t="array" ref="C15830">PRODUCT(1-'Sparkling Model'!D$2:D$38^A15830)</f>
        <v>0.9986371252</v>
      </c>
    </row>
    <row r="15831">
      <c r="A15831" s="6">
        <v>15829.0</v>
      </c>
      <c r="B15831" s="17">
        <f t="array" ref="B15831">SUM(1-'Sparkling Model'!D$2:D$38^A15831)</f>
        <v>36.99863716</v>
      </c>
      <c r="C15831" s="8">
        <f t="array" ref="C15831">PRODUCT(1-'Sparkling Model'!D$2:D$38^A15831)</f>
        <v>0.998637797</v>
      </c>
    </row>
    <row r="15832">
      <c r="A15832" s="6">
        <v>15830.0</v>
      </c>
      <c r="B15832" s="17">
        <f t="array" ref="B15832">SUM(1-'Sparkling Model'!D$2:D$38^A15832)</f>
        <v>36.99863783</v>
      </c>
      <c r="C15832" s="8">
        <f t="array" ref="C15832">PRODUCT(1-'Sparkling Model'!D$2:D$38^A15832)</f>
        <v>0.9986384685</v>
      </c>
    </row>
    <row r="15833">
      <c r="A15833" s="6">
        <v>15831.0</v>
      </c>
      <c r="B15833" s="17">
        <f t="array" ref="B15833">SUM(1-'Sparkling Model'!D$2:D$38^A15833)</f>
        <v>36.9986385</v>
      </c>
      <c r="C15833" s="8">
        <f t="array" ref="C15833">PRODUCT(1-'Sparkling Model'!D$2:D$38^A15833)</f>
        <v>0.9986391397</v>
      </c>
    </row>
    <row r="15834">
      <c r="A15834" s="6">
        <v>15832.0</v>
      </c>
      <c r="B15834" s="17">
        <f t="array" ref="B15834">SUM(1-'Sparkling Model'!D$2:D$38^A15834)</f>
        <v>36.99863917</v>
      </c>
      <c r="C15834" s="8">
        <f t="array" ref="C15834">PRODUCT(1-'Sparkling Model'!D$2:D$38^A15834)</f>
        <v>0.9986398106</v>
      </c>
    </row>
    <row r="15835">
      <c r="A15835" s="6">
        <v>15833.0</v>
      </c>
      <c r="B15835" s="17">
        <f t="array" ref="B15835">SUM(1-'Sparkling Model'!D$2:D$38^A15835)</f>
        <v>36.99863985</v>
      </c>
      <c r="C15835" s="8">
        <f t="array" ref="C15835">PRODUCT(1-'Sparkling Model'!D$2:D$38^A15835)</f>
        <v>0.9986404811</v>
      </c>
    </row>
    <row r="15836">
      <c r="A15836" s="6">
        <v>15834.0</v>
      </c>
      <c r="B15836" s="17">
        <f t="array" ref="B15836">SUM(1-'Sparkling Model'!D$2:D$38^A15836)</f>
        <v>36.99864052</v>
      </c>
      <c r="C15836" s="8">
        <f t="array" ref="C15836">PRODUCT(1-'Sparkling Model'!D$2:D$38^A15836)</f>
        <v>0.9986411513</v>
      </c>
    </row>
    <row r="15837">
      <c r="A15837" s="6">
        <v>15835.0</v>
      </c>
      <c r="B15837" s="17">
        <f t="array" ref="B15837">SUM(1-'Sparkling Model'!D$2:D$38^A15837)</f>
        <v>36.99864119</v>
      </c>
      <c r="C15837" s="8">
        <f t="array" ref="C15837">PRODUCT(1-'Sparkling Model'!D$2:D$38^A15837)</f>
        <v>0.9986418211</v>
      </c>
    </row>
    <row r="15838">
      <c r="A15838" s="6">
        <v>15836.0</v>
      </c>
      <c r="B15838" s="17">
        <f t="array" ref="B15838">SUM(1-'Sparkling Model'!D$2:D$38^A15838)</f>
        <v>36.99864186</v>
      </c>
      <c r="C15838" s="8">
        <f t="array" ref="C15838">PRODUCT(1-'Sparkling Model'!D$2:D$38^A15838)</f>
        <v>0.9986424906</v>
      </c>
    </row>
    <row r="15839">
      <c r="A15839" s="6">
        <v>15837.0</v>
      </c>
      <c r="B15839" s="17">
        <f t="array" ref="B15839">SUM(1-'Sparkling Model'!D$2:D$38^A15839)</f>
        <v>36.99864253</v>
      </c>
      <c r="C15839" s="8">
        <f t="array" ref="C15839">PRODUCT(1-'Sparkling Model'!D$2:D$38^A15839)</f>
        <v>0.9986431598</v>
      </c>
    </row>
    <row r="15840">
      <c r="A15840" s="6">
        <v>15838.0</v>
      </c>
      <c r="B15840" s="17">
        <f t="array" ref="B15840">SUM(1-'Sparkling Model'!D$2:D$38^A15840)</f>
        <v>36.9986432</v>
      </c>
      <c r="C15840" s="8">
        <f t="array" ref="C15840">PRODUCT(1-'Sparkling Model'!D$2:D$38^A15840)</f>
        <v>0.9986438287</v>
      </c>
    </row>
    <row r="15841">
      <c r="A15841" s="6">
        <v>15839.0</v>
      </c>
      <c r="B15841" s="17">
        <f t="array" ref="B15841">SUM(1-'Sparkling Model'!D$2:D$38^A15841)</f>
        <v>36.99864387</v>
      </c>
      <c r="C15841" s="8">
        <f t="array" ref="C15841">PRODUCT(1-'Sparkling Model'!D$2:D$38^A15841)</f>
        <v>0.9986444972</v>
      </c>
    </row>
    <row r="15842">
      <c r="A15842" s="6">
        <v>15840.0</v>
      </c>
      <c r="B15842" s="17">
        <f t="array" ref="B15842">SUM(1-'Sparkling Model'!D$2:D$38^A15842)</f>
        <v>36.99864453</v>
      </c>
      <c r="C15842" s="8">
        <f t="array" ref="C15842">PRODUCT(1-'Sparkling Model'!D$2:D$38^A15842)</f>
        <v>0.9986451654</v>
      </c>
    </row>
    <row r="15843">
      <c r="A15843" s="6">
        <v>15841.0</v>
      </c>
      <c r="B15843" s="17">
        <f t="array" ref="B15843">SUM(1-'Sparkling Model'!D$2:D$38^A15843)</f>
        <v>36.9986452</v>
      </c>
      <c r="C15843" s="8">
        <f t="array" ref="C15843">PRODUCT(1-'Sparkling Model'!D$2:D$38^A15843)</f>
        <v>0.9986458333</v>
      </c>
    </row>
    <row r="15844">
      <c r="A15844" s="6">
        <v>15842.0</v>
      </c>
      <c r="B15844" s="17">
        <f t="array" ref="B15844">SUM(1-'Sparkling Model'!D$2:D$38^A15844)</f>
        <v>36.99864587</v>
      </c>
      <c r="C15844" s="8">
        <f t="array" ref="C15844">PRODUCT(1-'Sparkling Model'!D$2:D$38^A15844)</f>
        <v>0.9986465008</v>
      </c>
    </row>
    <row r="15845">
      <c r="A15845" s="6">
        <v>15843.0</v>
      </c>
      <c r="B15845" s="17">
        <f t="array" ref="B15845">SUM(1-'Sparkling Model'!D$2:D$38^A15845)</f>
        <v>36.99864654</v>
      </c>
      <c r="C15845" s="8">
        <f t="array" ref="C15845">PRODUCT(1-'Sparkling Model'!D$2:D$38^A15845)</f>
        <v>0.998647168</v>
      </c>
    </row>
    <row r="15846">
      <c r="A15846" s="6">
        <v>15844.0</v>
      </c>
      <c r="B15846" s="17">
        <f t="array" ref="B15846">SUM(1-'Sparkling Model'!D$2:D$38^A15846)</f>
        <v>36.99864721</v>
      </c>
      <c r="C15846" s="8">
        <f t="array" ref="C15846">PRODUCT(1-'Sparkling Model'!D$2:D$38^A15846)</f>
        <v>0.9986478349</v>
      </c>
    </row>
    <row r="15847">
      <c r="A15847" s="6">
        <v>15845.0</v>
      </c>
      <c r="B15847" s="17">
        <f t="array" ref="B15847">SUM(1-'Sparkling Model'!D$2:D$38^A15847)</f>
        <v>36.99864787</v>
      </c>
      <c r="C15847" s="8">
        <f t="array" ref="C15847">PRODUCT(1-'Sparkling Model'!D$2:D$38^A15847)</f>
        <v>0.9986485014</v>
      </c>
    </row>
    <row r="15848">
      <c r="A15848" s="6">
        <v>15846.0</v>
      </c>
      <c r="B15848" s="17">
        <f t="array" ref="B15848">SUM(1-'Sparkling Model'!D$2:D$38^A15848)</f>
        <v>36.99864854</v>
      </c>
      <c r="C15848" s="8">
        <f t="array" ref="C15848">PRODUCT(1-'Sparkling Model'!D$2:D$38^A15848)</f>
        <v>0.9986491677</v>
      </c>
    </row>
    <row r="15849">
      <c r="A15849" s="6">
        <v>15847.0</v>
      </c>
      <c r="B15849" s="17">
        <f t="array" ref="B15849">SUM(1-'Sparkling Model'!D$2:D$38^A15849)</f>
        <v>36.99864921</v>
      </c>
      <c r="C15849" s="8">
        <f t="array" ref="C15849">PRODUCT(1-'Sparkling Model'!D$2:D$38^A15849)</f>
        <v>0.9986498335</v>
      </c>
    </row>
    <row r="15850">
      <c r="A15850" s="6">
        <v>15848.0</v>
      </c>
      <c r="B15850" s="17">
        <f t="array" ref="B15850">SUM(1-'Sparkling Model'!D$2:D$38^A15850)</f>
        <v>36.99864987</v>
      </c>
      <c r="C15850" s="8">
        <f t="array" ref="C15850">PRODUCT(1-'Sparkling Model'!D$2:D$38^A15850)</f>
        <v>0.9986504991</v>
      </c>
    </row>
    <row r="15851">
      <c r="A15851" s="6">
        <v>15849.0</v>
      </c>
      <c r="B15851" s="17">
        <f t="array" ref="B15851">SUM(1-'Sparkling Model'!D$2:D$38^A15851)</f>
        <v>36.99865054</v>
      </c>
      <c r="C15851" s="8">
        <f t="array" ref="C15851">PRODUCT(1-'Sparkling Model'!D$2:D$38^A15851)</f>
        <v>0.9986511643</v>
      </c>
    </row>
    <row r="15852">
      <c r="A15852" s="6">
        <v>15850.0</v>
      </c>
      <c r="B15852" s="17">
        <f t="array" ref="B15852">SUM(1-'Sparkling Model'!D$2:D$38^A15852)</f>
        <v>36.9986512</v>
      </c>
      <c r="C15852" s="8">
        <f t="array" ref="C15852">PRODUCT(1-'Sparkling Model'!D$2:D$38^A15852)</f>
        <v>0.9986518292</v>
      </c>
    </row>
    <row r="15853">
      <c r="A15853" s="6">
        <v>15851.0</v>
      </c>
      <c r="B15853" s="17">
        <f t="array" ref="B15853">SUM(1-'Sparkling Model'!D$2:D$38^A15853)</f>
        <v>36.99865187</v>
      </c>
      <c r="C15853" s="8">
        <f t="array" ref="C15853">PRODUCT(1-'Sparkling Model'!D$2:D$38^A15853)</f>
        <v>0.9986524938</v>
      </c>
    </row>
    <row r="15854">
      <c r="A15854" s="6">
        <v>15852.0</v>
      </c>
      <c r="B15854" s="17">
        <f t="array" ref="B15854">SUM(1-'Sparkling Model'!D$2:D$38^A15854)</f>
        <v>36.99865253</v>
      </c>
      <c r="C15854" s="8">
        <f t="array" ref="C15854">PRODUCT(1-'Sparkling Model'!D$2:D$38^A15854)</f>
        <v>0.9986531581</v>
      </c>
    </row>
    <row r="15855">
      <c r="A15855" s="6">
        <v>15853.0</v>
      </c>
      <c r="B15855" s="17">
        <f t="array" ref="B15855">SUM(1-'Sparkling Model'!D$2:D$38^A15855)</f>
        <v>36.9986532</v>
      </c>
      <c r="C15855" s="8">
        <f t="array" ref="C15855">PRODUCT(1-'Sparkling Model'!D$2:D$38^A15855)</f>
        <v>0.998653822</v>
      </c>
    </row>
    <row r="15856">
      <c r="A15856" s="6">
        <v>15854.0</v>
      </c>
      <c r="B15856" s="17">
        <f t="array" ref="B15856">SUM(1-'Sparkling Model'!D$2:D$38^A15856)</f>
        <v>36.99865386</v>
      </c>
      <c r="C15856" s="8">
        <f t="array" ref="C15856">PRODUCT(1-'Sparkling Model'!D$2:D$38^A15856)</f>
        <v>0.9986544856</v>
      </c>
    </row>
    <row r="15857">
      <c r="A15857" s="6">
        <v>15855.0</v>
      </c>
      <c r="B15857" s="17">
        <f t="array" ref="B15857">SUM(1-'Sparkling Model'!D$2:D$38^A15857)</f>
        <v>36.99865453</v>
      </c>
      <c r="C15857" s="8">
        <f t="array" ref="C15857">PRODUCT(1-'Sparkling Model'!D$2:D$38^A15857)</f>
        <v>0.9986551488</v>
      </c>
    </row>
    <row r="15858">
      <c r="A15858" s="6">
        <v>15856.0</v>
      </c>
      <c r="B15858" s="17">
        <f t="array" ref="B15858">SUM(1-'Sparkling Model'!D$2:D$38^A15858)</f>
        <v>36.99865519</v>
      </c>
      <c r="C15858" s="8">
        <f t="array" ref="C15858">PRODUCT(1-'Sparkling Model'!D$2:D$38^A15858)</f>
        <v>0.9986558118</v>
      </c>
    </row>
    <row r="15859">
      <c r="A15859" s="6">
        <v>15857.0</v>
      </c>
      <c r="B15859" s="17">
        <f t="array" ref="B15859">SUM(1-'Sparkling Model'!D$2:D$38^A15859)</f>
        <v>36.99865585</v>
      </c>
      <c r="C15859" s="8">
        <f t="array" ref="C15859">PRODUCT(1-'Sparkling Model'!D$2:D$38^A15859)</f>
        <v>0.9986564744</v>
      </c>
    </row>
    <row r="15860">
      <c r="A15860" s="6">
        <v>15858.0</v>
      </c>
      <c r="B15860" s="17">
        <f t="array" ref="B15860">SUM(1-'Sparkling Model'!D$2:D$38^A15860)</f>
        <v>36.99865652</v>
      </c>
      <c r="C15860" s="8">
        <f t="array" ref="C15860">PRODUCT(1-'Sparkling Model'!D$2:D$38^A15860)</f>
        <v>0.9986571366</v>
      </c>
    </row>
    <row r="15861">
      <c r="A15861" s="6">
        <v>15859.0</v>
      </c>
      <c r="B15861" s="17">
        <f t="array" ref="B15861">SUM(1-'Sparkling Model'!D$2:D$38^A15861)</f>
        <v>36.99865718</v>
      </c>
      <c r="C15861" s="8">
        <f t="array" ref="C15861">PRODUCT(1-'Sparkling Model'!D$2:D$38^A15861)</f>
        <v>0.9986577986</v>
      </c>
    </row>
    <row r="15862">
      <c r="A15862" s="6">
        <v>15860.0</v>
      </c>
      <c r="B15862" s="17">
        <f t="array" ref="B15862">SUM(1-'Sparkling Model'!D$2:D$38^A15862)</f>
        <v>36.99865784</v>
      </c>
      <c r="C15862" s="8">
        <f t="array" ref="C15862">PRODUCT(1-'Sparkling Model'!D$2:D$38^A15862)</f>
        <v>0.9986584602</v>
      </c>
    </row>
    <row r="15863">
      <c r="A15863" s="6">
        <v>15861.0</v>
      </c>
      <c r="B15863" s="17">
        <f t="array" ref="B15863">SUM(1-'Sparkling Model'!D$2:D$38^A15863)</f>
        <v>36.9986585</v>
      </c>
      <c r="C15863" s="8">
        <f t="array" ref="C15863">PRODUCT(1-'Sparkling Model'!D$2:D$38^A15863)</f>
        <v>0.9986591215</v>
      </c>
    </row>
    <row r="15864">
      <c r="A15864" s="6">
        <v>15862.0</v>
      </c>
      <c r="B15864" s="17">
        <f t="array" ref="B15864">SUM(1-'Sparkling Model'!D$2:D$38^A15864)</f>
        <v>36.99865916</v>
      </c>
      <c r="C15864" s="8">
        <f t="array" ref="C15864">PRODUCT(1-'Sparkling Model'!D$2:D$38^A15864)</f>
        <v>0.9986597825</v>
      </c>
    </row>
    <row r="15865">
      <c r="A15865" s="6">
        <v>15863.0</v>
      </c>
      <c r="B15865" s="17">
        <f t="array" ref="B15865">SUM(1-'Sparkling Model'!D$2:D$38^A15865)</f>
        <v>36.99865983</v>
      </c>
      <c r="C15865" s="8">
        <f t="array" ref="C15865">PRODUCT(1-'Sparkling Model'!D$2:D$38^A15865)</f>
        <v>0.9986604431</v>
      </c>
    </row>
    <row r="15866">
      <c r="A15866" s="6">
        <v>15864.0</v>
      </c>
      <c r="B15866" s="17">
        <f t="array" ref="B15866">SUM(1-'Sparkling Model'!D$2:D$38^A15866)</f>
        <v>36.99866049</v>
      </c>
      <c r="C15866" s="8">
        <f t="array" ref="C15866">PRODUCT(1-'Sparkling Model'!D$2:D$38^A15866)</f>
        <v>0.9986611034</v>
      </c>
    </row>
    <row r="15867">
      <c r="A15867" s="6">
        <v>15865.0</v>
      </c>
      <c r="B15867" s="17">
        <f t="array" ref="B15867">SUM(1-'Sparkling Model'!D$2:D$38^A15867)</f>
        <v>36.99866115</v>
      </c>
      <c r="C15867" s="8">
        <f t="array" ref="C15867">PRODUCT(1-'Sparkling Model'!D$2:D$38^A15867)</f>
        <v>0.9986617634</v>
      </c>
    </row>
    <row r="15868">
      <c r="A15868" s="6">
        <v>15866.0</v>
      </c>
      <c r="B15868" s="17">
        <f t="array" ref="B15868">SUM(1-'Sparkling Model'!D$2:D$38^A15868)</f>
        <v>36.99866181</v>
      </c>
      <c r="C15868" s="8">
        <f t="array" ref="C15868">PRODUCT(1-'Sparkling Model'!D$2:D$38^A15868)</f>
        <v>0.9986624231</v>
      </c>
    </row>
    <row r="15869">
      <c r="A15869" s="6">
        <v>15867.0</v>
      </c>
      <c r="B15869" s="17">
        <f t="array" ref="B15869">SUM(1-'Sparkling Model'!D$2:D$38^A15869)</f>
        <v>36.99866247</v>
      </c>
      <c r="C15869" s="8">
        <f t="array" ref="C15869">PRODUCT(1-'Sparkling Model'!D$2:D$38^A15869)</f>
        <v>0.9986630824</v>
      </c>
    </row>
    <row r="15870">
      <c r="A15870" s="6">
        <v>15868.0</v>
      </c>
      <c r="B15870" s="17">
        <f t="array" ref="B15870">SUM(1-'Sparkling Model'!D$2:D$38^A15870)</f>
        <v>36.99866313</v>
      </c>
      <c r="C15870" s="8">
        <f t="array" ref="C15870">PRODUCT(1-'Sparkling Model'!D$2:D$38^A15870)</f>
        <v>0.9986637414</v>
      </c>
    </row>
    <row r="15871">
      <c r="A15871" s="6">
        <v>15869.0</v>
      </c>
      <c r="B15871" s="17">
        <f t="array" ref="B15871">SUM(1-'Sparkling Model'!D$2:D$38^A15871)</f>
        <v>36.99866379</v>
      </c>
      <c r="C15871" s="8">
        <f t="array" ref="C15871">PRODUCT(1-'Sparkling Model'!D$2:D$38^A15871)</f>
        <v>0.9986644001</v>
      </c>
    </row>
    <row r="15872">
      <c r="A15872" s="6">
        <v>15870.0</v>
      </c>
      <c r="B15872" s="17">
        <f t="array" ref="B15872">SUM(1-'Sparkling Model'!D$2:D$38^A15872)</f>
        <v>36.99866445</v>
      </c>
      <c r="C15872" s="8">
        <f t="array" ref="C15872">PRODUCT(1-'Sparkling Model'!D$2:D$38^A15872)</f>
        <v>0.9986650585</v>
      </c>
    </row>
    <row r="15873">
      <c r="A15873" s="6">
        <v>15871.0</v>
      </c>
      <c r="B15873" s="17">
        <f t="array" ref="B15873">SUM(1-'Sparkling Model'!D$2:D$38^A15873)</f>
        <v>36.9986651</v>
      </c>
      <c r="C15873" s="8">
        <f t="array" ref="C15873">PRODUCT(1-'Sparkling Model'!D$2:D$38^A15873)</f>
        <v>0.9986657165</v>
      </c>
    </row>
    <row r="15874">
      <c r="A15874" s="6">
        <v>15872.0</v>
      </c>
      <c r="B15874" s="17">
        <f t="array" ref="B15874">SUM(1-'Sparkling Model'!D$2:D$38^A15874)</f>
        <v>36.99866576</v>
      </c>
      <c r="C15874" s="8">
        <f t="array" ref="C15874">PRODUCT(1-'Sparkling Model'!D$2:D$38^A15874)</f>
        <v>0.9986663742</v>
      </c>
    </row>
    <row r="15875">
      <c r="A15875" s="6">
        <v>15873.0</v>
      </c>
      <c r="B15875" s="17">
        <f t="array" ref="B15875">SUM(1-'Sparkling Model'!D$2:D$38^A15875)</f>
        <v>36.99866642</v>
      </c>
      <c r="C15875" s="8">
        <f t="array" ref="C15875">PRODUCT(1-'Sparkling Model'!D$2:D$38^A15875)</f>
        <v>0.9986670316</v>
      </c>
    </row>
    <row r="15876">
      <c r="A15876" s="6">
        <v>15874.0</v>
      </c>
      <c r="B15876" s="17">
        <f t="array" ref="B15876">SUM(1-'Sparkling Model'!D$2:D$38^A15876)</f>
        <v>36.99866708</v>
      </c>
      <c r="C15876" s="8">
        <f t="array" ref="C15876">PRODUCT(1-'Sparkling Model'!D$2:D$38^A15876)</f>
        <v>0.9986676887</v>
      </c>
    </row>
    <row r="15877">
      <c r="A15877" s="6">
        <v>15875.0</v>
      </c>
      <c r="B15877" s="17">
        <f t="array" ref="B15877">SUM(1-'Sparkling Model'!D$2:D$38^A15877)</f>
        <v>36.99866774</v>
      </c>
      <c r="C15877" s="8">
        <f t="array" ref="C15877">PRODUCT(1-'Sparkling Model'!D$2:D$38^A15877)</f>
        <v>0.9986683454</v>
      </c>
    </row>
    <row r="15878">
      <c r="A15878" s="6">
        <v>15876.0</v>
      </c>
      <c r="B15878" s="17">
        <f t="array" ref="B15878">SUM(1-'Sparkling Model'!D$2:D$38^A15878)</f>
        <v>36.99866839</v>
      </c>
      <c r="C15878" s="8">
        <f t="array" ref="C15878">PRODUCT(1-'Sparkling Model'!D$2:D$38^A15878)</f>
        <v>0.9986690018</v>
      </c>
    </row>
    <row r="15879">
      <c r="A15879" s="6">
        <v>15877.0</v>
      </c>
      <c r="B15879" s="17">
        <f t="array" ref="B15879">SUM(1-'Sparkling Model'!D$2:D$38^A15879)</f>
        <v>36.99866905</v>
      </c>
      <c r="C15879" s="8">
        <f t="array" ref="C15879">PRODUCT(1-'Sparkling Model'!D$2:D$38^A15879)</f>
        <v>0.9986696579</v>
      </c>
    </row>
    <row r="15880">
      <c r="A15880" s="6">
        <v>15878.0</v>
      </c>
      <c r="B15880" s="17">
        <f t="array" ref="B15880">SUM(1-'Sparkling Model'!D$2:D$38^A15880)</f>
        <v>36.99866971</v>
      </c>
      <c r="C15880" s="8">
        <f t="array" ref="C15880">PRODUCT(1-'Sparkling Model'!D$2:D$38^A15880)</f>
        <v>0.9986703137</v>
      </c>
    </row>
    <row r="15881">
      <c r="A15881" s="6">
        <v>15879.0</v>
      </c>
      <c r="B15881" s="17">
        <f t="array" ref="B15881">SUM(1-'Sparkling Model'!D$2:D$38^A15881)</f>
        <v>36.99867036</v>
      </c>
      <c r="C15881" s="8">
        <f t="array" ref="C15881">PRODUCT(1-'Sparkling Model'!D$2:D$38^A15881)</f>
        <v>0.9986709691</v>
      </c>
    </row>
    <row r="15882">
      <c r="A15882" s="6">
        <v>15880.0</v>
      </c>
      <c r="B15882" s="17">
        <f t="array" ref="B15882">SUM(1-'Sparkling Model'!D$2:D$38^A15882)</f>
        <v>36.99867102</v>
      </c>
      <c r="C15882" s="8">
        <f t="array" ref="C15882">PRODUCT(1-'Sparkling Model'!D$2:D$38^A15882)</f>
        <v>0.9986716242</v>
      </c>
    </row>
    <row r="15883">
      <c r="A15883" s="6">
        <v>15881.0</v>
      </c>
      <c r="B15883" s="17">
        <f t="array" ref="B15883">SUM(1-'Sparkling Model'!D$2:D$38^A15883)</f>
        <v>36.99867167</v>
      </c>
      <c r="C15883" s="8">
        <f t="array" ref="C15883">PRODUCT(1-'Sparkling Model'!D$2:D$38^A15883)</f>
        <v>0.998672279</v>
      </c>
    </row>
    <row r="15884">
      <c r="A15884" s="6">
        <v>15882.0</v>
      </c>
      <c r="B15884" s="17">
        <f t="array" ref="B15884">SUM(1-'Sparkling Model'!D$2:D$38^A15884)</f>
        <v>36.99867233</v>
      </c>
      <c r="C15884" s="8">
        <f t="array" ref="C15884">PRODUCT(1-'Sparkling Model'!D$2:D$38^A15884)</f>
        <v>0.9986729335</v>
      </c>
    </row>
    <row r="15885">
      <c r="A15885" s="6">
        <v>15883.0</v>
      </c>
      <c r="B15885" s="17">
        <f t="array" ref="B15885">SUM(1-'Sparkling Model'!D$2:D$38^A15885)</f>
        <v>36.99867298</v>
      </c>
      <c r="C15885" s="8">
        <f t="array" ref="C15885">PRODUCT(1-'Sparkling Model'!D$2:D$38^A15885)</f>
        <v>0.9986735876</v>
      </c>
    </row>
    <row r="15886">
      <c r="A15886" s="6">
        <v>15884.0</v>
      </c>
      <c r="B15886" s="17">
        <f t="array" ref="B15886">SUM(1-'Sparkling Model'!D$2:D$38^A15886)</f>
        <v>36.99867364</v>
      </c>
      <c r="C15886" s="8">
        <f t="array" ref="C15886">PRODUCT(1-'Sparkling Model'!D$2:D$38^A15886)</f>
        <v>0.9986742415</v>
      </c>
    </row>
    <row r="15887">
      <c r="A15887" s="6">
        <v>15885.0</v>
      </c>
      <c r="B15887" s="17">
        <f t="array" ref="B15887">SUM(1-'Sparkling Model'!D$2:D$38^A15887)</f>
        <v>36.99867429</v>
      </c>
      <c r="C15887" s="8">
        <f t="array" ref="C15887">PRODUCT(1-'Sparkling Model'!D$2:D$38^A15887)</f>
        <v>0.998674895</v>
      </c>
    </row>
    <row r="15888">
      <c r="A15888" s="6">
        <v>15886.0</v>
      </c>
      <c r="B15888" s="17">
        <f t="array" ref="B15888">SUM(1-'Sparkling Model'!D$2:D$38^A15888)</f>
        <v>36.99867494</v>
      </c>
      <c r="C15888" s="8">
        <f t="array" ref="C15888">PRODUCT(1-'Sparkling Model'!D$2:D$38^A15888)</f>
        <v>0.9986755481</v>
      </c>
    </row>
    <row r="15889">
      <c r="A15889" s="6">
        <v>15887.0</v>
      </c>
      <c r="B15889" s="17">
        <f t="array" ref="B15889">SUM(1-'Sparkling Model'!D$2:D$38^A15889)</f>
        <v>36.9986756</v>
      </c>
      <c r="C15889" s="8">
        <f t="array" ref="C15889">PRODUCT(1-'Sparkling Model'!D$2:D$38^A15889)</f>
        <v>0.998676201</v>
      </c>
    </row>
    <row r="15890">
      <c r="A15890" s="6">
        <v>15888.0</v>
      </c>
      <c r="B15890" s="17">
        <f t="array" ref="B15890">SUM(1-'Sparkling Model'!D$2:D$38^A15890)</f>
        <v>36.99867625</v>
      </c>
      <c r="C15890" s="8">
        <f t="array" ref="C15890">PRODUCT(1-'Sparkling Model'!D$2:D$38^A15890)</f>
        <v>0.9986768535</v>
      </c>
    </row>
    <row r="15891">
      <c r="A15891" s="6">
        <v>15889.0</v>
      </c>
      <c r="B15891" s="17">
        <f t="array" ref="B15891">SUM(1-'Sparkling Model'!D$2:D$38^A15891)</f>
        <v>36.9986769</v>
      </c>
      <c r="C15891" s="8">
        <f t="array" ref="C15891">PRODUCT(1-'Sparkling Model'!D$2:D$38^A15891)</f>
        <v>0.9986775057</v>
      </c>
    </row>
    <row r="15892">
      <c r="A15892" s="6">
        <v>15890.0</v>
      </c>
      <c r="B15892" s="17">
        <f t="array" ref="B15892">SUM(1-'Sparkling Model'!D$2:D$38^A15892)</f>
        <v>36.99867756</v>
      </c>
      <c r="C15892" s="8">
        <f t="array" ref="C15892">PRODUCT(1-'Sparkling Model'!D$2:D$38^A15892)</f>
        <v>0.9986781576</v>
      </c>
    </row>
    <row r="15893">
      <c r="A15893" s="6">
        <v>15891.0</v>
      </c>
      <c r="B15893" s="17">
        <f t="array" ref="B15893">SUM(1-'Sparkling Model'!D$2:D$38^A15893)</f>
        <v>36.99867821</v>
      </c>
      <c r="C15893" s="8">
        <f t="array" ref="C15893">PRODUCT(1-'Sparkling Model'!D$2:D$38^A15893)</f>
        <v>0.9986788092</v>
      </c>
    </row>
    <row r="15894">
      <c r="A15894" s="6">
        <v>15892.0</v>
      </c>
      <c r="B15894" s="17">
        <f t="array" ref="B15894">SUM(1-'Sparkling Model'!D$2:D$38^A15894)</f>
        <v>36.99867886</v>
      </c>
      <c r="C15894" s="8">
        <f t="array" ref="C15894">PRODUCT(1-'Sparkling Model'!D$2:D$38^A15894)</f>
        <v>0.9986794604</v>
      </c>
    </row>
    <row r="15895">
      <c r="A15895" s="6">
        <v>15893.0</v>
      </c>
      <c r="B15895" s="17">
        <f t="array" ref="B15895">SUM(1-'Sparkling Model'!D$2:D$38^A15895)</f>
        <v>36.99867951</v>
      </c>
      <c r="C15895" s="8">
        <f t="array" ref="C15895">PRODUCT(1-'Sparkling Model'!D$2:D$38^A15895)</f>
        <v>0.9986801113</v>
      </c>
    </row>
    <row r="15896">
      <c r="A15896" s="6">
        <v>15894.0</v>
      </c>
      <c r="B15896" s="17">
        <f t="array" ref="B15896">SUM(1-'Sparkling Model'!D$2:D$38^A15896)</f>
        <v>36.99868016</v>
      </c>
      <c r="C15896" s="8">
        <f t="array" ref="C15896">PRODUCT(1-'Sparkling Model'!D$2:D$38^A15896)</f>
        <v>0.9986807619</v>
      </c>
    </row>
    <row r="15897">
      <c r="A15897" s="6">
        <v>15895.0</v>
      </c>
      <c r="B15897" s="17">
        <f t="array" ref="B15897">SUM(1-'Sparkling Model'!D$2:D$38^A15897)</f>
        <v>36.99868081</v>
      </c>
      <c r="C15897" s="8">
        <f t="array" ref="C15897">PRODUCT(1-'Sparkling Model'!D$2:D$38^A15897)</f>
        <v>0.9986814122</v>
      </c>
    </row>
    <row r="15898">
      <c r="A15898" s="6">
        <v>15896.0</v>
      </c>
      <c r="B15898" s="17">
        <f t="array" ref="B15898">SUM(1-'Sparkling Model'!D$2:D$38^A15898)</f>
        <v>36.99868146</v>
      </c>
      <c r="C15898" s="8">
        <f t="array" ref="C15898">PRODUCT(1-'Sparkling Model'!D$2:D$38^A15898)</f>
        <v>0.9986820622</v>
      </c>
    </row>
    <row r="15899">
      <c r="A15899" s="6">
        <v>15897.0</v>
      </c>
      <c r="B15899" s="17">
        <f t="array" ref="B15899">SUM(1-'Sparkling Model'!D$2:D$38^A15899)</f>
        <v>36.99868211</v>
      </c>
      <c r="C15899" s="8">
        <f t="array" ref="C15899">PRODUCT(1-'Sparkling Model'!D$2:D$38^A15899)</f>
        <v>0.9986827118</v>
      </c>
    </row>
    <row r="15900">
      <c r="A15900" s="6">
        <v>15898.0</v>
      </c>
      <c r="B15900" s="17">
        <f t="array" ref="B15900">SUM(1-'Sparkling Model'!D$2:D$38^A15900)</f>
        <v>36.99868276</v>
      </c>
      <c r="C15900" s="8">
        <f t="array" ref="C15900">PRODUCT(1-'Sparkling Model'!D$2:D$38^A15900)</f>
        <v>0.9986833611</v>
      </c>
    </row>
    <row r="15901">
      <c r="A15901" s="6">
        <v>15899.0</v>
      </c>
      <c r="B15901" s="17">
        <f t="array" ref="B15901">SUM(1-'Sparkling Model'!D$2:D$38^A15901)</f>
        <v>36.99868341</v>
      </c>
      <c r="C15901" s="8">
        <f t="array" ref="C15901">PRODUCT(1-'Sparkling Model'!D$2:D$38^A15901)</f>
        <v>0.9986840101</v>
      </c>
    </row>
    <row r="15902">
      <c r="A15902" s="6">
        <v>15900.0</v>
      </c>
      <c r="B15902" s="17">
        <f t="array" ref="B15902">SUM(1-'Sparkling Model'!D$2:D$38^A15902)</f>
        <v>36.99868406</v>
      </c>
      <c r="C15902" s="8">
        <f t="array" ref="C15902">PRODUCT(1-'Sparkling Model'!D$2:D$38^A15902)</f>
        <v>0.9986846588</v>
      </c>
    </row>
    <row r="15903">
      <c r="A15903" s="6">
        <v>15901.0</v>
      </c>
      <c r="B15903" s="17">
        <f t="array" ref="B15903">SUM(1-'Sparkling Model'!D$2:D$38^A15903)</f>
        <v>36.99868471</v>
      </c>
      <c r="C15903" s="8">
        <f t="array" ref="C15903">PRODUCT(1-'Sparkling Model'!D$2:D$38^A15903)</f>
        <v>0.9986853071</v>
      </c>
    </row>
    <row r="15904">
      <c r="A15904" s="6">
        <v>15902.0</v>
      </c>
      <c r="B15904" s="17">
        <f t="array" ref="B15904">SUM(1-'Sparkling Model'!D$2:D$38^A15904)</f>
        <v>36.99868536</v>
      </c>
      <c r="C15904" s="8">
        <f t="array" ref="C15904">PRODUCT(1-'Sparkling Model'!D$2:D$38^A15904)</f>
        <v>0.9986859551</v>
      </c>
    </row>
    <row r="15905">
      <c r="A15905" s="6">
        <v>15903.0</v>
      </c>
      <c r="B15905" s="17">
        <f t="array" ref="B15905">SUM(1-'Sparkling Model'!D$2:D$38^A15905)</f>
        <v>36.99868601</v>
      </c>
      <c r="C15905" s="8">
        <f t="array" ref="C15905">PRODUCT(1-'Sparkling Model'!D$2:D$38^A15905)</f>
        <v>0.9986866029</v>
      </c>
    </row>
    <row r="15906">
      <c r="A15906" s="6">
        <v>15904.0</v>
      </c>
      <c r="B15906" s="17">
        <f t="array" ref="B15906">SUM(1-'Sparkling Model'!D$2:D$38^A15906)</f>
        <v>36.99868666</v>
      </c>
      <c r="C15906" s="8">
        <f t="array" ref="C15906">PRODUCT(1-'Sparkling Model'!D$2:D$38^A15906)</f>
        <v>0.9986872502</v>
      </c>
    </row>
    <row r="15907">
      <c r="A15907" s="6">
        <v>15905.0</v>
      </c>
      <c r="B15907" s="17">
        <f t="array" ref="B15907">SUM(1-'Sparkling Model'!D$2:D$38^A15907)</f>
        <v>36.99868731</v>
      </c>
      <c r="C15907" s="8">
        <f t="array" ref="C15907">PRODUCT(1-'Sparkling Model'!D$2:D$38^A15907)</f>
        <v>0.9986878973</v>
      </c>
    </row>
    <row r="15908">
      <c r="A15908" s="6">
        <v>15906.0</v>
      </c>
      <c r="B15908" s="17">
        <f t="array" ref="B15908">SUM(1-'Sparkling Model'!D$2:D$38^A15908)</f>
        <v>36.99868795</v>
      </c>
      <c r="C15908" s="8">
        <f t="array" ref="C15908">PRODUCT(1-'Sparkling Model'!D$2:D$38^A15908)</f>
        <v>0.9986885441</v>
      </c>
    </row>
    <row r="15909">
      <c r="A15909" s="6">
        <v>15907.0</v>
      </c>
      <c r="B15909" s="17">
        <f t="array" ref="B15909">SUM(1-'Sparkling Model'!D$2:D$38^A15909)</f>
        <v>36.9986886</v>
      </c>
      <c r="C15909" s="8">
        <f t="array" ref="C15909">PRODUCT(1-'Sparkling Model'!D$2:D$38^A15909)</f>
        <v>0.9986891905</v>
      </c>
    </row>
    <row r="15910">
      <c r="A15910" s="6">
        <v>15908.0</v>
      </c>
      <c r="B15910" s="17">
        <f t="array" ref="B15910">SUM(1-'Sparkling Model'!D$2:D$38^A15910)</f>
        <v>36.99868925</v>
      </c>
      <c r="C15910" s="8">
        <f t="array" ref="C15910">PRODUCT(1-'Sparkling Model'!D$2:D$38^A15910)</f>
        <v>0.9986898366</v>
      </c>
    </row>
    <row r="15911">
      <c r="A15911" s="6">
        <v>15909.0</v>
      </c>
      <c r="B15911" s="17">
        <f t="array" ref="B15911">SUM(1-'Sparkling Model'!D$2:D$38^A15911)</f>
        <v>36.99868989</v>
      </c>
      <c r="C15911" s="8">
        <f t="array" ref="C15911">PRODUCT(1-'Sparkling Model'!D$2:D$38^A15911)</f>
        <v>0.9986904824</v>
      </c>
    </row>
    <row r="15912">
      <c r="A15912" s="6">
        <v>15910.0</v>
      </c>
      <c r="B15912" s="17">
        <f t="array" ref="B15912">SUM(1-'Sparkling Model'!D$2:D$38^A15912)</f>
        <v>36.99869054</v>
      </c>
      <c r="C15912" s="8">
        <f t="array" ref="C15912">PRODUCT(1-'Sparkling Model'!D$2:D$38^A15912)</f>
        <v>0.9986911279</v>
      </c>
    </row>
    <row r="15913">
      <c r="A15913" s="6">
        <v>15911.0</v>
      </c>
      <c r="B15913" s="17">
        <f t="array" ref="B15913">SUM(1-'Sparkling Model'!D$2:D$38^A15913)</f>
        <v>36.99869118</v>
      </c>
      <c r="C15913" s="8">
        <f t="array" ref="C15913">PRODUCT(1-'Sparkling Model'!D$2:D$38^A15913)</f>
        <v>0.998691773</v>
      </c>
    </row>
    <row r="15914">
      <c r="A15914" s="6">
        <v>15912.0</v>
      </c>
      <c r="B15914" s="17">
        <f t="array" ref="B15914">SUM(1-'Sparkling Model'!D$2:D$38^A15914)</f>
        <v>36.99869183</v>
      </c>
      <c r="C15914" s="8">
        <f t="array" ref="C15914">PRODUCT(1-'Sparkling Model'!D$2:D$38^A15914)</f>
        <v>0.9986924179</v>
      </c>
    </row>
    <row r="15915">
      <c r="A15915" s="6">
        <v>15913.0</v>
      </c>
      <c r="B15915" s="17">
        <f t="array" ref="B15915">SUM(1-'Sparkling Model'!D$2:D$38^A15915)</f>
        <v>36.99869247</v>
      </c>
      <c r="C15915" s="8">
        <f t="array" ref="C15915">PRODUCT(1-'Sparkling Model'!D$2:D$38^A15915)</f>
        <v>0.9986930624</v>
      </c>
    </row>
    <row r="15916">
      <c r="A15916" s="6">
        <v>15914.0</v>
      </c>
      <c r="B15916" s="17">
        <f t="array" ref="B15916">SUM(1-'Sparkling Model'!D$2:D$38^A15916)</f>
        <v>36.99869312</v>
      </c>
      <c r="C15916" s="8">
        <f t="array" ref="C15916">PRODUCT(1-'Sparkling Model'!D$2:D$38^A15916)</f>
        <v>0.9986937066</v>
      </c>
    </row>
    <row r="15917">
      <c r="A15917" s="6">
        <v>15915.0</v>
      </c>
      <c r="B15917" s="17">
        <f t="array" ref="B15917">SUM(1-'Sparkling Model'!D$2:D$38^A15917)</f>
        <v>36.99869376</v>
      </c>
      <c r="C15917" s="8">
        <f t="array" ref="C15917">PRODUCT(1-'Sparkling Model'!D$2:D$38^A15917)</f>
        <v>0.9986943505</v>
      </c>
    </row>
    <row r="15918">
      <c r="A15918" s="6">
        <v>15916.0</v>
      </c>
      <c r="B15918" s="17">
        <f t="array" ref="B15918">SUM(1-'Sparkling Model'!D$2:D$38^A15918)</f>
        <v>36.99869441</v>
      </c>
      <c r="C15918" s="8">
        <f t="array" ref="C15918">PRODUCT(1-'Sparkling Model'!D$2:D$38^A15918)</f>
        <v>0.998694994</v>
      </c>
    </row>
    <row r="15919">
      <c r="A15919" s="6">
        <v>15917.0</v>
      </c>
      <c r="B15919" s="17">
        <f t="array" ref="B15919">SUM(1-'Sparkling Model'!D$2:D$38^A15919)</f>
        <v>36.99869505</v>
      </c>
      <c r="C15919" s="8">
        <f t="array" ref="C15919">PRODUCT(1-'Sparkling Model'!D$2:D$38^A15919)</f>
        <v>0.9986956373</v>
      </c>
    </row>
    <row r="15920">
      <c r="A15920" s="6">
        <v>15918.0</v>
      </c>
      <c r="B15920" s="17">
        <f t="array" ref="B15920">SUM(1-'Sparkling Model'!D$2:D$38^A15920)</f>
        <v>36.9986957</v>
      </c>
      <c r="C15920" s="8">
        <f t="array" ref="C15920">PRODUCT(1-'Sparkling Model'!D$2:D$38^A15920)</f>
        <v>0.9986962802</v>
      </c>
    </row>
    <row r="15921">
      <c r="A15921" s="6">
        <v>15919.0</v>
      </c>
      <c r="B15921" s="17">
        <f t="array" ref="B15921">SUM(1-'Sparkling Model'!D$2:D$38^A15921)</f>
        <v>36.99869634</v>
      </c>
      <c r="C15921" s="8">
        <f t="array" ref="C15921">PRODUCT(1-'Sparkling Model'!D$2:D$38^A15921)</f>
        <v>0.9986969228</v>
      </c>
    </row>
    <row r="15922">
      <c r="A15922" s="6">
        <v>15920.0</v>
      </c>
      <c r="B15922" s="17">
        <f t="array" ref="B15922">SUM(1-'Sparkling Model'!D$2:D$38^A15922)</f>
        <v>36.99869698</v>
      </c>
      <c r="C15922" s="8">
        <f t="array" ref="C15922">PRODUCT(1-'Sparkling Model'!D$2:D$38^A15922)</f>
        <v>0.9986975651</v>
      </c>
    </row>
    <row r="15923">
      <c r="A15923" s="6">
        <v>15921.0</v>
      </c>
      <c r="B15923" s="17">
        <f t="array" ref="B15923">SUM(1-'Sparkling Model'!D$2:D$38^A15923)</f>
        <v>36.99869762</v>
      </c>
      <c r="C15923" s="8">
        <f t="array" ref="C15923">PRODUCT(1-'Sparkling Model'!D$2:D$38^A15923)</f>
        <v>0.9986982071</v>
      </c>
    </row>
    <row r="15924">
      <c r="A15924" s="6">
        <v>15922.0</v>
      </c>
      <c r="B15924" s="17">
        <f t="array" ref="B15924">SUM(1-'Sparkling Model'!D$2:D$38^A15924)</f>
        <v>36.99869827</v>
      </c>
      <c r="C15924" s="8">
        <f t="array" ref="C15924">PRODUCT(1-'Sparkling Model'!D$2:D$38^A15924)</f>
        <v>0.9986988487</v>
      </c>
    </row>
    <row r="15925">
      <c r="A15925" s="6">
        <v>15923.0</v>
      </c>
      <c r="B15925" s="17">
        <f t="array" ref="B15925">SUM(1-'Sparkling Model'!D$2:D$38^A15925)</f>
        <v>36.99869891</v>
      </c>
      <c r="C15925" s="8">
        <f t="array" ref="C15925">PRODUCT(1-'Sparkling Model'!D$2:D$38^A15925)</f>
        <v>0.99869949</v>
      </c>
    </row>
    <row r="15926">
      <c r="A15926" s="6">
        <v>15924.0</v>
      </c>
      <c r="B15926" s="17">
        <f t="array" ref="B15926">SUM(1-'Sparkling Model'!D$2:D$38^A15926)</f>
        <v>36.99869955</v>
      </c>
      <c r="C15926" s="8">
        <f t="array" ref="C15926">PRODUCT(1-'Sparkling Model'!D$2:D$38^A15926)</f>
        <v>0.9987001311</v>
      </c>
    </row>
    <row r="15927">
      <c r="A15927" s="6">
        <v>15925.0</v>
      </c>
      <c r="B15927" s="17">
        <f t="array" ref="B15927">SUM(1-'Sparkling Model'!D$2:D$38^A15927)</f>
        <v>36.99870019</v>
      </c>
      <c r="C15927" s="8">
        <f t="array" ref="C15927">PRODUCT(1-'Sparkling Model'!D$2:D$38^A15927)</f>
        <v>0.9987007718</v>
      </c>
    </row>
    <row r="15928">
      <c r="A15928" s="6">
        <v>15926.0</v>
      </c>
      <c r="B15928" s="17">
        <f t="array" ref="B15928">SUM(1-'Sparkling Model'!D$2:D$38^A15928)</f>
        <v>36.99870083</v>
      </c>
      <c r="C15928" s="8">
        <f t="array" ref="C15928">PRODUCT(1-'Sparkling Model'!D$2:D$38^A15928)</f>
        <v>0.9987014122</v>
      </c>
    </row>
    <row r="15929">
      <c r="A15929" s="6">
        <v>15927.0</v>
      </c>
      <c r="B15929" s="17">
        <f t="array" ref="B15929">SUM(1-'Sparkling Model'!D$2:D$38^A15929)</f>
        <v>36.99870147</v>
      </c>
      <c r="C15929" s="8">
        <f t="array" ref="C15929">PRODUCT(1-'Sparkling Model'!D$2:D$38^A15929)</f>
        <v>0.9987020522</v>
      </c>
    </row>
    <row r="15930">
      <c r="A15930" s="6">
        <v>15928.0</v>
      </c>
      <c r="B15930" s="17">
        <f t="array" ref="B15930">SUM(1-'Sparkling Model'!D$2:D$38^A15930)</f>
        <v>36.99870211</v>
      </c>
      <c r="C15930" s="8">
        <f t="array" ref="C15930">PRODUCT(1-'Sparkling Model'!D$2:D$38^A15930)</f>
        <v>0.998702692</v>
      </c>
    </row>
    <row r="15931">
      <c r="A15931" s="6">
        <v>15929.0</v>
      </c>
      <c r="B15931" s="17">
        <f t="array" ref="B15931">SUM(1-'Sparkling Model'!D$2:D$38^A15931)</f>
        <v>36.99870275</v>
      </c>
      <c r="C15931" s="8">
        <f t="array" ref="C15931">PRODUCT(1-'Sparkling Model'!D$2:D$38^A15931)</f>
        <v>0.9987033314</v>
      </c>
    </row>
    <row r="15932">
      <c r="A15932" s="6">
        <v>15930.0</v>
      </c>
      <c r="B15932" s="17">
        <f t="array" ref="B15932">SUM(1-'Sparkling Model'!D$2:D$38^A15932)</f>
        <v>36.99870339</v>
      </c>
      <c r="C15932" s="8">
        <f t="array" ref="C15932">PRODUCT(1-'Sparkling Model'!D$2:D$38^A15932)</f>
        <v>0.9987039705</v>
      </c>
    </row>
    <row r="15933">
      <c r="A15933" s="6">
        <v>15931.0</v>
      </c>
      <c r="B15933" s="17">
        <f t="array" ref="B15933">SUM(1-'Sparkling Model'!D$2:D$38^A15933)</f>
        <v>36.99870403</v>
      </c>
      <c r="C15933" s="8">
        <f t="array" ref="C15933">PRODUCT(1-'Sparkling Model'!D$2:D$38^A15933)</f>
        <v>0.9987046094</v>
      </c>
    </row>
    <row r="15934">
      <c r="A15934" s="6">
        <v>15932.0</v>
      </c>
      <c r="B15934" s="17">
        <f t="array" ref="B15934">SUM(1-'Sparkling Model'!D$2:D$38^A15934)</f>
        <v>36.99870467</v>
      </c>
      <c r="C15934" s="8">
        <f t="array" ref="C15934">PRODUCT(1-'Sparkling Model'!D$2:D$38^A15934)</f>
        <v>0.9987052478</v>
      </c>
    </row>
    <row r="15935">
      <c r="A15935" s="6">
        <v>15933.0</v>
      </c>
      <c r="B15935" s="17">
        <f t="array" ref="B15935">SUM(1-'Sparkling Model'!D$2:D$38^A15935)</f>
        <v>36.99870531</v>
      </c>
      <c r="C15935" s="8">
        <f t="array" ref="C15935">PRODUCT(1-'Sparkling Model'!D$2:D$38^A15935)</f>
        <v>0.998705886</v>
      </c>
    </row>
    <row r="15936">
      <c r="A15936" s="6">
        <v>15934.0</v>
      </c>
      <c r="B15936" s="17">
        <f t="array" ref="B15936">SUM(1-'Sparkling Model'!D$2:D$38^A15936)</f>
        <v>36.99870595</v>
      </c>
      <c r="C15936" s="8">
        <f t="array" ref="C15936">PRODUCT(1-'Sparkling Model'!D$2:D$38^A15936)</f>
        <v>0.9987065239</v>
      </c>
    </row>
    <row r="15937">
      <c r="A15937" s="6">
        <v>15935.0</v>
      </c>
      <c r="B15937" s="17">
        <f t="array" ref="B15937">SUM(1-'Sparkling Model'!D$2:D$38^A15937)</f>
        <v>36.99870659</v>
      </c>
      <c r="C15937" s="8">
        <f t="array" ref="C15937">PRODUCT(1-'Sparkling Model'!D$2:D$38^A15937)</f>
        <v>0.9987071614</v>
      </c>
    </row>
    <row r="15938">
      <c r="A15938" s="6">
        <v>15936.0</v>
      </c>
      <c r="B15938" s="17">
        <f t="array" ref="B15938">SUM(1-'Sparkling Model'!D$2:D$38^A15938)</f>
        <v>36.99870722</v>
      </c>
      <c r="C15938" s="8">
        <f t="array" ref="C15938">PRODUCT(1-'Sparkling Model'!D$2:D$38^A15938)</f>
        <v>0.9987077987</v>
      </c>
    </row>
    <row r="15939">
      <c r="A15939" s="6">
        <v>15937.0</v>
      </c>
      <c r="B15939" s="17">
        <f t="array" ref="B15939">SUM(1-'Sparkling Model'!D$2:D$38^A15939)</f>
        <v>36.99870786</v>
      </c>
      <c r="C15939" s="8">
        <f t="array" ref="C15939">PRODUCT(1-'Sparkling Model'!D$2:D$38^A15939)</f>
        <v>0.9987084356</v>
      </c>
    </row>
    <row r="15940">
      <c r="A15940" s="6">
        <v>15938.0</v>
      </c>
      <c r="B15940" s="17">
        <f t="array" ref="B15940">SUM(1-'Sparkling Model'!D$2:D$38^A15940)</f>
        <v>36.9987085</v>
      </c>
      <c r="C15940" s="8">
        <f t="array" ref="C15940">PRODUCT(1-'Sparkling Model'!D$2:D$38^A15940)</f>
        <v>0.9987090722</v>
      </c>
    </row>
    <row r="15941">
      <c r="A15941" s="6">
        <v>15939.0</v>
      </c>
      <c r="B15941" s="17">
        <f t="array" ref="B15941">SUM(1-'Sparkling Model'!D$2:D$38^A15941)</f>
        <v>36.99870914</v>
      </c>
      <c r="C15941" s="8">
        <f t="array" ref="C15941">PRODUCT(1-'Sparkling Model'!D$2:D$38^A15941)</f>
        <v>0.9987097085</v>
      </c>
    </row>
    <row r="15942">
      <c r="A15942" s="6">
        <v>15940.0</v>
      </c>
      <c r="B15942" s="17">
        <f t="array" ref="B15942">SUM(1-'Sparkling Model'!D$2:D$38^A15942)</f>
        <v>36.99870977</v>
      </c>
      <c r="C15942" s="8">
        <f t="array" ref="C15942">PRODUCT(1-'Sparkling Model'!D$2:D$38^A15942)</f>
        <v>0.9987103444</v>
      </c>
    </row>
    <row r="15943">
      <c r="A15943" s="6">
        <v>15941.0</v>
      </c>
      <c r="B15943" s="17">
        <f t="array" ref="B15943">SUM(1-'Sparkling Model'!D$2:D$38^A15943)</f>
        <v>36.99871041</v>
      </c>
      <c r="C15943" s="8">
        <f t="array" ref="C15943">PRODUCT(1-'Sparkling Model'!D$2:D$38^A15943)</f>
        <v>0.9987109801</v>
      </c>
    </row>
    <row r="15944">
      <c r="A15944" s="6">
        <v>15942.0</v>
      </c>
      <c r="B15944" s="17">
        <f t="array" ref="B15944">SUM(1-'Sparkling Model'!D$2:D$38^A15944)</f>
        <v>36.99871104</v>
      </c>
      <c r="C15944" s="8">
        <f t="array" ref="C15944">PRODUCT(1-'Sparkling Model'!D$2:D$38^A15944)</f>
        <v>0.9987116154</v>
      </c>
    </row>
    <row r="15945">
      <c r="A15945" s="6">
        <v>15943.0</v>
      </c>
      <c r="B15945" s="17">
        <f t="array" ref="B15945">SUM(1-'Sparkling Model'!D$2:D$38^A15945)</f>
        <v>36.99871168</v>
      </c>
      <c r="C15945" s="8">
        <f t="array" ref="C15945">PRODUCT(1-'Sparkling Model'!D$2:D$38^A15945)</f>
        <v>0.9987122505</v>
      </c>
    </row>
    <row r="15946">
      <c r="A15946" s="6">
        <v>15944.0</v>
      </c>
      <c r="B15946" s="17">
        <f t="array" ref="B15946">SUM(1-'Sparkling Model'!D$2:D$38^A15946)</f>
        <v>36.99871232</v>
      </c>
      <c r="C15946" s="8">
        <f t="array" ref="C15946">PRODUCT(1-'Sparkling Model'!D$2:D$38^A15946)</f>
        <v>0.9987128852</v>
      </c>
    </row>
    <row r="15947">
      <c r="A15947" s="6">
        <v>15945.0</v>
      </c>
      <c r="B15947" s="17">
        <f t="array" ref="B15947">SUM(1-'Sparkling Model'!D$2:D$38^A15947)</f>
        <v>36.99871295</v>
      </c>
      <c r="C15947" s="8">
        <f t="array" ref="C15947">PRODUCT(1-'Sparkling Model'!D$2:D$38^A15947)</f>
        <v>0.9987135196</v>
      </c>
    </row>
    <row r="15948">
      <c r="A15948" s="6">
        <v>15946.0</v>
      </c>
      <c r="B15948" s="17">
        <f t="array" ref="B15948">SUM(1-'Sparkling Model'!D$2:D$38^A15948)</f>
        <v>36.99871359</v>
      </c>
      <c r="C15948" s="8">
        <f t="array" ref="C15948">PRODUCT(1-'Sparkling Model'!D$2:D$38^A15948)</f>
        <v>0.9987141537</v>
      </c>
    </row>
    <row r="15949">
      <c r="A15949" s="6">
        <v>15947.0</v>
      </c>
      <c r="B15949" s="17">
        <f t="array" ref="B15949">SUM(1-'Sparkling Model'!D$2:D$38^A15949)</f>
        <v>36.99871422</v>
      </c>
      <c r="C15949" s="8">
        <f t="array" ref="C15949">PRODUCT(1-'Sparkling Model'!D$2:D$38^A15949)</f>
        <v>0.9987147875</v>
      </c>
    </row>
    <row r="15950">
      <c r="A15950" s="6">
        <v>15948.0</v>
      </c>
      <c r="B15950" s="17">
        <f t="array" ref="B15950">SUM(1-'Sparkling Model'!D$2:D$38^A15950)</f>
        <v>36.99871485</v>
      </c>
      <c r="C15950" s="8">
        <f t="array" ref="C15950">PRODUCT(1-'Sparkling Model'!D$2:D$38^A15950)</f>
        <v>0.9987154209</v>
      </c>
    </row>
    <row r="15951">
      <c r="A15951" s="6">
        <v>15949.0</v>
      </c>
      <c r="B15951" s="17">
        <f t="array" ref="B15951">SUM(1-'Sparkling Model'!D$2:D$38^A15951)</f>
        <v>36.99871549</v>
      </c>
      <c r="C15951" s="8">
        <f t="array" ref="C15951">PRODUCT(1-'Sparkling Model'!D$2:D$38^A15951)</f>
        <v>0.9987160541</v>
      </c>
    </row>
    <row r="15952">
      <c r="A15952" s="6">
        <v>15950.0</v>
      </c>
      <c r="B15952" s="17">
        <f t="array" ref="B15952">SUM(1-'Sparkling Model'!D$2:D$38^A15952)</f>
        <v>36.99871612</v>
      </c>
      <c r="C15952" s="8">
        <f t="array" ref="C15952">PRODUCT(1-'Sparkling Model'!D$2:D$38^A15952)</f>
        <v>0.9987166869</v>
      </c>
    </row>
    <row r="15953">
      <c r="A15953" s="6">
        <v>15951.0</v>
      </c>
      <c r="B15953" s="17">
        <f t="array" ref="B15953">SUM(1-'Sparkling Model'!D$2:D$38^A15953)</f>
        <v>36.99871675</v>
      </c>
      <c r="C15953" s="8">
        <f t="array" ref="C15953">PRODUCT(1-'Sparkling Model'!D$2:D$38^A15953)</f>
        <v>0.9987173194</v>
      </c>
    </row>
    <row r="15954">
      <c r="A15954" s="6">
        <v>15952.0</v>
      </c>
      <c r="B15954" s="17">
        <f t="array" ref="B15954">SUM(1-'Sparkling Model'!D$2:D$38^A15954)</f>
        <v>36.99871739</v>
      </c>
      <c r="C15954" s="8">
        <f t="array" ref="C15954">PRODUCT(1-'Sparkling Model'!D$2:D$38^A15954)</f>
        <v>0.9987179516</v>
      </c>
    </row>
    <row r="15955">
      <c r="A15955" s="6">
        <v>15953.0</v>
      </c>
      <c r="B15955" s="17">
        <f t="array" ref="B15955">SUM(1-'Sparkling Model'!D$2:D$38^A15955)</f>
        <v>36.99871802</v>
      </c>
      <c r="C15955" s="8">
        <f t="array" ref="C15955">PRODUCT(1-'Sparkling Model'!D$2:D$38^A15955)</f>
        <v>0.9987185835</v>
      </c>
    </row>
    <row r="15956">
      <c r="A15956" s="6">
        <v>15954.0</v>
      </c>
      <c r="B15956" s="17">
        <f t="array" ref="B15956">SUM(1-'Sparkling Model'!D$2:D$38^A15956)</f>
        <v>36.99871865</v>
      </c>
      <c r="C15956" s="8">
        <f t="array" ref="C15956">PRODUCT(1-'Sparkling Model'!D$2:D$38^A15956)</f>
        <v>0.9987192151</v>
      </c>
    </row>
    <row r="15957">
      <c r="A15957" s="6">
        <v>15955.0</v>
      </c>
      <c r="B15957" s="17">
        <f t="array" ref="B15957">SUM(1-'Sparkling Model'!D$2:D$38^A15957)</f>
        <v>36.99871928</v>
      </c>
      <c r="C15957" s="8">
        <f t="array" ref="C15957">PRODUCT(1-'Sparkling Model'!D$2:D$38^A15957)</f>
        <v>0.9987198464</v>
      </c>
    </row>
    <row r="15958">
      <c r="A15958" s="6">
        <v>15956.0</v>
      </c>
      <c r="B15958" s="17">
        <f t="array" ref="B15958">SUM(1-'Sparkling Model'!D$2:D$38^A15958)</f>
        <v>36.99871991</v>
      </c>
      <c r="C15958" s="8">
        <f t="array" ref="C15958">PRODUCT(1-'Sparkling Model'!D$2:D$38^A15958)</f>
        <v>0.9987204774</v>
      </c>
    </row>
    <row r="15959">
      <c r="A15959" s="6">
        <v>15957.0</v>
      </c>
      <c r="B15959" s="17">
        <f t="array" ref="B15959">SUM(1-'Sparkling Model'!D$2:D$38^A15959)</f>
        <v>36.99872055</v>
      </c>
      <c r="C15959" s="8">
        <f t="array" ref="C15959">PRODUCT(1-'Sparkling Model'!D$2:D$38^A15959)</f>
        <v>0.998721108</v>
      </c>
    </row>
    <row r="15960">
      <c r="A15960" s="6">
        <v>15958.0</v>
      </c>
      <c r="B15960" s="17">
        <f t="array" ref="B15960">SUM(1-'Sparkling Model'!D$2:D$38^A15960)</f>
        <v>36.99872118</v>
      </c>
      <c r="C15960" s="8">
        <f t="array" ref="C15960">PRODUCT(1-'Sparkling Model'!D$2:D$38^A15960)</f>
        <v>0.9987217384</v>
      </c>
    </row>
    <row r="15961">
      <c r="A15961" s="6">
        <v>15959.0</v>
      </c>
      <c r="B15961" s="17">
        <f t="array" ref="B15961">SUM(1-'Sparkling Model'!D$2:D$38^A15961)</f>
        <v>36.99872181</v>
      </c>
      <c r="C15961" s="8">
        <f t="array" ref="C15961">PRODUCT(1-'Sparkling Model'!D$2:D$38^A15961)</f>
        <v>0.9987223684</v>
      </c>
    </row>
    <row r="15962">
      <c r="A15962" s="6">
        <v>15960.0</v>
      </c>
      <c r="B15962" s="17">
        <f t="array" ref="B15962">SUM(1-'Sparkling Model'!D$2:D$38^A15962)</f>
        <v>36.99872244</v>
      </c>
      <c r="C15962" s="8">
        <f t="array" ref="C15962">PRODUCT(1-'Sparkling Model'!D$2:D$38^A15962)</f>
        <v>0.9987229981</v>
      </c>
    </row>
    <row r="15963">
      <c r="A15963" s="6">
        <v>15961.0</v>
      </c>
      <c r="B15963" s="17">
        <f t="array" ref="B15963">SUM(1-'Sparkling Model'!D$2:D$38^A15963)</f>
        <v>36.99872307</v>
      </c>
      <c r="C15963" s="8">
        <f t="array" ref="C15963">PRODUCT(1-'Sparkling Model'!D$2:D$38^A15963)</f>
        <v>0.9987236275</v>
      </c>
    </row>
    <row r="15964">
      <c r="A15964" s="6">
        <v>15962.0</v>
      </c>
      <c r="B15964" s="17">
        <f t="array" ref="B15964">SUM(1-'Sparkling Model'!D$2:D$38^A15964)</f>
        <v>36.9987237</v>
      </c>
      <c r="C15964" s="8">
        <f t="array" ref="C15964">PRODUCT(1-'Sparkling Model'!D$2:D$38^A15964)</f>
        <v>0.9987242566</v>
      </c>
    </row>
    <row r="15965">
      <c r="A15965" s="6">
        <v>15963.0</v>
      </c>
      <c r="B15965" s="17">
        <f t="array" ref="B15965">SUM(1-'Sparkling Model'!D$2:D$38^A15965)</f>
        <v>36.99872433</v>
      </c>
      <c r="C15965" s="8">
        <f t="array" ref="C15965">PRODUCT(1-'Sparkling Model'!D$2:D$38^A15965)</f>
        <v>0.9987248854</v>
      </c>
    </row>
    <row r="15966">
      <c r="A15966" s="6">
        <v>15964.0</v>
      </c>
      <c r="B15966" s="17">
        <f t="array" ref="B15966">SUM(1-'Sparkling Model'!D$2:D$38^A15966)</f>
        <v>36.99872496</v>
      </c>
      <c r="C15966" s="8">
        <f t="array" ref="C15966">PRODUCT(1-'Sparkling Model'!D$2:D$38^A15966)</f>
        <v>0.9987255139</v>
      </c>
    </row>
    <row r="15967">
      <c r="A15967" s="6">
        <v>15965.0</v>
      </c>
      <c r="B15967" s="17">
        <f t="array" ref="B15967">SUM(1-'Sparkling Model'!D$2:D$38^A15967)</f>
        <v>36.99872558</v>
      </c>
      <c r="C15967" s="8">
        <f t="array" ref="C15967">PRODUCT(1-'Sparkling Model'!D$2:D$38^A15967)</f>
        <v>0.998726142</v>
      </c>
    </row>
    <row r="15968">
      <c r="A15968" s="6">
        <v>15966.0</v>
      </c>
      <c r="B15968" s="17">
        <f t="array" ref="B15968">SUM(1-'Sparkling Model'!D$2:D$38^A15968)</f>
        <v>36.99872621</v>
      </c>
      <c r="C15968" s="8">
        <f t="array" ref="C15968">PRODUCT(1-'Sparkling Model'!D$2:D$38^A15968)</f>
        <v>0.9987267699</v>
      </c>
    </row>
    <row r="15969">
      <c r="A15969" s="6">
        <v>15967.0</v>
      </c>
      <c r="B15969" s="17">
        <f t="array" ref="B15969">SUM(1-'Sparkling Model'!D$2:D$38^A15969)</f>
        <v>36.99872684</v>
      </c>
      <c r="C15969" s="8">
        <f t="array" ref="C15969">PRODUCT(1-'Sparkling Model'!D$2:D$38^A15969)</f>
        <v>0.9987273974</v>
      </c>
    </row>
    <row r="15970">
      <c r="A15970" s="6">
        <v>15968.0</v>
      </c>
      <c r="B15970" s="17">
        <f t="array" ref="B15970">SUM(1-'Sparkling Model'!D$2:D$38^A15970)</f>
        <v>36.99872747</v>
      </c>
      <c r="C15970" s="8">
        <f t="array" ref="C15970">PRODUCT(1-'Sparkling Model'!D$2:D$38^A15970)</f>
        <v>0.9987280246</v>
      </c>
    </row>
    <row r="15971">
      <c r="A15971" s="6">
        <v>15969.0</v>
      </c>
      <c r="B15971" s="17">
        <f t="array" ref="B15971">SUM(1-'Sparkling Model'!D$2:D$38^A15971)</f>
        <v>36.9987281</v>
      </c>
      <c r="C15971" s="8">
        <f t="array" ref="C15971">PRODUCT(1-'Sparkling Model'!D$2:D$38^A15971)</f>
        <v>0.9987286516</v>
      </c>
    </row>
    <row r="15972">
      <c r="A15972" s="6">
        <v>15970.0</v>
      </c>
      <c r="B15972" s="17">
        <f t="array" ref="B15972">SUM(1-'Sparkling Model'!D$2:D$38^A15972)</f>
        <v>36.99872872</v>
      </c>
      <c r="C15972" s="8">
        <f t="array" ref="C15972">PRODUCT(1-'Sparkling Model'!D$2:D$38^A15972)</f>
        <v>0.9987292782</v>
      </c>
    </row>
    <row r="15973">
      <c r="A15973" s="6">
        <v>15971.0</v>
      </c>
      <c r="B15973" s="17">
        <f t="array" ref="B15973">SUM(1-'Sparkling Model'!D$2:D$38^A15973)</f>
        <v>36.99872935</v>
      </c>
      <c r="C15973" s="8">
        <f t="array" ref="C15973">PRODUCT(1-'Sparkling Model'!D$2:D$38^A15973)</f>
        <v>0.9987299045</v>
      </c>
    </row>
    <row r="15974">
      <c r="A15974" s="6">
        <v>15972.0</v>
      </c>
      <c r="B15974" s="17">
        <f t="array" ref="B15974">SUM(1-'Sparkling Model'!D$2:D$38^A15974)</f>
        <v>36.99872998</v>
      </c>
      <c r="C15974" s="8">
        <f t="array" ref="C15974">PRODUCT(1-'Sparkling Model'!D$2:D$38^A15974)</f>
        <v>0.9987305305</v>
      </c>
    </row>
    <row r="15975">
      <c r="A15975" s="6">
        <v>15973.0</v>
      </c>
      <c r="B15975" s="17">
        <f t="array" ref="B15975">SUM(1-'Sparkling Model'!D$2:D$38^A15975)</f>
        <v>36.9987306</v>
      </c>
      <c r="C15975" s="8">
        <f t="array" ref="C15975">PRODUCT(1-'Sparkling Model'!D$2:D$38^A15975)</f>
        <v>0.9987311562</v>
      </c>
    </row>
    <row r="15976">
      <c r="A15976" s="6">
        <v>15974.0</v>
      </c>
      <c r="B15976" s="17">
        <f t="array" ref="B15976">SUM(1-'Sparkling Model'!D$2:D$38^A15976)</f>
        <v>36.99873123</v>
      </c>
      <c r="C15976" s="8">
        <f t="array" ref="C15976">PRODUCT(1-'Sparkling Model'!D$2:D$38^A15976)</f>
        <v>0.9987317815</v>
      </c>
    </row>
    <row r="15977">
      <c r="A15977" s="6">
        <v>15975.0</v>
      </c>
      <c r="B15977" s="17">
        <f t="array" ref="B15977">SUM(1-'Sparkling Model'!D$2:D$38^A15977)</f>
        <v>36.99873185</v>
      </c>
      <c r="C15977" s="8">
        <f t="array" ref="C15977">PRODUCT(1-'Sparkling Model'!D$2:D$38^A15977)</f>
        <v>0.9987324066</v>
      </c>
    </row>
    <row r="15978">
      <c r="A15978" s="6">
        <v>15976.0</v>
      </c>
      <c r="B15978" s="17">
        <f t="array" ref="B15978">SUM(1-'Sparkling Model'!D$2:D$38^A15978)</f>
        <v>36.99873248</v>
      </c>
      <c r="C15978" s="8">
        <f t="array" ref="C15978">PRODUCT(1-'Sparkling Model'!D$2:D$38^A15978)</f>
        <v>0.9987330314</v>
      </c>
    </row>
    <row r="15979">
      <c r="A15979" s="6">
        <v>15977.0</v>
      </c>
      <c r="B15979" s="17">
        <f t="array" ref="B15979">SUM(1-'Sparkling Model'!D$2:D$38^A15979)</f>
        <v>36.9987331</v>
      </c>
      <c r="C15979" s="8">
        <f t="array" ref="C15979">PRODUCT(1-'Sparkling Model'!D$2:D$38^A15979)</f>
        <v>0.9987336558</v>
      </c>
    </row>
    <row r="15980">
      <c r="A15980" s="6">
        <v>15978.0</v>
      </c>
      <c r="B15980" s="17">
        <f t="array" ref="B15980">SUM(1-'Sparkling Model'!D$2:D$38^A15980)</f>
        <v>36.99873373</v>
      </c>
      <c r="C15980" s="8">
        <f t="array" ref="C15980">PRODUCT(1-'Sparkling Model'!D$2:D$38^A15980)</f>
        <v>0.9987342799</v>
      </c>
    </row>
    <row r="15981">
      <c r="A15981" s="6">
        <v>15979.0</v>
      </c>
      <c r="B15981" s="17">
        <f t="array" ref="B15981">SUM(1-'Sparkling Model'!D$2:D$38^A15981)</f>
        <v>36.99873435</v>
      </c>
      <c r="C15981" s="8">
        <f t="array" ref="C15981">PRODUCT(1-'Sparkling Model'!D$2:D$38^A15981)</f>
        <v>0.9987349038</v>
      </c>
    </row>
    <row r="15982">
      <c r="A15982" s="6">
        <v>15980.0</v>
      </c>
      <c r="B15982" s="17">
        <f t="array" ref="B15982">SUM(1-'Sparkling Model'!D$2:D$38^A15982)</f>
        <v>36.99873498</v>
      </c>
      <c r="C15982" s="8">
        <f t="array" ref="C15982">PRODUCT(1-'Sparkling Model'!D$2:D$38^A15982)</f>
        <v>0.9987355273</v>
      </c>
    </row>
    <row r="15983">
      <c r="A15983" s="6">
        <v>15981.0</v>
      </c>
      <c r="B15983" s="17">
        <f t="array" ref="B15983">SUM(1-'Sparkling Model'!D$2:D$38^A15983)</f>
        <v>36.9987356</v>
      </c>
      <c r="C15983" s="8">
        <f t="array" ref="C15983">PRODUCT(1-'Sparkling Model'!D$2:D$38^A15983)</f>
        <v>0.9987361505</v>
      </c>
    </row>
    <row r="15984">
      <c r="A15984" s="6">
        <v>15982.0</v>
      </c>
      <c r="B15984" s="17">
        <f t="array" ref="B15984">SUM(1-'Sparkling Model'!D$2:D$38^A15984)</f>
        <v>36.99873622</v>
      </c>
      <c r="C15984" s="8">
        <f t="array" ref="C15984">PRODUCT(1-'Sparkling Model'!D$2:D$38^A15984)</f>
        <v>0.9987367734</v>
      </c>
    </row>
    <row r="15985">
      <c r="A15985" s="6">
        <v>15983.0</v>
      </c>
      <c r="B15985" s="17">
        <f t="array" ref="B15985">SUM(1-'Sparkling Model'!D$2:D$38^A15985)</f>
        <v>36.99873685</v>
      </c>
      <c r="C15985" s="8">
        <f t="array" ref="C15985">PRODUCT(1-'Sparkling Model'!D$2:D$38^A15985)</f>
        <v>0.998737396</v>
      </c>
    </row>
    <row r="15986">
      <c r="A15986" s="6">
        <v>15984.0</v>
      </c>
      <c r="B15986" s="17">
        <f t="array" ref="B15986">SUM(1-'Sparkling Model'!D$2:D$38^A15986)</f>
        <v>36.99873747</v>
      </c>
      <c r="C15986" s="8">
        <f t="array" ref="C15986">PRODUCT(1-'Sparkling Model'!D$2:D$38^A15986)</f>
        <v>0.9987380183</v>
      </c>
    </row>
    <row r="15987">
      <c r="A15987" s="6">
        <v>15985.0</v>
      </c>
      <c r="B15987" s="17">
        <f t="array" ref="B15987">SUM(1-'Sparkling Model'!D$2:D$38^A15987)</f>
        <v>36.99873809</v>
      </c>
      <c r="C15987" s="8">
        <f t="array" ref="C15987">PRODUCT(1-'Sparkling Model'!D$2:D$38^A15987)</f>
        <v>0.9987386403</v>
      </c>
    </row>
    <row r="15988">
      <c r="A15988" s="6">
        <v>15986.0</v>
      </c>
      <c r="B15988" s="17">
        <f t="array" ref="B15988">SUM(1-'Sparkling Model'!D$2:D$38^A15988)</f>
        <v>36.99873872</v>
      </c>
      <c r="C15988" s="8">
        <f t="array" ref="C15988">PRODUCT(1-'Sparkling Model'!D$2:D$38^A15988)</f>
        <v>0.998739262</v>
      </c>
    </row>
    <row r="15989">
      <c r="A15989" s="6">
        <v>15987.0</v>
      </c>
      <c r="B15989" s="17">
        <f t="array" ref="B15989">SUM(1-'Sparkling Model'!D$2:D$38^A15989)</f>
        <v>36.99873934</v>
      </c>
      <c r="C15989" s="8">
        <f t="array" ref="C15989">PRODUCT(1-'Sparkling Model'!D$2:D$38^A15989)</f>
        <v>0.9987398833</v>
      </c>
    </row>
    <row r="15990">
      <c r="A15990" s="6">
        <v>15988.0</v>
      </c>
      <c r="B15990" s="17">
        <f t="array" ref="B15990">SUM(1-'Sparkling Model'!D$2:D$38^A15990)</f>
        <v>36.99873996</v>
      </c>
      <c r="C15990" s="8">
        <f t="array" ref="C15990">PRODUCT(1-'Sparkling Model'!D$2:D$38^A15990)</f>
        <v>0.9987405044</v>
      </c>
    </row>
    <row r="15991">
      <c r="A15991" s="6">
        <v>15989.0</v>
      </c>
      <c r="B15991" s="17">
        <f t="array" ref="B15991">SUM(1-'Sparkling Model'!D$2:D$38^A15991)</f>
        <v>36.99874058</v>
      </c>
      <c r="C15991" s="8">
        <f t="array" ref="C15991">PRODUCT(1-'Sparkling Model'!D$2:D$38^A15991)</f>
        <v>0.9987411252</v>
      </c>
    </row>
    <row r="15992">
      <c r="A15992" s="6">
        <v>15990.0</v>
      </c>
      <c r="B15992" s="17">
        <f t="array" ref="B15992">SUM(1-'Sparkling Model'!D$2:D$38^A15992)</f>
        <v>36.9987412</v>
      </c>
      <c r="C15992" s="8">
        <f t="array" ref="C15992">PRODUCT(1-'Sparkling Model'!D$2:D$38^A15992)</f>
        <v>0.9987417456</v>
      </c>
    </row>
    <row r="15993">
      <c r="A15993" s="6">
        <v>15991.0</v>
      </c>
      <c r="B15993" s="17">
        <f t="array" ref="B15993">SUM(1-'Sparkling Model'!D$2:D$38^A15993)</f>
        <v>36.99874182</v>
      </c>
      <c r="C15993" s="8">
        <f t="array" ref="C15993">PRODUCT(1-'Sparkling Model'!D$2:D$38^A15993)</f>
        <v>0.9987423658</v>
      </c>
    </row>
    <row r="15994">
      <c r="A15994" s="6">
        <v>15992.0</v>
      </c>
      <c r="B15994" s="17">
        <f t="array" ref="B15994">SUM(1-'Sparkling Model'!D$2:D$38^A15994)</f>
        <v>36.99874244</v>
      </c>
      <c r="C15994" s="8">
        <f t="array" ref="C15994">PRODUCT(1-'Sparkling Model'!D$2:D$38^A15994)</f>
        <v>0.9987429856</v>
      </c>
    </row>
    <row r="15995">
      <c r="A15995" s="6">
        <v>15993.0</v>
      </c>
      <c r="B15995" s="17">
        <f t="array" ref="B15995">SUM(1-'Sparkling Model'!D$2:D$38^A15995)</f>
        <v>36.99874306</v>
      </c>
      <c r="C15995" s="8">
        <f t="array" ref="C15995">PRODUCT(1-'Sparkling Model'!D$2:D$38^A15995)</f>
        <v>0.9987436051</v>
      </c>
    </row>
    <row r="15996">
      <c r="A15996" s="6">
        <v>15994.0</v>
      </c>
      <c r="B15996" s="17">
        <f t="array" ref="B15996">SUM(1-'Sparkling Model'!D$2:D$38^A15996)</f>
        <v>36.99874368</v>
      </c>
      <c r="C15996" s="8">
        <f t="array" ref="C15996">PRODUCT(1-'Sparkling Model'!D$2:D$38^A15996)</f>
        <v>0.9987442243</v>
      </c>
    </row>
    <row r="15997">
      <c r="A15997" s="6">
        <v>15995.0</v>
      </c>
      <c r="B15997" s="17">
        <f t="array" ref="B15997">SUM(1-'Sparkling Model'!D$2:D$38^A15997)</f>
        <v>36.9987443</v>
      </c>
      <c r="C15997" s="8">
        <f t="array" ref="C15997">PRODUCT(1-'Sparkling Model'!D$2:D$38^A15997)</f>
        <v>0.9987448433</v>
      </c>
    </row>
    <row r="15998">
      <c r="A15998" s="6">
        <v>15996.0</v>
      </c>
      <c r="B15998" s="17">
        <f t="array" ref="B15998">SUM(1-'Sparkling Model'!D$2:D$38^A15998)</f>
        <v>36.99874492</v>
      </c>
      <c r="C15998" s="8">
        <f t="array" ref="C15998">PRODUCT(1-'Sparkling Model'!D$2:D$38^A15998)</f>
        <v>0.9987454619</v>
      </c>
    </row>
    <row r="15999">
      <c r="A15999" s="6">
        <v>15997.0</v>
      </c>
      <c r="B15999" s="17">
        <f t="array" ref="B15999">SUM(1-'Sparkling Model'!D$2:D$38^A15999)</f>
        <v>36.99874554</v>
      </c>
      <c r="C15999" s="8">
        <f t="array" ref="C15999">PRODUCT(1-'Sparkling Model'!D$2:D$38^A15999)</f>
        <v>0.9987460802</v>
      </c>
    </row>
    <row r="16000">
      <c r="A16000" s="6">
        <v>15998.0</v>
      </c>
      <c r="B16000" s="17">
        <f t="array" ref="B16000">SUM(1-'Sparkling Model'!D$2:D$38^A16000)</f>
        <v>36.99874616</v>
      </c>
      <c r="C16000" s="8">
        <f t="array" ref="C16000">PRODUCT(1-'Sparkling Model'!D$2:D$38^A16000)</f>
        <v>0.9987466982</v>
      </c>
    </row>
    <row r="16001">
      <c r="A16001" s="6">
        <v>15999.0</v>
      </c>
      <c r="B16001" s="17">
        <f t="array" ref="B16001">SUM(1-'Sparkling Model'!D$2:D$38^A16001)</f>
        <v>36.99874678</v>
      </c>
      <c r="C16001" s="8">
        <f t="array" ref="C16001">PRODUCT(1-'Sparkling Model'!D$2:D$38^A16001)</f>
        <v>0.9987473159</v>
      </c>
    </row>
    <row r="16002">
      <c r="A16002" s="6">
        <v>16000.0</v>
      </c>
      <c r="B16002" s="17">
        <f t="array" ref="B16002">SUM(1-'Sparkling Model'!D$2:D$38^A16002)</f>
        <v>36.99874739</v>
      </c>
      <c r="C16002" s="8">
        <f t="array" ref="C16002">PRODUCT(1-'Sparkling Model'!D$2:D$38^A16002)</f>
        <v>0.9987479333</v>
      </c>
    </row>
    <row r="16003">
      <c r="A16003" s="6">
        <v>16001.0</v>
      </c>
      <c r="B16003" s="17">
        <f t="array" ref="B16003">SUM(1-'Sparkling Model'!D$2:D$38^A16003)</f>
        <v>36.99874801</v>
      </c>
      <c r="C16003" s="8">
        <f t="array" ref="C16003">PRODUCT(1-'Sparkling Model'!D$2:D$38^A16003)</f>
        <v>0.9987485503</v>
      </c>
    </row>
    <row r="16004">
      <c r="A16004" s="6">
        <v>16002.0</v>
      </c>
      <c r="B16004" s="17">
        <f t="array" ref="B16004">SUM(1-'Sparkling Model'!D$2:D$38^A16004)</f>
        <v>36.99874863</v>
      </c>
      <c r="C16004" s="8">
        <f t="array" ref="C16004">PRODUCT(1-'Sparkling Model'!D$2:D$38^A16004)</f>
        <v>0.9987491671</v>
      </c>
    </row>
    <row r="16005">
      <c r="A16005" s="6">
        <v>16003.0</v>
      </c>
      <c r="B16005" s="17">
        <f t="array" ref="B16005">SUM(1-'Sparkling Model'!D$2:D$38^A16005)</f>
        <v>36.99874925</v>
      </c>
      <c r="C16005" s="8">
        <f t="array" ref="C16005">PRODUCT(1-'Sparkling Model'!D$2:D$38^A16005)</f>
        <v>0.9987497836</v>
      </c>
    </row>
    <row r="16006">
      <c r="A16006" s="6">
        <v>16004.0</v>
      </c>
      <c r="B16006" s="17">
        <f t="array" ref="B16006">SUM(1-'Sparkling Model'!D$2:D$38^A16006)</f>
        <v>36.99874986</v>
      </c>
      <c r="C16006" s="8">
        <f t="array" ref="C16006">PRODUCT(1-'Sparkling Model'!D$2:D$38^A16006)</f>
        <v>0.9987503998</v>
      </c>
    </row>
    <row r="16007">
      <c r="A16007" s="6">
        <v>16005.0</v>
      </c>
      <c r="B16007" s="17">
        <f t="array" ref="B16007">SUM(1-'Sparkling Model'!D$2:D$38^A16007)</f>
        <v>36.99875048</v>
      </c>
      <c r="C16007" s="8">
        <f t="array" ref="C16007">PRODUCT(1-'Sparkling Model'!D$2:D$38^A16007)</f>
        <v>0.9987510156</v>
      </c>
    </row>
    <row r="16008">
      <c r="A16008" s="6">
        <v>16006.0</v>
      </c>
      <c r="B16008" s="17">
        <f t="array" ref="B16008">SUM(1-'Sparkling Model'!D$2:D$38^A16008)</f>
        <v>36.9987511</v>
      </c>
      <c r="C16008" s="8">
        <f t="array" ref="C16008">PRODUCT(1-'Sparkling Model'!D$2:D$38^A16008)</f>
        <v>0.9987516312</v>
      </c>
    </row>
    <row r="16009">
      <c r="A16009" s="6">
        <v>16007.0</v>
      </c>
      <c r="B16009" s="17">
        <f t="array" ref="B16009">SUM(1-'Sparkling Model'!D$2:D$38^A16009)</f>
        <v>36.99875171</v>
      </c>
      <c r="C16009" s="8">
        <f t="array" ref="C16009">PRODUCT(1-'Sparkling Model'!D$2:D$38^A16009)</f>
        <v>0.9987522465</v>
      </c>
    </row>
    <row r="16010">
      <c r="A16010" s="6">
        <v>16008.0</v>
      </c>
      <c r="B16010" s="17">
        <f t="array" ref="B16010">SUM(1-'Sparkling Model'!D$2:D$38^A16010)</f>
        <v>36.99875233</v>
      </c>
      <c r="C16010" s="8">
        <f t="array" ref="C16010">PRODUCT(1-'Sparkling Model'!D$2:D$38^A16010)</f>
        <v>0.9987528614</v>
      </c>
    </row>
    <row r="16011">
      <c r="A16011" s="6">
        <v>16009.0</v>
      </c>
      <c r="B16011" s="17">
        <f t="array" ref="B16011">SUM(1-'Sparkling Model'!D$2:D$38^A16011)</f>
        <v>36.99875294</v>
      </c>
      <c r="C16011" s="8">
        <f t="array" ref="C16011">PRODUCT(1-'Sparkling Model'!D$2:D$38^A16011)</f>
        <v>0.9987534761</v>
      </c>
    </row>
    <row r="16012">
      <c r="A16012" s="6">
        <v>16010.0</v>
      </c>
      <c r="B16012" s="17">
        <f t="array" ref="B16012">SUM(1-'Sparkling Model'!D$2:D$38^A16012)</f>
        <v>36.99875356</v>
      </c>
      <c r="C16012" s="8">
        <f t="array" ref="C16012">PRODUCT(1-'Sparkling Model'!D$2:D$38^A16012)</f>
        <v>0.9987540904</v>
      </c>
    </row>
    <row r="16013">
      <c r="A16013" s="6">
        <v>16011.0</v>
      </c>
      <c r="B16013" s="17">
        <f t="array" ref="B16013">SUM(1-'Sparkling Model'!D$2:D$38^A16013)</f>
        <v>36.99875417</v>
      </c>
      <c r="C16013" s="8">
        <f t="array" ref="C16013">PRODUCT(1-'Sparkling Model'!D$2:D$38^A16013)</f>
        <v>0.9987547045</v>
      </c>
    </row>
    <row r="16014">
      <c r="A16014" s="6">
        <v>16012.0</v>
      </c>
      <c r="B16014" s="17">
        <f t="array" ref="B16014">SUM(1-'Sparkling Model'!D$2:D$38^A16014)</f>
        <v>36.99875479</v>
      </c>
      <c r="C16014" s="8">
        <f t="array" ref="C16014">PRODUCT(1-'Sparkling Model'!D$2:D$38^A16014)</f>
        <v>0.9987553182</v>
      </c>
    </row>
    <row r="16015">
      <c r="A16015" s="6">
        <v>16013.0</v>
      </c>
      <c r="B16015" s="17">
        <f t="array" ref="B16015">SUM(1-'Sparkling Model'!D$2:D$38^A16015)</f>
        <v>36.9987554</v>
      </c>
      <c r="C16015" s="8">
        <f t="array" ref="C16015">PRODUCT(1-'Sparkling Model'!D$2:D$38^A16015)</f>
        <v>0.9987559316</v>
      </c>
    </row>
    <row r="16016">
      <c r="A16016" s="6">
        <v>16014.0</v>
      </c>
      <c r="B16016" s="17">
        <f t="array" ref="B16016">SUM(1-'Sparkling Model'!D$2:D$38^A16016)</f>
        <v>36.99875601</v>
      </c>
      <c r="C16016" s="8">
        <f t="array" ref="C16016">PRODUCT(1-'Sparkling Model'!D$2:D$38^A16016)</f>
        <v>0.9987565448</v>
      </c>
    </row>
    <row r="16017">
      <c r="A16017" s="6">
        <v>16015.0</v>
      </c>
      <c r="B16017" s="17">
        <f t="array" ref="B16017">SUM(1-'Sparkling Model'!D$2:D$38^A16017)</f>
        <v>36.99875663</v>
      </c>
      <c r="C16017" s="8">
        <f t="array" ref="C16017">PRODUCT(1-'Sparkling Model'!D$2:D$38^A16017)</f>
        <v>0.9987571576</v>
      </c>
    </row>
    <row r="16018">
      <c r="A16018" s="6">
        <v>16016.0</v>
      </c>
      <c r="B16018" s="17">
        <f t="array" ref="B16018">SUM(1-'Sparkling Model'!D$2:D$38^A16018)</f>
        <v>36.99875724</v>
      </c>
      <c r="C16018" s="8">
        <f t="array" ref="C16018">PRODUCT(1-'Sparkling Model'!D$2:D$38^A16018)</f>
        <v>0.9987577701</v>
      </c>
    </row>
    <row r="16019">
      <c r="A16019" s="6">
        <v>16017.0</v>
      </c>
      <c r="B16019" s="17">
        <f t="array" ref="B16019">SUM(1-'Sparkling Model'!D$2:D$38^A16019)</f>
        <v>36.99875785</v>
      </c>
      <c r="C16019" s="8">
        <f t="array" ref="C16019">PRODUCT(1-'Sparkling Model'!D$2:D$38^A16019)</f>
        <v>0.9987583824</v>
      </c>
    </row>
    <row r="16020">
      <c r="A16020" s="6">
        <v>16018.0</v>
      </c>
      <c r="B16020" s="17">
        <f t="array" ref="B16020">SUM(1-'Sparkling Model'!D$2:D$38^A16020)</f>
        <v>36.99875846</v>
      </c>
      <c r="C16020" s="8">
        <f t="array" ref="C16020">PRODUCT(1-'Sparkling Model'!D$2:D$38^A16020)</f>
        <v>0.9987589943</v>
      </c>
    </row>
    <row r="16021">
      <c r="A16021" s="6">
        <v>16019.0</v>
      </c>
      <c r="B16021" s="17">
        <f t="array" ref="B16021">SUM(1-'Sparkling Model'!D$2:D$38^A16021)</f>
        <v>36.99875908</v>
      </c>
      <c r="C16021" s="8">
        <f t="array" ref="C16021">PRODUCT(1-'Sparkling Model'!D$2:D$38^A16021)</f>
        <v>0.9987596059</v>
      </c>
    </row>
    <row r="16022">
      <c r="A16022" s="6">
        <v>16020.0</v>
      </c>
      <c r="B16022" s="17">
        <f t="array" ref="B16022">SUM(1-'Sparkling Model'!D$2:D$38^A16022)</f>
        <v>36.99875969</v>
      </c>
      <c r="C16022" s="8">
        <f t="array" ref="C16022">PRODUCT(1-'Sparkling Model'!D$2:D$38^A16022)</f>
        <v>0.9987602172</v>
      </c>
    </row>
    <row r="16023">
      <c r="A16023" s="6">
        <v>16021.0</v>
      </c>
      <c r="B16023" s="17">
        <f t="array" ref="B16023">SUM(1-'Sparkling Model'!D$2:D$38^A16023)</f>
        <v>36.9987603</v>
      </c>
      <c r="C16023" s="8">
        <f t="array" ref="C16023">PRODUCT(1-'Sparkling Model'!D$2:D$38^A16023)</f>
        <v>0.9987608282</v>
      </c>
    </row>
    <row r="16024">
      <c r="A16024" s="6">
        <v>16022.0</v>
      </c>
      <c r="B16024" s="17">
        <f t="array" ref="B16024">SUM(1-'Sparkling Model'!D$2:D$38^A16024)</f>
        <v>36.99876091</v>
      </c>
      <c r="C16024" s="8">
        <f t="array" ref="C16024">PRODUCT(1-'Sparkling Model'!D$2:D$38^A16024)</f>
        <v>0.9987614389</v>
      </c>
    </row>
    <row r="16025">
      <c r="A16025" s="6">
        <v>16023.0</v>
      </c>
      <c r="B16025" s="17">
        <f t="array" ref="B16025">SUM(1-'Sparkling Model'!D$2:D$38^A16025)</f>
        <v>36.99876152</v>
      </c>
      <c r="C16025" s="8">
        <f t="array" ref="C16025">PRODUCT(1-'Sparkling Model'!D$2:D$38^A16025)</f>
        <v>0.9987620494</v>
      </c>
    </row>
    <row r="16026">
      <c r="A16026" s="6">
        <v>16024.0</v>
      </c>
      <c r="B16026" s="17">
        <f t="array" ref="B16026">SUM(1-'Sparkling Model'!D$2:D$38^A16026)</f>
        <v>36.99876213</v>
      </c>
      <c r="C16026" s="8">
        <f t="array" ref="C16026">PRODUCT(1-'Sparkling Model'!D$2:D$38^A16026)</f>
        <v>0.9987626595</v>
      </c>
    </row>
    <row r="16027">
      <c r="A16027" s="6">
        <v>16025.0</v>
      </c>
      <c r="B16027" s="17">
        <f t="array" ref="B16027">SUM(1-'Sparkling Model'!D$2:D$38^A16027)</f>
        <v>36.99876274</v>
      </c>
      <c r="C16027" s="8">
        <f t="array" ref="C16027">PRODUCT(1-'Sparkling Model'!D$2:D$38^A16027)</f>
        <v>0.9987632693</v>
      </c>
    </row>
    <row r="16028">
      <c r="A16028" s="6">
        <v>16026.0</v>
      </c>
      <c r="B16028" s="17">
        <f t="array" ref="B16028">SUM(1-'Sparkling Model'!D$2:D$38^A16028)</f>
        <v>36.99876335</v>
      </c>
      <c r="C16028" s="8">
        <f t="array" ref="C16028">PRODUCT(1-'Sparkling Model'!D$2:D$38^A16028)</f>
        <v>0.9987638788</v>
      </c>
    </row>
    <row r="16029">
      <c r="A16029" s="6">
        <v>16027.0</v>
      </c>
      <c r="B16029" s="17">
        <f t="array" ref="B16029">SUM(1-'Sparkling Model'!D$2:D$38^A16029)</f>
        <v>36.99876396</v>
      </c>
      <c r="C16029" s="8">
        <f t="array" ref="C16029">PRODUCT(1-'Sparkling Model'!D$2:D$38^A16029)</f>
        <v>0.998764488</v>
      </c>
    </row>
    <row r="16030">
      <c r="A16030" s="6">
        <v>16028.0</v>
      </c>
      <c r="B16030" s="17">
        <f t="array" ref="B16030">SUM(1-'Sparkling Model'!D$2:D$38^A16030)</f>
        <v>36.99876457</v>
      </c>
      <c r="C16030" s="8">
        <f t="array" ref="C16030">PRODUCT(1-'Sparkling Model'!D$2:D$38^A16030)</f>
        <v>0.9987650969</v>
      </c>
    </row>
    <row r="16031">
      <c r="A16031" s="6">
        <v>16029.0</v>
      </c>
      <c r="B16031" s="17">
        <f t="array" ref="B16031">SUM(1-'Sparkling Model'!D$2:D$38^A16031)</f>
        <v>36.99876518</v>
      </c>
      <c r="C16031" s="8">
        <f t="array" ref="C16031">PRODUCT(1-'Sparkling Model'!D$2:D$38^A16031)</f>
        <v>0.9987657055</v>
      </c>
    </row>
    <row r="16032">
      <c r="A16032" s="6">
        <v>16030.0</v>
      </c>
      <c r="B16032" s="17">
        <f t="array" ref="B16032">SUM(1-'Sparkling Model'!D$2:D$38^A16032)</f>
        <v>36.99876579</v>
      </c>
      <c r="C16032" s="8">
        <f t="array" ref="C16032">PRODUCT(1-'Sparkling Model'!D$2:D$38^A16032)</f>
        <v>0.9987663138</v>
      </c>
    </row>
    <row r="16033">
      <c r="A16033" s="6">
        <v>16031.0</v>
      </c>
      <c r="B16033" s="17">
        <f t="array" ref="B16033">SUM(1-'Sparkling Model'!D$2:D$38^A16033)</f>
        <v>36.9987664</v>
      </c>
      <c r="C16033" s="8">
        <f t="array" ref="C16033">PRODUCT(1-'Sparkling Model'!D$2:D$38^A16033)</f>
        <v>0.9987669218</v>
      </c>
    </row>
    <row r="16034">
      <c r="A16034" s="6">
        <v>16032.0</v>
      </c>
      <c r="B16034" s="17">
        <f t="array" ref="B16034">SUM(1-'Sparkling Model'!D$2:D$38^A16034)</f>
        <v>36.99876701</v>
      </c>
      <c r="C16034" s="8">
        <f t="array" ref="C16034">PRODUCT(1-'Sparkling Model'!D$2:D$38^A16034)</f>
        <v>0.9987675295</v>
      </c>
    </row>
    <row r="16035">
      <c r="A16035" s="6">
        <v>16033.0</v>
      </c>
      <c r="B16035" s="17">
        <f t="array" ref="B16035">SUM(1-'Sparkling Model'!D$2:D$38^A16035)</f>
        <v>36.99876762</v>
      </c>
      <c r="C16035" s="8">
        <f t="array" ref="C16035">PRODUCT(1-'Sparkling Model'!D$2:D$38^A16035)</f>
        <v>0.9987681369</v>
      </c>
    </row>
    <row r="16036">
      <c r="A16036" s="6">
        <v>16034.0</v>
      </c>
      <c r="B16036" s="17">
        <f t="array" ref="B16036">SUM(1-'Sparkling Model'!D$2:D$38^A16036)</f>
        <v>36.99876822</v>
      </c>
      <c r="C16036" s="8">
        <f t="array" ref="C16036">PRODUCT(1-'Sparkling Model'!D$2:D$38^A16036)</f>
        <v>0.998768744</v>
      </c>
    </row>
    <row r="16037">
      <c r="A16037" s="6">
        <v>16035.0</v>
      </c>
      <c r="B16037" s="17">
        <f t="array" ref="B16037">SUM(1-'Sparkling Model'!D$2:D$38^A16037)</f>
        <v>36.99876883</v>
      </c>
      <c r="C16037" s="8">
        <f t="array" ref="C16037">PRODUCT(1-'Sparkling Model'!D$2:D$38^A16037)</f>
        <v>0.9987693508</v>
      </c>
    </row>
    <row r="16038">
      <c r="A16038" s="6">
        <v>16036.0</v>
      </c>
      <c r="B16038" s="17">
        <f t="array" ref="B16038">SUM(1-'Sparkling Model'!D$2:D$38^A16038)</f>
        <v>36.99876944</v>
      </c>
      <c r="C16038" s="8">
        <f t="array" ref="C16038">PRODUCT(1-'Sparkling Model'!D$2:D$38^A16038)</f>
        <v>0.9987699573</v>
      </c>
    </row>
    <row r="16039">
      <c r="A16039" s="6">
        <v>16037.0</v>
      </c>
      <c r="B16039" s="17">
        <f t="array" ref="B16039">SUM(1-'Sparkling Model'!D$2:D$38^A16039)</f>
        <v>36.99877004</v>
      </c>
      <c r="C16039" s="8">
        <f t="array" ref="C16039">PRODUCT(1-'Sparkling Model'!D$2:D$38^A16039)</f>
        <v>0.9987705635</v>
      </c>
    </row>
    <row r="16040">
      <c r="A16040" s="6">
        <v>16038.0</v>
      </c>
      <c r="B16040" s="17">
        <f t="array" ref="B16040">SUM(1-'Sparkling Model'!D$2:D$38^A16040)</f>
        <v>36.99877065</v>
      </c>
      <c r="C16040" s="8">
        <f t="array" ref="C16040">PRODUCT(1-'Sparkling Model'!D$2:D$38^A16040)</f>
        <v>0.9987711694</v>
      </c>
    </row>
    <row r="16041">
      <c r="A16041" s="6">
        <v>16039.0</v>
      </c>
      <c r="B16041" s="17">
        <f t="array" ref="B16041">SUM(1-'Sparkling Model'!D$2:D$38^A16041)</f>
        <v>36.99877126</v>
      </c>
      <c r="C16041" s="8">
        <f t="array" ref="C16041">PRODUCT(1-'Sparkling Model'!D$2:D$38^A16041)</f>
        <v>0.998771775</v>
      </c>
    </row>
    <row r="16042">
      <c r="A16042" s="6">
        <v>16040.0</v>
      </c>
      <c r="B16042" s="17">
        <f t="array" ref="B16042">SUM(1-'Sparkling Model'!D$2:D$38^A16042)</f>
        <v>36.99877186</v>
      </c>
      <c r="C16042" s="8">
        <f t="array" ref="C16042">PRODUCT(1-'Sparkling Model'!D$2:D$38^A16042)</f>
        <v>0.9987723804</v>
      </c>
    </row>
    <row r="16043">
      <c r="A16043" s="6">
        <v>16041.0</v>
      </c>
      <c r="B16043" s="17">
        <f t="array" ref="B16043">SUM(1-'Sparkling Model'!D$2:D$38^A16043)</f>
        <v>36.99877247</v>
      </c>
      <c r="C16043" s="8">
        <f t="array" ref="C16043">PRODUCT(1-'Sparkling Model'!D$2:D$38^A16043)</f>
        <v>0.9987729854</v>
      </c>
    </row>
    <row r="16044">
      <c r="A16044" s="6">
        <v>16042.0</v>
      </c>
      <c r="B16044" s="17">
        <f t="array" ref="B16044">SUM(1-'Sparkling Model'!D$2:D$38^A16044)</f>
        <v>36.99877307</v>
      </c>
      <c r="C16044" s="8">
        <f t="array" ref="C16044">PRODUCT(1-'Sparkling Model'!D$2:D$38^A16044)</f>
        <v>0.9987735901</v>
      </c>
    </row>
    <row r="16045">
      <c r="A16045" s="6">
        <v>16043.0</v>
      </c>
      <c r="B16045" s="17">
        <f t="array" ref="B16045">SUM(1-'Sparkling Model'!D$2:D$38^A16045)</f>
        <v>36.99877368</v>
      </c>
      <c r="C16045" s="8">
        <f t="array" ref="C16045">PRODUCT(1-'Sparkling Model'!D$2:D$38^A16045)</f>
        <v>0.9987741945</v>
      </c>
    </row>
    <row r="16046">
      <c r="A16046" s="6">
        <v>16044.0</v>
      </c>
      <c r="B16046" s="17">
        <f t="array" ref="B16046">SUM(1-'Sparkling Model'!D$2:D$38^A16046)</f>
        <v>36.99877428</v>
      </c>
      <c r="C16046" s="8">
        <f t="array" ref="C16046">PRODUCT(1-'Sparkling Model'!D$2:D$38^A16046)</f>
        <v>0.9987747986</v>
      </c>
    </row>
    <row r="16047">
      <c r="A16047" s="6">
        <v>16045.0</v>
      </c>
      <c r="B16047" s="17">
        <f t="array" ref="B16047">SUM(1-'Sparkling Model'!D$2:D$38^A16047)</f>
        <v>36.99877489</v>
      </c>
      <c r="C16047" s="8">
        <f t="array" ref="C16047">PRODUCT(1-'Sparkling Model'!D$2:D$38^A16047)</f>
        <v>0.9987754024</v>
      </c>
    </row>
    <row r="16048">
      <c r="A16048" s="6">
        <v>16046.0</v>
      </c>
      <c r="B16048" s="17">
        <f t="array" ref="B16048">SUM(1-'Sparkling Model'!D$2:D$38^A16048)</f>
        <v>36.99877549</v>
      </c>
      <c r="C16048" s="8">
        <f t="array" ref="C16048">PRODUCT(1-'Sparkling Model'!D$2:D$38^A16048)</f>
        <v>0.9987760059</v>
      </c>
    </row>
    <row r="16049">
      <c r="A16049" s="6">
        <v>16047.0</v>
      </c>
      <c r="B16049" s="17">
        <f t="array" ref="B16049">SUM(1-'Sparkling Model'!D$2:D$38^A16049)</f>
        <v>36.99877609</v>
      </c>
      <c r="C16049" s="8">
        <f t="array" ref="C16049">PRODUCT(1-'Sparkling Model'!D$2:D$38^A16049)</f>
        <v>0.9987766091</v>
      </c>
    </row>
    <row r="16050">
      <c r="A16050" s="6">
        <v>16048.0</v>
      </c>
      <c r="B16050" s="17">
        <f t="array" ref="B16050">SUM(1-'Sparkling Model'!D$2:D$38^A16050)</f>
        <v>36.9987767</v>
      </c>
      <c r="C16050" s="8">
        <f t="array" ref="C16050">PRODUCT(1-'Sparkling Model'!D$2:D$38^A16050)</f>
        <v>0.998777212</v>
      </c>
    </row>
    <row r="16051">
      <c r="A16051" s="6">
        <v>16049.0</v>
      </c>
      <c r="B16051" s="17">
        <f t="array" ref="B16051">SUM(1-'Sparkling Model'!D$2:D$38^A16051)</f>
        <v>36.9987773</v>
      </c>
      <c r="C16051" s="8">
        <f t="array" ref="C16051">PRODUCT(1-'Sparkling Model'!D$2:D$38^A16051)</f>
        <v>0.9987778147</v>
      </c>
    </row>
    <row r="16052">
      <c r="A16052" s="6">
        <v>16050.0</v>
      </c>
      <c r="B16052" s="17">
        <f t="array" ref="B16052">SUM(1-'Sparkling Model'!D$2:D$38^A16052)</f>
        <v>36.9987779</v>
      </c>
      <c r="C16052" s="8">
        <f t="array" ref="C16052">PRODUCT(1-'Sparkling Model'!D$2:D$38^A16052)</f>
        <v>0.998778417</v>
      </c>
    </row>
    <row r="16053">
      <c r="A16053" s="6">
        <v>16051.0</v>
      </c>
      <c r="B16053" s="17">
        <f t="array" ref="B16053">SUM(1-'Sparkling Model'!D$2:D$38^A16053)</f>
        <v>36.99877851</v>
      </c>
      <c r="C16053" s="8">
        <f t="array" ref="C16053">PRODUCT(1-'Sparkling Model'!D$2:D$38^A16053)</f>
        <v>0.998779019</v>
      </c>
    </row>
    <row r="16054">
      <c r="A16054" s="6">
        <v>16052.0</v>
      </c>
      <c r="B16054" s="17">
        <f t="array" ref="B16054">SUM(1-'Sparkling Model'!D$2:D$38^A16054)</f>
        <v>36.99877911</v>
      </c>
      <c r="C16054" s="8">
        <f t="array" ref="C16054">PRODUCT(1-'Sparkling Model'!D$2:D$38^A16054)</f>
        <v>0.9987796207</v>
      </c>
    </row>
    <row r="16055">
      <c r="A16055" s="6">
        <v>16053.0</v>
      </c>
      <c r="B16055" s="17">
        <f t="array" ref="B16055">SUM(1-'Sparkling Model'!D$2:D$38^A16055)</f>
        <v>36.99877971</v>
      </c>
      <c r="C16055" s="8">
        <f t="array" ref="C16055">PRODUCT(1-'Sparkling Model'!D$2:D$38^A16055)</f>
        <v>0.9987802222</v>
      </c>
    </row>
    <row r="16056">
      <c r="A16056" s="6">
        <v>16054.0</v>
      </c>
      <c r="B16056" s="17">
        <f t="array" ref="B16056">SUM(1-'Sparkling Model'!D$2:D$38^A16056)</f>
        <v>36.99878031</v>
      </c>
      <c r="C16056" s="8">
        <f t="array" ref="C16056">PRODUCT(1-'Sparkling Model'!D$2:D$38^A16056)</f>
        <v>0.9987808233</v>
      </c>
    </row>
    <row r="16057">
      <c r="A16057" s="6">
        <v>16055.0</v>
      </c>
      <c r="B16057" s="17">
        <f t="array" ref="B16057">SUM(1-'Sparkling Model'!D$2:D$38^A16057)</f>
        <v>36.99878091</v>
      </c>
      <c r="C16057" s="8">
        <f t="array" ref="C16057">PRODUCT(1-'Sparkling Model'!D$2:D$38^A16057)</f>
        <v>0.9987814241</v>
      </c>
    </row>
    <row r="16058">
      <c r="A16058" s="6">
        <v>16056.0</v>
      </c>
      <c r="B16058" s="17">
        <f t="array" ref="B16058">SUM(1-'Sparkling Model'!D$2:D$38^A16058)</f>
        <v>36.99878151</v>
      </c>
      <c r="C16058" s="8">
        <f t="array" ref="C16058">PRODUCT(1-'Sparkling Model'!D$2:D$38^A16058)</f>
        <v>0.9987820247</v>
      </c>
    </row>
    <row r="16059">
      <c r="A16059" s="6">
        <v>16057.0</v>
      </c>
      <c r="B16059" s="17">
        <f t="array" ref="B16059">SUM(1-'Sparkling Model'!D$2:D$38^A16059)</f>
        <v>36.99878212</v>
      </c>
      <c r="C16059" s="8">
        <f t="array" ref="C16059">PRODUCT(1-'Sparkling Model'!D$2:D$38^A16059)</f>
        <v>0.9987826249</v>
      </c>
    </row>
    <row r="16060">
      <c r="A16060" s="6">
        <v>16058.0</v>
      </c>
      <c r="B16060" s="17">
        <f t="array" ref="B16060">SUM(1-'Sparkling Model'!D$2:D$38^A16060)</f>
        <v>36.99878272</v>
      </c>
      <c r="C16060" s="8">
        <f t="array" ref="C16060">PRODUCT(1-'Sparkling Model'!D$2:D$38^A16060)</f>
        <v>0.9987832249</v>
      </c>
    </row>
    <row r="16061">
      <c r="A16061" s="6">
        <v>16059.0</v>
      </c>
      <c r="B16061" s="17">
        <f t="array" ref="B16061">SUM(1-'Sparkling Model'!D$2:D$38^A16061)</f>
        <v>36.99878332</v>
      </c>
      <c r="C16061" s="8">
        <f t="array" ref="C16061">PRODUCT(1-'Sparkling Model'!D$2:D$38^A16061)</f>
        <v>0.9987838245</v>
      </c>
    </row>
    <row r="16062">
      <c r="A16062" s="6">
        <v>16060.0</v>
      </c>
      <c r="B16062" s="17">
        <f t="array" ref="B16062">SUM(1-'Sparkling Model'!D$2:D$38^A16062)</f>
        <v>36.99878392</v>
      </c>
      <c r="C16062" s="8">
        <f t="array" ref="C16062">PRODUCT(1-'Sparkling Model'!D$2:D$38^A16062)</f>
        <v>0.9987844239</v>
      </c>
    </row>
    <row r="16063">
      <c r="A16063" s="6">
        <v>16061.0</v>
      </c>
      <c r="B16063" s="17">
        <f t="array" ref="B16063">SUM(1-'Sparkling Model'!D$2:D$38^A16063)</f>
        <v>36.99878452</v>
      </c>
      <c r="C16063" s="8">
        <f t="array" ref="C16063">PRODUCT(1-'Sparkling Model'!D$2:D$38^A16063)</f>
        <v>0.9987850229</v>
      </c>
    </row>
    <row r="16064">
      <c r="A16064" s="6">
        <v>16062.0</v>
      </c>
      <c r="B16064" s="17">
        <f t="array" ref="B16064">SUM(1-'Sparkling Model'!D$2:D$38^A16064)</f>
        <v>36.99878511</v>
      </c>
      <c r="C16064" s="8">
        <f t="array" ref="C16064">PRODUCT(1-'Sparkling Model'!D$2:D$38^A16064)</f>
        <v>0.9987856217</v>
      </c>
    </row>
    <row r="16065">
      <c r="A16065" s="6">
        <v>16063.0</v>
      </c>
      <c r="B16065" s="17">
        <f t="array" ref="B16065">SUM(1-'Sparkling Model'!D$2:D$38^A16065)</f>
        <v>36.99878571</v>
      </c>
      <c r="C16065" s="8">
        <f t="array" ref="C16065">PRODUCT(1-'Sparkling Model'!D$2:D$38^A16065)</f>
        <v>0.9987862202</v>
      </c>
    </row>
    <row r="16066">
      <c r="A16066" s="6">
        <v>16064.0</v>
      </c>
      <c r="B16066" s="17">
        <f t="array" ref="B16066">SUM(1-'Sparkling Model'!D$2:D$38^A16066)</f>
        <v>36.99878631</v>
      </c>
      <c r="C16066" s="8">
        <f t="array" ref="C16066">PRODUCT(1-'Sparkling Model'!D$2:D$38^A16066)</f>
        <v>0.9987868183</v>
      </c>
    </row>
    <row r="16067">
      <c r="A16067" s="6">
        <v>16065.0</v>
      </c>
      <c r="B16067" s="17">
        <f t="array" ref="B16067">SUM(1-'Sparkling Model'!D$2:D$38^A16067)</f>
        <v>36.99878691</v>
      </c>
      <c r="C16067" s="8">
        <f t="array" ref="C16067">PRODUCT(1-'Sparkling Model'!D$2:D$38^A16067)</f>
        <v>0.9987874162</v>
      </c>
    </row>
    <row r="16068">
      <c r="A16068" s="6">
        <v>16066.0</v>
      </c>
      <c r="B16068" s="17">
        <f t="array" ref="B16068">SUM(1-'Sparkling Model'!D$2:D$38^A16068)</f>
        <v>36.99878751</v>
      </c>
      <c r="C16068" s="8">
        <f t="array" ref="C16068">PRODUCT(1-'Sparkling Model'!D$2:D$38^A16068)</f>
        <v>0.9987880138</v>
      </c>
    </row>
    <row r="16069">
      <c r="A16069" s="6">
        <v>16067.0</v>
      </c>
      <c r="B16069" s="17">
        <f t="array" ref="B16069">SUM(1-'Sparkling Model'!D$2:D$38^A16069)</f>
        <v>36.99878811</v>
      </c>
      <c r="C16069" s="8">
        <f t="array" ref="C16069">PRODUCT(1-'Sparkling Model'!D$2:D$38^A16069)</f>
        <v>0.9987886111</v>
      </c>
    </row>
    <row r="16070">
      <c r="A16070" s="6">
        <v>16068.0</v>
      </c>
      <c r="B16070" s="17">
        <f t="array" ref="B16070">SUM(1-'Sparkling Model'!D$2:D$38^A16070)</f>
        <v>36.9987887</v>
      </c>
      <c r="C16070" s="8">
        <f t="array" ref="C16070">PRODUCT(1-'Sparkling Model'!D$2:D$38^A16070)</f>
        <v>0.998789208</v>
      </c>
    </row>
    <row r="16071">
      <c r="A16071" s="6">
        <v>16069.0</v>
      </c>
      <c r="B16071" s="17">
        <f t="array" ref="B16071">SUM(1-'Sparkling Model'!D$2:D$38^A16071)</f>
        <v>36.9987893</v>
      </c>
      <c r="C16071" s="8">
        <f t="array" ref="C16071">PRODUCT(1-'Sparkling Model'!D$2:D$38^A16071)</f>
        <v>0.9987898047</v>
      </c>
    </row>
    <row r="16072">
      <c r="A16072" s="6">
        <v>16070.0</v>
      </c>
      <c r="B16072" s="17">
        <f t="array" ref="B16072">SUM(1-'Sparkling Model'!D$2:D$38^A16072)</f>
        <v>36.9987899</v>
      </c>
      <c r="C16072" s="8">
        <f t="array" ref="C16072">PRODUCT(1-'Sparkling Model'!D$2:D$38^A16072)</f>
        <v>0.9987904011</v>
      </c>
    </row>
    <row r="16073">
      <c r="A16073" s="6">
        <v>16071.0</v>
      </c>
      <c r="B16073" s="17">
        <f t="array" ref="B16073">SUM(1-'Sparkling Model'!D$2:D$38^A16073)</f>
        <v>36.99879049</v>
      </c>
      <c r="C16073" s="8">
        <f t="array" ref="C16073">PRODUCT(1-'Sparkling Model'!D$2:D$38^A16073)</f>
        <v>0.9987909972</v>
      </c>
    </row>
    <row r="16074">
      <c r="A16074" s="6">
        <v>16072.0</v>
      </c>
      <c r="B16074" s="17">
        <f t="array" ref="B16074">SUM(1-'Sparkling Model'!D$2:D$38^A16074)</f>
        <v>36.99879109</v>
      </c>
      <c r="C16074" s="8">
        <f t="array" ref="C16074">PRODUCT(1-'Sparkling Model'!D$2:D$38^A16074)</f>
        <v>0.998791593</v>
      </c>
    </row>
    <row r="16075">
      <c r="A16075" s="6">
        <v>16073.0</v>
      </c>
      <c r="B16075" s="17">
        <f t="array" ref="B16075">SUM(1-'Sparkling Model'!D$2:D$38^A16075)</f>
        <v>36.99879169</v>
      </c>
      <c r="C16075" s="8">
        <f t="array" ref="C16075">PRODUCT(1-'Sparkling Model'!D$2:D$38^A16075)</f>
        <v>0.9987921886</v>
      </c>
    </row>
    <row r="16076">
      <c r="A16076" s="6">
        <v>16074.0</v>
      </c>
      <c r="B16076" s="17">
        <f t="array" ref="B16076">SUM(1-'Sparkling Model'!D$2:D$38^A16076)</f>
        <v>36.99879228</v>
      </c>
      <c r="C16076" s="8">
        <f t="array" ref="C16076">PRODUCT(1-'Sparkling Model'!D$2:D$38^A16076)</f>
        <v>0.9987927838</v>
      </c>
    </row>
    <row r="16077">
      <c r="A16077" s="6">
        <v>16075.0</v>
      </c>
      <c r="B16077" s="17">
        <f t="array" ref="B16077">SUM(1-'Sparkling Model'!D$2:D$38^A16077)</f>
        <v>36.99879288</v>
      </c>
      <c r="C16077" s="8">
        <f t="array" ref="C16077">PRODUCT(1-'Sparkling Model'!D$2:D$38^A16077)</f>
        <v>0.9987933787</v>
      </c>
    </row>
    <row r="16078">
      <c r="A16078" s="6">
        <v>16076.0</v>
      </c>
      <c r="B16078" s="17">
        <f t="array" ref="B16078">SUM(1-'Sparkling Model'!D$2:D$38^A16078)</f>
        <v>36.99879347</v>
      </c>
      <c r="C16078" s="8">
        <f t="array" ref="C16078">PRODUCT(1-'Sparkling Model'!D$2:D$38^A16078)</f>
        <v>0.9987939733</v>
      </c>
    </row>
    <row r="16079">
      <c r="A16079" s="6">
        <v>16077.0</v>
      </c>
      <c r="B16079" s="17">
        <f t="array" ref="B16079">SUM(1-'Sparkling Model'!D$2:D$38^A16079)</f>
        <v>36.99879407</v>
      </c>
      <c r="C16079" s="8">
        <f t="array" ref="C16079">PRODUCT(1-'Sparkling Model'!D$2:D$38^A16079)</f>
        <v>0.9987945677</v>
      </c>
    </row>
    <row r="16080">
      <c r="A16080" s="6">
        <v>16078.0</v>
      </c>
      <c r="B16080" s="17">
        <f t="array" ref="B16080">SUM(1-'Sparkling Model'!D$2:D$38^A16080)</f>
        <v>36.99879466</v>
      </c>
      <c r="C16080" s="8">
        <f t="array" ref="C16080">PRODUCT(1-'Sparkling Model'!D$2:D$38^A16080)</f>
        <v>0.9987951617</v>
      </c>
    </row>
    <row r="16081">
      <c r="A16081" s="6">
        <v>16079.0</v>
      </c>
      <c r="B16081" s="17">
        <f t="array" ref="B16081">SUM(1-'Sparkling Model'!D$2:D$38^A16081)</f>
        <v>36.99879526</v>
      </c>
      <c r="C16081" s="8">
        <f t="array" ref="C16081">PRODUCT(1-'Sparkling Model'!D$2:D$38^A16081)</f>
        <v>0.9987957555</v>
      </c>
    </row>
    <row r="16082">
      <c r="A16082" s="6">
        <v>16080.0</v>
      </c>
      <c r="B16082" s="17">
        <f t="array" ref="B16082">SUM(1-'Sparkling Model'!D$2:D$38^A16082)</f>
        <v>36.99879585</v>
      </c>
      <c r="C16082" s="8">
        <f t="array" ref="C16082">PRODUCT(1-'Sparkling Model'!D$2:D$38^A16082)</f>
        <v>0.9987963489</v>
      </c>
    </row>
    <row r="16083">
      <c r="A16083" s="6">
        <v>16081.0</v>
      </c>
      <c r="B16083" s="17">
        <f t="array" ref="B16083">SUM(1-'Sparkling Model'!D$2:D$38^A16083)</f>
        <v>36.99879644</v>
      </c>
      <c r="C16083" s="8">
        <f t="array" ref="C16083">PRODUCT(1-'Sparkling Model'!D$2:D$38^A16083)</f>
        <v>0.9987969421</v>
      </c>
    </row>
    <row r="16084">
      <c r="A16084" s="6">
        <v>16082.0</v>
      </c>
      <c r="B16084" s="17">
        <f t="array" ref="B16084">SUM(1-'Sparkling Model'!D$2:D$38^A16084)</f>
        <v>36.99879704</v>
      </c>
      <c r="C16084" s="8">
        <f t="array" ref="C16084">PRODUCT(1-'Sparkling Model'!D$2:D$38^A16084)</f>
        <v>0.998797535</v>
      </c>
    </row>
    <row r="16085">
      <c r="A16085" s="6">
        <v>16083.0</v>
      </c>
      <c r="B16085" s="17">
        <f t="array" ref="B16085">SUM(1-'Sparkling Model'!D$2:D$38^A16085)</f>
        <v>36.99879763</v>
      </c>
      <c r="C16085" s="8">
        <f t="array" ref="C16085">PRODUCT(1-'Sparkling Model'!D$2:D$38^A16085)</f>
        <v>0.9987981276</v>
      </c>
    </row>
    <row r="16086">
      <c r="A16086" s="6">
        <v>16084.0</v>
      </c>
      <c r="B16086" s="17">
        <f t="array" ref="B16086">SUM(1-'Sparkling Model'!D$2:D$38^A16086)</f>
        <v>36.99879822</v>
      </c>
      <c r="C16086" s="8">
        <f t="array" ref="C16086">PRODUCT(1-'Sparkling Model'!D$2:D$38^A16086)</f>
        <v>0.9987987198</v>
      </c>
    </row>
    <row r="16087">
      <c r="A16087" s="6">
        <v>16085.0</v>
      </c>
      <c r="B16087" s="17">
        <f t="array" ref="B16087">SUM(1-'Sparkling Model'!D$2:D$38^A16087)</f>
        <v>36.99879882</v>
      </c>
      <c r="C16087" s="8">
        <f t="array" ref="C16087">PRODUCT(1-'Sparkling Model'!D$2:D$38^A16087)</f>
        <v>0.9987993118</v>
      </c>
    </row>
    <row r="16088">
      <c r="A16088" s="6">
        <v>16086.0</v>
      </c>
      <c r="B16088" s="17">
        <f t="array" ref="B16088">SUM(1-'Sparkling Model'!D$2:D$38^A16088)</f>
        <v>36.99879941</v>
      </c>
      <c r="C16088" s="8">
        <f t="array" ref="C16088">PRODUCT(1-'Sparkling Model'!D$2:D$38^A16088)</f>
        <v>0.9987999035</v>
      </c>
    </row>
    <row r="16089">
      <c r="A16089" s="6">
        <v>16087.0</v>
      </c>
      <c r="B16089" s="17">
        <f t="array" ref="B16089">SUM(1-'Sparkling Model'!D$2:D$38^A16089)</f>
        <v>36.9988</v>
      </c>
      <c r="C16089" s="8">
        <f t="array" ref="C16089">PRODUCT(1-'Sparkling Model'!D$2:D$38^A16089)</f>
        <v>0.998800495</v>
      </c>
    </row>
    <row r="16090">
      <c r="A16090" s="6">
        <v>16088.0</v>
      </c>
      <c r="B16090" s="17">
        <f t="array" ref="B16090">SUM(1-'Sparkling Model'!D$2:D$38^A16090)</f>
        <v>36.99880059</v>
      </c>
      <c r="C16090" s="8">
        <f t="array" ref="C16090">PRODUCT(1-'Sparkling Model'!D$2:D$38^A16090)</f>
        <v>0.9988010861</v>
      </c>
    </row>
    <row r="16091">
      <c r="A16091" s="6">
        <v>16089.0</v>
      </c>
      <c r="B16091" s="17">
        <f t="array" ref="B16091">SUM(1-'Sparkling Model'!D$2:D$38^A16091)</f>
        <v>36.99880118</v>
      </c>
      <c r="C16091" s="8">
        <f t="array" ref="C16091">PRODUCT(1-'Sparkling Model'!D$2:D$38^A16091)</f>
        <v>0.9988016769</v>
      </c>
    </row>
    <row r="16092">
      <c r="A16092" s="6">
        <v>16090.0</v>
      </c>
      <c r="B16092" s="17">
        <f t="array" ref="B16092">SUM(1-'Sparkling Model'!D$2:D$38^A16092)</f>
        <v>36.99880177</v>
      </c>
      <c r="C16092" s="8">
        <f t="array" ref="C16092">PRODUCT(1-'Sparkling Model'!D$2:D$38^A16092)</f>
        <v>0.9988022674</v>
      </c>
    </row>
    <row r="16093">
      <c r="A16093" s="6">
        <v>16091.0</v>
      </c>
      <c r="B16093" s="17">
        <f t="array" ref="B16093">SUM(1-'Sparkling Model'!D$2:D$38^A16093)</f>
        <v>36.99880237</v>
      </c>
      <c r="C16093" s="8">
        <f t="array" ref="C16093">PRODUCT(1-'Sparkling Model'!D$2:D$38^A16093)</f>
        <v>0.9988028577</v>
      </c>
    </row>
    <row r="16094">
      <c r="A16094" s="6">
        <v>16092.0</v>
      </c>
      <c r="B16094" s="17">
        <f t="array" ref="B16094">SUM(1-'Sparkling Model'!D$2:D$38^A16094)</f>
        <v>36.99880296</v>
      </c>
      <c r="C16094" s="8">
        <f t="array" ref="C16094">PRODUCT(1-'Sparkling Model'!D$2:D$38^A16094)</f>
        <v>0.9988034476</v>
      </c>
    </row>
    <row r="16095">
      <c r="A16095" s="6">
        <v>16093.0</v>
      </c>
      <c r="B16095" s="17">
        <f t="array" ref="B16095">SUM(1-'Sparkling Model'!D$2:D$38^A16095)</f>
        <v>36.99880355</v>
      </c>
      <c r="C16095" s="8">
        <f t="array" ref="C16095">PRODUCT(1-'Sparkling Model'!D$2:D$38^A16095)</f>
        <v>0.9988040373</v>
      </c>
    </row>
    <row r="16096">
      <c r="A16096" s="6">
        <v>16094.0</v>
      </c>
      <c r="B16096" s="17">
        <f t="array" ref="B16096">SUM(1-'Sparkling Model'!D$2:D$38^A16096)</f>
        <v>36.99880414</v>
      </c>
      <c r="C16096" s="8">
        <f t="array" ref="C16096">PRODUCT(1-'Sparkling Model'!D$2:D$38^A16096)</f>
        <v>0.9988046266</v>
      </c>
    </row>
    <row r="16097">
      <c r="A16097" s="6">
        <v>16095.0</v>
      </c>
      <c r="B16097" s="17">
        <f t="array" ref="B16097">SUM(1-'Sparkling Model'!D$2:D$38^A16097)</f>
        <v>36.99880473</v>
      </c>
      <c r="C16097" s="8">
        <f t="array" ref="C16097">PRODUCT(1-'Sparkling Model'!D$2:D$38^A16097)</f>
        <v>0.9988052157</v>
      </c>
    </row>
    <row r="16098">
      <c r="A16098" s="6">
        <v>16096.0</v>
      </c>
      <c r="B16098" s="17">
        <f t="array" ref="B16098">SUM(1-'Sparkling Model'!D$2:D$38^A16098)</f>
        <v>36.99880531</v>
      </c>
      <c r="C16098" s="8">
        <f t="array" ref="C16098">PRODUCT(1-'Sparkling Model'!D$2:D$38^A16098)</f>
        <v>0.9988058045</v>
      </c>
    </row>
    <row r="16099">
      <c r="A16099" s="6">
        <v>16097.0</v>
      </c>
      <c r="B16099" s="17">
        <f t="array" ref="B16099">SUM(1-'Sparkling Model'!D$2:D$38^A16099)</f>
        <v>36.9988059</v>
      </c>
      <c r="C16099" s="8">
        <f t="array" ref="C16099">PRODUCT(1-'Sparkling Model'!D$2:D$38^A16099)</f>
        <v>0.998806393</v>
      </c>
    </row>
    <row r="16100">
      <c r="A16100" s="6">
        <v>16098.0</v>
      </c>
      <c r="B16100" s="17">
        <f t="array" ref="B16100">SUM(1-'Sparkling Model'!D$2:D$38^A16100)</f>
        <v>36.99880649</v>
      </c>
      <c r="C16100" s="8">
        <f t="array" ref="C16100">PRODUCT(1-'Sparkling Model'!D$2:D$38^A16100)</f>
        <v>0.9988069812</v>
      </c>
    </row>
    <row r="16101">
      <c r="A16101" s="6">
        <v>16099.0</v>
      </c>
      <c r="B16101" s="17">
        <f t="array" ref="B16101">SUM(1-'Sparkling Model'!D$2:D$38^A16101)</f>
        <v>36.99880708</v>
      </c>
      <c r="C16101" s="8">
        <f t="array" ref="C16101">PRODUCT(1-'Sparkling Model'!D$2:D$38^A16101)</f>
        <v>0.9988075691</v>
      </c>
    </row>
    <row r="16102">
      <c r="A16102" s="6">
        <v>16100.0</v>
      </c>
      <c r="B16102" s="17">
        <f t="array" ref="B16102">SUM(1-'Sparkling Model'!D$2:D$38^A16102)</f>
        <v>36.99880767</v>
      </c>
      <c r="C16102" s="8">
        <f t="array" ref="C16102">PRODUCT(1-'Sparkling Model'!D$2:D$38^A16102)</f>
        <v>0.9988081567</v>
      </c>
    </row>
    <row r="16103">
      <c r="A16103" s="6">
        <v>16101.0</v>
      </c>
      <c r="B16103" s="17">
        <f t="array" ref="B16103">SUM(1-'Sparkling Model'!D$2:D$38^A16103)</f>
        <v>36.99880826</v>
      </c>
      <c r="C16103" s="8">
        <f t="array" ref="C16103">PRODUCT(1-'Sparkling Model'!D$2:D$38^A16103)</f>
        <v>0.9988087441</v>
      </c>
    </row>
    <row r="16104">
      <c r="A16104" s="6">
        <v>16102.0</v>
      </c>
      <c r="B16104" s="17">
        <f t="array" ref="B16104">SUM(1-'Sparkling Model'!D$2:D$38^A16104)</f>
        <v>36.99880884</v>
      </c>
      <c r="C16104" s="8">
        <f t="array" ref="C16104">PRODUCT(1-'Sparkling Model'!D$2:D$38^A16104)</f>
        <v>0.9988093311</v>
      </c>
    </row>
    <row r="16105">
      <c r="A16105" s="6">
        <v>16103.0</v>
      </c>
      <c r="B16105" s="17">
        <f t="array" ref="B16105">SUM(1-'Sparkling Model'!D$2:D$38^A16105)</f>
        <v>36.99880943</v>
      </c>
      <c r="C16105" s="8">
        <f t="array" ref="C16105">PRODUCT(1-'Sparkling Model'!D$2:D$38^A16105)</f>
        <v>0.9988099179</v>
      </c>
    </row>
    <row r="16106">
      <c r="A16106" s="6">
        <v>16104.0</v>
      </c>
      <c r="B16106" s="17">
        <f t="array" ref="B16106">SUM(1-'Sparkling Model'!D$2:D$38^A16106)</f>
        <v>36.99881002</v>
      </c>
      <c r="C16106" s="8">
        <f t="array" ref="C16106">PRODUCT(1-'Sparkling Model'!D$2:D$38^A16106)</f>
        <v>0.9988105043</v>
      </c>
    </row>
    <row r="16107">
      <c r="A16107" s="6">
        <v>16105.0</v>
      </c>
      <c r="B16107" s="17">
        <f t="array" ref="B16107">SUM(1-'Sparkling Model'!D$2:D$38^A16107)</f>
        <v>36.9988106</v>
      </c>
      <c r="C16107" s="8">
        <f t="array" ref="C16107">PRODUCT(1-'Sparkling Model'!D$2:D$38^A16107)</f>
        <v>0.9988110905</v>
      </c>
    </row>
    <row r="16108">
      <c r="A16108" s="6">
        <v>16106.0</v>
      </c>
      <c r="B16108" s="17">
        <f t="array" ref="B16108">SUM(1-'Sparkling Model'!D$2:D$38^A16108)</f>
        <v>36.99881119</v>
      </c>
      <c r="C16108" s="8">
        <f t="array" ref="C16108">PRODUCT(1-'Sparkling Model'!D$2:D$38^A16108)</f>
        <v>0.9988116764</v>
      </c>
    </row>
    <row r="16109">
      <c r="A16109" s="6">
        <v>16107.0</v>
      </c>
      <c r="B16109" s="17">
        <f t="array" ref="B16109">SUM(1-'Sparkling Model'!D$2:D$38^A16109)</f>
        <v>36.99881178</v>
      </c>
      <c r="C16109" s="8">
        <f t="array" ref="C16109">PRODUCT(1-'Sparkling Model'!D$2:D$38^A16109)</f>
        <v>0.998812262</v>
      </c>
    </row>
    <row r="16110">
      <c r="A16110" s="6">
        <v>16108.0</v>
      </c>
      <c r="B16110" s="17">
        <f t="array" ref="B16110">SUM(1-'Sparkling Model'!D$2:D$38^A16110)</f>
        <v>36.99881236</v>
      </c>
      <c r="C16110" s="8">
        <f t="array" ref="C16110">PRODUCT(1-'Sparkling Model'!D$2:D$38^A16110)</f>
        <v>0.9988128473</v>
      </c>
    </row>
    <row r="16111">
      <c r="A16111" s="6">
        <v>16109.0</v>
      </c>
      <c r="B16111" s="17">
        <f t="array" ref="B16111">SUM(1-'Sparkling Model'!D$2:D$38^A16111)</f>
        <v>36.99881295</v>
      </c>
      <c r="C16111" s="8">
        <f t="array" ref="C16111">PRODUCT(1-'Sparkling Model'!D$2:D$38^A16111)</f>
        <v>0.9988134323</v>
      </c>
    </row>
    <row r="16112">
      <c r="A16112" s="6">
        <v>16110.0</v>
      </c>
      <c r="B16112" s="17">
        <f t="array" ref="B16112">SUM(1-'Sparkling Model'!D$2:D$38^A16112)</f>
        <v>36.99881353</v>
      </c>
      <c r="C16112" s="8">
        <f t="array" ref="C16112">PRODUCT(1-'Sparkling Model'!D$2:D$38^A16112)</f>
        <v>0.998814017</v>
      </c>
    </row>
    <row r="16113">
      <c r="A16113" s="6">
        <v>16111.0</v>
      </c>
      <c r="B16113" s="17">
        <f t="array" ref="B16113">SUM(1-'Sparkling Model'!D$2:D$38^A16113)</f>
        <v>36.99881412</v>
      </c>
      <c r="C16113" s="8">
        <f t="array" ref="C16113">PRODUCT(1-'Sparkling Model'!D$2:D$38^A16113)</f>
        <v>0.9988146015</v>
      </c>
    </row>
    <row r="16114">
      <c r="A16114" s="6">
        <v>16112.0</v>
      </c>
      <c r="B16114" s="17">
        <f t="array" ref="B16114">SUM(1-'Sparkling Model'!D$2:D$38^A16114)</f>
        <v>36.9988147</v>
      </c>
      <c r="C16114" s="8">
        <f t="array" ref="C16114">PRODUCT(1-'Sparkling Model'!D$2:D$38^A16114)</f>
        <v>0.9988151856</v>
      </c>
    </row>
    <row r="16115">
      <c r="A16115" s="6">
        <v>16113.0</v>
      </c>
      <c r="B16115" s="17">
        <f t="array" ref="B16115">SUM(1-'Sparkling Model'!D$2:D$38^A16115)</f>
        <v>36.99881529</v>
      </c>
      <c r="C16115" s="8">
        <f t="array" ref="C16115">PRODUCT(1-'Sparkling Model'!D$2:D$38^A16115)</f>
        <v>0.9988157695</v>
      </c>
    </row>
    <row r="16116">
      <c r="A16116" s="6">
        <v>16114.0</v>
      </c>
      <c r="B16116" s="17">
        <f t="array" ref="B16116">SUM(1-'Sparkling Model'!D$2:D$38^A16116)</f>
        <v>36.99881587</v>
      </c>
      <c r="C16116" s="8">
        <f t="array" ref="C16116">PRODUCT(1-'Sparkling Model'!D$2:D$38^A16116)</f>
        <v>0.998816353</v>
      </c>
    </row>
    <row r="16117">
      <c r="A16117" s="6">
        <v>16115.0</v>
      </c>
      <c r="B16117" s="17">
        <f t="array" ref="B16117">SUM(1-'Sparkling Model'!D$2:D$38^A16117)</f>
        <v>36.99881646</v>
      </c>
      <c r="C16117" s="8">
        <f t="array" ref="C16117">PRODUCT(1-'Sparkling Model'!D$2:D$38^A16117)</f>
        <v>0.9988169363</v>
      </c>
    </row>
    <row r="16118">
      <c r="A16118" s="6">
        <v>16116.0</v>
      </c>
      <c r="B16118" s="17">
        <f t="array" ref="B16118">SUM(1-'Sparkling Model'!D$2:D$38^A16118)</f>
        <v>36.99881704</v>
      </c>
      <c r="C16118" s="8">
        <f t="array" ref="C16118">PRODUCT(1-'Sparkling Model'!D$2:D$38^A16118)</f>
        <v>0.9988175193</v>
      </c>
    </row>
    <row r="16119">
      <c r="A16119" s="6">
        <v>16117.0</v>
      </c>
      <c r="B16119" s="17">
        <f t="array" ref="B16119">SUM(1-'Sparkling Model'!D$2:D$38^A16119)</f>
        <v>36.99881762</v>
      </c>
      <c r="C16119" s="8">
        <f t="array" ref="C16119">PRODUCT(1-'Sparkling Model'!D$2:D$38^A16119)</f>
        <v>0.998818102</v>
      </c>
    </row>
    <row r="16120">
      <c r="A16120" s="6">
        <v>16118.0</v>
      </c>
      <c r="B16120" s="17">
        <f t="array" ref="B16120">SUM(1-'Sparkling Model'!D$2:D$38^A16120)</f>
        <v>36.9988182</v>
      </c>
      <c r="C16120" s="8">
        <f t="array" ref="C16120">PRODUCT(1-'Sparkling Model'!D$2:D$38^A16120)</f>
        <v>0.9988186845</v>
      </c>
    </row>
    <row r="16121">
      <c r="A16121" s="6">
        <v>16119.0</v>
      </c>
      <c r="B16121" s="17">
        <f t="array" ref="B16121">SUM(1-'Sparkling Model'!D$2:D$38^A16121)</f>
        <v>36.99881879</v>
      </c>
      <c r="C16121" s="8">
        <f t="array" ref="C16121">PRODUCT(1-'Sparkling Model'!D$2:D$38^A16121)</f>
        <v>0.9988192666</v>
      </c>
    </row>
    <row r="16122">
      <c r="A16122" s="6">
        <v>16120.0</v>
      </c>
      <c r="B16122" s="17">
        <f t="array" ref="B16122">SUM(1-'Sparkling Model'!D$2:D$38^A16122)</f>
        <v>36.99881937</v>
      </c>
      <c r="C16122" s="8">
        <f t="array" ref="C16122">PRODUCT(1-'Sparkling Model'!D$2:D$38^A16122)</f>
        <v>0.9988198484</v>
      </c>
    </row>
    <row r="16123">
      <c r="A16123" s="6">
        <v>16121.0</v>
      </c>
      <c r="B16123" s="17">
        <f t="array" ref="B16123">SUM(1-'Sparkling Model'!D$2:D$38^A16123)</f>
        <v>36.99881995</v>
      </c>
      <c r="C16123" s="8">
        <f t="array" ref="C16123">PRODUCT(1-'Sparkling Model'!D$2:D$38^A16123)</f>
        <v>0.99882043</v>
      </c>
    </row>
    <row r="16124">
      <c r="A16124" s="6">
        <v>16122.0</v>
      </c>
      <c r="B16124" s="17">
        <f t="array" ref="B16124">SUM(1-'Sparkling Model'!D$2:D$38^A16124)</f>
        <v>36.99882053</v>
      </c>
      <c r="C16124" s="8">
        <f t="array" ref="C16124">PRODUCT(1-'Sparkling Model'!D$2:D$38^A16124)</f>
        <v>0.9988210113</v>
      </c>
    </row>
    <row r="16125">
      <c r="A16125" s="6">
        <v>16123.0</v>
      </c>
      <c r="B16125" s="17">
        <f t="array" ref="B16125">SUM(1-'Sparkling Model'!D$2:D$38^A16125)</f>
        <v>36.99882112</v>
      </c>
      <c r="C16125" s="8">
        <f t="array" ref="C16125">PRODUCT(1-'Sparkling Model'!D$2:D$38^A16125)</f>
        <v>0.9988215922</v>
      </c>
    </row>
    <row r="16126">
      <c r="A16126" s="6">
        <v>16124.0</v>
      </c>
      <c r="B16126" s="17">
        <f t="array" ref="B16126">SUM(1-'Sparkling Model'!D$2:D$38^A16126)</f>
        <v>36.9988217</v>
      </c>
      <c r="C16126" s="8">
        <f t="array" ref="C16126">PRODUCT(1-'Sparkling Model'!D$2:D$38^A16126)</f>
        <v>0.9988221729</v>
      </c>
    </row>
    <row r="16127">
      <c r="A16127" s="6">
        <v>16125.0</v>
      </c>
      <c r="B16127" s="17">
        <f t="array" ref="B16127">SUM(1-'Sparkling Model'!D$2:D$38^A16127)</f>
        <v>36.99882228</v>
      </c>
      <c r="C16127" s="8">
        <f t="array" ref="C16127">PRODUCT(1-'Sparkling Model'!D$2:D$38^A16127)</f>
        <v>0.9988227533</v>
      </c>
    </row>
    <row r="16128">
      <c r="A16128" s="6">
        <v>16126.0</v>
      </c>
      <c r="B16128" s="17">
        <f t="array" ref="B16128">SUM(1-'Sparkling Model'!D$2:D$38^A16128)</f>
        <v>36.99882286</v>
      </c>
      <c r="C16128" s="8">
        <f t="array" ref="C16128">PRODUCT(1-'Sparkling Model'!D$2:D$38^A16128)</f>
        <v>0.9988233335</v>
      </c>
    </row>
    <row r="16129">
      <c r="A16129" s="6">
        <v>16127.0</v>
      </c>
      <c r="B16129" s="17">
        <f t="array" ref="B16129">SUM(1-'Sparkling Model'!D$2:D$38^A16129)</f>
        <v>36.99882344</v>
      </c>
      <c r="C16129" s="8">
        <f t="array" ref="C16129">PRODUCT(1-'Sparkling Model'!D$2:D$38^A16129)</f>
        <v>0.9988239133</v>
      </c>
    </row>
    <row r="16130">
      <c r="A16130" s="6">
        <v>16128.0</v>
      </c>
      <c r="B16130" s="17">
        <f t="array" ref="B16130">SUM(1-'Sparkling Model'!D$2:D$38^A16130)</f>
        <v>36.99882402</v>
      </c>
      <c r="C16130" s="8">
        <f t="array" ref="C16130">PRODUCT(1-'Sparkling Model'!D$2:D$38^A16130)</f>
        <v>0.9988244928</v>
      </c>
    </row>
    <row r="16131">
      <c r="A16131" s="6">
        <v>16129.0</v>
      </c>
      <c r="B16131" s="17">
        <f t="array" ref="B16131">SUM(1-'Sparkling Model'!D$2:D$38^A16131)</f>
        <v>36.9988246</v>
      </c>
      <c r="C16131" s="8">
        <f t="array" ref="C16131">PRODUCT(1-'Sparkling Model'!D$2:D$38^A16131)</f>
        <v>0.9988250721</v>
      </c>
    </row>
    <row r="16132">
      <c r="A16132" s="6">
        <v>16130.0</v>
      </c>
      <c r="B16132" s="17">
        <f t="array" ref="B16132">SUM(1-'Sparkling Model'!D$2:D$38^A16132)</f>
        <v>36.99882518</v>
      </c>
      <c r="C16132" s="8">
        <f t="array" ref="C16132">PRODUCT(1-'Sparkling Model'!D$2:D$38^A16132)</f>
        <v>0.9988256511</v>
      </c>
    </row>
    <row r="16133">
      <c r="A16133" s="6">
        <v>16131.0</v>
      </c>
      <c r="B16133" s="17">
        <f t="array" ref="B16133">SUM(1-'Sparkling Model'!D$2:D$38^A16133)</f>
        <v>36.99882576</v>
      </c>
      <c r="C16133" s="8">
        <f t="array" ref="C16133">PRODUCT(1-'Sparkling Model'!D$2:D$38^A16133)</f>
        <v>0.9988262298</v>
      </c>
    </row>
    <row r="16134">
      <c r="A16134" s="6">
        <v>16132.0</v>
      </c>
      <c r="B16134" s="17">
        <f t="array" ref="B16134">SUM(1-'Sparkling Model'!D$2:D$38^A16134)</f>
        <v>36.99882634</v>
      </c>
      <c r="C16134" s="8">
        <f t="array" ref="C16134">PRODUCT(1-'Sparkling Model'!D$2:D$38^A16134)</f>
        <v>0.9988268082</v>
      </c>
    </row>
    <row r="16135">
      <c r="A16135" s="6">
        <v>16133.0</v>
      </c>
      <c r="B16135" s="17">
        <f t="array" ref="B16135">SUM(1-'Sparkling Model'!D$2:D$38^A16135)</f>
        <v>36.99882691</v>
      </c>
      <c r="C16135" s="8">
        <f t="array" ref="C16135">PRODUCT(1-'Sparkling Model'!D$2:D$38^A16135)</f>
        <v>0.9988273863</v>
      </c>
    </row>
    <row r="16136">
      <c r="A16136" s="6">
        <v>16134.0</v>
      </c>
      <c r="B16136" s="17">
        <f t="array" ref="B16136">SUM(1-'Sparkling Model'!D$2:D$38^A16136)</f>
        <v>36.99882749</v>
      </c>
      <c r="C16136" s="8">
        <f t="array" ref="C16136">PRODUCT(1-'Sparkling Model'!D$2:D$38^A16136)</f>
        <v>0.9988279641</v>
      </c>
    </row>
    <row r="16137">
      <c r="A16137" s="6">
        <v>16135.0</v>
      </c>
      <c r="B16137" s="17">
        <f t="array" ref="B16137">SUM(1-'Sparkling Model'!D$2:D$38^A16137)</f>
        <v>36.99882807</v>
      </c>
      <c r="C16137" s="8">
        <f t="array" ref="C16137">PRODUCT(1-'Sparkling Model'!D$2:D$38^A16137)</f>
        <v>0.9988285417</v>
      </c>
    </row>
    <row r="16138">
      <c r="A16138" s="6">
        <v>16136.0</v>
      </c>
      <c r="B16138" s="17">
        <f t="array" ref="B16138">SUM(1-'Sparkling Model'!D$2:D$38^A16138)</f>
        <v>36.99882865</v>
      </c>
      <c r="C16138" s="8">
        <f t="array" ref="C16138">PRODUCT(1-'Sparkling Model'!D$2:D$38^A16138)</f>
        <v>0.9988291189</v>
      </c>
    </row>
    <row r="16139">
      <c r="A16139" s="6">
        <v>16137.0</v>
      </c>
      <c r="B16139" s="17">
        <f t="array" ref="B16139">SUM(1-'Sparkling Model'!D$2:D$38^A16139)</f>
        <v>36.99882923</v>
      </c>
      <c r="C16139" s="8">
        <f t="array" ref="C16139">PRODUCT(1-'Sparkling Model'!D$2:D$38^A16139)</f>
        <v>0.9988296959</v>
      </c>
    </row>
    <row r="16140">
      <c r="A16140" s="6">
        <v>16138.0</v>
      </c>
      <c r="B16140" s="17">
        <f t="array" ref="B16140">SUM(1-'Sparkling Model'!D$2:D$38^A16140)</f>
        <v>36.9988298</v>
      </c>
      <c r="C16140" s="8">
        <f t="array" ref="C16140">PRODUCT(1-'Sparkling Model'!D$2:D$38^A16140)</f>
        <v>0.9988302726</v>
      </c>
    </row>
    <row r="16141">
      <c r="A16141" s="6">
        <v>16139.0</v>
      </c>
      <c r="B16141" s="17">
        <f t="array" ref="B16141">SUM(1-'Sparkling Model'!D$2:D$38^A16141)</f>
        <v>36.99883038</v>
      </c>
      <c r="C16141" s="8">
        <f t="array" ref="C16141">PRODUCT(1-'Sparkling Model'!D$2:D$38^A16141)</f>
        <v>0.998830849</v>
      </c>
    </row>
    <row r="16142">
      <c r="A16142" s="6">
        <v>16140.0</v>
      </c>
      <c r="B16142" s="17">
        <f t="array" ref="B16142">SUM(1-'Sparkling Model'!D$2:D$38^A16142)</f>
        <v>36.99883096</v>
      </c>
      <c r="C16142" s="8">
        <f t="array" ref="C16142">PRODUCT(1-'Sparkling Model'!D$2:D$38^A16142)</f>
        <v>0.9988314251</v>
      </c>
    </row>
    <row r="16143">
      <c r="A16143" s="6">
        <v>16141.0</v>
      </c>
      <c r="B16143" s="17">
        <f t="array" ref="B16143">SUM(1-'Sparkling Model'!D$2:D$38^A16143)</f>
        <v>36.99883153</v>
      </c>
      <c r="C16143" s="8">
        <f t="array" ref="C16143">PRODUCT(1-'Sparkling Model'!D$2:D$38^A16143)</f>
        <v>0.998832001</v>
      </c>
    </row>
    <row r="16144">
      <c r="A16144" s="6">
        <v>16142.0</v>
      </c>
      <c r="B16144" s="17">
        <f t="array" ref="B16144">SUM(1-'Sparkling Model'!D$2:D$38^A16144)</f>
        <v>36.99883211</v>
      </c>
      <c r="C16144" s="8">
        <f t="array" ref="C16144">PRODUCT(1-'Sparkling Model'!D$2:D$38^A16144)</f>
        <v>0.9988325765</v>
      </c>
    </row>
    <row r="16145">
      <c r="A16145" s="6">
        <v>16143.0</v>
      </c>
      <c r="B16145" s="17">
        <f t="array" ref="B16145">SUM(1-'Sparkling Model'!D$2:D$38^A16145)</f>
        <v>36.99883268</v>
      </c>
      <c r="C16145" s="8">
        <f t="array" ref="C16145">PRODUCT(1-'Sparkling Model'!D$2:D$38^A16145)</f>
        <v>0.9988331518</v>
      </c>
    </row>
    <row r="16146">
      <c r="A16146" s="6">
        <v>16144.0</v>
      </c>
      <c r="B16146" s="17">
        <f t="array" ref="B16146">SUM(1-'Sparkling Model'!D$2:D$38^A16146)</f>
        <v>36.99883326</v>
      </c>
      <c r="C16146" s="8">
        <f t="array" ref="C16146">PRODUCT(1-'Sparkling Model'!D$2:D$38^A16146)</f>
        <v>0.9988337268</v>
      </c>
    </row>
    <row r="16147">
      <c r="A16147" s="6">
        <v>16145.0</v>
      </c>
      <c r="B16147" s="17">
        <f t="array" ref="B16147">SUM(1-'Sparkling Model'!D$2:D$38^A16147)</f>
        <v>36.99883383</v>
      </c>
      <c r="C16147" s="8">
        <f t="array" ref="C16147">PRODUCT(1-'Sparkling Model'!D$2:D$38^A16147)</f>
        <v>0.9988343015</v>
      </c>
    </row>
    <row r="16148">
      <c r="A16148" s="6">
        <v>16146.0</v>
      </c>
      <c r="B16148" s="17">
        <f t="array" ref="B16148">SUM(1-'Sparkling Model'!D$2:D$38^A16148)</f>
        <v>36.99883441</v>
      </c>
      <c r="C16148" s="8">
        <f t="array" ref="C16148">PRODUCT(1-'Sparkling Model'!D$2:D$38^A16148)</f>
        <v>0.9988348759</v>
      </c>
    </row>
    <row r="16149">
      <c r="A16149" s="6">
        <v>16147.0</v>
      </c>
      <c r="B16149" s="17">
        <f t="array" ref="B16149">SUM(1-'Sparkling Model'!D$2:D$38^A16149)</f>
        <v>36.99883498</v>
      </c>
      <c r="C16149" s="8">
        <f t="array" ref="C16149">PRODUCT(1-'Sparkling Model'!D$2:D$38^A16149)</f>
        <v>0.99883545</v>
      </c>
    </row>
    <row r="16150">
      <c r="A16150" s="6">
        <v>16148.0</v>
      </c>
      <c r="B16150" s="17">
        <f t="array" ref="B16150">SUM(1-'Sparkling Model'!D$2:D$38^A16150)</f>
        <v>36.99883556</v>
      </c>
      <c r="C16150" s="8">
        <f t="array" ref="C16150">PRODUCT(1-'Sparkling Model'!D$2:D$38^A16150)</f>
        <v>0.9988360239</v>
      </c>
    </row>
    <row r="16151">
      <c r="A16151" s="6">
        <v>16149.0</v>
      </c>
      <c r="B16151" s="17">
        <f t="array" ref="B16151">SUM(1-'Sparkling Model'!D$2:D$38^A16151)</f>
        <v>36.99883613</v>
      </c>
      <c r="C16151" s="8">
        <f t="array" ref="C16151">PRODUCT(1-'Sparkling Model'!D$2:D$38^A16151)</f>
        <v>0.9988365975</v>
      </c>
    </row>
    <row r="16152">
      <c r="A16152" s="6">
        <v>16150.0</v>
      </c>
      <c r="B16152" s="17">
        <f t="array" ref="B16152">SUM(1-'Sparkling Model'!D$2:D$38^A16152)</f>
        <v>36.99883671</v>
      </c>
      <c r="C16152" s="8">
        <f t="array" ref="C16152">PRODUCT(1-'Sparkling Model'!D$2:D$38^A16152)</f>
        <v>0.9988371707</v>
      </c>
    </row>
    <row r="16153">
      <c r="A16153" s="6">
        <v>16151.0</v>
      </c>
      <c r="B16153" s="17">
        <f t="array" ref="B16153">SUM(1-'Sparkling Model'!D$2:D$38^A16153)</f>
        <v>36.99883728</v>
      </c>
      <c r="C16153" s="8">
        <f t="array" ref="C16153">PRODUCT(1-'Sparkling Model'!D$2:D$38^A16153)</f>
        <v>0.9988377437</v>
      </c>
    </row>
    <row r="16154">
      <c r="A16154" s="6">
        <v>16152.0</v>
      </c>
      <c r="B16154" s="17">
        <f t="array" ref="B16154">SUM(1-'Sparkling Model'!D$2:D$38^A16154)</f>
        <v>36.99883785</v>
      </c>
      <c r="C16154" s="8">
        <f t="array" ref="C16154">PRODUCT(1-'Sparkling Model'!D$2:D$38^A16154)</f>
        <v>0.9988383165</v>
      </c>
    </row>
    <row r="16155">
      <c r="A16155" s="6">
        <v>16153.0</v>
      </c>
      <c r="B16155" s="17">
        <f t="array" ref="B16155">SUM(1-'Sparkling Model'!D$2:D$38^A16155)</f>
        <v>36.99883843</v>
      </c>
      <c r="C16155" s="8">
        <f t="array" ref="C16155">PRODUCT(1-'Sparkling Model'!D$2:D$38^A16155)</f>
        <v>0.9988388889</v>
      </c>
    </row>
    <row r="16156">
      <c r="A16156" s="6">
        <v>16154.0</v>
      </c>
      <c r="B16156" s="17">
        <f t="array" ref="B16156">SUM(1-'Sparkling Model'!D$2:D$38^A16156)</f>
        <v>36.998839</v>
      </c>
      <c r="C16156" s="8">
        <f t="array" ref="C16156">PRODUCT(1-'Sparkling Model'!D$2:D$38^A16156)</f>
        <v>0.998839461</v>
      </c>
    </row>
    <row r="16157">
      <c r="A16157" s="6">
        <v>16155.0</v>
      </c>
      <c r="B16157" s="17">
        <f t="array" ref="B16157">SUM(1-'Sparkling Model'!D$2:D$38^A16157)</f>
        <v>36.99883957</v>
      </c>
      <c r="C16157" s="8">
        <f t="array" ref="C16157">PRODUCT(1-'Sparkling Model'!D$2:D$38^A16157)</f>
        <v>0.9988400329</v>
      </c>
    </row>
    <row r="16158">
      <c r="A16158" s="6">
        <v>16156.0</v>
      </c>
      <c r="B16158" s="17">
        <f t="array" ref="B16158">SUM(1-'Sparkling Model'!D$2:D$38^A16158)</f>
        <v>36.99884014</v>
      </c>
      <c r="C16158" s="8">
        <f t="array" ref="C16158">PRODUCT(1-'Sparkling Model'!D$2:D$38^A16158)</f>
        <v>0.9988406045</v>
      </c>
    </row>
    <row r="16159">
      <c r="A16159" s="6">
        <v>16157.0</v>
      </c>
      <c r="B16159" s="17">
        <f t="array" ref="B16159">SUM(1-'Sparkling Model'!D$2:D$38^A16159)</f>
        <v>36.99884071</v>
      </c>
      <c r="C16159" s="8">
        <f t="array" ref="C16159">PRODUCT(1-'Sparkling Model'!D$2:D$38^A16159)</f>
        <v>0.9988411758</v>
      </c>
    </row>
    <row r="16160">
      <c r="A16160" s="6">
        <v>16158.0</v>
      </c>
      <c r="B16160" s="17">
        <f t="array" ref="B16160">SUM(1-'Sparkling Model'!D$2:D$38^A16160)</f>
        <v>36.99884129</v>
      </c>
      <c r="C16160" s="8">
        <f t="array" ref="C16160">PRODUCT(1-'Sparkling Model'!D$2:D$38^A16160)</f>
        <v>0.9988417468</v>
      </c>
    </row>
    <row r="16161">
      <c r="A16161" s="6">
        <v>16159.0</v>
      </c>
      <c r="B16161" s="17">
        <f t="array" ref="B16161">SUM(1-'Sparkling Model'!D$2:D$38^A16161)</f>
        <v>36.99884186</v>
      </c>
      <c r="C16161" s="8">
        <f t="array" ref="C16161">PRODUCT(1-'Sparkling Model'!D$2:D$38^A16161)</f>
        <v>0.9988423176</v>
      </c>
    </row>
    <row r="16162">
      <c r="A16162" s="6">
        <v>16160.0</v>
      </c>
      <c r="B16162" s="17">
        <f t="array" ref="B16162">SUM(1-'Sparkling Model'!D$2:D$38^A16162)</f>
        <v>36.99884243</v>
      </c>
      <c r="C16162" s="8">
        <f t="array" ref="C16162">PRODUCT(1-'Sparkling Model'!D$2:D$38^A16162)</f>
        <v>0.998842888</v>
      </c>
    </row>
    <row r="16163">
      <c r="A16163" s="6">
        <v>16161.0</v>
      </c>
      <c r="B16163" s="17">
        <f t="array" ref="B16163">SUM(1-'Sparkling Model'!D$2:D$38^A16163)</f>
        <v>36.998843</v>
      </c>
      <c r="C16163" s="8">
        <f t="array" ref="C16163">PRODUCT(1-'Sparkling Model'!D$2:D$38^A16163)</f>
        <v>0.9988434582</v>
      </c>
    </row>
    <row r="16164">
      <c r="A16164" s="6">
        <v>16162.0</v>
      </c>
      <c r="B16164" s="17">
        <f t="array" ref="B16164">SUM(1-'Sparkling Model'!D$2:D$38^A16164)</f>
        <v>36.99884357</v>
      </c>
      <c r="C16164" s="8">
        <f t="array" ref="C16164">PRODUCT(1-'Sparkling Model'!D$2:D$38^A16164)</f>
        <v>0.9988440281</v>
      </c>
    </row>
    <row r="16165">
      <c r="A16165" s="6">
        <v>16163.0</v>
      </c>
      <c r="B16165" s="17">
        <f t="array" ref="B16165">SUM(1-'Sparkling Model'!D$2:D$38^A16165)</f>
        <v>36.99884414</v>
      </c>
      <c r="C16165" s="8">
        <f t="array" ref="C16165">PRODUCT(1-'Sparkling Model'!D$2:D$38^A16165)</f>
        <v>0.9988445977</v>
      </c>
    </row>
    <row r="16166">
      <c r="A16166" s="6">
        <v>16164.0</v>
      </c>
      <c r="B16166" s="17">
        <f t="array" ref="B16166">SUM(1-'Sparkling Model'!D$2:D$38^A16166)</f>
        <v>36.99884471</v>
      </c>
      <c r="C16166" s="8">
        <f t="array" ref="C16166">PRODUCT(1-'Sparkling Model'!D$2:D$38^A16166)</f>
        <v>0.998845167</v>
      </c>
    </row>
    <row r="16167">
      <c r="A16167" s="6">
        <v>16165.0</v>
      </c>
      <c r="B16167" s="17">
        <f t="array" ref="B16167">SUM(1-'Sparkling Model'!D$2:D$38^A16167)</f>
        <v>36.99884528</v>
      </c>
      <c r="C16167" s="8">
        <f t="array" ref="C16167">PRODUCT(1-'Sparkling Model'!D$2:D$38^A16167)</f>
        <v>0.9988457361</v>
      </c>
    </row>
    <row r="16168">
      <c r="A16168" s="6">
        <v>16166.0</v>
      </c>
      <c r="B16168" s="17">
        <f t="array" ref="B16168">SUM(1-'Sparkling Model'!D$2:D$38^A16168)</f>
        <v>36.99884585</v>
      </c>
      <c r="C16168" s="8">
        <f t="array" ref="C16168">PRODUCT(1-'Sparkling Model'!D$2:D$38^A16168)</f>
        <v>0.9988463049</v>
      </c>
    </row>
    <row r="16169">
      <c r="A16169" s="6">
        <v>16167.0</v>
      </c>
      <c r="B16169" s="17">
        <f t="array" ref="B16169">SUM(1-'Sparkling Model'!D$2:D$38^A16169)</f>
        <v>36.99884642</v>
      </c>
      <c r="C16169" s="8">
        <f t="array" ref="C16169">PRODUCT(1-'Sparkling Model'!D$2:D$38^A16169)</f>
        <v>0.9988468733</v>
      </c>
    </row>
    <row r="16170">
      <c r="A16170" s="6">
        <v>16168.0</v>
      </c>
      <c r="B16170" s="17">
        <f t="array" ref="B16170">SUM(1-'Sparkling Model'!D$2:D$38^A16170)</f>
        <v>36.99884699</v>
      </c>
      <c r="C16170" s="8">
        <f t="array" ref="C16170">PRODUCT(1-'Sparkling Model'!D$2:D$38^A16170)</f>
        <v>0.9988474415</v>
      </c>
    </row>
    <row r="16171">
      <c r="A16171" s="6">
        <v>16169.0</v>
      </c>
      <c r="B16171" s="17">
        <f t="array" ref="B16171">SUM(1-'Sparkling Model'!D$2:D$38^A16171)</f>
        <v>36.99884755</v>
      </c>
      <c r="C16171" s="8">
        <f t="array" ref="C16171">PRODUCT(1-'Sparkling Model'!D$2:D$38^A16171)</f>
        <v>0.9988480095</v>
      </c>
    </row>
    <row r="16172">
      <c r="A16172" s="6">
        <v>16170.0</v>
      </c>
      <c r="B16172" s="17">
        <f t="array" ref="B16172">SUM(1-'Sparkling Model'!D$2:D$38^A16172)</f>
        <v>36.99884812</v>
      </c>
      <c r="C16172" s="8">
        <f t="array" ref="C16172">PRODUCT(1-'Sparkling Model'!D$2:D$38^A16172)</f>
        <v>0.9988485771</v>
      </c>
    </row>
    <row r="16173">
      <c r="A16173" s="6">
        <v>16171.0</v>
      </c>
      <c r="B16173" s="17">
        <f t="array" ref="B16173">SUM(1-'Sparkling Model'!D$2:D$38^A16173)</f>
        <v>36.99884869</v>
      </c>
      <c r="C16173" s="8">
        <f t="array" ref="C16173">PRODUCT(1-'Sparkling Model'!D$2:D$38^A16173)</f>
        <v>0.9988491445</v>
      </c>
    </row>
    <row r="16174">
      <c r="A16174" s="6">
        <v>16172.0</v>
      </c>
      <c r="B16174" s="17">
        <f t="array" ref="B16174">SUM(1-'Sparkling Model'!D$2:D$38^A16174)</f>
        <v>36.99884926</v>
      </c>
      <c r="C16174" s="8">
        <f t="array" ref="C16174">PRODUCT(1-'Sparkling Model'!D$2:D$38^A16174)</f>
        <v>0.9988497116</v>
      </c>
    </row>
    <row r="16175">
      <c r="A16175" s="6">
        <v>16173.0</v>
      </c>
      <c r="B16175" s="17">
        <f t="array" ref="B16175">SUM(1-'Sparkling Model'!D$2:D$38^A16175)</f>
        <v>36.99884982</v>
      </c>
      <c r="C16175" s="8">
        <f t="array" ref="C16175">PRODUCT(1-'Sparkling Model'!D$2:D$38^A16175)</f>
        <v>0.9988502784</v>
      </c>
    </row>
    <row r="16176">
      <c r="A16176" s="6">
        <v>16174.0</v>
      </c>
      <c r="B16176" s="17">
        <f t="array" ref="B16176">SUM(1-'Sparkling Model'!D$2:D$38^A16176)</f>
        <v>36.99885039</v>
      </c>
      <c r="C16176" s="8">
        <f t="array" ref="C16176">PRODUCT(1-'Sparkling Model'!D$2:D$38^A16176)</f>
        <v>0.9988508449</v>
      </c>
    </row>
    <row r="16177">
      <c r="A16177" s="6">
        <v>16175.0</v>
      </c>
      <c r="B16177" s="17">
        <f t="array" ref="B16177">SUM(1-'Sparkling Model'!D$2:D$38^A16177)</f>
        <v>36.99885096</v>
      </c>
      <c r="C16177" s="8">
        <f t="array" ref="C16177">PRODUCT(1-'Sparkling Model'!D$2:D$38^A16177)</f>
        <v>0.9988514111</v>
      </c>
    </row>
    <row r="16178">
      <c r="A16178" s="6">
        <v>16176.0</v>
      </c>
      <c r="B16178" s="17">
        <f t="array" ref="B16178">SUM(1-'Sparkling Model'!D$2:D$38^A16178)</f>
        <v>36.99885152</v>
      </c>
      <c r="C16178" s="8">
        <f t="array" ref="C16178">PRODUCT(1-'Sparkling Model'!D$2:D$38^A16178)</f>
        <v>0.9988519771</v>
      </c>
    </row>
    <row r="16179">
      <c r="A16179" s="6">
        <v>16177.0</v>
      </c>
      <c r="B16179" s="17">
        <f t="array" ref="B16179">SUM(1-'Sparkling Model'!D$2:D$38^A16179)</f>
        <v>36.99885209</v>
      </c>
      <c r="C16179" s="8">
        <f t="array" ref="C16179">PRODUCT(1-'Sparkling Model'!D$2:D$38^A16179)</f>
        <v>0.9988525428</v>
      </c>
    </row>
    <row r="16180">
      <c r="A16180" s="6">
        <v>16178.0</v>
      </c>
      <c r="B16180" s="17">
        <f t="array" ref="B16180">SUM(1-'Sparkling Model'!D$2:D$38^A16180)</f>
        <v>36.99885266</v>
      </c>
      <c r="C16180" s="8">
        <f t="array" ref="C16180">PRODUCT(1-'Sparkling Model'!D$2:D$38^A16180)</f>
        <v>0.9988531082</v>
      </c>
    </row>
    <row r="16181">
      <c r="A16181" s="6">
        <v>16179.0</v>
      </c>
      <c r="B16181" s="17">
        <f t="array" ref="B16181">SUM(1-'Sparkling Model'!D$2:D$38^A16181)</f>
        <v>36.99885322</v>
      </c>
      <c r="C16181" s="8">
        <f t="array" ref="C16181">PRODUCT(1-'Sparkling Model'!D$2:D$38^A16181)</f>
        <v>0.9988536733</v>
      </c>
    </row>
    <row r="16182">
      <c r="A16182" s="6">
        <v>16180.0</v>
      </c>
      <c r="B16182" s="17">
        <f t="array" ref="B16182">SUM(1-'Sparkling Model'!D$2:D$38^A16182)</f>
        <v>36.99885379</v>
      </c>
      <c r="C16182" s="8">
        <f t="array" ref="C16182">PRODUCT(1-'Sparkling Model'!D$2:D$38^A16182)</f>
        <v>0.9988542382</v>
      </c>
    </row>
    <row r="16183">
      <c r="A16183" s="6">
        <v>16181.0</v>
      </c>
      <c r="B16183" s="17">
        <f t="array" ref="B16183">SUM(1-'Sparkling Model'!D$2:D$38^A16183)</f>
        <v>36.99885435</v>
      </c>
      <c r="C16183" s="8">
        <f t="array" ref="C16183">PRODUCT(1-'Sparkling Model'!D$2:D$38^A16183)</f>
        <v>0.9988548028</v>
      </c>
    </row>
    <row r="16184">
      <c r="A16184" s="6">
        <v>16182.0</v>
      </c>
      <c r="B16184" s="17">
        <f t="array" ref="B16184">SUM(1-'Sparkling Model'!D$2:D$38^A16184)</f>
        <v>36.99885492</v>
      </c>
      <c r="C16184" s="8">
        <f t="array" ref="C16184">PRODUCT(1-'Sparkling Model'!D$2:D$38^A16184)</f>
        <v>0.998855367</v>
      </c>
    </row>
    <row r="16185">
      <c r="A16185" s="6">
        <v>16183.0</v>
      </c>
      <c r="B16185" s="17">
        <f t="array" ref="B16185">SUM(1-'Sparkling Model'!D$2:D$38^A16185)</f>
        <v>36.99885548</v>
      </c>
      <c r="C16185" s="8">
        <f t="array" ref="C16185">PRODUCT(1-'Sparkling Model'!D$2:D$38^A16185)</f>
        <v>0.9988559311</v>
      </c>
    </row>
    <row r="16186">
      <c r="A16186" s="6">
        <v>16184.0</v>
      </c>
      <c r="B16186" s="17">
        <f t="array" ref="B16186">SUM(1-'Sparkling Model'!D$2:D$38^A16186)</f>
        <v>36.99885605</v>
      </c>
      <c r="C16186" s="8">
        <f t="array" ref="C16186">PRODUCT(1-'Sparkling Model'!D$2:D$38^A16186)</f>
        <v>0.9988564948</v>
      </c>
    </row>
    <row r="16187">
      <c r="A16187" s="6">
        <v>16185.0</v>
      </c>
      <c r="B16187" s="17">
        <f t="array" ref="B16187">SUM(1-'Sparkling Model'!D$2:D$38^A16187)</f>
        <v>36.99885661</v>
      </c>
      <c r="C16187" s="8">
        <f t="array" ref="C16187">PRODUCT(1-'Sparkling Model'!D$2:D$38^A16187)</f>
        <v>0.9988570582</v>
      </c>
    </row>
    <row r="16188">
      <c r="A16188" s="6">
        <v>16186.0</v>
      </c>
      <c r="B16188" s="17">
        <f t="array" ref="B16188">SUM(1-'Sparkling Model'!D$2:D$38^A16188)</f>
        <v>36.99885717</v>
      </c>
      <c r="C16188" s="8">
        <f t="array" ref="C16188">PRODUCT(1-'Sparkling Model'!D$2:D$38^A16188)</f>
        <v>0.9988576214</v>
      </c>
    </row>
    <row r="16189">
      <c r="A16189" s="6">
        <v>16187.0</v>
      </c>
      <c r="B16189" s="17">
        <f t="array" ref="B16189">SUM(1-'Sparkling Model'!D$2:D$38^A16189)</f>
        <v>36.99885774</v>
      </c>
      <c r="C16189" s="8">
        <f t="array" ref="C16189">PRODUCT(1-'Sparkling Model'!D$2:D$38^A16189)</f>
        <v>0.9988581843</v>
      </c>
    </row>
    <row r="16190">
      <c r="A16190" s="6">
        <v>16188.0</v>
      </c>
      <c r="B16190" s="17">
        <f t="array" ref="B16190">SUM(1-'Sparkling Model'!D$2:D$38^A16190)</f>
        <v>36.9988583</v>
      </c>
      <c r="C16190" s="8">
        <f t="array" ref="C16190">PRODUCT(1-'Sparkling Model'!D$2:D$38^A16190)</f>
        <v>0.9988587469</v>
      </c>
    </row>
    <row r="16191">
      <c r="A16191" s="6">
        <v>16189.0</v>
      </c>
      <c r="B16191" s="17">
        <f t="array" ref="B16191">SUM(1-'Sparkling Model'!D$2:D$38^A16191)</f>
        <v>36.99885886</v>
      </c>
      <c r="C16191" s="8">
        <f t="array" ref="C16191">PRODUCT(1-'Sparkling Model'!D$2:D$38^A16191)</f>
        <v>0.9988593093</v>
      </c>
    </row>
    <row r="16192">
      <c r="A16192" s="6">
        <v>16190.0</v>
      </c>
      <c r="B16192" s="17">
        <f t="array" ref="B16192">SUM(1-'Sparkling Model'!D$2:D$38^A16192)</f>
        <v>36.99885942</v>
      </c>
      <c r="C16192" s="8">
        <f t="array" ref="C16192">PRODUCT(1-'Sparkling Model'!D$2:D$38^A16192)</f>
        <v>0.9988598713</v>
      </c>
    </row>
    <row r="16193">
      <c r="A16193" s="6">
        <v>16191.0</v>
      </c>
      <c r="B16193" s="17">
        <f t="array" ref="B16193">SUM(1-'Sparkling Model'!D$2:D$38^A16193)</f>
        <v>36.99885999</v>
      </c>
      <c r="C16193" s="8">
        <f t="array" ref="C16193">PRODUCT(1-'Sparkling Model'!D$2:D$38^A16193)</f>
        <v>0.9988604331</v>
      </c>
    </row>
    <row r="16194">
      <c r="A16194" s="6">
        <v>16192.0</v>
      </c>
      <c r="B16194" s="17">
        <f t="array" ref="B16194">SUM(1-'Sparkling Model'!D$2:D$38^A16194)</f>
        <v>36.99886055</v>
      </c>
      <c r="C16194" s="8">
        <f t="array" ref="C16194">PRODUCT(1-'Sparkling Model'!D$2:D$38^A16194)</f>
        <v>0.9988609946</v>
      </c>
    </row>
    <row r="16195">
      <c r="A16195" s="6">
        <v>16193.0</v>
      </c>
      <c r="B16195" s="17">
        <f t="array" ref="B16195">SUM(1-'Sparkling Model'!D$2:D$38^A16195)</f>
        <v>36.99886111</v>
      </c>
      <c r="C16195" s="8">
        <f t="array" ref="C16195">PRODUCT(1-'Sparkling Model'!D$2:D$38^A16195)</f>
        <v>0.9988615559</v>
      </c>
    </row>
    <row r="16196">
      <c r="A16196" s="6">
        <v>16194.0</v>
      </c>
      <c r="B16196" s="17">
        <f t="array" ref="B16196">SUM(1-'Sparkling Model'!D$2:D$38^A16196)</f>
        <v>36.99886167</v>
      </c>
      <c r="C16196" s="8">
        <f t="array" ref="C16196">PRODUCT(1-'Sparkling Model'!D$2:D$38^A16196)</f>
        <v>0.9988621168</v>
      </c>
    </row>
    <row r="16197">
      <c r="A16197" s="6">
        <v>16195.0</v>
      </c>
      <c r="B16197" s="17">
        <f t="array" ref="B16197">SUM(1-'Sparkling Model'!D$2:D$38^A16197)</f>
        <v>36.99886223</v>
      </c>
      <c r="C16197" s="8">
        <f t="array" ref="C16197">PRODUCT(1-'Sparkling Model'!D$2:D$38^A16197)</f>
        <v>0.9988626775</v>
      </c>
    </row>
    <row r="16198">
      <c r="A16198" s="6">
        <v>16196.0</v>
      </c>
      <c r="B16198" s="17">
        <f t="array" ref="B16198">SUM(1-'Sparkling Model'!D$2:D$38^A16198)</f>
        <v>36.99886279</v>
      </c>
      <c r="C16198" s="8">
        <f t="array" ref="C16198">PRODUCT(1-'Sparkling Model'!D$2:D$38^A16198)</f>
        <v>0.9988632379</v>
      </c>
    </row>
    <row r="16199">
      <c r="A16199" s="6">
        <v>16197.0</v>
      </c>
      <c r="B16199" s="17">
        <f t="array" ref="B16199">SUM(1-'Sparkling Model'!D$2:D$38^A16199)</f>
        <v>36.99886335</v>
      </c>
      <c r="C16199" s="8">
        <f t="array" ref="C16199">PRODUCT(1-'Sparkling Model'!D$2:D$38^A16199)</f>
        <v>0.998863798</v>
      </c>
    </row>
    <row r="16200">
      <c r="A16200" s="6">
        <v>16198.0</v>
      </c>
      <c r="B16200" s="17">
        <f t="array" ref="B16200">SUM(1-'Sparkling Model'!D$2:D$38^A16200)</f>
        <v>36.99886391</v>
      </c>
      <c r="C16200" s="8">
        <f t="array" ref="C16200">PRODUCT(1-'Sparkling Model'!D$2:D$38^A16200)</f>
        <v>0.9988643579</v>
      </c>
    </row>
    <row r="16201">
      <c r="A16201" s="6">
        <v>16199.0</v>
      </c>
      <c r="B16201" s="17">
        <f t="array" ref="B16201">SUM(1-'Sparkling Model'!D$2:D$38^A16201)</f>
        <v>36.99886447</v>
      </c>
      <c r="C16201" s="8">
        <f t="array" ref="C16201">PRODUCT(1-'Sparkling Model'!D$2:D$38^A16201)</f>
        <v>0.9988649174</v>
      </c>
    </row>
    <row r="16202">
      <c r="A16202" s="6">
        <v>16200.0</v>
      </c>
      <c r="B16202" s="17">
        <f t="array" ref="B16202">SUM(1-'Sparkling Model'!D$2:D$38^A16202)</f>
        <v>36.99886503</v>
      </c>
      <c r="C16202" s="8">
        <f t="array" ref="C16202">PRODUCT(1-'Sparkling Model'!D$2:D$38^A16202)</f>
        <v>0.9988654767</v>
      </c>
    </row>
    <row r="16203">
      <c r="A16203" s="6">
        <v>16201.0</v>
      </c>
      <c r="B16203" s="17">
        <f t="array" ref="B16203">SUM(1-'Sparkling Model'!D$2:D$38^A16203)</f>
        <v>36.99886559</v>
      </c>
      <c r="C16203" s="8">
        <f t="array" ref="C16203">PRODUCT(1-'Sparkling Model'!D$2:D$38^A16203)</f>
        <v>0.9988660358</v>
      </c>
    </row>
    <row r="16204">
      <c r="A16204" s="6">
        <v>16202.0</v>
      </c>
      <c r="B16204" s="17">
        <f t="array" ref="B16204">SUM(1-'Sparkling Model'!D$2:D$38^A16204)</f>
        <v>36.99886615</v>
      </c>
      <c r="C16204" s="8">
        <f t="array" ref="C16204">PRODUCT(1-'Sparkling Model'!D$2:D$38^A16204)</f>
        <v>0.9988665945</v>
      </c>
    </row>
    <row r="16205">
      <c r="A16205" s="6">
        <v>16203.0</v>
      </c>
      <c r="B16205" s="17">
        <f t="array" ref="B16205">SUM(1-'Sparkling Model'!D$2:D$38^A16205)</f>
        <v>36.99886671</v>
      </c>
      <c r="C16205" s="8">
        <f t="array" ref="C16205">PRODUCT(1-'Sparkling Model'!D$2:D$38^A16205)</f>
        <v>0.998867153</v>
      </c>
    </row>
    <row r="16206">
      <c r="A16206" s="6">
        <v>16204.0</v>
      </c>
      <c r="B16206" s="17">
        <f t="array" ref="B16206">SUM(1-'Sparkling Model'!D$2:D$38^A16206)</f>
        <v>36.99886727</v>
      </c>
      <c r="C16206" s="8">
        <f t="array" ref="C16206">PRODUCT(1-'Sparkling Model'!D$2:D$38^A16206)</f>
        <v>0.9988677112</v>
      </c>
    </row>
    <row r="16207">
      <c r="A16207" s="6">
        <v>16205.0</v>
      </c>
      <c r="B16207" s="17">
        <f t="array" ref="B16207">SUM(1-'Sparkling Model'!D$2:D$38^A16207)</f>
        <v>36.99886783</v>
      </c>
      <c r="C16207" s="8">
        <f t="array" ref="C16207">PRODUCT(1-'Sparkling Model'!D$2:D$38^A16207)</f>
        <v>0.9988682691</v>
      </c>
    </row>
    <row r="16208">
      <c r="A16208" s="6">
        <v>16206.0</v>
      </c>
      <c r="B16208" s="17">
        <f t="array" ref="B16208">SUM(1-'Sparkling Model'!D$2:D$38^A16208)</f>
        <v>36.99886839</v>
      </c>
      <c r="C16208" s="8">
        <f t="array" ref="C16208">PRODUCT(1-'Sparkling Model'!D$2:D$38^A16208)</f>
        <v>0.9988688267</v>
      </c>
    </row>
    <row r="16209">
      <c r="A16209" s="6">
        <v>16207.0</v>
      </c>
      <c r="B16209" s="17">
        <f t="array" ref="B16209">SUM(1-'Sparkling Model'!D$2:D$38^A16209)</f>
        <v>36.99886895</v>
      </c>
      <c r="C16209" s="8">
        <f t="array" ref="C16209">PRODUCT(1-'Sparkling Model'!D$2:D$38^A16209)</f>
        <v>0.9988693841</v>
      </c>
    </row>
    <row r="16210">
      <c r="A16210" s="6">
        <v>16208.0</v>
      </c>
      <c r="B16210" s="17">
        <f t="array" ref="B16210">SUM(1-'Sparkling Model'!D$2:D$38^A16210)</f>
        <v>36.9988695</v>
      </c>
      <c r="C16210" s="8">
        <f t="array" ref="C16210">PRODUCT(1-'Sparkling Model'!D$2:D$38^A16210)</f>
        <v>0.9988699412</v>
      </c>
    </row>
    <row r="16211">
      <c r="A16211" s="6">
        <v>16209.0</v>
      </c>
      <c r="B16211" s="17">
        <f t="array" ref="B16211">SUM(1-'Sparkling Model'!D$2:D$38^A16211)</f>
        <v>36.99887006</v>
      </c>
      <c r="C16211" s="8">
        <f t="array" ref="C16211">PRODUCT(1-'Sparkling Model'!D$2:D$38^A16211)</f>
        <v>0.998870498</v>
      </c>
    </row>
    <row r="16212">
      <c r="A16212" s="6">
        <v>16210.0</v>
      </c>
      <c r="B16212" s="17">
        <f t="array" ref="B16212">SUM(1-'Sparkling Model'!D$2:D$38^A16212)</f>
        <v>36.99887062</v>
      </c>
      <c r="C16212" s="8">
        <f t="array" ref="C16212">PRODUCT(1-'Sparkling Model'!D$2:D$38^A16212)</f>
        <v>0.9988710545</v>
      </c>
    </row>
    <row r="16213">
      <c r="A16213" s="6">
        <v>16211.0</v>
      </c>
      <c r="B16213" s="17">
        <f t="array" ref="B16213">SUM(1-'Sparkling Model'!D$2:D$38^A16213)</f>
        <v>36.99887117</v>
      </c>
      <c r="C16213" s="8">
        <f t="array" ref="C16213">PRODUCT(1-'Sparkling Model'!D$2:D$38^A16213)</f>
        <v>0.9988716108</v>
      </c>
    </row>
    <row r="16214">
      <c r="A16214" s="6">
        <v>16212.0</v>
      </c>
      <c r="B16214" s="17">
        <f t="array" ref="B16214">SUM(1-'Sparkling Model'!D$2:D$38^A16214)</f>
        <v>36.99887173</v>
      </c>
      <c r="C16214" s="8">
        <f t="array" ref="C16214">PRODUCT(1-'Sparkling Model'!D$2:D$38^A16214)</f>
        <v>0.9988721668</v>
      </c>
    </row>
    <row r="16215">
      <c r="A16215" s="6">
        <v>16213.0</v>
      </c>
      <c r="B16215" s="17">
        <f t="array" ref="B16215">SUM(1-'Sparkling Model'!D$2:D$38^A16215)</f>
        <v>36.99887229</v>
      </c>
      <c r="C16215" s="8">
        <f t="array" ref="C16215">PRODUCT(1-'Sparkling Model'!D$2:D$38^A16215)</f>
        <v>0.9988727225</v>
      </c>
    </row>
    <row r="16216">
      <c r="A16216" s="6">
        <v>16214.0</v>
      </c>
      <c r="B16216" s="17">
        <f t="array" ref="B16216">SUM(1-'Sparkling Model'!D$2:D$38^A16216)</f>
        <v>36.99887284</v>
      </c>
      <c r="C16216" s="8">
        <f t="array" ref="C16216">PRODUCT(1-'Sparkling Model'!D$2:D$38^A16216)</f>
        <v>0.9988732779</v>
      </c>
    </row>
    <row r="16217">
      <c r="A16217" s="6">
        <v>16215.0</v>
      </c>
      <c r="B16217" s="17">
        <f t="array" ref="B16217">SUM(1-'Sparkling Model'!D$2:D$38^A16217)</f>
        <v>36.9988734</v>
      </c>
      <c r="C16217" s="8">
        <f t="array" ref="C16217">PRODUCT(1-'Sparkling Model'!D$2:D$38^A16217)</f>
        <v>0.9988738331</v>
      </c>
    </row>
    <row r="16218">
      <c r="A16218" s="6">
        <v>16216.0</v>
      </c>
      <c r="B16218" s="17">
        <f t="array" ref="B16218">SUM(1-'Sparkling Model'!D$2:D$38^A16218)</f>
        <v>36.99887395</v>
      </c>
      <c r="C16218" s="8">
        <f t="array" ref="C16218">PRODUCT(1-'Sparkling Model'!D$2:D$38^A16218)</f>
        <v>0.998874388</v>
      </c>
    </row>
    <row r="16219">
      <c r="A16219" s="6">
        <v>16217.0</v>
      </c>
      <c r="B16219" s="17">
        <f t="array" ref="B16219">SUM(1-'Sparkling Model'!D$2:D$38^A16219)</f>
        <v>36.99887451</v>
      </c>
      <c r="C16219" s="8">
        <f t="array" ref="C16219">PRODUCT(1-'Sparkling Model'!D$2:D$38^A16219)</f>
        <v>0.9988749426</v>
      </c>
    </row>
    <row r="16220">
      <c r="A16220" s="6">
        <v>16218.0</v>
      </c>
      <c r="B16220" s="17">
        <f t="array" ref="B16220">SUM(1-'Sparkling Model'!D$2:D$38^A16220)</f>
        <v>36.99887506</v>
      </c>
      <c r="C16220" s="8">
        <f t="array" ref="C16220">PRODUCT(1-'Sparkling Model'!D$2:D$38^A16220)</f>
        <v>0.9988754969</v>
      </c>
    </row>
    <row r="16221">
      <c r="A16221" s="6">
        <v>16219.0</v>
      </c>
      <c r="B16221" s="17">
        <f t="array" ref="B16221">SUM(1-'Sparkling Model'!D$2:D$38^A16221)</f>
        <v>36.99887562</v>
      </c>
      <c r="C16221" s="8">
        <f t="array" ref="C16221">PRODUCT(1-'Sparkling Model'!D$2:D$38^A16221)</f>
        <v>0.998876051</v>
      </c>
    </row>
    <row r="16222">
      <c r="A16222" s="6">
        <v>16220.0</v>
      </c>
      <c r="B16222" s="17">
        <f t="array" ref="B16222">SUM(1-'Sparkling Model'!D$2:D$38^A16222)</f>
        <v>36.99887617</v>
      </c>
      <c r="C16222" s="8">
        <f t="array" ref="C16222">PRODUCT(1-'Sparkling Model'!D$2:D$38^A16222)</f>
        <v>0.9988766048</v>
      </c>
    </row>
    <row r="16223">
      <c r="A16223" s="6">
        <v>16221.0</v>
      </c>
      <c r="B16223" s="17">
        <f t="array" ref="B16223">SUM(1-'Sparkling Model'!D$2:D$38^A16223)</f>
        <v>36.99887673</v>
      </c>
      <c r="C16223" s="8">
        <f t="array" ref="C16223">PRODUCT(1-'Sparkling Model'!D$2:D$38^A16223)</f>
        <v>0.9988771583</v>
      </c>
    </row>
    <row r="16224">
      <c r="A16224" s="6">
        <v>16222.0</v>
      </c>
      <c r="B16224" s="17">
        <f t="array" ref="B16224">SUM(1-'Sparkling Model'!D$2:D$38^A16224)</f>
        <v>36.99887728</v>
      </c>
      <c r="C16224" s="8">
        <f t="array" ref="C16224">PRODUCT(1-'Sparkling Model'!D$2:D$38^A16224)</f>
        <v>0.9988777116</v>
      </c>
    </row>
    <row r="16225">
      <c r="A16225" s="6">
        <v>16223.0</v>
      </c>
      <c r="B16225" s="17">
        <f t="array" ref="B16225">SUM(1-'Sparkling Model'!D$2:D$38^A16225)</f>
        <v>36.99887783</v>
      </c>
      <c r="C16225" s="8">
        <f t="array" ref="C16225">PRODUCT(1-'Sparkling Model'!D$2:D$38^A16225)</f>
        <v>0.9988782645</v>
      </c>
    </row>
    <row r="16226">
      <c r="A16226" s="6">
        <v>16224.0</v>
      </c>
      <c r="B16226" s="17">
        <f t="array" ref="B16226">SUM(1-'Sparkling Model'!D$2:D$38^A16226)</f>
        <v>36.99887839</v>
      </c>
      <c r="C16226" s="8">
        <f t="array" ref="C16226">PRODUCT(1-'Sparkling Model'!D$2:D$38^A16226)</f>
        <v>0.9988788172</v>
      </c>
    </row>
    <row r="16227">
      <c r="A16227" s="6">
        <v>16225.0</v>
      </c>
      <c r="B16227" s="17">
        <f t="array" ref="B16227">SUM(1-'Sparkling Model'!D$2:D$38^A16227)</f>
        <v>36.99887894</v>
      </c>
      <c r="C16227" s="8">
        <f t="array" ref="C16227">PRODUCT(1-'Sparkling Model'!D$2:D$38^A16227)</f>
        <v>0.9988793697</v>
      </c>
    </row>
    <row r="16228">
      <c r="A16228" s="6">
        <v>16226.0</v>
      </c>
      <c r="B16228" s="17">
        <f t="array" ref="B16228">SUM(1-'Sparkling Model'!D$2:D$38^A16228)</f>
        <v>36.99887949</v>
      </c>
      <c r="C16228" s="8">
        <f t="array" ref="C16228">PRODUCT(1-'Sparkling Model'!D$2:D$38^A16228)</f>
        <v>0.9988799218</v>
      </c>
    </row>
    <row r="16229">
      <c r="A16229" s="6">
        <v>16227.0</v>
      </c>
      <c r="B16229" s="17">
        <f t="array" ref="B16229">SUM(1-'Sparkling Model'!D$2:D$38^A16229)</f>
        <v>36.99888004</v>
      </c>
      <c r="C16229" s="8">
        <f t="array" ref="C16229">PRODUCT(1-'Sparkling Model'!D$2:D$38^A16229)</f>
        <v>0.9988804737</v>
      </c>
    </row>
    <row r="16230">
      <c r="A16230" s="6">
        <v>16228.0</v>
      </c>
      <c r="B16230" s="17">
        <f t="array" ref="B16230">SUM(1-'Sparkling Model'!D$2:D$38^A16230)</f>
        <v>36.9988806</v>
      </c>
      <c r="C16230" s="8">
        <f t="array" ref="C16230">PRODUCT(1-'Sparkling Model'!D$2:D$38^A16230)</f>
        <v>0.9988810253</v>
      </c>
    </row>
    <row r="16231">
      <c r="A16231" s="6">
        <v>16229.0</v>
      </c>
      <c r="B16231" s="17">
        <f t="array" ref="B16231">SUM(1-'Sparkling Model'!D$2:D$38^A16231)</f>
        <v>36.99888115</v>
      </c>
      <c r="C16231" s="8">
        <f t="array" ref="C16231">PRODUCT(1-'Sparkling Model'!D$2:D$38^A16231)</f>
        <v>0.9988815767</v>
      </c>
    </row>
    <row r="16232">
      <c r="A16232" s="6">
        <v>16230.0</v>
      </c>
      <c r="B16232" s="17">
        <f t="array" ref="B16232">SUM(1-'Sparkling Model'!D$2:D$38^A16232)</f>
        <v>36.9988817</v>
      </c>
      <c r="C16232" s="8">
        <f t="array" ref="C16232">PRODUCT(1-'Sparkling Model'!D$2:D$38^A16232)</f>
        <v>0.9988821277</v>
      </c>
    </row>
    <row r="16233">
      <c r="A16233" s="6">
        <v>16231.0</v>
      </c>
      <c r="B16233" s="17">
        <f t="array" ref="B16233">SUM(1-'Sparkling Model'!D$2:D$38^A16233)</f>
        <v>36.99888225</v>
      </c>
      <c r="C16233" s="8">
        <f t="array" ref="C16233">PRODUCT(1-'Sparkling Model'!D$2:D$38^A16233)</f>
        <v>0.9988826785</v>
      </c>
    </row>
    <row r="16234">
      <c r="A16234" s="6">
        <v>16232.0</v>
      </c>
      <c r="B16234" s="17">
        <f t="array" ref="B16234">SUM(1-'Sparkling Model'!D$2:D$38^A16234)</f>
        <v>36.9988828</v>
      </c>
      <c r="C16234" s="8">
        <f t="array" ref="C16234">PRODUCT(1-'Sparkling Model'!D$2:D$38^A16234)</f>
        <v>0.998883229</v>
      </c>
    </row>
    <row r="16235">
      <c r="A16235" s="6">
        <v>16233.0</v>
      </c>
      <c r="B16235" s="17">
        <f t="array" ref="B16235">SUM(1-'Sparkling Model'!D$2:D$38^A16235)</f>
        <v>36.99888335</v>
      </c>
      <c r="C16235" s="8">
        <f t="array" ref="C16235">PRODUCT(1-'Sparkling Model'!D$2:D$38^A16235)</f>
        <v>0.9988837793</v>
      </c>
    </row>
    <row r="16236">
      <c r="A16236" s="6">
        <v>16234.0</v>
      </c>
      <c r="B16236" s="17">
        <f t="array" ref="B16236">SUM(1-'Sparkling Model'!D$2:D$38^A16236)</f>
        <v>36.9988839</v>
      </c>
      <c r="C16236" s="8">
        <f t="array" ref="C16236">PRODUCT(1-'Sparkling Model'!D$2:D$38^A16236)</f>
        <v>0.9988843293</v>
      </c>
    </row>
    <row r="16237">
      <c r="A16237" s="6">
        <v>16235.0</v>
      </c>
      <c r="B16237" s="17">
        <f t="array" ref="B16237">SUM(1-'Sparkling Model'!D$2:D$38^A16237)</f>
        <v>36.99888445</v>
      </c>
      <c r="C16237" s="8">
        <f t="array" ref="C16237">PRODUCT(1-'Sparkling Model'!D$2:D$38^A16237)</f>
        <v>0.998884879</v>
      </c>
    </row>
    <row r="16238">
      <c r="A16238" s="6">
        <v>16236.0</v>
      </c>
      <c r="B16238" s="17">
        <f t="array" ref="B16238">SUM(1-'Sparkling Model'!D$2:D$38^A16238)</f>
        <v>36.998885</v>
      </c>
      <c r="C16238" s="8">
        <f t="array" ref="C16238">PRODUCT(1-'Sparkling Model'!D$2:D$38^A16238)</f>
        <v>0.9988854284</v>
      </c>
    </row>
    <row r="16239">
      <c r="A16239" s="6">
        <v>16237.0</v>
      </c>
      <c r="B16239" s="17">
        <f t="array" ref="B16239">SUM(1-'Sparkling Model'!D$2:D$38^A16239)</f>
        <v>36.99888555</v>
      </c>
      <c r="C16239" s="8">
        <f t="array" ref="C16239">PRODUCT(1-'Sparkling Model'!D$2:D$38^A16239)</f>
        <v>0.9988859776</v>
      </c>
    </row>
    <row r="16240">
      <c r="A16240" s="6">
        <v>16238.0</v>
      </c>
      <c r="B16240" s="17">
        <f t="array" ref="B16240">SUM(1-'Sparkling Model'!D$2:D$38^A16240)</f>
        <v>36.9988861</v>
      </c>
      <c r="C16240" s="8">
        <f t="array" ref="C16240">PRODUCT(1-'Sparkling Model'!D$2:D$38^A16240)</f>
        <v>0.9988865265</v>
      </c>
    </row>
    <row r="16241">
      <c r="A16241" s="6">
        <v>16239.0</v>
      </c>
      <c r="B16241" s="17">
        <f t="array" ref="B16241">SUM(1-'Sparkling Model'!D$2:D$38^A16241)</f>
        <v>36.99888665</v>
      </c>
      <c r="C16241" s="8">
        <f t="array" ref="C16241">PRODUCT(1-'Sparkling Model'!D$2:D$38^A16241)</f>
        <v>0.9988870751</v>
      </c>
    </row>
    <row r="16242">
      <c r="A16242" s="6">
        <v>16240.0</v>
      </c>
      <c r="B16242" s="17">
        <f t="array" ref="B16242">SUM(1-'Sparkling Model'!D$2:D$38^A16242)</f>
        <v>36.9988872</v>
      </c>
      <c r="C16242" s="8">
        <f t="array" ref="C16242">PRODUCT(1-'Sparkling Model'!D$2:D$38^A16242)</f>
        <v>0.9988876234</v>
      </c>
    </row>
    <row r="16243">
      <c r="A16243" s="6">
        <v>16241.0</v>
      </c>
      <c r="B16243" s="17">
        <f t="array" ref="B16243">SUM(1-'Sparkling Model'!D$2:D$38^A16243)</f>
        <v>36.99888775</v>
      </c>
      <c r="C16243" s="8">
        <f t="array" ref="C16243">PRODUCT(1-'Sparkling Model'!D$2:D$38^A16243)</f>
        <v>0.9988881715</v>
      </c>
    </row>
    <row r="16244">
      <c r="A16244" s="6">
        <v>16242.0</v>
      </c>
      <c r="B16244" s="17">
        <f t="array" ref="B16244">SUM(1-'Sparkling Model'!D$2:D$38^A16244)</f>
        <v>36.9988883</v>
      </c>
      <c r="C16244" s="8">
        <f t="array" ref="C16244">PRODUCT(1-'Sparkling Model'!D$2:D$38^A16244)</f>
        <v>0.9988887193</v>
      </c>
    </row>
    <row r="16245">
      <c r="A16245" s="6">
        <v>16243.0</v>
      </c>
      <c r="B16245" s="17">
        <f t="array" ref="B16245">SUM(1-'Sparkling Model'!D$2:D$38^A16245)</f>
        <v>36.99888884</v>
      </c>
      <c r="C16245" s="8">
        <f t="array" ref="C16245">PRODUCT(1-'Sparkling Model'!D$2:D$38^A16245)</f>
        <v>0.9988892669</v>
      </c>
    </row>
    <row r="16246">
      <c r="A16246" s="6">
        <v>16244.0</v>
      </c>
      <c r="B16246" s="17">
        <f t="array" ref="B16246">SUM(1-'Sparkling Model'!D$2:D$38^A16246)</f>
        <v>36.99888939</v>
      </c>
      <c r="C16246" s="8">
        <f t="array" ref="C16246">PRODUCT(1-'Sparkling Model'!D$2:D$38^A16246)</f>
        <v>0.9988898141</v>
      </c>
    </row>
    <row r="16247">
      <c r="A16247" s="6">
        <v>16245.0</v>
      </c>
      <c r="B16247" s="17">
        <f t="array" ref="B16247">SUM(1-'Sparkling Model'!D$2:D$38^A16247)</f>
        <v>36.99888994</v>
      </c>
      <c r="C16247" s="8">
        <f t="array" ref="C16247">PRODUCT(1-'Sparkling Model'!D$2:D$38^A16247)</f>
        <v>0.9988903611</v>
      </c>
    </row>
    <row r="16248">
      <c r="A16248" s="6">
        <v>16246.0</v>
      </c>
      <c r="B16248" s="17">
        <f t="array" ref="B16248">SUM(1-'Sparkling Model'!D$2:D$38^A16248)</f>
        <v>36.99889049</v>
      </c>
      <c r="C16248" s="8">
        <f t="array" ref="C16248">PRODUCT(1-'Sparkling Model'!D$2:D$38^A16248)</f>
        <v>0.9988909079</v>
      </c>
    </row>
    <row r="16249">
      <c r="A16249" s="6">
        <v>16247.0</v>
      </c>
      <c r="B16249" s="17">
        <f t="array" ref="B16249">SUM(1-'Sparkling Model'!D$2:D$38^A16249)</f>
        <v>36.99889103</v>
      </c>
      <c r="C16249" s="8">
        <f t="array" ref="C16249">PRODUCT(1-'Sparkling Model'!D$2:D$38^A16249)</f>
        <v>0.9988914543</v>
      </c>
    </row>
    <row r="16250">
      <c r="A16250" s="6">
        <v>16248.0</v>
      </c>
      <c r="B16250" s="17">
        <f t="array" ref="B16250">SUM(1-'Sparkling Model'!D$2:D$38^A16250)</f>
        <v>36.99889158</v>
      </c>
      <c r="C16250" s="8">
        <f t="array" ref="C16250">PRODUCT(1-'Sparkling Model'!D$2:D$38^A16250)</f>
        <v>0.9988920005</v>
      </c>
    </row>
    <row r="16251">
      <c r="A16251" s="6">
        <v>16249.0</v>
      </c>
      <c r="B16251" s="17">
        <f t="array" ref="B16251">SUM(1-'Sparkling Model'!D$2:D$38^A16251)</f>
        <v>36.99889213</v>
      </c>
      <c r="C16251" s="8">
        <f t="array" ref="C16251">PRODUCT(1-'Sparkling Model'!D$2:D$38^A16251)</f>
        <v>0.9988925464</v>
      </c>
    </row>
    <row r="16252">
      <c r="A16252" s="6">
        <v>16250.0</v>
      </c>
      <c r="B16252" s="17">
        <f t="array" ref="B16252">SUM(1-'Sparkling Model'!D$2:D$38^A16252)</f>
        <v>36.99889267</v>
      </c>
      <c r="C16252" s="8">
        <f t="array" ref="C16252">PRODUCT(1-'Sparkling Model'!D$2:D$38^A16252)</f>
        <v>0.9988930921</v>
      </c>
    </row>
    <row r="16253">
      <c r="A16253" s="6">
        <v>16251.0</v>
      </c>
      <c r="B16253" s="17">
        <f t="array" ref="B16253">SUM(1-'Sparkling Model'!D$2:D$38^A16253)</f>
        <v>36.99889322</v>
      </c>
      <c r="C16253" s="8">
        <f t="array" ref="C16253">PRODUCT(1-'Sparkling Model'!D$2:D$38^A16253)</f>
        <v>0.9988936374</v>
      </c>
    </row>
    <row r="16254">
      <c r="A16254" s="6">
        <v>16252.0</v>
      </c>
      <c r="B16254" s="17">
        <f t="array" ref="B16254">SUM(1-'Sparkling Model'!D$2:D$38^A16254)</f>
        <v>36.99889376</v>
      </c>
      <c r="C16254" s="8">
        <f t="array" ref="C16254">PRODUCT(1-'Sparkling Model'!D$2:D$38^A16254)</f>
        <v>0.9988941826</v>
      </c>
    </row>
    <row r="16255">
      <c r="A16255" s="6">
        <v>16253.0</v>
      </c>
      <c r="B16255" s="17">
        <f t="array" ref="B16255">SUM(1-'Sparkling Model'!D$2:D$38^A16255)</f>
        <v>36.99889431</v>
      </c>
      <c r="C16255" s="8">
        <f t="array" ref="C16255">PRODUCT(1-'Sparkling Model'!D$2:D$38^A16255)</f>
        <v>0.9988947274</v>
      </c>
    </row>
    <row r="16256">
      <c r="A16256" s="6">
        <v>16254.0</v>
      </c>
      <c r="B16256" s="17">
        <f t="array" ref="B16256">SUM(1-'Sparkling Model'!D$2:D$38^A16256)</f>
        <v>36.99889485</v>
      </c>
      <c r="C16256" s="8">
        <f t="array" ref="C16256">PRODUCT(1-'Sparkling Model'!D$2:D$38^A16256)</f>
        <v>0.998895272</v>
      </c>
    </row>
    <row r="16257">
      <c r="A16257" s="6">
        <v>16255.0</v>
      </c>
      <c r="B16257" s="17">
        <f t="array" ref="B16257">SUM(1-'Sparkling Model'!D$2:D$38^A16257)</f>
        <v>36.9988954</v>
      </c>
      <c r="C16257" s="8">
        <f t="array" ref="C16257">PRODUCT(1-'Sparkling Model'!D$2:D$38^A16257)</f>
        <v>0.9988958163</v>
      </c>
    </row>
    <row r="16258">
      <c r="A16258" s="6">
        <v>16256.0</v>
      </c>
      <c r="B16258" s="17">
        <f t="array" ref="B16258">SUM(1-'Sparkling Model'!D$2:D$38^A16258)</f>
        <v>36.99889594</v>
      </c>
      <c r="C16258" s="8">
        <f t="array" ref="C16258">PRODUCT(1-'Sparkling Model'!D$2:D$38^A16258)</f>
        <v>0.9988963603</v>
      </c>
    </row>
    <row r="16259">
      <c r="A16259" s="6">
        <v>16257.0</v>
      </c>
      <c r="B16259" s="17">
        <f t="array" ref="B16259">SUM(1-'Sparkling Model'!D$2:D$38^A16259)</f>
        <v>36.99889649</v>
      </c>
      <c r="C16259" s="8">
        <f t="array" ref="C16259">PRODUCT(1-'Sparkling Model'!D$2:D$38^A16259)</f>
        <v>0.9988969041</v>
      </c>
    </row>
    <row r="16260">
      <c r="A16260" s="6">
        <v>16258.0</v>
      </c>
      <c r="B16260" s="17">
        <f t="array" ref="B16260">SUM(1-'Sparkling Model'!D$2:D$38^A16260)</f>
        <v>36.99889703</v>
      </c>
      <c r="C16260" s="8">
        <f t="array" ref="C16260">PRODUCT(1-'Sparkling Model'!D$2:D$38^A16260)</f>
        <v>0.9988974476</v>
      </c>
    </row>
    <row r="16261">
      <c r="A16261" s="6">
        <v>16259.0</v>
      </c>
      <c r="B16261" s="17">
        <f t="array" ref="B16261">SUM(1-'Sparkling Model'!D$2:D$38^A16261)</f>
        <v>36.99889757</v>
      </c>
      <c r="C16261" s="8">
        <f t="array" ref="C16261">PRODUCT(1-'Sparkling Model'!D$2:D$38^A16261)</f>
        <v>0.9988979908</v>
      </c>
    </row>
    <row r="16262">
      <c r="A16262" s="6">
        <v>16260.0</v>
      </c>
      <c r="B16262" s="17">
        <f t="array" ref="B16262">SUM(1-'Sparkling Model'!D$2:D$38^A16262)</f>
        <v>36.99889812</v>
      </c>
      <c r="C16262" s="8">
        <f t="array" ref="C16262">PRODUCT(1-'Sparkling Model'!D$2:D$38^A16262)</f>
        <v>0.9988985338</v>
      </c>
    </row>
    <row r="16263">
      <c r="A16263" s="6">
        <v>16261.0</v>
      </c>
      <c r="B16263" s="17">
        <f t="array" ref="B16263">SUM(1-'Sparkling Model'!D$2:D$38^A16263)</f>
        <v>36.99889866</v>
      </c>
      <c r="C16263" s="8">
        <f t="array" ref="C16263">PRODUCT(1-'Sparkling Model'!D$2:D$38^A16263)</f>
        <v>0.9988990764</v>
      </c>
    </row>
    <row r="16264">
      <c r="A16264" s="6">
        <v>16262.0</v>
      </c>
      <c r="B16264" s="17">
        <f t="array" ref="B16264">SUM(1-'Sparkling Model'!D$2:D$38^A16264)</f>
        <v>36.9988992</v>
      </c>
      <c r="C16264" s="8">
        <f t="array" ref="C16264">PRODUCT(1-'Sparkling Model'!D$2:D$38^A16264)</f>
        <v>0.9988996189</v>
      </c>
    </row>
    <row r="16265">
      <c r="A16265" s="6">
        <v>16263.0</v>
      </c>
      <c r="B16265" s="17">
        <f t="array" ref="B16265">SUM(1-'Sparkling Model'!D$2:D$38^A16265)</f>
        <v>36.99889975</v>
      </c>
      <c r="C16265" s="8">
        <f t="array" ref="C16265">PRODUCT(1-'Sparkling Model'!D$2:D$38^A16265)</f>
        <v>0.998900161</v>
      </c>
    </row>
    <row r="16266">
      <c r="A16266" s="6">
        <v>16264.0</v>
      </c>
      <c r="B16266" s="17">
        <f t="array" ref="B16266">SUM(1-'Sparkling Model'!D$2:D$38^A16266)</f>
        <v>36.99890029</v>
      </c>
      <c r="C16266" s="8">
        <f t="array" ref="C16266">PRODUCT(1-'Sparkling Model'!D$2:D$38^A16266)</f>
        <v>0.9989007029</v>
      </c>
    </row>
    <row r="16267">
      <c r="A16267" s="6">
        <v>16265.0</v>
      </c>
      <c r="B16267" s="17">
        <f t="array" ref="B16267">SUM(1-'Sparkling Model'!D$2:D$38^A16267)</f>
        <v>36.99890083</v>
      </c>
      <c r="C16267" s="8">
        <f t="array" ref="C16267">PRODUCT(1-'Sparkling Model'!D$2:D$38^A16267)</f>
        <v>0.9989012445</v>
      </c>
    </row>
    <row r="16268">
      <c r="A16268" s="6">
        <v>16266.0</v>
      </c>
      <c r="B16268" s="17">
        <f t="array" ref="B16268">SUM(1-'Sparkling Model'!D$2:D$38^A16268)</f>
        <v>36.99890137</v>
      </c>
      <c r="C16268" s="8">
        <f t="array" ref="C16268">PRODUCT(1-'Sparkling Model'!D$2:D$38^A16268)</f>
        <v>0.9989017859</v>
      </c>
    </row>
    <row r="16269">
      <c r="A16269" s="6">
        <v>16267.0</v>
      </c>
      <c r="B16269" s="17">
        <f t="array" ref="B16269">SUM(1-'Sparkling Model'!D$2:D$38^A16269)</f>
        <v>36.99890191</v>
      </c>
      <c r="C16269" s="8">
        <f t="array" ref="C16269">PRODUCT(1-'Sparkling Model'!D$2:D$38^A16269)</f>
        <v>0.998902327</v>
      </c>
    </row>
    <row r="16270">
      <c r="A16270" s="6">
        <v>16268.0</v>
      </c>
      <c r="B16270" s="17">
        <f t="array" ref="B16270">SUM(1-'Sparkling Model'!D$2:D$38^A16270)</f>
        <v>36.99890245</v>
      </c>
      <c r="C16270" s="8">
        <f t="array" ref="C16270">PRODUCT(1-'Sparkling Model'!D$2:D$38^A16270)</f>
        <v>0.9989028678</v>
      </c>
    </row>
    <row r="16271">
      <c r="A16271" s="6">
        <v>16269.0</v>
      </c>
      <c r="B16271" s="17">
        <f t="array" ref="B16271">SUM(1-'Sparkling Model'!D$2:D$38^A16271)</f>
        <v>36.998903</v>
      </c>
      <c r="C16271" s="8">
        <f t="array" ref="C16271">PRODUCT(1-'Sparkling Model'!D$2:D$38^A16271)</f>
        <v>0.9989034083</v>
      </c>
    </row>
    <row r="16272">
      <c r="A16272" s="6">
        <v>16270.0</v>
      </c>
      <c r="B16272" s="17">
        <f t="array" ref="B16272">SUM(1-'Sparkling Model'!D$2:D$38^A16272)</f>
        <v>36.99890354</v>
      </c>
      <c r="C16272" s="8">
        <f t="array" ref="C16272">PRODUCT(1-'Sparkling Model'!D$2:D$38^A16272)</f>
        <v>0.9989039486</v>
      </c>
    </row>
    <row r="16273">
      <c r="A16273" s="6">
        <v>16271.0</v>
      </c>
      <c r="B16273" s="17">
        <f t="array" ref="B16273">SUM(1-'Sparkling Model'!D$2:D$38^A16273)</f>
        <v>36.99890408</v>
      </c>
      <c r="C16273" s="8">
        <f t="array" ref="C16273">PRODUCT(1-'Sparkling Model'!D$2:D$38^A16273)</f>
        <v>0.9989044886</v>
      </c>
    </row>
    <row r="16274">
      <c r="A16274" s="6">
        <v>16272.0</v>
      </c>
      <c r="B16274" s="17">
        <f t="array" ref="B16274">SUM(1-'Sparkling Model'!D$2:D$38^A16274)</f>
        <v>36.99890462</v>
      </c>
      <c r="C16274" s="8">
        <f t="array" ref="C16274">PRODUCT(1-'Sparkling Model'!D$2:D$38^A16274)</f>
        <v>0.9989050284</v>
      </c>
    </row>
    <row r="16275">
      <c r="A16275" s="6">
        <v>16273.0</v>
      </c>
      <c r="B16275" s="17">
        <f t="array" ref="B16275">SUM(1-'Sparkling Model'!D$2:D$38^A16275)</f>
        <v>36.99890516</v>
      </c>
      <c r="C16275" s="8">
        <f t="array" ref="C16275">PRODUCT(1-'Sparkling Model'!D$2:D$38^A16275)</f>
        <v>0.9989055679</v>
      </c>
    </row>
    <row r="16276">
      <c r="A16276" s="6">
        <v>16274.0</v>
      </c>
      <c r="B16276" s="17">
        <f t="array" ref="B16276">SUM(1-'Sparkling Model'!D$2:D$38^A16276)</f>
        <v>36.9989057</v>
      </c>
      <c r="C16276" s="8">
        <f t="array" ref="C16276">PRODUCT(1-'Sparkling Model'!D$2:D$38^A16276)</f>
        <v>0.9989061071</v>
      </c>
    </row>
    <row r="16277">
      <c r="A16277" s="6">
        <v>16275.0</v>
      </c>
      <c r="B16277" s="17">
        <f t="array" ref="B16277">SUM(1-'Sparkling Model'!D$2:D$38^A16277)</f>
        <v>36.99890624</v>
      </c>
      <c r="C16277" s="8">
        <f t="array" ref="C16277">PRODUCT(1-'Sparkling Model'!D$2:D$38^A16277)</f>
        <v>0.998906646</v>
      </c>
    </row>
    <row r="16278">
      <c r="A16278" s="6">
        <v>16276.0</v>
      </c>
      <c r="B16278" s="17">
        <f t="array" ref="B16278">SUM(1-'Sparkling Model'!D$2:D$38^A16278)</f>
        <v>36.99890677</v>
      </c>
      <c r="C16278" s="8">
        <f t="array" ref="C16278">PRODUCT(1-'Sparkling Model'!D$2:D$38^A16278)</f>
        <v>0.9989071847</v>
      </c>
    </row>
    <row r="16279">
      <c r="A16279" s="6">
        <v>16277.0</v>
      </c>
      <c r="B16279" s="17">
        <f t="array" ref="B16279">SUM(1-'Sparkling Model'!D$2:D$38^A16279)</f>
        <v>36.99890731</v>
      </c>
      <c r="C16279" s="8">
        <f t="array" ref="C16279">PRODUCT(1-'Sparkling Model'!D$2:D$38^A16279)</f>
        <v>0.9989077231</v>
      </c>
    </row>
    <row r="16280">
      <c r="A16280" s="6">
        <v>16278.0</v>
      </c>
      <c r="B16280" s="17">
        <f t="array" ref="B16280">SUM(1-'Sparkling Model'!D$2:D$38^A16280)</f>
        <v>36.99890785</v>
      </c>
      <c r="C16280" s="8">
        <f t="array" ref="C16280">PRODUCT(1-'Sparkling Model'!D$2:D$38^A16280)</f>
        <v>0.9989082613</v>
      </c>
    </row>
    <row r="16281">
      <c r="A16281" s="6">
        <v>16279.0</v>
      </c>
      <c r="B16281" s="17">
        <f t="array" ref="B16281">SUM(1-'Sparkling Model'!D$2:D$38^A16281)</f>
        <v>36.99890839</v>
      </c>
      <c r="C16281" s="8">
        <f t="array" ref="C16281">PRODUCT(1-'Sparkling Model'!D$2:D$38^A16281)</f>
        <v>0.9989087992</v>
      </c>
    </row>
    <row r="16282">
      <c r="A16282" s="6">
        <v>16280.0</v>
      </c>
      <c r="B16282" s="17">
        <f t="array" ref="B16282">SUM(1-'Sparkling Model'!D$2:D$38^A16282)</f>
        <v>36.99890893</v>
      </c>
      <c r="C16282" s="8">
        <f t="array" ref="C16282">PRODUCT(1-'Sparkling Model'!D$2:D$38^A16282)</f>
        <v>0.9989093368</v>
      </c>
    </row>
    <row r="16283">
      <c r="A16283" s="6">
        <v>16281.0</v>
      </c>
      <c r="B16283" s="17">
        <f t="array" ref="B16283">SUM(1-'Sparkling Model'!D$2:D$38^A16283)</f>
        <v>36.99890947</v>
      </c>
      <c r="C16283" s="8">
        <f t="array" ref="C16283">PRODUCT(1-'Sparkling Model'!D$2:D$38^A16283)</f>
        <v>0.9989098742</v>
      </c>
    </row>
    <row r="16284">
      <c r="A16284" s="6">
        <v>16282.0</v>
      </c>
      <c r="B16284" s="17">
        <f t="array" ref="B16284">SUM(1-'Sparkling Model'!D$2:D$38^A16284)</f>
        <v>36.99891</v>
      </c>
      <c r="C16284" s="8">
        <f t="array" ref="C16284">PRODUCT(1-'Sparkling Model'!D$2:D$38^A16284)</f>
        <v>0.9989104112</v>
      </c>
    </row>
    <row r="16285">
      <c r="A16285" s="6">
        <v>16283.0</v>
      </c>
      <c r="B16285" s="17">
        <f t="array" ref="B16285">SUM(1-'Sparkling Model'!D$2:D$38^A16285)</f>
        <v>36.99891054</v>
      </c>
      <c r="C16285" s="8">
        <f t="array" ref="C16285">PRODUCT(1-'Sparkling Model'!D$2:D$38^A16285)</f>
        <v>0.9989109481</v>
      </c>
    </row>
    <row r="16286">
      <c r="A16286" s="6">
        <v>16284.0</v>
      </c>
      <c r="B16286" s="17">
        <f t="array" ref="B16286">SUM(1-'Sparkling Model'!D$2:D$38^A16286)</f>
        <v>36.99891108</v>
      </c>
      <c r="C16286" s="8">
        <f t="array" ref="C16286">PRODUCT(1-'Sparkling Model'!D$2:D$38^A16286)</f>
        <v>0.9989114846</v>
      </c>
    </row>
    <row r="16287">
      <c r="A16287" s="6">
        <v>16285.0</v>
      </c>
      <c r="B16287" s="17">
        <f t="array" ref="B16287">SUM(1-'Sparkling Model'!D$2:D$38^A16287)</f>
        <v>36.99891161</v>
      </c>
      <c r="C16287" s="8">
        <f t="array" ref="C16287">PRODUCT(1-'Sparkling Model'!D$2:D$38^A16287)</f>
        <v>0.9989120209</v>
      </c>
    </row>
    <row r="16288">
      <c r="A16288" s="6">
        <v>16286.0</v>
      </c>
      <c r="B16288" s="17">
        <f t="array" ref="B16288">SUM(1-'Sparkling Model'!D$2:D$38^A16288)</f>
        <v>36.99891215</v>
      </c>
      <c r="C16288" s="8">
        <f t="array" ref="C16288">PRODUCT(1-'Sparkling Model'!D$2:D$38^A16288)</f>
        <v>0.998912557</v>
      </c>
    </row>
    <row r="16289">
      <c r="A16289" s="6">
        <v>16287.0</v>
      </c>
      <c r="B16289" s="17">
        <f t="array" ref="B16289">SUM(1-'Sparkling Model'!D$2:D$38^A16289)</f>
        <v>36.99891269</v>
      </c>
      <c r="C16289" s="8">
        <f t="array" ref="C16289">PRODUCT(1-'Sparkling Model'!D$2:D$38^A16289)</f>
        <v>0.9989130927</v>
      </c>
    </row>
    <row r="16290">
      <c r="A16290" s="6">
        <v>16288.0</v>
      </c>
      <c r="B16290" s="17">
        <f t="array" ref="B16290">SUM(1-'Sparkling Model'!D$2:D$38^A16290)</f>
        <v>36.99891322</v>
      </c>
      <c r="C16290" s="8">
        <f t="array" ref="C16290">PRODUCT(1-'Sparkling Model'!D$2:D$38^A16290)</f>
        <v>0.9989136282</v>
      </c>
    </row>
    <row r="16291">
      <c r="A16291" s="6">
        <v>16289.0</v>
      </c>
      <c r="B16291" s="17">
        <f t="array" ref="B16291">SUM(1-'Sparkling Model'!D$2:D$38^A16291)</f>
        <v>36.99891376</v>
      </c>
      <c r="C16291" s="8">
        <f t="array" ref="C16291">PRODUCT(1-'Sparkling Model'!D$2:D$38^A16291)</f>
        <v>0.9989141635</v>
      </c>
    </row>
    <row r="16292">
      <c r="A16292" s="6">
        <v>16290.0</v>
      </c>
      <c r="B16292" s="17">
        <f t="array" ref="B16292">SUM(1-'Sparkling Model'!D$2:D$38^A16292)</f>
        <v>36.99891429</v>
      </c>
      <c r="C16292" s="8">
        <f t="array" ref="C16292">PRODUCT(1-'Sparkling Model'!D$2:D$38^A16292)</f>
        <v>0.9989146984</v>
      </c>
    </row>
    <row r="16293">
      <c r="A16293" s="6">
        <v>16291.0</v>
      </c>
      <c r="B16293" s="17">
        <f t="array" ref="B16293">SUM(1-'Sparkling Model'!D$2:D$38^A16293)</f>
        <v>36.99891483</v>
      </c>
      <c r="C16293" s="8">
        <f t="array" ref="C16293">PRODUCT(1-'Sparkling Model'!D$2:D$38^A16293)</f>
        <v>0.9989152331</v>
      </c>
    </row>
    <row r="16294">
      <c r="A16294" s="6">
        <v>16292.0</v>
      </c>
      <c r="B16294" s="17">
        <f t="array" ref="B16294">SUM(1-'Sparkling Model'!D$2:D$38^A16294)</f>
        <v>36.99891536</v>
      </c>
      <c r="C16294" s="8">
        <f t="array" ref="C16294">PRODUCT(1-'Sparkling Model'!D$2:D$38^A16294)</f>
        <v>0.9989157676</v>
      </c>
    </row>
    <row r="16295">
      <c r="A16295" s="6">
        <v>16293.0</v>
      </c>
      <c r="B16295" s="17">
        <f t="array" ref="B16295">SUM(1-'Sparkling Model'!D$2:D$38^A16295)</f>
        <v>36.9989159</v>
      </c>
      <c r="C16295" s="8">
        <f t="array" ref="C16295">PRODUCT(1-'Sparkling Model'!D$2:D$38^A16295)</f>
        <v>0.9989163018</v>
      </c>
    </row>
    <row r="16296">
      <c r="A16296" s="6">
        <v>16294.0</v>
      </c>
      <c r="B16296" s="17">
        <f t="array" ref="B16296">SUM(1-'Sparkling Model'!D$2:D$38^A16296)</f>
        <v>36.99891643</v>
      </c>
      <c r="C16296" s="8">
        <f t="array" ref="C16296">PRODUCT(1-'Sparkling Model'!D$2:D$38^A16296)</f>
        <v>0.9989168357</v>
      </c>
    </row>
    <row r="16297">
      <c r="A16297" s="6">
        <v>16295.0</v>
      </c>
      <c r="B16297" s="17">
        <f t="array" ref="B16297">SUM(1-'Sparkling Model'!D$2:D$38^A16297)</f>
        <v>36.99891697</v>
      </c>
      <c r="C16297" s="8">
        <f t="array" ref="C16297">PRODUCT(1-'Sparkling Model'!D$2:D$38^A16297)</f>
        <v>0.9989173693</v>
      </c>
    </row>
    <row r="16298">
      <c r="A16298" s="6">
        <v>16296.0</v>
      </c>
      <c r="B16298" s="17">
        <f t="array" ref="B16298">SUM(1-'Sparkling Model'!D$2:D$38^A16298)</f>
        <v>36.9989175</v>
      </c>
      <c r="C16298" s="8">
        <f t="array" ref="C16298">PRODUCT(1-'Sparkling Model'!D$2:D$38^A16298)</f>
        <v>0.9989179027</v>
      </c>
    </row>
    <row r="16299">
      <c r="A16299" s="6">
        <v>16297.0</v>
      </c>
      <c r="B16299" s="17">
        <f t="array" ref="B16299">SUM(1-'Sparkling Model'!D$2:D$38^A16299)</f>
        <v>36.99891803</v>
      </c>
      <c r="C16299" s="8">
        <f t="array" ref="C16299">PRODUCT(1-'Sparkling Model'!D$2:D$38^A16299)</f>
        <v>0.9989184358</v>
      </c>
    </row>
    <row r="16300">
      <c r="A16300" s="6">
        <v>16298.0</v>
      </c>
      <c r="B16300" s="17">
        <f t="array" ref="B16300">SUM(1-'Sparkling Model'!D$2:D$38^A16300)</f>
        <v>36.99891857</v>
      </c>
      <c r="C16300" s="8">
        <f t="array" ref="C16300">PRODUCT(1-'Sparkling Model'!D$2:D$38^A16300)</f>
        <v>0.9989189687</v>
      </c>
    </row>
    <row r="16301">
      <c r="A16301" s="6">
        <v>16299.0</v>
      </c>
      <c r="B16301" s="17">
        <f t="array" ref="B16301">SUM(1-'Sparkling Model'!D$2:D$38^A16301)</f>
        <v>36.9989191</v>
      </c>
      <c r="C16301" s="8">
        <f t="array" ref="C16301">PRODUCT(1-'Sparkling Model'!D$2:D$38^A16301)</f>
        <v>0.9989195013</v>
      </c>
    </row>
    <row r="16302">
      <c r="A16302" s="6">
        <v>16300.0</v>
      </c>
      <c r="B16302" s="17">
        <f t="array" ref="B16302">SUM(1-'Sparkling Model'!D$2:D$38^A16302)</f>
        <v>36.99891963</v>
      </c>
      <c r="C16302" s="8">
        <f t="array" ref="C16302">PRODUCT(1-'Sparkling Model'!D$2:D$38^A16302)</f>
        <v>0.9989200336</v>
      </c>
    </row>
    <row r="16303">
      <c r="A16303" s="6">
        <v>16301.0</v>
      </c>
      <c r="B16303" s="17">
        <f t="array" ref="B16303">SUM(1-'Sparkling Model'!D$2:D$38^A16303)</f>
        <v>36.99892017</v>
      </c>
      <c r="C16303" s="8">
        <f t="array" ref="C16303">PRODUCT(1-'Sparkling Model'!D$2:D$38^A16303)</f>
        <v>0.9989205657</v>
      </c>
    </row>
    <row r="16304">
      <c r="A16304" s="6">
        <v>16302.0</v>
      </c>
      <c r="B16304" s="17">
        <f t="array" ref="B16304">SUM(1-'Sparkling Model'!D$2:D$38^A16304)</f>
        <v>36.9989207</v>
      </c>
      <c r="C16304" s="8">
        <f t="array" ref="C16304">PRODUCT(1-'Sparkling Model'!D$2:D$38^A16304)</f>
        <v>0.9989210975</v>
      </c>
    </row>
    <row r="16305">
      <c r="A16305" s="6">
        <v>16303.0</v>
      </c>
      <c r="B16305" s="17">
        <f t="array" ref="B16305">SUM(1-'Sparkling Model'!D$2:D$38^A16305)</f>
        <v>36.99892123</v>
      </c>
      <c r="C16305" s="8">
        <f t="array" ref="C16305">PRODUCT(1-'Sparkling Model'!D$2:D$38^A16305)</f>
        <v>0.9989216291</v>
      </c>
    </row>
    <row r="16306">
      <c r="A16306" s="6">
        <v>16304.0</v>
      </c>
      <c r="B16306" s="17">
        <f t="array" ref="B16306">SUM(1-'Sparkling Model'!D$2:D$38^A16306)</f>
        <v>36.99892176</v>
      </c>
      <c r="C16306" s="8">
        <f t="array" ref="C16306">PRODUCT(1-'Sparkling Model'!D$2:D$38^A16306)</f>
        <v>0.9989221603</v>
      </c>
    </row>
    <row r="16307">
      <c r="A16307" s="6">
        <v>16305.0</v>
      </c>
      <c r="B16307" s="17">
        <f t="array" ref="B16307">SUM(1-'Sparkling Model'!D$2:D$38^A16307)</f>
        <v>36.99892229</v>
      </c>
      <c r="C16307" s="8">
        <f t="array" ref="C16307">PRODUCT(1-'Sparkling Model'!D$2:D$38^A16307)</f>
        <v>0.9989226914</v>
      </c>
    </row>
    <row r="16308">
      <c r="A16308" s="6">
        <v>16306.0</v>
      </c>
      <c r="B16308" s="17">
        <f t="array" ref="B16308">SUM(1-'Sparkling Model'!D$2:D$38^A16308)</f>
        <v>36.99892282</v>
      </c>
      <c r="C16308" s="8">
        <f t="array" ref="C16308">PRODUCT(1-'Sparkling Model'!D$2:D$38^A16308)</f>
        <v>0.9989232221</v>
      </c>
    </row>
    <row r="16309">
      <c r="A16309" s="6">
        <v>16307.0</v>
      </c>
      <c r="B16309" s="17">
        <f t="array" ref="B16309">SUM(1-'Sparkling Model'!D$2:D$38^A16309)</f>
        <v>36.99892335</v>
      </c>
      <c r="C16309" s="8">
        <f t="array" ref="C16309">PRODUCT(1-'Sparkling Model'!D$2:D$38^A16309)</f>
        <v>0.9989237526</v>
      </c>
    </row>
    <row r="16310">
      <c r="A16310" s="6">
        <v>16308.0</v>
      </c>
      <c r="B16310" s="17">
        <f t="array" ref="B16310">SUM(1-'Sparkling Model'!D$2:D$38^A16310)</f>
        <v>36.99892389</v>
      </c>
      <c r="C16310" s="8">
        <f t="array" ref="C16310">PRODUCT(1-'Sparkling Model'!D$2:D$38^A16310)</f>
        <v>0.9989242829</v>
      </c>
    </row>
    <row r="16311">
      <c r="A16311" s="6">
        <v>16309.0</v>
      </c>
      <c r="B16311" s="17">
        <f t="array" ref="B16311">SUM(1-'Sparkling Model'!D$2:D$38^A16311)</f>
        <v>36.99892442</v>
      </c>
      <c r="C16311" s="8">
        <f t="array" ref="C16311">PRODUCT(1-'Sparkling Model'!D$2:D$38^A16311)</f>
        <v>0.9989248128</v>
      </c>
    </row>
    <row r="16312">
      <c r="A16312" s="6">
        <v>16310.0</v>
      </c>
      <c r="B16312" s="17">
        <f t="array" ref="B16312">SUM(1-'Sparkling Model'!D$2:D$38^A16312)</f>
        <v>36.99892495</v>
      </c>
      <c r="C16312" s="8">
        <f t="array" ref="C16312">PRODUCT(1-'Sparkling Model'!D$2:D$38^A16312)</f>
        <v>0.9989253426</v>
      </c>
    </row>
    <row r="16313">
      <c r="A16313" s="6">
        <v>16311.0</v>
      </c>
      <c r="B16313" s="17">
        <f t="array" ref="B16313">SUM(1-'Sparkling Model'!D$2:D$38^A16313)</f>
        <v>36.99892548</v>
      </c>
      <c r="C16313" s="8">
        <f t="array" ref="C16313">PRODUCT(1-'Sparkling Model'!D$2:D$38^A16313)</f>
        <v>0.998925872</v>
      </c>
    </row>
    <row r="16314">
      <c r="A16314" s="6">
        <v>16312.0</v>
      </c>
      <c r="B16314" s="17">
        <f t="array" ref="B16314">SUM(1-'Sparkling Model'!D$2:D$38^A16314)</f>
        <v>36.99892601</v>
      </c>
      <c r="C16314" s="8">
        <f t="array" ref="C16314">PRODUCT(1-'Sparkling Model'!D$2:D$38^A16314)</f>
        <v>0.9989264012</v>
      </c>
    </row>
    <row r="16315">
      <c r="A16315" s="6">
        <v>16313.0</v>
      </c>
      <c r="B16315" s="17">
        <f t="array" ref="B16315">SUM(1-'Sparkling Model'!D$2:D$38^A16315)</f>
        <v>36.99892653</v>
      </c>
      <c r="C16315" s="8">
        <f t="array" ref="C16315">PRODUCT(1-'Sparkling Model'!D$2:D$38^A16315)</f>
        <v>0.9989269301</v>
      </c>
    </row>
    <row r="16316">
      <c r="A16316" s="6">
        <v>16314.0</v>
      </c>
      <c r="B16316" s="17">
        <f t="array" ref="B16316">SUM(1-'Sparkling Model'!D$2:D$38^A16316)</f>
        <v>36.99892706</v>
      </c>
      <c r="C16316" s="8">
        <f t="array" ref="C16316">PRODUCT(1-'Sparkling Model'!D$2:D$38^A16316)</f>
        <v>0.9989274588</v>
      </c>
    </row>
    <row r="16317">
      <c r="A16317" s="6">
        <v>16315.0</v>
      </c>
      <c r="B16317" s="17">
        <f t="array" ref="B16317">SUM(1-'Sparkling Model'!D$2:D$38^A16317)</f>
        <v>36.99892759</v>
      </c>
      <c r="C16317" s="8">
        <f t="array" ref="C16317">PRODUCT(1-'Sparkling Model'!D$2:D$38^A16317)</f>
        <v>0.9989279872</v>
      </c>
    </row>
    <row r="16318">
      <c r="A16318" s="6">
        <v>16316.0</v>
      </c>
      <c r="B16318" s="17">
        <f t="array" ref="B16318">SUM(1-'Sparkling Model'!D$2:D$38^A16318)</f>
        <v>36.99892812</v>
      </c>
      <c r="C16318" s="8">
        <f t="array" ref="C16318">PRODUCT(1-'Sparkling Model'!D$2:D$38^A16318)</f>
        <v>0.9989285153</v>
      </c>
    </row>
    <row r="16319">
      <c r="A16319" s="6">
        <v>16317.0</v>
      </c>
      <c r="B16319" s="17">
        <f t="array" ref="B16319">SUM(1-'Sparkling Model'!D$2:D$38^A16319)</f>
        <v>36.99892865</v>
      </c>
      <c r="C16319" s="8">
        <f t="array" ref="C16319">PRODUCT(1-'Sparkling Model'!D$2:D$38^A16319)</f>
        <v>0.9989290432</v>
      </c>
    </row>
    <row r="16320">
      <c r="A16320" s="6">
        <v>16318.0</v>
      </c>
      <c r="B16320" s="17">
        <f t="array" ref="B16320">SUM(1-'Sparkling Model'!D$2:D$38^A16320)</f>
        <v>36.99892918</v>
      </c>
      <c r="C16320" s="8">
        <f t="array" ref="C16320">PRODUCT(1-'Sparkling Model'!D$2:D$38^A16320)</f>
        <v>0.9989295708</v>
      </c>
    </row>
    <row r="16321">
      <c r="A16321" s="6">
        <v>16319.0</v>
      </c>
      <c r="B16321" s="17">
        <f t="array" ref="B16321">SUM(1-'Sparkling Model'!D$2:D$38^A16321)</f>
        <v>36.99892971</v>
      </c>
      <c r="C16321" s="8">
        <f t="array" ref="C16321">PRODUCT(1-'Sparkling Model'!D$2:D$38^A16321)</f>
        <v>0.9989300982</v>
      </c>
    </row>
    <row r="16322">
      <c r="A16322" s="6">
        <v>16320.0</v>
      </c>
      <c r="B16322" s="17">
        <f t="array" ref="B16322">SUM(1-'Sparkling Model'!D$2:D$38^A16322)</f>
        <v>36.99893023</v>
      </c>
      <c r="C16322" s="8">
        <f t="array" ref="C16322">PRODUCT(1-'Sparkling Model'!D$2:D$38^A16322)</f>
        <v>0.9989306253</v>
      </c>
    </row>
    <row r="16323">
      <c r="A16323" s="6">
        <v>16321.0</v>
      </c>
      <c r="B16323" s="17">
        <f t="array" ref="B16323">SUM(1-'Sparkling Model'!D$2:D$38^A16323)</f>
        <v>36.99893076</v>
      </c>
      <c r="C16323" s="8">
        <f t="array" ref="C16323">PRODUCT(1-'Sparkling Model'!D$2:D$38^A16323)</f>
        <v>0.9989311521</v>
      </c>
    </row>
    <row r="16324">
      <c r="A16324" s="6">
        <v>16322.0</v>
      </c>
      <c r="B16324" s="17">
        <f t="array" ref="B16324">SUM(1-'Sparkling Model'!D$2:D$38^A16324)</f>
        <v>36.99893129</v>
      </c>
      <c r="C16324" s="8">
        <f t="array" ref="C16324">PRODUCT(1-'Sparkling Model'!D$2:D$38^A16324)</f>
        <v>0.9989316787</v>
      </c>
    </row>
    <row r="16325">
      <c r="A16325" s="6">
        <v>16323.0</v>
      </c>
      <c r="B16325" s="17">
        <f t="array" ref="B16325">SUM(1-'Sparkling Model'!D$2:D$38^A16325)</f>
        <v>36.99893181</v>
      </c>
      <c r="C16325" s="8">
        <f t="array" ref="C16325">PRODUCT(1-'Sparkling Model'!D$2:D$38^A16325)</f>
        <v>0.9989322051</v>
      </c>
    </row>
    <row r="16326">
      <c r="A16326" s="6">
        <v>16324.0</v>
      </c>
      <c r="B16326" s="17">
        <f t="array" ref="B16326">SUM(1-'Sparkling Model'!D$2:D$38^A16326)</f>
        <v>36.99893234</v>
      </c>
      <c r="C16326" s="8">
        <f t="array" ref="C16326">PRODUCT(1-'Sparkling Model'!D$2:D$38^A16326)</f>
        <v>0.9989327311</v>
      </c>
    </row>
    <row r="16327">
      <c r="A16327" s="6">
        <v>16325.0</v>
      </c>
      <c r="B16327" s="17">
        <f t="array" ref="B16327">SUM(1-'Sparkling Model'!D$2:D$38^A16327)</f>
        <v>36.99893287</v>
      </c>
      <c r="C16327" s="8">
        <f t="array" ref="C16327">PRODUCT(1-'Sparkling Model'!D$2:D$38^A16327)</f>
        <v>0.9989332569</v>
      </c>
    </row>
    <row r="16328">
      <c r="A16328" s="6">
        <v>16326.0</v>
      </c>
      <c r="B16328" s="17">
        <f t="array" ref="B16328">SUM(1-'Sparkling Model'!D$2:D$38^A16328)</f>
        <v>36.99893339</v>
      </c>
      <c r="C16328" s="8">
        <f t="array" ref="C16328">PRODUCT(1-'Sparkling Model'!D$2:D$38^A16328)</f>
        <v>0.9989337825</v>
      </c>
    </row>
    <row r="16329">
      <c r="A16329" s="6">
        <v>16327.0</v>
      </c>
      <c r="B16329" s="17">
        <f t="array" ref="B16329">SUM(1-'Sparkling Model'!D$2:D$38^A16329)</f>
        <v>36.99893392</v>
      </c>
      <c r="C16329" s="8">
        <f t="array" ref="C16329">PRODUCT(1-'Sparkling Model'!D$2:D$38^A16329)</f>
        <v>0.9989343077</v>
      </c>
    </row>
    <row r="16330">
      <c r="A16330" s="6">
        <v>16328.0</v>
      </c>
      <c r="B16330" s="17">
        <f t="array" ref="B16330">SUM(1-'Sparkling Model'!D$2:D$38^A16330)</f>
        <v>36.99893444</v>
      </c>
      <c r="C16330" s="8">
        <f t="array" ref="C16330">PRODUCT(1-'Sparkling Model'!D$2:D$38^A16330)</f>
        <v>0.9989348328</v>
      </c>
    </row>
    <row r="16331">
      <c r="A16331" s="6">
        <v>16329.0</v>
      </c>
      <c r="B16331" s="17">
        <f t="array" ref="B16331">SUM(1-'Sparkling Model'!D$2:D$38^A16331)</f>
        <v>36.99893497</v>
      </c>
      <c r="C16331" s="8">
        <f t="array" ref="C16331">PRODUCT(1-'Sparkling Model'!D$2:D$38^A16331)</f>
        <v>0.9989353575</v>
      </c>
    </row>
    <row r="16332">
      <c r="A16332" s="6">
        <v>16330.0</v>
      </c>
      <c r="B16332" s="17">
        <f t="array" ref="B16332">SUM(1-'Sparkling Model'!D$2:D$38^A16332)</f>
        <v>36.99893549</v>
      </c>
      <c r="C16332" s="8">
        <f t="array" ref="C16332">PRODUCT(1-'Sparkling Model'!D$2:D$38^A16332)</f>
        <v>0.998935882</v>
      </c>
    </row>
    <row r="16333">
      <c r="A16333" s="6">
        <v>16331.0</v>
      </c>
      <c r="B16333" s="17">
        <f t="array" ref="B16333">SUM(1-'Sparkling Model'!D$2:D$38^A16333)</f>
        <v>36.99893602</v>
      </c>
      <c r="C16333" s="8">
        <f t="array" ref="C16333">PRODUCT(1-'Sparkling Model'!D$2:D$38^A16333)</f>
        <v>0.9989364063</v>
      </c>
    </row>
    <row r="16334">
      <c r="A16334" s="6">
        <v>16332.0</v>
      </c>
      <c r="B16334" s="17">
        <f t="array" ref="B16334">SUM(1-'Sparkling Model'!D$2:D$38^A16334)</f>
        <v>36.99893654</v>
      </c>
      <c r="C16334" s="8">
        <f t="array" ref="C16334">PRODUCT(1-'Sparkling Model'!D$2:D$38^A16334)</f>
        <v>0.9989369303</v>
      </c>
    </row>
    <row r="16335">
      <c r="A16335" s="6">
        <v>16333.0</v>
      </c>
      <c r="B16335" s="17">
        <f t="array" ref="B16335">SUM(1-'Sparkling Model'!D$2:D$38^A16335)</f>
        <v>36.99893707</v>
      </c>
      <c r="C16335" s="8">
        <f t="array" ref="C16335">PRODUCT(1-'Sparkling Model'!D$2:D$38^A16335)</f>
        <v>0.998937454</v>
      </c>
    </row>
    <row r="16336">
      <c r="A16336" s="6">
        <v>16334.0</v>
      </c>
      <c r="B16336" s="17">
        <f t="array" ref="B16336">SUM(1-'Sparkling Model'!D$2:D$38^A16336)</f>
        <v>36.99893759</v>
      </c>
      <c r="C16336" s="8">
        <f t="array" ref="C16336">PRODUCT(1-'Sparkling Model'!D$2:D$38^A16336)</f>
        <v>0.9989379775</v>
      </c>
    </row>
    <row r="16337">
      <c r="A16337" s="6">
        <v>16335.0</v>
      </c>
      <c r="B16337" s="17">
        <f t="array" ref="B16337">SUM(1-'Sparkling Model'!D$2:D$38^A16337)</f>
        <v>36.99893811</v>
      </c>
      <c r="C16337" s="8">
        <f t="array" ref="C16337">PRODUCT(1-'Sparkling Model'!D$2:D$38^A16337)</f>
        <v>0.9989385007</v>
      </c>
    </row>
    <row r="16338">
      <c r="A16338" s="6">
        <v>16336.0</v>
      </c>
      <c r="B16338" s="17">
        <f t="array" ref="B16338">SUM(1-'Sparkling Model'!D$2:D$38^A16338)</f>
        <v>36.99893864</v>
      </c>
      <c r="C16338" s="8">
        <f t="array" ref="C16338">PRODUCT(1-'Sparkling Model'!D$2:D$38^A16338)</f>
        <v>0.9989390236</v>
      </c>
    </row>
    <row r="16339">
      <c r="A16339" s="6">
        <v>16337.0</v>
      </c>
      <c r="B16339" s="17">
        <f t="array" ref="B16339">SUM(1-'Sparkling Model'!D$2:D$38^A16339)</f>
        <v>36.99893916</v>
      </c>
      <c r="C16339" s="8">
        <f t="array" ref="C16339">PRODUCT(1-'Sparkling Model'!D$2:D$38^A16339)</f>
        <v>0.9989395463</v>
      </c>
    </row>
    <row r="16340">
      <c r="A16340" s="6">
        <v>16338.0</v>
      </c>
      <c r="B16340" s="17">
        <f t="array" ref="B16340">SUM(1-'Sparkling Model'!D$2:D$38^A16340)</f>
        <v>36.99893968</v>
      </c>
      <c r="C16340" s="8">
        <f t="array" ref="C16340">PRODUCT(1-'Sparkling Model'!D$2:D$38^A16340)</f>
        <v>0.9989400688</v>
      </c>
    </row>
    <row r="16341">
      <c r="A16341" s="6">
        <v>16339.0</v>
      </c>
      <c r="B16341" s="17">
        <f t="array" ref="B16341">SUM(1-'Sparkling Model'!D$2:D$38^A16341)</f>
        <v>36.99894021</v>
      </c>
      <c r="C16341" s="8">
        <f t="array" ref="C16341">PRODUCT(1-'Sparkling Model'!D$2:D$38^A16341)</f>
        <v>0.9989405909</v>
      </c>
    </row>
    <row r="16342">
      <c r="A16342" s="6">
        <v>16340.0</v>
      </c>
      <c r="B16342" s="17">
        <f t="array" ref="B16342">SUM(1-'Sparkling Model'!D$2:D$38^A16342)</f>
        <v>36.99894073</v>
      </c>
      <c r="C16342" s="8">
        <f t="array" ref="C16342">PRODUCT(1-'Sparkling Model'!D$2:D$38^A16342)</f>
        <v>0.9989411129</v>
      </c>
    </row>
    <row r="16343">
      <c r="A16343" s="6">
        <v>16341.0</v>
      </c>
      <c r="B16343" s="17">
        <f t="array" ref="B16343">SUM(1-'Sparkling Model'!D$2:D$38^A16343)</f>
        <v>36.99894125</v>
      </c>
      <c r="C16343" s="8">
        <f t="array" ref="C16343">PRODUCT(1-'Sparkling Model'!D$2:D$38^A16343)</f>
        <v>0.9989416345</v>
      </c>
    </row>
    <row r="16344">
      <c r="A16344" s="6">
        <v>16342.0</v>
      </c>
      <c r="B16344" s="17">
        <f t="array" ref="B16344">SUM(1-'Sparkling Model'!D$2:D$38^A16344)</f>
        <v>36.99894177</v>
      </c>
      <c r="C16344" s="8">
        <f t="array" ref="C16344">PRODUCT(1-'Sparkling Model'!D$2:D$38^A16344)</f>
        <v>0.9989421559</v>
      </c>
    </row>
    <row r="16345">
      <c r="A16345" s="6">
        <v>16343.0</v>
      </c>
      <c r="B16345" s="17">
        <f t="array" ref="B16345">SUM(1-'Sparkling Model'!D$2:D$38^A16345)</f>
        <v>36.99894229</v>
      </c>
      <c r="C16345" s="8">
        <f t="array" ref="C16345">PRODUCT(1-'Sparkling Model'!D$2:D$38^A16345)</f>
        <v>0.9989426771</v>
      </c>
    </row>
    <row r="16346">
      <c r="A16346" s="6">
        <v>16344.0</v>
      </c>
      <c r="B16346" s="17">
        <f t="array" ref="B16346">SUM(1-'Sparkling Model'!D$2:D$38^A16346)</f>
        <v>36.99894281</v>
      </c>
      <c r="C16346" s="8">
        <f t="array" ref="C16346">PRODUCT(1-'Sparkling Model'!D$2:D$38^A16346)</f>
        <v>0.998943198</v>
      </c>
    </row>
    <row r="16347">
      <c r="A16347" s="6">
        <v>16345.0</v>
      </c>
      <c r="B16347" s="17">
        <f t="array" ref="B16347">SUM(1-'Sparkling Model'!D$2:D$38^A16347)</f>
        <v>36.99894334</v>
      </c>
      <c r="C16347" s="8">
        <f t="array" ref="C16347">PRODUCT(1-'Sparkling Model'!D$2:D$38^A16347)</f>
        <v>0.9989437186</v>
      </c>
    </row>
    <row r="16348">
      <c r="A16348" s="6">
        <v>16346.0</v>
      </c>
      <c r="B16348" s="17">
        <f t="array" ref="B16348">SUM(1-'Sparkling Model'!D$2:D$38^A16348)</f>
        <v>36.99894386</v>
      </c>
      <c r="C16348" s="8">
        <f t="array" ref="C16348">PRODUCT(1-'Sparkling Model'!D$2:D$38^A16348)</f>
        <v>0.998944239</v>
      </c>
    </row>
    <row r="16349">
      <c r="A16349" s="6">
        <v>16347.0</v>
      </c>
      <c r="B16349" s="17">
        <f t="array" ref="B16349">SUM(1-'Sparkling Model'!D$2:D$38^A16349)</f>
        <v>36.99894438</v>
      </c>
      <c r="C16349" s="8">
        <f t="array" ref="C16349">PRODUCT(1-'Sparkling Model'!D$2:D$38^A16349)</f>
        <v>0.9989447591</v>
      </c>
    </row>
    <row r="16350">
      <c r="A16350" s="6">
        <v>16348.0</v>
      </c>
      <c r="B16350" s="17">
        <f t="array" ref="B16350">SUM(1-'Sparkling Model'!D$2:D$38^A16350)</f>
        <v>36.9989449</v>
      </c>
      <c r="C16350" s="8">
        <f t="array" ref="C16350">PRODUCT(1-'Sparkling Model'!D$2:D$38^A16350)</f>
        <v>0.998945279</v>
      </c>
    </row>
    <row r="16351">
      <c r="A16351" s="6">
        <v>16349.0</v>
      </c>
      <c r="B16351" s="17">
        <f t="array" ref="B16351">SUM(1-'Sparkling Model'!D$2:D$38^A16351)</f>
        <v>36.99894542</v>
      </c>
      <c r="C16351" s="8">
        <f t="array" ref="C16351">PRODUCT(1-'Sparkling Model'!D$2:D$38^A16351)</f>
        <v>0.9989457986</v>
      </c>
    </row>
    <row r="16352">
      <c r="A16352" s="6">
        <v>16350.0</v>
      </c>
      <c r="B16352" s="17">
        <f t="array" ref="B16352">SUM(1-'Sparkling Model'!D$2:D$38^A16352)</f>
        <v>36.99894594</v>
      </c>
      <c r="C16352" s="8">
        <f t="array" ref="C16352">PRODUCT(1-'Sparkling Model'!D$2:D$38^A16352)</f>
        <v>0.9989463179</v>
      </c>
    </row>
    <row r="16353">
      <c r="A16353" s="6">
        <v>16351.0</v>
      </c>
      <c r="B16353" s="17">
        <f t="array" ref="B16353">SUM(1-'Sparkling Model'!D$2:D$38^A16353)</f>
        <v>36.99894646</v>
      </c>
      <c r="C16353" s="8">
        <f t="array" ref="C16353">PRODUCT(1-'Sparkling Model'!D$2:D$38^A16353)</f>
        <v>0.998946837</v>
      </c>
    </row>
    <row r="16354">
      <c r="A16354" s="6">
        <v>16352.0</v>
      </c>
      <c r="B16354" s="17">
        <f t="array" ref="B16354">SUM(1-'Sparkling Model'!D$2:D$38^A16354)</f>
        <v>36.99894698</v>
      </c>
      <c r="C16354" s="8">
        <f t="array" ref="C16354">PRODUCT(1-'Sparkling Model'!D$2:D$38^A16354)</f>
        <v>0.9989473558</v>
      </c>
    </row>
    <row r="16355">
      <c r="A16355" s="6">
        <v>16353.0</v>
      </c>
      <c r="B16355" s="17">
        <f t="array" ref="B16355">SUM(1-'Sparkling Model'!D$2:D$38^A16355)</f>
        <v>36.99894749</v>
      </c>
      <c r="C16355" s="8">
        <f t="array" ref="C16355">PRODUCT(1-'Sparkling Model'!D$2:D$38^A16355)</f>
        <v>0.9989478744</v>
      </c>
    </row>
    <row r="16356">
      <c r="A16356" s="6">
        <v>16354.0</v>
      </c>
      <c r="B16356" s="17">
        <f t="array" ref="B16356">SUM(1-'Sparkling Model'!D$2:D$38^A16356)</f>
        <v>36.99894801</v>
      </c>
      <c r="C16356" s="8">
        <f t="array" ref="C16356">PRODUCT(1-'Sparkling Model'!D$2:D$38^A16356)</f>
        <v>0.9989483927</v>
      </c>
    </row>
    <row r="16357">
      <c r="A16357" s="6">
        <v>16355.0</v>
      </c>
      <c r="B16357" s="17">
        <f t="array" ref="B16357">SUM(1-'Sparkling Model'!D$2:D$38^A16357)</f>
        <v>36.99894853</v>
      </c>
      <c r="C16357" s="8">
        <f t="array" ref="C16357">PRODUCT(1-'Sparkling Model'!D$2:D$38^A16357)</f>
        <v>0.9989489108</v>
      </c>
    </row>
    <row r="16358">
      <c r="A16358" s="6">
        <v>16356.0</v>
      </c>
      <c r="B16358" s="17">
        <f t="array" ref="B16358">SUM(1-'Sparkling Model'!D$2:D$38^A16358)</f>
        <v>36.99894905</v>
      </c>
      <c r="C16358" s="8">
        <f t="array" ref="C16358">PRODUCT(1-'Sparkling Model'!D$2:D$38^A16358)</f>
        <v>0.9989494286</v>
      </c>
    </row>
    <row r="16359">
      <c r="A16359" s="6">
        <v>16357.0</v>
      </c>
      <c r="B16359" s="17">
        <f t="array" ref="B16359">SUM(1-'Sparkling Model'!D$2:D$38^A16359)</f>
        <v>36.99894957</v>
      </c>
      <c r="C16359" s="8">
        <f t="array" ref="C16359">PRODUCT(1-'Sparkling Model'!D$2:D$38^A16359)</f>
        <v>0.9989499462</v>
      </c>
    </row>
    <row r="16360">
      <c r="A16360" s="6">
        <v>16358.0</v>
      </c>
      <c r="B16360" s="17">
        <f t="array" ref="B16360">SUM(1-'Sparkling Model'!D$2:D$38^A16360)</f>
        <v>36.99895009</v>
      </c>
      <c r="C16360" s="8">
        <f t="array" ref="C16360">PRODUCT(1-'Sparkling Model'!D$2:D$38^A16360)</f>
        <v>0.9989504635</v>
      </c>
    </row>
    <row r="16361">
      <c r="A16361" s="6">
        <v>16359.0</v>
      </c>
      <c r="B16361" s="17">
        <f t="array" ref="B16361">SUM(1-'Sparkling Model'!D$2:D$38^A16361)</f>
        <v>36.9989506</v>
      </c>
      <c r="C16361" s="8">
        <f t="array" ref="C16361">PRODUCT(1-'Sparkling Model'!D$2:D$38^A16361)</f>
        <v>0.9989509805</v>
      </c>
    </row>
    <row r="16362">
      <c r="A16362" s="6">
        <v>16360.0</v>
      </c>
      <c r="B16362" s="17">
        <f t="array" ref="B16362">SUM(1-'Sparkling Model'!D$2:D$38^A16362)</f>
        <v>36.99895112</v>
      </c>
      <c r="C16362" s="8">
        <f t="array" ref="C16362">PRODUCT(1-'Sparkling Model'!D$2:D$38^A16362)</f>
        <v>0.9989514973</v>
      </c>
    </row>
    <row r="16363">
      <c r="A16363" s="6">
        <v>16361.0</v>
      </c>
      <c r="B16363" s="17">
        <f t="array" ref="B16363">SUM(1-'Sparkling Model'!D$2:D$38^A16363)</f>
        <v>36.99895164</v>
      </c>
      <c r="C16363" s="8">
        <f t="array" ref="C16363">PRODUCT(1-'Sparkling Model'!D$2:D$38^A16363)</f>
        <v>0.9989520138</v>
      </c>
    </row>
    <row r="16364">
      <c r="A16364" s="6">
        <v>16362.0</v>
      </c>
      <c r="B16364" s="17">
        <f t="array" ref="B16364">SUM(1-'Sparkling Model'!D$2:D$38^A16364)</f>
        <v>36.99895215</v>
      </c>
      <c r="C16364" s="8">
        <f t="array" ref="C16364">PRODUCT(1-'Sparkling Model'!D$2:D$38^A16364)</f>
        <v>0.9989525301</v>
      </c>
    </row>
    <row r="16365">
      <c r="A16365" s="6">
        <v>16363.0</v>
      </c>
      <c r="B16365" s="17">
        <f t="array" ref="B16365">SUM(1-'Sparkling Model'!D$2:D$38^A16365)</f>
        <v>36.99895267</v>
      </c>
      <c r="C16365" s="8">
        <f t="array" ref="C16365">PRODUCT(1-'Sparkling Model'!D$2:D$38^A16365)</f>
        <v>0.9989530462</v>
      </c>
    </row>
    <row r="16366">
      <c r="A16366" s="6">
        <v>16364.0</v>
      </c>
      <c r="B16366" s="17">
        <f t="array" ref="B16366">SUM(1-'Sparkling Model'!D$2:D$38^A16366)</f>
        <v>36.99895319</v>
      </c>
      <c r="C16366" s="8">
        <f t="array" ref="C16366">PRODUCT(1-'Sparkling Model'!D$2:D$38^A16366)</f>
        <v>0.9989535619</v>
      </c>
    </row>
    <row r="16367">
      <c r="A16367" s="6">
        <v>16365.0</v>
      </c>
      <c r="B16367" s="17">
        <f t="array" ref="B16367">SUM(1-'Sparkling Model'!D$2:D$38^A16367)</f>
        <v>36.9989537</v>
      </c>
      <c r="C16367" s="8">
        <f t="array" ref="C16367">PRODUCT(1-'Sparkling Model'!D$2:D$38^A16367)</f>
        <v>0.9989540774</v>
      </c>
    </row>
    <row r="16368">
      <c r="A16368" s="6">
        <v>16366.0</v>
      </c>
      <c r="B16368" s="17">
        <f t="array" ref="B16368">SUM(1-'Sparkling Model'!D$2:D$38^A16368)</f>
        <v>36.99895422</v>
      </c>
      <c r="C16368" s="8">
        <f t="array" ref="C16368">PRODUCT(1-'Sparkling Model'!D$2:D$38^A16368)</f>
        <v>0.9989545927</v>
      </c>
    </row>
    <row r="16369">
      <c r="A16369" s="6">
        <v>16367.0</v>
      </c>
      <c r="B16369" s="17">
        <f t="array" ref="B16369">SUM(1-'Sparkling Model'!D$2:D$38^A16369)</f>
        <v>36.99895473</v>
      </c>
      <c r="C16369" s="8">
        <f t="array" ref="C16369">PRODUCT(1-'Sparkling Model'!D$2:D$38^A16369)</f>
        <v>0.9989551077</v>
      </c>
    </row>
    <row r="16370">
      <c r="A16370" s="6">
        <v>16368.0</v>
      </c>
      <c r="B16370" s="17">
        <f t="array" ref="B16370">SUM(1-'Sparkling Model'!D$2:D$38^A16370)</f>
        <v>36.99895525</v>
      </c>
      <c r="C16370" s="8">
        <f t="array" ref="C16370">PRODUCT(1-'Sparkling Model'!D$2:D$38^A16370)</f>
        <v>0.9989556225</v>
      </c>
    </row>
    <row r="16371">
      <c r="A16371" s="6">
        <v>16369.0</v>
      </c>
      <c r="B16371" s="17">
        <f t="array" ref="B16371">SUM(1-'Sparkling Model'!D$2:D$38^A16371)</f>
        <v>36.99895576</v>
      </c>
      <c r="C16371" s="8">
        <f t="array" ref="C16371">PRODUCT(1-'Sparkling Model'!D$2:D$38^A16371)</f>
        <v>0.998956137</v>
      </c>
    </row>
    <row r="16372">
      <c r="A16372" s="6">
        <v>16370.0</v>
      </c>
      <c r="B16372" s="17">
        <f t="array" ref="B16372">SUM(1-'Sparkling Model'!D$2:D$38^A16372)</f>
        <v>36.99895628</v>
      </c>
      <c r="C16372" s="8">
        <f t="array" ref="C16372">PRODUCT(1-'Sparkling Model'!D$2:D$38^A16372)</f>
        <v>0.9989566512</v>
      </c>
    </row>
    <row r="16373">
      <c r="A16373" s="6">
        <v>16371.0</v>
      </c>
      <c r="B16373" s="17">
        <f t="array" ref="B16373">SUM(1-'Sparkling Model'!D$2:D$38^A16373)</f>
        <v>36.99895679</v>
      </c>
      <c r="C16373" s="8">
        <f t="array" ref="C16373">PRODUCT(1-'Sparkling Model'!D$2:D$38^A16373)</f>
        <v>0.9989571652</v>
      </c>
    </row>
    <row r="16374">
      <c r="A16374" s="6">
        <v>16372.0</v>
      </c>
      <c r="B16374" s="17">
        <f t="array" ref="B16374">SUM(1-'Sparkling Model'!D$2:D$38^A16374)</f>
        <v>36.99895731</v>
      </c>
      <c r="C16374" s="8">
        <f t="array" ref="C16374">PRODUCT(1-'Sparkling Model'!D$2:D$38^A16374)</f>
        <v>0.9989576789</v>
      </c>
    </row>
    <row r="16375">
      <c r="A16375" s="6">
        <v>16373.0</v>
      </c>
      <c r="B16375" s="17">
        <f t="array" ref="B16375">SUM(1-'Sparkling Model'!D$2:D$38^A16375)</f>
        <v>36.99895782</v>
      </c>
      <c r="C16375" s="8">
        <f t="array" ref="C16375">PRODUCT(1-'Sparkling Model'!D$2:D$38^A16375)</f>
        <v>0.9989581924</v>
      </c>
    </row>
    <row r="16376">
      <c r="A16376" s="6">
        <v>16374.0</v>
      </c>
      <c r="B16376" s="17">
        <f t="array" ref="B16376">SUM(1-'Sparkling Model'!D$2:D$38^A16376)</f>
        <v>36.99895833</v>
      </c>
      <c r="C16376" s="8">
        <f t="array" ref="C16376">PRODUCT(1-'Sparkling Model'!D$2:D$38^A16376)</f>
        <v>0.9989587056</v>
      </c>
    </row>
    <row r="16377">
      <c r="A16377" s="6">
        <v>16375.0</v>
      </c>
      <c r="B16377" s="17">
        <f t="array" ref="B16377">SUM(1-'Sparkling Model'!D$2:D$38^A16377)</f>
        <v>36.99895885</v>
      </c>
      <c r="C16377" s="8">
        <f t="array" ref="C16377">PRODUCT(1-'Sparkling Model'!D$2:D$38^A16377)</f>
        <v>0.9989592186</v>
      </c>
    </row>
    <row r="16378">
      <c r="A16378" s="6">
        <v>16376.0</v>
      </c>
      <c r="B16378" s="17">
        <f t="array" ref="B16378">SUM(1-'Sparkling Model'!D$2:D$38^A16378)</f>
        <v>36.99895936</v>
      </c>
      <c r="C16378" s="8">
        <f t="array" ref="C16378">PRODUCT(1-'Sparkling Model'!D$2:D$38^A16378)</f>
        <v>0.9989597313</v>
      </c>
    </row>
    <row r="16379">
      <c r="A16379" s="6">
        <v>16377.0</v>
      </c>
      <c r="B16379" s="17">
        <f t="array" ref="B16379">SUM(1-'Sparkling Model'!D$2:D$38^A16379)</f>
        <v>36.99895987</v>
      </c>
      <c r="C16379" s="8">
        <f t="array" ref="C16379">PRODUCT(1-'Sparkling Model'!D$2:D$38^A16379)</f>
        <v>0.9989602438</v>
      </c>
    </row>
    <row r="16380">
      <c r="A16380" s="6">
        <v>16378.0</v>
      </c>
      <c r="B16380" s="17">
        <f t="array" ref="B16380">SUM(1-'Sparkling Model'!D$2:D$38^A16380)</f>
        <v>36.99896039</v>
      </c>
      <c r="C16380" s="8">
        <f t="array" ref="C16380">PRODUCT(1-'Sparkling Model'!D$2:D$38^A16380)</f>
        <v>0.998960756</v>
      </c>
    </row>
    <row r="16381">
      <c r="A16381" s="6">
        <v>16379.0</v>
      </c>
      <c r="B16381" s="17">
        <f t="array" ref="B16381">SUM(1-'Sparkling Model'!D$2:D$38^A16381)</f>
        <v>36.9989609</v>
      </c>
      <c r="C16381" s="8">
        <f t="array" ref="C16381">PRODUCT(1-'Sparkling Model'!D$2:D$38^A16381)</f>
        <v>0.998961268</v>
      </c>
    </row>
    <row r="16382">
      <c r="A16382" s="6">
        <v>16380.0</v>
      </c>
      <c r="B16382" s="17">
        <f t="array" ref="B16382">SUM(1-'Sparkling Model'!D$2:D$38^A16382)</f>
        <v>36.99896141</v>
      </c>
      <c r="C16382" s="8">
        <f t="array" ref="C16382">PRODUCT(1-'Sparkling Model'!D$2:D$38^A16382)</f>
        <v>0.9989617797</v>
      </c>
    </row>
    <row r="16383">
      <c r="A16383" s="6">
        <v>16381.0</v>
      </c>
      <c r="B16383" s="17">
        <f t="array" ref="B16383">SUM(1-'Sparkling Model'!D$2:D$38^A16383)</f>
        <v>36.99896192</v>
      </c>
      <c r="C16383" s="8">
        <f t="array" ref="C16383">PRODUCT(1-'Sparkling Model'!D$2:D$38^A16383)</f>
        <v>0.9989622911</v>
      </c>
    </row>
    <row r="16384">
      <c r="A16384" s="6">
        <v>16382.0</v>
      </c>
      <c r="B16384" s="17">
        <f t="array" ref="B16384">SUM(1-'Sparkling Model'!D$2:D$38^A16384)</f>
        <v>36.99896243</v>
      </c>
      <c r="C16384" s="8">
        <f t="array" ref="C16384">PRODUCT(1-'Sparkling Model'!D$2:D$38^A16384)</f>
        <v>0.9989628023</v>
      </c>
    </row>
    <row r="16385">
      <c r="A16385" s="6">
        <v>16383.0</v>
      </c>
      <c r="B16385" s="17">
        <f t="array" ref="B16385">SUM(1-'Sparkling Model'!D$2:D$38^A16385)</f>
        <v>36.99896294</v>
      </c>
      <c r="C16385" s="8">
        <f t="array" ref="C16385">PRODUCT(1-'Sparkling Model'!D$2:D$38^A16385)</f>
        <v>0.9989633133</v>
      </c>
    </row>
    <row r="16386">
      <c r="A16386" s="6">
        <v>16384.0</v>
      </c>
      <c r="B16386" s="17">
        <f t="array" ref="B16386">SUM(1-'Sparkling Model'!D$2:D$38^A16386)</f>
        <v>36.99896346</v>
      </c>
      <c r="C16386" s="8">
        <f t="array" ref="C16386">PRODUCT(1-'Sparkling Model'!D$2:D$38^A16386)</f>
        <v>0.998963824</v>
      </c>
    </row>
    <row r="16387">
      <c r="A16387" s="6">
        <v>16385.0</v>
      </c>
      <c r="B16387" s="17">
        <f t="array" ref="B16387">SUM(1-'Sparkling Model'!D$2:D$38^A16387)</f>
        <v>36.99896397</v>
      </c>
      <c r="C16387" s="8">
        <f t="array" ref="C16387">PRODUCT(1-'Sparkling Model'!D$2:D$38^A16387)</f>
        <v>0.9989643344</v>
      </c>
    </row>
    <row r="16388">
      <c r="A16388" s="6">
        <v>16386.0</v>
      </c>
      <c r="B16388" s="17">
        <f t="array" ref="B16388">SUM(1-'Sparkling Model'!D$2:D$38^A16388)</f>
        <v>36.99896448</v>
      </c>
      <c r="C16388" s="8">
        <f t="array" ref="C16388">PRODUCT(1-'Sparkling Model'!D$2:D$38^A16388)</f>
        <v>0.9989648446</v>
      </c>
    </row>
    <row r="16389">
      <c r="A16389" s="6">
        <v>16387.0</v>
      </c>
      <c r="B16389" s="17">
        <f t="array" ref="B16389">SUM(1-'Sparkling Model'!D$2:D$38^A16389)</f>
        <v>36.99896499</v>
      </c>
      <c r="C16389" s="8">
        <f t="array" ref="C16389">PRODUCT(1-'Sparkling Model'!D$2:D$38^A16389)</f>
        <v>0.9989653546</v>
      </c>
    </row>
    <row r="16390">
      <c r="A16390" s="6">
        <v>16388.0</v>
      </c>
      <c r="B16390" s="17">
        <f t="array" ref="B16390">SUM(1-'Sparkling Model'!D$2:D$38^A16390)</f>
        <v>36.9989655</v>
      </c>
      <c r="C16390" s="8">
        <f t="array" ref="C16390">PRODUCT(1-'Sparkling Model'!D$2:D$38^A16390)</f>
        <v>0.9989658643</v>
      </c>
    </row>
    <row r="16391">
      <c r="A16391" s="6">
        <v>16389.0</v>
      </c>
      <c r="B16391" s="17">
        <f t="array" ref="B16391">SUM(1-'Sparkling Model'!D$2:D$38^A16391)</f>
        <v>36.99896601</v>
      </c>
      <c r="C16391" s="8">
        <f t="array" ref="C16391">PRODUCT(1-'Sparkling Model'!D$2:D$38^A16391)</f>
        <v>0.9989663737</v>
      </c>
    </row>
    <row r="16392">
      <c r="A16392" s="6">
        <v>16390.0</v>
      </c>
      <c r="B16392" s="17">
        <f t="array" ref="B16392">SUM(1-'Sparkling Model'!D$2:D$38^A16392)</f>
        <v>36.99896652</v>
      </c>
      <c r="C16392" s="8">
        <f t="array" ref="C16392">PRODUCT(1-'Sparkling Model'!D$2:D$38^A16392)</f>
        <v>0.9989668829</v>
      </c>
    </row>
    <row r="16393">
      <c r="A16393" s="6">
        <v>16391.0</v>
      </c>
      <c r="B16393" s="17">
        <f t="array" ref="B16393">SUM(1-'Sparkling Model'!D$2:D$38^A16393)</f>
        <v>36.99896703</v>
      </c>
      <c r="C16393" s="8">
        <f t="array" ref="C16393">PRODUCT(1-'Sparkling Model'!D$2:D$38^A16393)</f>
        <v>0.9989673918</v>
      </c>
    </row>
    <row r="16394">
      <c r="A16394" s="6">
        <v>16392.0</v>
      </c>
      <c r="B16394" s="17">
        <f t="array" ref="B16394">SUM(1-'Sparkling Model'!D$2:D$38^A16394)</f>
        <v>36.99896753</v>
      </c>
      <c r="C16394" s="8">
        <f t="array" ref="C16394">PRODUCT(1-'Sparkling Model'!D$2:D$38^A16394)</f>
        <v>0.9989679005</v>
      </c>
    </row>
    <row r="16395">
      <c r="A16395" s="6">
        <v>16393.0</v>
      </c>
      <c r="B16395" s="17">
        <f t="array" ref="B16395">SUM(1-'Sparkling Model'!D$2:D$38^A16395)</f>
        <v>36.99896804</v>
      </c>
      <c r="C16395" s="8">
        <f t="array" ref="C16395">PRODUCT(1-'Sparkling Model'!D$2:D$38^A16395)</f>
        <v>0.998968409</v>
      </c>
    </row>
    <row r="16396">
      <c r="A16396" s="6">
        <v>16394.0</v>
      </c>
      <c r="B16396" s="17">
        <f t="array" ref="B16396">SUM(1-'Sparkling Model'!D$2:D$38^A16396)</f>
        <v>36.99896855</v>
      </c>
      <c r="C16396" s="8">
        <f t="array" ref="C16396">PRODUCT(1-'Sparkling Model'!D$2:D$38^A16396)</f>
        <v>0.9989689172</v>
      </c>
    </row>
    <row r="16397">
      <c r="A16397" s="6">
        <v>16395.0</v>
      </c>
      <c r="B16397" s="17">
        <f t="array" ref="B16397">SUM(1-'Sparkling Model'!D$2:D$38^A16397)</f>
        <v>36.99896906</v>
      </c>
      <c r="C16397" s="8">
        <f t="array" ref="C16397">PRODUCT(1-'Sparkling Model'!D$2:D$38^A16397)</f>
        <v>0.9989694251</v>
      </c>
    </row>
    <row r="16398">
      <c r="A16398" s="6">
        <v>16396.0</v>
      </c>
      <c r="B16398" s="17">
        <f t="array" ref="B16398">SUM(1-'Sparkling Model'!D$2:D$38^A16398)</f>
        <v>36.99896957</v>
      </c>
      <c r="C16398" s="8">
        <f t="array" ref="C16398">PRODUCT(1-'Sparkling Model'!D$2:D$38^A16398)</f>
        <v>0.9989699328</v>
      </c>
    </row>
    <row r="16399">
      <c r="A16399" s="6">
        <v>16397.0</v>
      </c>
      <c r="B16399" s="17">
        <f t="array" ref="B16399">SUM(1-'Sparkling Model'!D$2:D$38^A16399)</f>
        <v>36.99897008</v>
      </c>
      <c r="C16399" s="8">
        <f t="array" ref="C16399">PRODUCT(1-'Sparkling Model'!D$2:D$38^A16399)</f>
        <v>0.9989704402</v>
      </c>
    </row>
    <row r="16400">
      <c r="A16400" s="6">
        <v>16398.0</v>
      </c>
      <c r="B16400" s="17">
        <f t="array" ref="B16400">SUM(1-'Sparkling Model'!D$2:D$38^A16400)</f>
        <v>36.99897058</v>
      </c>
      <c r="C16400" s="8">
        <f t="array" ref="C16400">PRODUCT(1-'Sparkling Model'!D$2:D$38^A16400)</f>
        <v>0.9989709474</v>
      </c>
    </row>
    <row r="16401">
      <c r="A16401" s="6">
        <v>16399.0</v>
      </c>
      <c r="B16401" s="17">
        <f t="array" ref="B16401">SUM(1-'Sparkling Model'!D$2:D$38^A16401)</f>
        <v>36.99897109</v>
      </c>
      <c r="C16401" s="8">
        <f t="array" ref="C16401">PRODUCT(1-'Sparkling Model'!D$2:D$38^A16401)</f>
        <v>0.9989714543</v>
      </c>
    </row>
    <row r="16402">
      <c r="A16402" s="6">
        <v>16400.0</v>
      </c>
      <c r="B16402" s="17">
        <f t="array" ref="B16402">SUM(1-'Sparkling Model'!D$2:D$38^A16402)</f>
        <v>36.9989716</v>
      </c>
      <c r="C16402" s="8">
        <f t="array" ref="C16402">PRODUCT(1-'Sparkling Model'!D$2:D$38^A16402)</f>
        <v>0.998971961</v>
      </c>
    </row>
    <row r="16403">
      <c r="A16403" s="6">
        <v>16401.0</v>
      </c>
      <c r="B16403" s="17">
        <f t="array" ref="B16403">SUM(1-'Sparkling Model'!D$2:D$38^A16403)</f>
        <v>36.99897211</v>
      </c>
      <c r="C16403" s="8">
        <f t="array" ref="C16403">PRODUCT(1-'Sparkling Model'!D$2:D$38^A16403)</f>
        <v>0.9989724674</v>
      </c>
    </row>
    <row r="16404">
      <c r="A16404" s="6">
        <v>16402.0</v>
      </c>
      <c r="B16404" s="17">
        <f t="array" ref="B16404">SUM(1-'Sparkling Model'!D$2:D$38^A16404)</f>
        <v>36.99897261</v>
      </c>
      <c r="C16404" s="8">
        <f t="array" ref="C16404">PRODUCT(1-'Sparkling Model'!D$2:D$38^A16404)</f>
        <v>0.9989729736</v>
      </c>
    </row>
    <row r="16405">
      <c r="A16405" s="6">
        <v>16403.0</v>
      </c>
      <c r="B16405" s="17">
        <f t="array" ref="B16405">SUM(1-'Sparkling Model'!D$2:D$38^A16405)</f>
        <v>36.99897312</v>
      </c>
      <c r="C16405" s="8">
        <f t="array" ref="C16405">PRODUCT(1-'Sparkling Model'!D$2:D$38^A16405)</f>
        <v>0.9989734795</v>
      </c>
    </row>
    <row r="16406">
      <c r="A16406" s="6">
        <v>16404.0</v>
      </c>
      <c r="B16406" s="17">
        <f t="array" ref="B16406">SUM(1-'Sparkling Model'!D$2:D$38^A16406)</f>
        <v>36.99897362</v>
      </c>
      <c r="C16406" s="8">
        <f t="array" ref="C16406">PRODUCT(1-'Sparkling Model'!D$2:D$38^A16406)</f>
        <v>0.9989739852</v>
      </c>
    </row>
    <row r="16407">
      <c r="A16407" s="6">
        <v>16405.0</v>
      </c>
      <c r="B16407" s="17">
        <f t="array" ref="B16407">SUM(1-'Sparkling Model'!D$2:D$38^A16407)</f>
        <v>36.99897413</v>
      </c>
      <c r="C16407" s="8">
        <f t="array" ref="C16407">PRODUCT(1-'Sparkling Model'!D$2:D$38^A16407)</f>
        <v>0.9989744906</v>
      </c>
    </row>
    <row r="16408">
      <c r="A16408" s="6">
        <v>16406.0</v>
      </c>
      <c r="B16408" s="17">
        <f t="array" ref="B16408">SUM(1-'Sparkling Model'!D$2:D$38^A16408)</f>
        <v>36.99897464</v>
      </c>
      <c r="C16408" s="8">
        <f t="array" ref="C16408">PRODUCT(1-'Sparkling Model'!D$2:D$38^A16408)</f>
        <v>0.9989749958</v>
      </c>
    </row>
    <row r="16409">
      <c r="A16409" s="6">
        <v>16407.0</v>
      </c>
      <c r="B16409" s="17">
        <f t="array" ref="B16409">SUM(1-'Sparkling Model'!D$2:D$38^A16409)</f>
        <v>36.99897514</v>
      </c>
      <c r="C16409" s="8">
        <f t="array" ref="C16409">PRODUCT(1-'Sparkling Model'!D$2:D$38^A16409)</f>
        <v>0.9989755007</v>
      </c>
    </row>
    <row r="16410">
      <c r="A16410" s="6">
        <v>16408.0</v>
      </c>
      <c r="B16410" s="17">
        <f t="array" ref="B16410">SUM(1-'Sparkling Model'!D$2:D$38^A16410)</f>
        <v>36.99897565</v>
      </c>
      <c r="C16410" s="8">
        <f t="array" ref="C16410">PRODUCT(1-'Sparkling Model'!D$2:D$38^A16410)</f>
        <v>0.9989760054</v>
      </c>
    </row>
    <row r="16411">
      <c r="A16411" s="6">
        <v>16409.0</v>
      </c>
      <c r="B16411" s="17">
        <f t="array" ref="B16411">SUM(1-'Sparkling Model'!D$2:D$38^A16411)</f>
        <v>36.99897615</v>
      </c>
      <c r="C16411" s="8">
        <f t="array" ref="C16411">PRODUCT(1-'Sparkling Model'!D$2:D$38^A16411)</f>
        <v>0.9989765099</v>
      </c>
    </row>
    <row r="16412">
      <c r="A16412" s="6">
        <v>16410.0</v>
      </c>
      <c r="B16412" s="17">
        <f t="array" ref="B16412">SUM(1-'Sparkling Model'!D$2:D$38^A16412)</f>
        <v>36.99897665</v>
      </c>
      <c r="C16412" s="8">
        <f t="array" ref="C16412">PRODUCT(1-'Sparkling Model'!D$2:D$38^A16412)</f>
        <v>0.998977014</v>
      </c>
    </row>
    <row r="16413">
      <c r="A16413" s="6">
        <v>16411.0</v>
      </c>
      <c r="B16413" s="17">
        <f t="array" ref="B16413">SUM(1-'Sparkling Model'!D$2:D$38^A16413)</f>
        <v>36.99897716</v>
      </c>
      <c r="C16413" s="8">
        <f t="array" ref="C16413">PRODUCT(1-'Sparkling Model'!D$2:D$38^A16413)</f>
        <v>0.998977518</v>
      </c>
    </row>
    <row r="16414">
      <c r="A16414" s="6">
        <v>16412.0</v>
      </c>
      <c r="B16414" s="17">
        <f t="array" ref="B16414">SUM(1-'Sparkling Model'!D$2:D$38^A16414)</f>
        <v>36.99897766</v>
      </c>
      <c r="C16414" s="8">
        <f t="array" ref="C16414">PRODUCT(1-'Sparkling Model'!D$2:D$38^A16414)</f>
        <v>0.9989780217</v>
      </c>
    </row>
    <row r="16415">
      <c r="A16415" s="6">
        <v>16413.0</v>
      </c>
      <c r="B16415" s="17">
        <f t="array" ref="B16415">SUM(1-'Sparkling Model'!D$2:D$38^A16415)</f>
        <v>36.99897817</v>
      </c>
      <c r="C16415" s="8">
        <f t="array" ref="C16415">PRODUCT(1-'Sparkling Model'!D$2:D$38^A16415)</f>
        <v>0.9989785251</v>
      </c>
    </row>
    <row r="16416">
      <c r="A16416" s="6">
        <v>16414.0</v>
      </c>
      <c r="B16416" s="17">
        <f t="array" ref="B16416">SUM(1-'Sparkling Model'!D$2:D$38^A16416)</f>
        <v>36.99897867</v>
      </c>
      <c r="C16416" s="8">
        <f t="array" ref="C16416">PRODUCT(1-'Sparkling Model'!D$2:D$38^A16416)</f>
        <v>0.9989790283</v>
      </c>
    </row>
    <row r="16417">
      <c r="A16417" s="6">
        <v>16415.0</v>
      </c>
      <c r="B16417" s="17">
        <f t="array" ref="B16417">SUM(1-'Sparkling Model'!D$2:D$38^A16417)</f>
        <v>36.99897917</v>
      </c>
      <c r="C16417" s="8">
        <f t="array" ref="C16417">PRODUCT(1-'Sparkling Model'!D$2:D$38^A16417)</f>
        <v>0.9989795312</v>
      </c>
    </row>
    <row r="16418">
      <c r="A16418" s="6">
        <v>16416.0</v>
      </c>
      <c r="B16418" s="17">
        <f t="array" ref="B16418">SUM(1-'Sparkling Model'!D$2:D$38^A16418)</f>
        <v>36.99897968</v>
      </c>
      <c r="C16418" s="8">
        <f t="array" ref="C16418">PRODUCT(1-'Sparkling Model'!D$2:D$38^A16418)</f>
        <v>0.9989800339</v>
      </c>
    </row>
    <row r="16419">
      <c r="A16419" s="6">
        <v>16417.0</v>
      </c>
      <c r="B16419" s="17">
        <f t="array" ref="B16419">SUM(1-'Sparkling Model'!D$2:D$38^A16419)</f>
        <v>36.99898018</v>
      </c>
      <c r="C16419" s="8">
        <f t="array" ref="C16419">PRODUCT(1-'Sparkling Model'!D$2:D$38^A16419)</f>
        <v>0.9989805364</v>
      </c>
    </row>
    <row r="16420">
      <c r="A16420" s="6">
        <v>16418.0</v>
      </c>
      <c r="B16420" s="17">
        <f t="array" ref="B16420">SUM(1-'Sparkling Model'!D$2:D$38^A16420)</f>
        <v>36.99898068</v>
      </c>
      <c r="C16420" s="8">
        <f t="array" ref="C16420">PRODUCT(1-'Sparkling Model'!D$2:D$38^A16420)</f>
        <v>0.9989810386</v>
      </c>
    </row>
    <row r="16421">
      <c r="A16421" s="6">
        <v>16419.0</v>
      </c>
      <c r="B16421" s="17">
        <f t="array" ref="B16421">SUM(1-'Sparkling Model'!D$2:D$38^A16421)</f>
        <v>36.99898118</v>
      </c>
      <c r="C16421" s="8">
        <f t="array" ref="C16421">PRODUCT(1-'Sparkling Model'!D$2:D$38^A16421)</f>
        <v>0.9989815405</v>
      </c>
    </row>
    <row r="16422">
      <c r="A16422" s="6">
        <v>16420.0</v>
      </c>
      <c r="B16422" s="17">
        <f t="array" ref="B16422">SUM(1-'Sparkling Model'!D$2:D$38^A16422)</f>
        <v>36.99898169</v>
      </c>
      <c r="C16422" s="8">
        <f t="array" ref="C16422">PRODUCT(1-'Sparkling Model'!D$2:D$38^A16422)</f>
        <v>0.9989820422</v>
      </c>
    </row>
    <row r="16423">
      <c r="A16423" s="6">
        <v>16421.0</v>
      </c>
      <c r="B16423" s="17">
        <f t="array" ref="B16423">SUM(1-'Sparkling Model'!D$2:D$38^A16423)</f>
        <v>36.99898219</v>
      </c>
      <c r="C16423" s="8">
        <f t="array" ref="C16423">PRODUCT(1-'Sparkling Model'!D$2:D$38^A16423)</f>
        <v>0.9989825437</v>
      </c>
    </row>
    <row r="16424">
      <c r="A16424" s="6">
        <v>16422.0</v>
      </c>
      <c r="B16424" s="17">
        <f t="array" ref="B16424">SUM(1-'Sparkling Model'!D$2:D$38^A16424)</f>
        <v>36.99898269</v>
      </c>
      <c r="C16424" s="8">
        <f t="array" ref="C16424">PRODUCT(1-'Sparkling Model'!D$2:D$38^A16424)</f>
        <v>0.9989830449</v>
      </c>
    </row>
    <row r="16425">
      <c r="A16425" s="6">
        <v>16423.0</v>
      </c>
      <c r="B16425" s="17">
        <f t="array" ref="B16425">SUM(1-'Sparkling Model'!D$2:D$38^A16425)</f>
        <v>36.99898319</v>
      </c>
      <c r="C16425" s="8">
        <f t="array" ref="C16425">PRODUCT(1-'Sparkling Model'!D$2:D$38^A16425)</f>
        <v>0.9989835458</v>
      </c>
    </row>
    <row r="16426">
      <c r="A16426" s="6">
        <v>16424.0</v>
      </c>
      <c r="B16426" s="17">
        <f t="array" ref="B16426">SUM(1-'Sparkling Model'!D$2:D$38^A16426)</f>
        <v>36.99898369</v>
      </c>
      <c r="C16426" s="8">
        <f t="array" ref="C16426">PRODUCT(1-'Sparkling Model'!D$2:D$38^A16426)</f>
        <v>0.9989840465</v>
      </c>
    </row>
    <row r="16427">
      <c r="A16427" s="6">
        <v>16425.0</v>
      </c>
      <c r="B16427" s="17">
        <f t="array" ref="B16427">SUM(1-'Sparkling Model'!D$2:D$38^A16427)</f>
        <v>36.99898419</v>
      </c>
      <c r="C16427" s="8">
        <f t="array" ref="C16427">PRODUCT(1-'Sparkling Model'!D$2:D$38^A16427)</f>
        <v>0.998984547</v>
      </c>
    </row>
    <row r="16428">
      <c r="A16428" s="6">
        <v>16426.0</v>
      </c>
      <c r="B16428" s="17">
        <f t="array" ref="B16428">SUM(1-'Sparkling Model'!D$2:D$38^A16428)</f>
        <v>36.99898469</v>
      </c>
      <c r="C16428" s="8">
        <f t="array" ref="C16428">PRODUCT(1-'Sparkling Model'!D$2:D$38^A16428)</f>
        <v>0.9989850472</v>
      </c>
    </row>
    <row r="16429">
      <c r="A16429" s="6">
        <v>16427.0</v>
      </c>
      <c r="B16429" s="17">
        <f t="array" ref="B16429">SUM(1-'Sparkling Model'!D$2:D$38^A16429)</f>
        <v>36.99898519</v>
      </c>
      <c r="C16429" s="8">
        <f t="array" ref="C16429">PRODUCT(1-'Sparkling Model'!D$2:D$38^A16429)</f>
        <v>0.9989855472</v>
      </c>
    </row>
    <row r="16430">
      <c r="A16430" s="6">
        <v>16428.0</v>
      </c>
      <c r="B16430" s="17">
        <f t="array" ref="B16430">SUM(1-'Sparkling Model'!D$2:D$38^A16430)</f>
        <v>36.99898569</v>
      </c>
      <c r="C16430" s="8">
        <f t="array" ref="C16430">PRODUCT(1-'Sparkling Model'!D$2:D$38^A16430)</f>
        <v>0.9989860469</v>
      </c>
    </row>
    <row r="16431">
      <c r="A16431" s="6">
        <v>16429.0</v>
      </c>
      <c r="B16431" s="17">
        <f t="array" ref="B16431">SUM(1-'Sparkling Model'!D$2:D$38^A16431)</f>
        <v>36.99898619</v>
      </c>
      <c r="C16431" s="8">
        <f t="array" ref="C16431">PRODUCT(1-'Sparkling Model'!D$2:D$38^A16431)</f>
        <v>0.9989865464</v>
      </c>
    </row>
    <row r="16432">
      <c r="A16432" s="6">
        <v>16430.0</v>
      </c>
      <c r="B16432" s="17">
        <f t="array" ref="B16432">SUM(1-'Sparkling Model'!D$2:D$38^A16432)</f>
        <v>36.99898669</v>
      </c>
      <c r="C16432" s="8">
        <f t="array" ref="C16432">PRODUCT(1-'Sparkling Model'!D$2:D$38^A16432)</f>
        <v>0.9989870456</v>
      </c>
    </row>
    <row r="16433">
      <c r="A16433" s="6">
        <v>16431.0</v>
      </c>
      <c r="B16433" s="17">
        <f t="array" ref="B16433">SUM(1-'Sparkling Model'!D$2:D$38^A16433)</f>
        <v>36.99898719</v>
      </c>
      <c r="C16433" s="8">
        <f t="array" ref="C16433">PRODUCT(1-'Sparkling Model'!D$2:D$38^A16433)</f>
        <v>0.9989875446</v>
      </c>
    </row>
    <row r="16434">
      <c r="A16434" s="6">
        <v>16432.0</v>
      </c>
      <c r="B16434" s="17">
        <f t="array" ref="B16434">SUM(1-'Sparkling Model'!D$2:D$38^A16434)</f>
        <v>36.99898769</v>
      </c>
      <c r="C16434" s="8">
        <f t="array" ref="C16434">PRODUCT(1-'Sparkling Model'!D$2:D$38^A16434)</f>
        <v>0.9989880433</v>
      </c>
    </row>
    <row r="16435">
      <c r="A16435" s="6">
        <v>16433.0</v>
      </c>
      <c r="B16435" s="17">
        <f t="array" ref="B16435">SUM(1-'Sparkling Model'!D$2:D$38^A16435)</f>
        <v>36.99898819</v>
      </c>
      <c r="C16435" s="8">
        <f t="array" ref="C16435">PRODUCT(1-'Sparkling Model'!D$2:D$38^A16435)</f>
        <v>0.9989885418</v>
      </c>
    </row>
    <row r="16436">
      <c r="A16436" s="6">
        <v>16434.0</v>
      </c>
      <c r="B16436" s="17">
        <f t="array" ref="B16436">SUM(1-'Sparkling Model'!D$2:D$38^A16436)</f>
        <v>36.99898869</v>
      </c>
      <c r="C16436" s="8">
        <f t="array" ref="C16436">PRODUCT(1-'Sparkling Model'!D$2:D$38^A16436)</f>
        <v>0.99898904</v>
      </c>
    </row>
    <row r="16437">
      <c r="A16437" s="6">
        <v>16435.0</v>
      </c>
      <c r="B16437" s="17">
        <f t="array" ref="B16437">SUM(1-'Sparkling Model'!D$2:D$38^A16437)</f>
        <v>36.99898919</v>
      </c>
      <c r="C16437" s="8">
        <f t="array" ref="C16437">PRODUCT(1-'Sparkling Model'!D$2:D$38^A16437)</f>
        <v>0.998989538</v>
      </c>
    </row>
    <row r="16438">
      <c r="A16438" s="6">
        <v>16436.0</v>
      </c>
      <c r="B16438" s="17">
        <f t="array" ref="B16438">SUM(1-'Sparkling Model'!D$2:D$38^A16438)</f>
        <v>36.99898969</v>
      </c>
      <c r="C16438" s="8">
        <f t="array" ref="C16438">PRODUCT(1-'Sparkling Model'!D$2:D$38^A16438)</f>
        <v>0.9989900358</v>
      </c>
    </row>
    <row r="16439">
      <c r="A16439" s="6">
        <v>16437.0</v>
      </c>
      <c r="B16439" s="17">
        <f t="array" ref="B16439">SUM(1-'Sparkling Model'!D$2:D$38^A16439)</f>
        <v>36.99899018</v>
      </c>
      <c r="C16439" s="8">
        <f t="array" ref="C16439">PRODUCT(1-'Sparkling Model'!D$2:D$38^A16439)</f>
        <v>0.9989905333</v>
      </c>
    </row>
    <row r="16440">
      <c r="A16440" s="6">
        <v>16438.0</v>
      </c>
      <c r="B16440" s="17">
        <f t="array" ref="B16440">SUM(1-'Sparkling Model'!D$2:D$38^A16440)</f>
        <v>36.99899068</v>
      </c>
      <c r="C16440" s="8">
        <f t="array" ref="C16440">PRODUCT(1-'Sparkling Model'!D$2:D$38^A16440)</f>
        <v>0.9989910306</v>
      </c>
    </row>
    <row r="16441">
      <c r="A16441" s="6">
        <v>16439.0</v>
      </c>
      <c r="B16441" s="17">
        <f t="array" ref="B16441">SUM(1-'Sparkling Model'!D$2:D$38^A16441)</f>
        <v>36.99899118</v>
      </c>
      <c r="C16441" s="8">
        <f t="array" ref="C16441">PRODUCT(1-'Sparkling Model'!D$2:D$38^A16441)</f>
        <v>0.9989915276</v>
      </c>
    </row>
    <row r="16442">
      <c r="A16442" s="6">
        <v>16440.0</v>
      </c>
      <c r="B16442" s="17">
        <f t="array" ref="B16442">SUM(1-'Sparkling Model'!D$2:D$38^A16442)</f>
        <v>36.99899168</v>
      </c>
      <c r="C16442" s="8">
        <f t="array" ref="C16442">PRODUCT(1-'Sparkling Model'!D$2:D$38^A16442)</f>
        <v>0.9989920243</v>
      </c>
    </row>
    <row r="16443">
      <c r="A16443" s="6">
        <v>16441.0</v>
      </c>
      <c r="B16443" s="17">
        <f t="array" ref="B16443">SUM(1-'Sparkling Model'!D$2:D$38^A16443)</f>
        <v>36.99899217</v>
      </c>
      <c r="C16443" s="8">
        <f t="array" ref="C16443">PRODUCT(1-'Sparkling Model'!D$2:D$38^A16443)</f>
        <v>0.9989925209</v>
      </c>
    </row>
    <row r="16444">
      <c r="A16444" s="6">
        <v>16442.0</v>
      </c>
      <c r="B16444" s="17">
        <f t="array" ref="B16444">SUM(1-'Sparkling Model'!D$2:D$38^A16444)</f>
        <v>36.99899267</v>
      </c>
      <c r="C16444" s="8">
        <f t="array" ref="C16444">PRODUCT(1-'Sparkling Model'!D$2:D$38^A16444)</f>
        <v>0.9989930171</v>
      </c>
    </row>
    <row r="16445">
      <c r="A16445" s="6">
        <v>16443.0</v>
      </c>
      <c r="B16445" s="17">
        <f t="array" ref="B16445">SUM(1-'Sparkling Model'!D$2:D$38^A16445)</f>
        <v>36.99899317</v>
      </c>
      <c r="C16445" s="8">
        <f t="array" ref="C16445">PRODUCT(1-'Sparkling Model'!D$2:D$38^A16445)</f>
        <v>0.9989935132</v>
      </c>
    </row>
    <row r="16446">
      <c r="A16446" s="6">
        <v>16444.0</v>
      </c>
      <c r="B16446" s="17">
        <f t="array" ref="B16446">SUM(1-'Sparkling Model'!D$2:D$38^A16446)</f>
        <v>36.99899366</v>
      </c>
      <c r="C16446" s="8">
        <f t="array" ref="C16446">PRODUCT(1-'Sparkling Model'!D$2:D$38^A16446)</f>
        <v>0.998994009</v>
      </c>
    </row>
    <row r="16447">
      <c r="A16447" s="6">
        <v>16445.0</v>
      </c>
      <c r="B16447" s="17">
        <f t="array" ref="B16447">SUM(1-'Sparkling Model'!D$2:D$38^A16447)</f>
        <v>36.99899416</v>
      </c>
      <c r="C16447" s="8">
        <f t="array" ref="C16447">PRODUCT(1-'Sparkling Model'!D$2:D$38^A16447)</f>
        <v>0.9989945045</v>
      </c>
    </row>
    <row r="16448">
      <c r="A16448" s="6">
        <v>16446.0</v>
      </c>
      <c r="B16448" s="17">
        <f t="array" ref="B16448">SUM(1-'Sparkling Model'!D$2:D$38^A16448)</f>
        <v>36.99899465</v>
      </c>
      <c r="C16448" s="8">
        <f t="array" ref="C16448">PRODUCT(1-'Sparkling Model'!D$2:D$38^A16448)</f>
        <v>0.9989949998</v>
      </c>
    </row>
    <row r="16449">
      <c r="A16449" s="6">
        <v>16447.0</v>
      </c>
      <c r="B16449" s="17">
        <f t="array" ref="B16449">SUM(1-'Sparkling Model'!D$2:D$38^A16449)</f>
        <v>36.99899515</v>
      </c>
      <c r="C16449" s="8">
        <f t="array" ref="C16449">PRODUCT(1-'Sparkling Model'!D$2:D$38^A16449)</f>
        <v>0.9989954949</v>
      </c>
    </row>
    <row r="16450">
      <c r="A16450" s="6">
        <v>16448.0</v>
      </c>
      <c r="B16450" s="17">
        <f t="array" ref="B16450">SUM(1-'Sparkling Model'!D$2:D$38^A16450)</f>
        <v>36.99899564</v>
      </c>
      <c r="C16450" s="8">
        <f t="array" ref="C16450">PRODUCT(1-'Sparkling Model'!D$2:D$38^A16450)</f>
        <v>0.9989959897</v>
      </c>
    </row>
    <row r="16451">
      <c r="A16451" s="6">
        <v>16449.0</v>
      </c>
      <c r="B16451" s="17">
        <f t="array" ref="B16451">SUM(1-'Sparkling Model'!D$2:D$38^A16451)</f>
        <v>36.99899614</v>
      </c>
      <c r="C16451" s="8">
        <f t="array" ref="C16451">PRODUCT(1-'Sparkling Model'!D$2:D$38^A16451)</f>
        <v>0.9989964842</v>
      </c>
    </row>
    <row r="16452">
      <c r="A16452" s="6">
        <v>16450.0</v>
      </c>
      <c r="B16452" s="17">
        <f t="array" ref="B16452">SUM(1-'Sparkling Model'!D$2:D$38^A16452)</f>
        <v>36.99899663</v>
      </c>
      <c r="C16452" s="8">
        <f t="array" ref="C16452">PRODUCT(1-'Sparkling Model'!D$2:D$38^A16452)</f>
        <v>0.9989969785</v>
      </c>
    </row>
    <row r="16453">
      <c r="A16453" s="6">
        <v>16451.0</v>
      </c>
      <c r="B16453" s="17">
        <f t="array" ref="B16453">SUM(1-'Sparkling Model'!D$2:D$38^A16453)</f>
        <v>36.99899713</v>
      </c>
      <c r="C16453" s="8">
        <f t="array" ref="C16453">PRODUCT(1-'Sparkling Model'!D$2:D$38^A16453)</f>
        <v>0.9989974726</v>
      </c>
    </row>
    <row r="16454">
      <c r="A16454" s="6">
        <v>16452.0</v>
      </c>
      <c r="B16454" s="17">
        <f t="array" ref="B16454">SUM(1-'Sparkling Model'!D$2:D$38^A16454)</f>
        <v>36.99899762</v>
      </c>
      <c r="C16454" s="8">
        <f t="array" ref="C16454">PRODUCT(1-'Sparkling Model'!D$2:D$38^A16454)</f>
        <v>0.9989979665</v>
      </c>
    </row>
    <row r="16455">
      <c r="A16455" s="6">
        <v>16453.0</v>
      </c>
      <c r="B16455" s="17">
        <f t="array" ref="B16455">SUM(1-'Sparkling Model'!D$2:D$38^A16455)</f>
        <v>36.99899812</v>
      </c>
      <c r="C16455" s="8">
        <f t="array" ref="C16455">PRODUCT(1-'Sparkling Model'!D$2:D$38^A16455)</f>
        <v>0.99899846</v>
      </c>
    </row>
    <row r="16456">
      <c r="A16456" s="6">
        <v>16454.0</v>
      </c>
      <c r="B16456" s="17">
        <f t="array" ref="B16456">SUM(1-'Sparkling Model'!D$2:D$38^A16456)</f>
        <v>36.99899861</v>
      </c>
      <c r="C16456" s="8">
        <f t="array" ref="C16456">PRODUCT(1-'Sparkling Model'!D$2:D$38^A16456)</f>
        <v>0.9989989534</v>
      </c>
    </row>
    <row r="16457">
      <c r="A16457" s="6">
        <v>16455.0</v>
      </c>
      <c r="B16457" s="17">
        <f t="array" ref="B16457">SUM(1-'Sparkling Model'!D$2:D$38^A16457)</f>
        <v>36.9989991</v>
      </c>
      <c r="C16457" s="8">
        <f t="array" ref="C16457">PRODUCT(1-'Sparkling Model'!D$2:D$38^A16457)</f>
        <v>0.9989994465</v>
      </c>
    </row>
    <row r="16458">
      <c r="A16458" s="6">
        <v>16456.0</v>
      </c>
      <c r="B16458" s="17">
        <f t="array" ref="B16458">SUM(1-'Sparkling Model'!D$2:D$38^A16458)</f>
        <v>36.9989996</v>
      </c>
      <c r="C16458" s="8">
        <f t="array" ref="C16458">PRODUCT(1-'Sparkling Model'!D$2:D$38^A16458)</f>
        <v>0.9989999394</v>
      </c>
    </row>
    <row r="16459">
      <c r="A16459" s="6">
        <v>16457.0</v>
      </c>
      <c r="B16459" s="17">
        <f t="array" ref="B16459">SUM(1-'Sparkling Model'!D$2:D$38^A16459)</f>
        <v>36.99900009</v>
      </c>
      <c r="C16459" s="8">
        <f t="array" ref="C16459">PRODUCT(1-'Sparkling Model'!D$2:D$38^A16459)</f>
        <v>0.999000432</v>
      </c>
    </row>
    <row r="16460">
      <c r="A16460" s="6">
        <v>16458.0</v>
      </c>
      <c r="B16460" s="17">
        <f t="array" ref="B16460">SUM(1-'Sparkling Model'!D$2:D$38^A16460)</f>
        <v>36.99900058</v>
      </c>
      <c r="C16460" s="8">
        <f t="array" ref="C16460">PRODUCT(1-'Sparkling Model'!D$2:D$38^A16460)</f>
        <v>0.9990009243</v>
      </c>
    </row>
    <row r="16461">
      <c r="A16461" s="6">
        <v>16459.0</v>
      </c>
      <c r="B16461" s="17">
        <f t="array" ref="B16461">SUM(1-'Sparkling Model'!D$2:D$38^A16461)</f>
        <v>36.99900107</v>
      </c>
      <c r="C16461" s="8">
        <f t="array" ref="C16461">PRODUCT(1-'Sparkling Model'!D$2:D$38^A16461)</f>
        <v>0.9990014165</v>
      </c>
    </row>
    <row r="16462">
      <c r="A16462" s="6">
        <v>16460.0</v>
      </c>
      <c r="B16462" s="17">
        <f t="array" ref="B16462">SUM(1-'Sparkling Model'!D$2:D$38^A16462)</f>
        <v>36.99900157</v>
      </c>
      <c r="C16462" s="8">
        <f t="array" ref="C16462">PRODUCT(1-'Sparkling Model'!D$2:D$38^A16462)</f>
        <v>0.9990019084</v>
      </c>
    </row>
    <row r="16463">
      <c r="A16463" s="6">
        <v>16461.0</v>
      </c>
      <c r="B16463" s="17">
        <f t="array" ref="B16463">SUM(1-'Sparkling Model'!D$2:D$38^A16463)</f>
        <v>36.99900206</v>
      </c>
      <c r="C16463" s="8">
        <f t="array" ref="C16463">PRODUCT(1-'Sparkling Model'!D$2:D$38^A16463)</f>
        <v>0.9990024</v>
      </c>
    </row>
    <row r="16464">
      <c r="A16464" s="6">
        <v>16462.0</v>
      </c>
      <c r="B16464" s="17">
        <f t="array" ref="B16464">SUM(1-'Sparkling Model'!D$2:D$38^A16464)</f>
        <v>36.99900255</v>
      </c>
      <c r="C16464" s="8">
        <f t="array" ref="C16464">PRODUCT(1-'Sparkling Model'!D$2:D$38^A16464)</f>
        <v>0.9990028914</v>
      </c>
    </row>
    <row r="16465">
      <c r="A16465" s="6">
        <v>16463.0</v>
      </c>
      <c r="B16465" s="17">
        <f t="array" ref="B16465">SUM(1-'Sparkling Model'!D$2:D$38^A16465)</f>
        <v>36.99900304</v>
      </c>
      <c r="C16465" s="8">
        <f t="array" ref="C16465">PRODUCT(1-'Sparkling Model'!D$2:D$38^A16465)</f>
        <v>0.9990033826</v>
      </c>
    </row>
    <row r="16466">
      <c r="A16466" s="6">
        <v>16464.0</v>
      </c>
      <c r="B16466" s="17">
        <f t="array" ref="B16466">SUM(1-'Sparkling Model'!D$2:D$38^A16466)</f>
        <v>36.99900353</v>
      </c>
      <c r="C16466" s="8">
        <f t="array" ref="C16466">PRODUCT(1-'Sparkling Model'!D$2:D$38^A16466)</f>
        <v>0.9990038735</v>
      </c>
    </row>
    <row r="16467">
      <c r="A16467" s="6">
        <v>16465.0</v>
      </c>
      <c r="B16467" s="17">
        <f t="array" ref="B16467">SUM(1-'Sparkling Model'!D$2:D$38^A16467)</f>
        <v>36.99900402</v>
      </c>
      <c r="C16467" s="8">
        <f t="array" ref="C16467">PRODUCT(1-'Sparkling Model'!D$2:D$38^A16467)</f>
        <v>0.9990043641</v>
      </c>
    </row>
    <row r="16468">
      <c r="A16468" s="6">
        <v>16466.0</v>
      </c>
      <c r="B16468" s="17">
        <f t="array" ref="B16468">SUM(1-'Sparkling Model'!D$2:D$38^A16468)</f>
        <v>36.99900451</v>
      </c>
      <c r="C16468" s="8">
        <f t="array" ref="C16468">PRODUCT(1-'Sparkling Model'!D$2:D$38^A16468)</f>
        <v>0.9990048546</v>
      </c>
    </row>
    <row r="16469">
      <c r="A16469" s="6">
        <v>16467.0</v>
      </c>
      <c r="B16469" s="17">
        <f t="array" ref="B16469">SUM(1-'Sparkling Model'!D$2:D$38^A16469)</f>
        <v>36.99900501</v>
      </c>
      <c r="C16469" s="8">
        <f t="array" ref="C16469">PRODUCT(1-'Sparkling Model'!D$2:D$38^A16469)</f>
        <v>0.9990053448</v>
      </c>
    </row>
    <row r="16470">
      <c r="A16470" s="6">
        <v>16468.0</v>
      </c>
      <c r="B16470" s="17">
        <f t="array" ref="B16470">SUM(1-'Sparkling Model'!D$2:D$38^A16470)</f>
        <v>36.9990055</v>
      </c>
      <c r="C16470" s="8">
        <f t="array" ref="C16470">PRODUCT(1-'Sparkling Model'!D$2:D$38^A16470)</f>
        <v>0.9990058347</v>
      </c>
    </row>
    <row r="16471">
      <c r="A16471" s="6">
        <v>16469.0</v>
      </c>
      <c r="B16471" s="17">
        <f t="array" ref="B16471">SUM(1-'Sparkling Model'!D$2:D$38^A16471)</f>
        <v>36.99900599</v>
      </c>
      <c r="C16471" s="8">
        <f t="array" ref="C16471">PRODUCT(1-'Sparkling Model'!D$2:D$38^A16471)</f>
        <v>0.9990063244</v>
      </c>
    </row>
    <row r="16472">
      <c r="A16472" s="6">
        <v>16470.0</v>
      </c>
      <c r="B16472" s="17">
        <f t="array" ref="B16472">SUM(1-'Sparkling Model'!D$2:D$38^A16472)</f>
        <v>36.99900648</v>
      </c>
      <c r="C16472" s="8">
        <f t="array" ref="C16472">PRODUCT(1-'Sparkling Model'!D$2:D$38^A16472)</f>
        <v>0.9990068139</v>
      </c>
    </row>
    <row r="16473">
      <c r="A16473" s="6">
        <v>16471.0</v>
      </c>
      <c r="B16473" s="17">
        <f t="array" ref="B16473">SUM(1-'Sparkling Model'!D$2:D$38^A16473)</f>
        <v>36.99900696</v>
      </c>
      <c r="C16473" s="8">
        <f t="array" ref="C16473">PRODUCT(1-'Sparkling Model'!D$2:D$38^A16473)</f>
        <v>0.9990073031</v>
      </c>
    </row>
    <row r="16474">
      <c r="A16474" s="6">
        <v>16472.0</v>
      </c>
      <c r="B16474" s="17">
        <f t="array" ref="B16474">SUM(1-'Sparkling Model'!D$2:D$38^A16474)</f>
        <v>36.99900745</v>
      </c>
      <c r="C16474" s="8">
        <f t="array" ref="C16474">PRODUCT(1-'Sparkling Model'!D$2:D$38^A16474)</f>
        <v>0.9990077921</v>
      </c>
    </row>
    <row r="16475">
      <c r="A16475" s="6">
        <v>16473.0</v>
      </c>
      <c r="B16475" s="17">
        <f t="array" ref="B16475">SUM(1-'Sparkling Model'!D$2:D$38^A16475)</f>
        <v>36.99900794</v>
      </c>
      <c r="C16475" s="8">
        <f t="array" ref="C16475">PRODUCT(1-'Sparkling Model'!D$2:D$38^A16475)</f>
        <v>0.9990082808</v>
      </c>
    </row>
    <row r="16476">
      <c r="A16476" s="6">
        <v>16474.0</v>
      </c>
      <c r="B16476" s="17">
        <f t="array" ref="B16476">SUM(1-'Sparkling Model'!D$2:D$38^A16476)</f>
        <v>36.99900843</v>
      </c>
      <c r="C16476" s="8">
        <f t="array" ref="C16476">PRODUCT(1-'Sparkling Model'!D$2:D$38^A16476)</f>
        <v>0.9990087693</v>
      </c>
    </row>
    <row r="16477">
      <c r="A16477" s="6">
        <v>16475.0</v>
      </c>
      <c r="B16477" s="17">
        <f t="array" ref="B16477">SUM(1-'Sparkling Model'!D$2:D$38^A16477)</f>
        <v>36.99900892</v>
      </c>
      <c r="C16477" s="8">
        <f t="array" ref="C16477">PRODUCT(1-'Sparkling Model'!D$2:D$38^A16477)</f>
        <v>0.9990092576</v>
      </c>
    </row>
    <row r="16478">
      <c r="A16478" s="6">
        <v>16476.0</v>
      </c>
      <c r="B16478" s="17">
        <f t="array" ref="B16478">SUM(1-'Sparkling Model'!D$2:D$38^A16478)</f>
        <v>36.99900941</v>
      </c>
      <c r="C16478" s="8">
        <f t="array" ref="C16478">PRODUCT(1-'Sparkling Model'!D$2:D$38^A16478)</f>
        <v>0.9990097456</v>
      </c>
    </row>
    <row r="16479">
      <c r="A16479" s="6">
        <v>16477.0</v>
      </c>
      <c r="B16479" s="17">
        <f t="array" ref="B16479">SUM(1-'Sparkling Model'!D$2:D$38^A16479)</f>
        <v>36.9990099</v>
      </c>
      <c r="C16479" s="8">
        <f t="array" ref="C16479">PRODUCT(1-'Sparkling Model'!D$2:D$38^A16479)</f>
        <v>0.9990102333</v>
      </c>
    </row>
    <row r="16480">
      <c r="A16480" s="6">
        <v>16478.0</v>
      </c>
      <c r="B16480" s="17">
        <f t="array" ref="B16480">SUM(1-'Sparkling Model'!D$2:D$38^A16480)</f>
        <v>36.99901039</v>
      </c>
      <c r="C16480" s="8">
        <f t="array" ref="C16480">PRODUCT(1-'Sparkling Model'!D$2:D$38^A16480)</f>
        <v>0.9990107209</v>
      </c>
    </row>
    <row r="16481">
      <c r="A16481" s="6">
        <v>16479.0</v>
      </c>
      <c r="B16481" s="17">
        <f t="array" ref="B16481">SUM(1-'Sparkling Model'!D$2:D$38^A16481)</f>
        <v>36.99901087</v>
      </c>
      <c r="C16481" s="8">
        <f t="array" ref="C16481">PRODUCT(1-'Sparkling Model'!D$2:D$38^A16481)</f>
        <v>0.9990112082</v>
      </c>
    </row>
    <row r="16482">
      <c r="A16482" s="6">
        <v>16480.0</v>
      </c>
      <c r="B16482" s="17">
        <f t="array" ref="B16482">SUM(1-'Sparkling Model'!D$2:D$38^A16482)</f>
        <v>36.99901136</v>
      </c>
      <c r="C16482" s="8">
        <f t="array" ref="C16482">PRODUCT(1-'Sparkling Model'!D$2:D$38^A16482)</f>
        <v>0.9990116952</v>
      </c>
    </row>
    <row r="16483">
      <c r="A16483" s="6">
        <v>16481.0</v>
      </c>
      <c r="B16483" s="17">
        <f t="array" ref="B16483">SUM(1-'Sparkling Model'!D$2:D$38^A16483)</f>
        <v>36.99901185</v>
      </c>
      <c r="C16483" s="8">
        <f t="array" ref="C16483">PRODUCT(1-'Sparkling Model'!D$2:D$38^A16483)</f>
        <v>0.999012182</v>
      </c>
    </row>
    <row r="16484">
      <c r="A16484" s="6">
        <v>16482.0</v>
      </c>
      <c r="B16484" s="17">
        <f t="array" ref="B16484">SUM(1-'Sparkling Model'!D$2:D$38^A16484)</f>
        <v>36.99901233</v>
      </c>
      <c r="C16484" s="8">
        <f t="array" ref="C16484">PRODUCT(1-'Sparkling Model'!D$2:D$38^A16484)</f>
        <v>0.9990126686</v>
      </c>
    </row>
    <row r="16485">
      <c r="A16485" s="6">
        <v>16483.0</v>
      </c>
      <c r="B16485" s="17">
        <f t="array" ref="B16485">SUM(1-'Sparkling Model'!D$2:D$38^A16485)</f>
        <v>36.99901282</v>
      </c>
      <c r="C16485" s="8">
        <f t="array" ref="C16485">PRODUCT(1-'Sparkling Model'!D$2:D$38^A16485)</f>
        <v>0.9990131549</v>
      </c>
    </row>
    <row r="16486">
      <c r="A16486" s="6">
        <v>16484.0</v>
      </c>
      <c r="B16486" s="17">
        <f t="array" ref="B16486">SUM(1-'Sparkling Model'!D$2:D$38^A16486)</f>
        <v>36.99901331</v>
      </c>
      <c r="C16486" s="8">
        <f t="array" ref="C16486">PRODUCT(1-'Sparkling Model'!D$2:D$38^A16486)</f>
        <v>0.999013641</v>
      </c>
    </row>
    <row r="16487">
      <c r="A16487" s="6">
        <v>16485.0</v>
      </c>
      <c r="B16487" s="17">
        <f t="array" ref="B16487">SUM(1-'Sparkling Model'!D$2:D$38^A16487)</f>
        <v>36.99901379</v>
      </c>
      <c r="C16487" s="8">
        <f t="array" ref="C16487">PRODUCT(1-'Sparkling Model'!D$2:D$38^A16487)</f>
        <v>0.9990141269</v>
      </c>
    </row>
    <row r="16488">
      <c r="A16488" s="6">
        <v>16486.0</v>
      </c>
      <c r="B16488" s="17">
        <f t="array" ref="B16488">SUM(1-'Sparkling Model'!D$2:D$38^A16488)</f>
        <v>36.99901428</v>
      </c>
      <c r="C16488" s="8">
        <f t="array" ref="C16488">PRODUCT(1-'Sparkling Model'!D$2:D$38^A16488)</f>
        <v>0.9990146125</v>
      </c>
    </row>
    <row r="16489">
      <c r="A16489" s="6">
        <v>16487.0</v>
      </c>
      <c r="B16489" s="17">
        <f t="array" ref="B16489">SUM(1-'Sparkling Model'!D$2:D$38^A16489)</f>
        <v>36.99901477</v>
      </c>
      <c r="C16489" s="8">
        <f t="array" ref="C16489">PRODUCT(1-'Sparkling Model'!D$2:D$38^A16489)</f>
        <v>0.9990150978</v>
      </c>
    </row>
    <row r="16490">
      <c r="A16490" s="6">
        <v>16488.0</v>
      </c>
      <c r="B16490" s="17">
        <f t="array" ref="B16490">SUM(1-'Sparkling Model'!D$2:D$38^A16490)</f>
        <v>36.99901525</v>
      </c>
      <c r="C16490" s="8">
        <f t="array" ref="C16490">PRODUCT(1-'Sparkling Model'!D$2:D$38^A16490)</f>
        <v>0.999015583</v>
      </c>
    </row>
    <row r="16491">
      <c r="A16491" s="6">
        <v>16489.0</v>
      </c>
      <c r="B16491" s="17">
        <f t="array" ref="B16491">SUM(1-'Sparkling Model'!D$2:D$38^A16491)</f>
        <v>36.99901574</v>
      </c>
      <c r="C16491" s="8">
        <f t="array" ref="C16491">PRODUCT(1-'Sparkling Model'!D$2:D$38^A16491)</f>
        <v>0.9990160679</v>
      </c>
    </row>
    <row r="16492">
      <c r="A16492" s="6">
        <v>16490.0</v>
      </c>
      <c r="B16492" s="17">
        <f t="array" ref="B16492">SUM(1-'Sparkling Model'!D$2:D$38^A16492)</f>
        <v>36.99901622</v>
      </c>
      <c r="C16492" s="8">
        <f t="array" ref="C16492">PRODUCT(1-'Sparkling Model'!D$2:D$38^A16492)</f>
        <v>0.9990165525</v>
      </c>
    </row>
    <row r="16493">
      <c r="A16493" s="6">
        <v>16491.0</v>
      </c>
      <c r="B16493" s="17">
        <f t="array" ref="B16493">SUM(1-'Sparkling Model'!D$2:D$38^A16493)</f>
        <v>36.99901671</v>
      </c>
      <c r="C16493" s="8">
        <f t="array" ref="C16493">PRODUCT(1-'Sparkling Model'!D$2:D$38^A16493)</f>
        <v>0.9990170369</v>
      </c>
    </row>
    <row r="16494">
      <c r="A16494" s="6">
        <v>16492.0</v>
      </c>
      <c r="B16494" s="17">
        <f t="array" ref="B16494">SUM(1-'Sparkling Model'!D$2:D$38^A16494)</f>
        <v>36.99901719</v>
      </c>
      <c r="C16494" s="8">
        <f t="array" ref="C16494">PRODUCT(1-'Sparkling Model'!D$2:D$38^A16494)</f>
        <v>0.9990175211</v>
      </c>
    </row>
    <row r="16495">
      <c r="A16495" s="6">
        <v>16493.0</v>
      </c>
      <c r="B16495" s="17">
        <f t="array" ref="B16495">SUM(1-'Sparkling Model'!D$2:D$38^A16495)</f>
        <v>36.99901767</v>
      </c>
      <c r="C16495" s="8">
        <f t="array" ref="C16495">PRODUCT(1-'Sparkling Model'!D$2:D$38^A16495)</f>
        <v>0.999018005</v>
      </c>
    </row>
    <row r="16496">
      <c r="A16496" s="6">
        <v>16494.0</v>
      </c>
      <c r="B16496" s="17">
        <f t="array" ref="B16496">SUM(1-'Sparkling Model'!D$2:D$38^A16496)</f>
        <v>36.99901816</v>
      </c>
      <c r="C16496" s="8">
        <f t="array" ref="C16496">PRODUCT(1-'Sparkling Model'!D$2:D$38^A16496)</f>
        <v>0.9990184887</v>
      </c>
    </row>
    <row r="16497">
      <c r="A16497" s="6">
        <v>16495.0</v>
      </c>
      <c r="B16497" s="17">
        <f t="array" ref="B16497">SUM(1-'Sparkling Model'!D$2:D$38^A16497)</f>
        <v>36.99901864</v>
      </c>
      <c r="C16497" s="8">
        <f t="array" ref="C16497">PRODUCT(1-'Sparkling Model'!D$2:D$38^A16497)</f>
        <v>0.9990189722</v>
      </c>
    </row>
    <row r="16498">
      <c r="A16498" s="6">
        <v>16496.0</v>
      </c>
      <c r="B16498" s="17">
        <f t="array" ref="B16498">SUM(1-'Sparkling Model'!D$2:D$38^A16498)</f>
        <v>36.99901913</v>
      </c>
      <c r="C16498" s="8">
        <f t="array" ref="C16498">PRODUCT(1-'Sparkling Model'!D$2:D$38^A16498)</f>
        <v>0.9990194554</v>
      </c>
    </row>
    <row r="16499">
      <c r="A16499" s="6">
        <v>16497.0</v>
      </c>
      <c r="B16499" s="17">
        <f t="array" ref="B16499">SUM(1-'Sparkling Model'!D$2:D$38^A16499)</f>
        <v>36.99901961</v>
      </c>
      <c r="C16499" s="8">
        <f t="array" ref="C16499">PRODUCT(1-'Sparkling Model'!D$2:D$38^A16499)</f>
        <v>0.9990199384</v>
      </c>
    </row>
    <row r="16500">
      <c r="A16500" s="6">
        <v>16498.0</v>
      </c>
      <c r="B16500" s="17">
        <f t="array" ref="B16500">SUM(1-'Sparkling Model'!D$2:D$38^A16500)</f>
        <v>36.99902009</v>
      </c>
      <c r="C16500" s="8">
        <f t="array" ref="C16500">PRODUCT(1-'Sparkling Model'!D$2:D$38^A16500)</f>
        <v>0.9990204211</v>
      </c>
    </row>
    <row r="16501">
      <c r="A16501" s="6">
        <v>16499.0</v>
      </c>
      <c r="B16501" s="17">
        <f t="array" ref="B16501">SUM(1-'Sparkling Model'!D$2:D$38^A16501)</f>
        <v>36.99902057</v>
      </c>
      <c r="C16501" s="8">
        <f t="array" ref="C16501">PRODUCT(1-'Sparkling Model'!D$2:D$38^A16501)</f>
        <v>0.9990209036</v>
      </c>
    </row>
    <row r="16502">
      <c r="A16502" s="6">
        <v>16500.0</v>
      </c>
      <c r="B16502" s="17">
        <f t="array" ref="B16502">SUM(1-'Sparkling Model'!D$2:D$38^A16502)</f>
        <v>36.99902106</v>
      </c>
      <c r="C16502" s="8">
        <f t="array" ref="C16502">PRODUCT(1-'Sparkling Model'!D$2:D$38^A16502)</f>
        <v>0.9990213859</v>
      </c>
    </row>
    <row r="16503">
      <c r="A16503" s="6">
        <v>16501.0</v>
      </c>
      <c r="B16503" s="17">
        <f t="array" ref="B16503">SUM(1-'Sparkling Model'!D$2:D$38^A16503)</f>
        <v>36.99902154</v>
      </c>
      <c r="C16503" s="8">
        <f t="array" ref="C16503">PRODUCT(1-'Sparkling Model'!D$2:D$38^A16503)</f>
        <v>0.9990218679</v>
      </c>
    </row>
    <row r="16504">
      <c r="A16504" s="6">
        <v>16502.0</v>
      </c>
      <c r="B16504" s="17">
        <f t="array" ref="B16504">SUM(1-'Sparkling Model'!D$2:D$38^A16504)</f>
        <v>36.99902202</v>
      </c>
      <c r="C16504" s="8">
        <f t="array" ref="C16504">PRODUCT(1-'Sparkling Model'!D$2:D$38^A16504)</f>
        <v>0.9990223497</v>
      </c>
    </row>
    <row r="16505">
      <c r="A16505" s="6">
        <v>16503.0</v>
      </c>
      <c r="B16505" s="17">
        <f t="array" ref="B16505">SUM(1-'Sparkling Model'!D$2:D$38^A16505)</f>
        <v>36.9990225</v>
      </c>
      <c r="C16505" s="8">
        <f t="array" ref="C16505">PRODUCT(1-'Sparkling Model'!D$2:D$38^A16505)</f>
        <v>0.9990228313</v>
      </c>
    </row>
    <row r="16506">
      <c r="A16506" s="6">
        <v>16504.0</v>
      </c>
      <c r="B16506" s="17">
        <f t="array" ref="B16506">SUM(1-'Sparkling Model'!D$2:D$38^A16506)</f>
        <v>36.99902299</v>
      </c>
      <c r="C16506" s="8">
        <f t="array" ref="C16506">PRODUCT(1-'Sparkling Model'!D$2:D$38^A16506)</f>
        <v>0.9990233126</v>
      </c>
    </row>
    <row r="16507">
      <c r="A16507" s="6">
        <v>16505.0</v>
      </c>
      <c r="B16507" s="17">
        <f t="array" ref="B16507">SUM(1-'Sparkling Model'!D$2:D$38^A16507)</f>
        <v>36.99902347</v>
      </c>
      <c r="C16507" s="8">
        <f t="array" ref="C16507">PRODUCT(1-'Sparkling Model'!D$2:D$38^A16507)</f>
        <v>0.9990237936</v>
      </c>
    </row>
    <row r="16508">
      <c r="A16508" s="6">
        <v>16506.0</v>
      </c>
      <c r="B16508" s="17">
        <f t="array" ref="B16508">SUM(1-'Sparkling Model'!D$2:D$38^A16508)</f>
        <v>36.99902395</v>
      </c>
      <c r="C16508" s="8">
        <f t="array" ref="C16508">PRODUCT(1-'Sparkling Model'!D$2:D$38^A16508)</f>
        <v>0.9990242745</v>
      </c>
    </row>
    <row r="16509">
      <c r="A16509" s="6">
        <v>16507.0</v>
      </c>
      <c r="B16509" s="17">
        <f t="array" ref="B16509">SUM(1-'Sparkling Model'!D$2:D$38^A16509)</f>
        <v>36.99902443</v>
      </c>
      <c r="C16509" s="8">
        <f t="array" ref="C16509">PRODUCT(1-'Sparkling Model'!D$2:D$38^A16509)</f>
        <v>0.9990247551</v>
      </c>
    </row>
    <row r="16510">
      <c r="A16510" s="6">
        <v>16508.0</v>
      </c>
      <c r="B16510" s="17">
        <f t="array" ref="B16510">SUM(1-'Sparkling Model'!D$2:D$38^A16510)</f>
        <v>36.99902491</v>
      </c>
      <c r="C16510" s="8">
        <f t="array" ref="C16510">PRODUCT(1-'Sparkling Model'!D$2:D$38^A16510)</f>
        <v>0.9990252354</v>
      </c>
    </row>
    <row r="16511">
      <c r="A16511" s="6">
        <v>16509.0</v>
      </c>
      <c r="B16511" s="17">
        <f t="array" ref="B16511">SUM(1-'Sparkling Model'!D$2:D$38^A16511)</f>
        <v>36.99902539</v>
      </c>
      <c r="C16511" s="8">
        <f t="array" ref="C16511">PRODUCT(1-'Sparkling Model'!D$2:D$38^A16511)</f>
        <v>0.9990257156</v>
      </c>
    </row>
    <row r="16512">
      <c r="A16512" s="6">
        <v>16510.0</v>
      </c>
      <c r="B16512" s="17">
        <f t="array" ref="B16512">SUM(1-'Sparkling Model'!D$2:D$38^A16512)</f>
        <v>36.99902587</v>
      </c>
      <c r="C16512" s="8">
        <f t="array" ref="C16512">PRODUCT(1-'Sparkling Model'!D$2:D$38^A16512)</f>
        <v>0.9990261955</v>
      </c>
    </row>
    <row r="16513">
      <c r="A16513" s="6">
        <v>16511.0</v>
      </c>
      <c r="B16513" s="17">
        <f t="array" ref="B16513">SUM(1-'Sparkling Model'!D$2:D$38^A16513)</f>
        <v>36.99902635</v>
      </c>
      <c r="C16513" s="8">
        <f t="array" ref="C16513">PRODUCT(1-'Sparkling Model'!D$2:D$38^A16513)</f>
        <v>0.9990266751</v>
      </c>
    </row>
    <row r="16514">
      <c r="A16514" s="6">
        <v>16512.0</v>
      </c>
      <c r="B16514" s="17">
        <f t="array" ref="B16514">SUM(1-'Sparkling Model'!D$2:D$38^A16514)</f>
        <v>36.99902683</v>
      </c>
      <c r="C16514" s="8">
        <f t="array" ref="C16514">PRODUCT(1-'Sparkling Model'!D$2:D$38^A16514)</f>
        <v>0.9990271545</v>
      </c>
    </row>
    <row r="16515">
      <c r="A16515" s="6">
        <v>16513.0</v>
      </c>
      <c r="B16515" s="17">
        <f t="array" ref="B16515">SUM(1-'Sparkling Model'!D$2:D$38^A16515)</f>
        <v>36.99902731</v>
      </c>
      <c r="C16515" s="8">
        <f t="array" ref="C16515">PRODUCT(1-'Sparkling Model'!D$2:D$38^A16515)</f>
        <v>0.9990276337</v>
      </c>
    </row>
    <row r="16516">
      <c r="A16516" s="6">
        <v>16514.0</v>
      </c>
      <c r="B16516" s="17">
        <f t="array" ref="B16516">SUM(1-'Sparkling Model'!D$2:D$38^A16516)</f>
        <v>36.99902779</v>
      </c>
      <c r="C16516" s="8">
        <f t="array" ref="C16516">PRODUCT(1-'Sparkling Model'!D$2:D$38^A16516)</f>
        <v>0.9990281126</v>
      </c>
    </row>
    <row r="16517">
      <c r="A16517" s="6">
        <v>16515.0</v>
      </c>
      <c r="B16517" s="17">
        <f t="array" ref="B16517">SUM(1-'Sparkling Model'!D$2:D$38^A16517)</f>
        <v>36.99902827</v>
      </c>
      <c r="C16517" s="8">
        <f t="array" ref="C16517">PRODUCT(1-'Sparkling Model'!D$2:D$38^A16517)</f>
        <v>0.9990285913</v>
      </c>
    </row>
    <row r="16518">
      <c r="A16518" s="6">
        <v>16516.0</v>
      </c>
      <c r="B16518" s="17">
        <f t="array" ref="B16518">SUM(1-'Sparkling Model'!D$2:D$38^A16518)</f>
        <v>36.99902875</v>
      </c>
      <c r="C16518" s="8">
        <f t="array" ref="C16518">PRODUCT(1-'Sparkling Model'!D$2:D$38^A16518)</f>
        <v>0.9990290698</v>
      </c>
    </row>
    <row r="16519">
      <c r="A16519" s="6">
        <v>16517.0</v>
      </c>
      <c r="B16519" s="17">
        <f t="array" ref="B16519">SUM(1-'Sparkling Model'!D$2:D$38^A16519)</f>
        <v>36.99902922</v>
      </c>
      <c r="C16519" s="8">
        <f t="array" ref="C16519">PRODUCT(1-'Sparkling Model'!D$2:D$38^A16519)</f>
        <v>0.999029548</v>
      </c>
    </row>
    <row r="16520">
      <c r="A16520" s="6">
        <v>16518.0</v>
      </c>
      <c r="B16520" s="17">
        <f t="array" ref="B16520">SUM(1-'Sparkling Model'!D$2:D$38^A16520)</f>
        <v>36.9990297</v>
      </c>
      <c r="C16520" s="8">
        <f t="array" ref="C16520">PRODUCT(1-'Sparkling Model'!D$2:D$38^A16520)</f>
        <v>0.999030026</v>
      </c>
    </row>
    <row r="16521">
      <c r="A16521" s="6">
        <v>16519.0</v>
      </c>
      <c r="B16521" s="17">
        <f t="array" ref="B16521">SUM(1-'Sparkling Model'!D$2:D$38^A16521)</f>
        <v>36.99903018</v>
      </c>
      <c r="C16521" s="8">
        <f t="array" ref="C16521">PRODUCT(1-'Sparkling Model'!D$2:D$38^A16521)</f>
        <v>0.9990305038</v>
      </c>
    </row>
    <row r="16522">
      <c r="A16522" s="6">
        <v>16520.0</v>
      </c>
      <c r="B16522" s="17">
        <f t="array" ref="B16522">SUM(1-'Sparkling Model'!D$2:D$38^A16522)</f>
        <v>36.99903066</v>
      </c>
      <c r="C16522" s="8">
        <f t="array" ref="C16522">PRODUCT(1-'Sparkling Model'!D$2:D$38^A16522)</f>
        <v>0.9990309813</v>
      </c>
    </row>
    <row r="16523">
      <c r="A16523" s="6">
        <v>16521.0</v>
      </c>
      <c r="B16523" s="17">
        <f t="array" ref="B16523">SUM(1-'Sparkling Model'!D$2:D$38^A16523)</f>
        <v>36.99903114</v>
      </c>
      <c r="C16523" s="8">
        <f t="array" ref="C16523">PRODUCT(1-'Sparkling Model'!D$2:D$38^A16523)</f>
        <v>0.9990314586</v>
      </c>
    </row>
    <row r="16524">
      <c r="A16524" s="6">
        <v>16522.0</v>
      </c>
      <c r="B16524" s="17">
        <f t="array" ref="B16524">SUM(1-'Sparkling Model'!D$2:D$38^A16524)</f>
        <v>36.99903161</v>
      </c>
      <c r="C16524" s="8">
        <f t="array" ref="C16524">PRODUCT(1-'Sparkling Model'!D$2:D$38^A16524)</f>
        <v>0.9990319357</v>
      </c>
    </row>
    <row r="16525">
      <c r="A16525" s="6">
        <v>16523.0</v>
      </c>
      <c r="B16525" s="17">
        <f t="array" ref="B16525">SUM(1-'Sparkling Model'!D$2:D$38^A16525)</f>
        <v>36.99903209</v>
      </c>
      <c r="C16525" s="8">
        <f t="array" ref="C16525">PRODUCT(1-'Sparkling Model'!D$2:D$38^A16525)</f>
        <v>0.9990324125</v>
      </c>
    </row>
    <row r="16526">
      <c r="A16526" s="6">
        <v>16524.0</v>
      </c>
      <c r="B16526" s="17">
        <f t="array" ref="B16526">SUM(1-'Sparkling Model'!D$2:D$38^A16526)</f>
        <v>36.99903257</v>
      </c>
      <c r="C16526" s="8">
        <f t="array" ref="C16526">PRODUCT(1-'Sparkling Model'!D$2:D$38^A16526)</f>
        <v>0.9990328891</v>
      </c>
    </row>
    <row r="16527">
      <c r="A16527" s="6">
        <v>16525.0</v>
      </c>
      <c r="B16527" s="17">
        <f t="array" ref="B16527">SUM(1-'Sparkling Model'!D$2:D$38^A16527)</f>
        <v>36.99903304</v>
      </c>
      <c r="C16527" s="8">
        <f t="array" ref="C16527">PRODUCT(1-'Sparkling Model'!D$2:D$38^A16527)</f>
        <v>0.9990333654</v>
      </c>
    </row>
    <row r="16528">
      <c r="A16528" s="6">
        <v>16526.0</v>
      </c>
      <c r="B16528" s="17">
        <f t="array" ref="B16528">SUM(1-'Sparkling Model'!D$2:D$38^A16528)</f>
        <v>36.99903352</v>
      </c>
      <c r="C16528" s="8">
        <f t="array" ref="C16528">PRODUCT(1-'Sparkling Model'!D$2:D$38^A16528)</f>
        <v>0.9990338415</v>
      </c>
    </row>
    <row r="16529">
      <c r="A16529" s="6">
        <v>16527.0</v>
      </c>
      <c r="B16529" s="17">
        <f t="array" ref="B16529">SUM(1-'Sparkling Model'!D$2:D$38^A16529)</f>
        <v>36.999034</v>
      </c>
      <c r="C16529" s="8">
        <f t="array" ref="C16529">PRODUCT(1-'Sparkling Model'!D$2:D$38^A16529)</f>
        <v>0.9990343174</v>
      </c>
    </row>
    <row r="16530">
      <c r="A16530" s="6">
        <v>16528.0</v>
      </c>
      <c r="B16530" s="17">
        <f t="array" ref="B16530">SUM(1-'Sparkling Model'!D$2:D$38^A16530)</f>
        <v>36.99903447</v>
      </c>
      <c r="C16530" s="8">
        <f t="array" ref="C16530">PRODUCT(1-'Sparkling Model'!D$2:D$38^A16530)</f>
        <v>0.999034793</v>
      </c>
    </row>
    <row r="16531">
      <c r="A16531" s="6">
        <v>16529.0</v>
      </c>
      <c r="B16531" s="17">
        <f t="array" ref="B16531">SUM(1-'Sparkling Model'!D$2:D$38^A16531)</f>
        <v>36.99903495</v>
      </c>
      <c r="C16531" s="8">
        <f t="array" ref="C16531">PRODUCT(1-'Sparkling Model'!D$2:D$38^A16531)</f>
        <v>0.9990352685</v>
      </c>
    </row>
    <row r="16532">
      <c r="A16532" s="6">
        <v>16530.0</v>
      </c>
      <c r="B16532" s="17">
        <f t="array" ref="B16532">SUM(1-'Sparkling Model'!D$2:D$38^A16532)</f>
        <v>36.99903542</v>
      </c>
      <c r="C16532" s="8">
        <f t="array" ref="C16532">PRODUCT(1-'Sparkling Model'!D$2:D$38^A16532)</f>
        <v>0.9990357436</v>
      </c>
    </row>
    <row r="16533">
      <c r="A16533" s="6">
        <v>16531.0</v>
      </c>
      <c r="B16533" s="17">
        <f t="array" ref="B16533">SUM(1-'Sparkling Model'!D$2:D$38^A16533)</f>
        <v>36.9990359</v>
      </c>
      <c r="C16533" s="8">
        <f t="array" ref="C16533">PRODUCT(1-'Sparkling Model'!D$2:D$38^A16533)</f>
        <v>0.9990362186</v>
      </c>
    </row>
    <row r="16534">
      <c r="A16534" s="6">
        <v>16532.0</v>
      </c>
      <c r="B16534" s="17">
        <f t="array" ref="B16534">SUM(1-'Sparkling Model'!D$2:D$38^A16534)</f>
        <v>36.99903637</v>
      </c>
      <c r="C16534" s="8">
        <f t="array" ref="C16534">PRODUCT(1-'Sparkling Model'!D$2:D$38^A16534)</f>
        <v>0.9990366933</v>
      </c>
    </row>
    <row r="16535">
      <c r="A16535" s="6">
        <v>16533.0</v>
      </c>
      <c r="B16535" s="17">
        <f t="array" ref="B16535">SUM(1-'Sparkling Model'!D$2:D$38^A16535)</f>
        <v>36.99903685</v>
      </c>
      <c r="C16535" s="8">
        <f t="array" ref="C16535">PRODUCT(1-'Sparkling Model'!D$2:D$38^A16535)</f>
        <v>0.9990371677</v>
      </c>
    </row>
    <row r="16536">
      <c r="A16536" s="6">
        <v>16534.0</v>
      </c>
      <c r="B16536" s="17">
        <f t="array" ref="B16536">SUM(1-'Sparkling Model'!D$2:D$38^A16536)</f>
        <v>36.99903732</v>
      </c>
      <c r="C16536" s="8">
        <f t="array" ref="C16536">PRODUCT(1-'Sparkling Model'!D$2:D$38^A16536)</f>
        <v>0.999037642</v>
      </c>
    </row>
    <row r="16537">
      <c r="A16537" s="6">
        <v>16535.0</v>
      </c>
      <c r="B16537" s="17">
        <f t="array" ref="B16537">SUM(1-'Sparkling Model'!D$2:D$38^A16537)</f>
        <v>36.9990378</v>
      </c>
      <c r="C16537" s="8">
        <f t="array" ref="C16537">PRODUCT(1-'Sparkling Model'!D$2:D$38^A16537)</f>
        <v>0.999038116</v>
      </c>
    </row>
    <row r="16538">
      <c r="A16538" s="6">
        <v>16536.0</v>
      </c>
      <c r="B16538" s="17">
        <f t="array" ref="B16538">SUM(1-'Sparkling Model'!D$2:D$38^A16538)</f>
        <v>36.99903827</v>
      </c>
      <c r="C16538" s="8">
        <f t="array" ref="C16538">PRODUCT(1-'Sparkling Model'!D$2:D$38^A16538)</f>
        <v>0.9990385897</v>
      </c>
    </row>
    <row r="16539">
      <c r="A16539" s="6">
        <v>16537.0</v>
      </c>
      <c r="B16539" s="17">
        <f t="array" ref="B16539">SUM(1-'Sparkling Model'!D$2:D$38^A16539)</f>
        <v>36.99903875</v>
      </c>
      <c r="C16539" s="8">
        <f t="array" ref="C16539">PRODUCT(1-'Sparkling Model'!D$2:D$38^A16539)</f>
        <v>0.9990390633</v>
      </c>
    </row>
    <row r="16540">
      <c r="A16540" s="6">
        <v>16538.0</v>
      </c>
      <c r="B16540" s="17">
        <f t="array" ref="B16540">SUM(1-'Sparkling Model'!D$2:D$38^A16540)</f>
        <v>36.99903922</v>
      </c>
      <c r="C16540" s="8">
        <f t="array" ref="C16540">PRODUCT(1-'Sparkling Model'!D$2:D$38^A16540)</f>
        <v>0.9990395366</v>
      </c>
    </row>
    <row r="16541">
      <c r="A16541" s="6">
        <v>16539.0</v>
      </c>
      <c r="B16541" s="17">
        <f t="array" ref="B16541">SUM(1-'Sparkling Model'!D$2:D$38^A16541)</f>
        <v>36.99903969</v>
      </c>
      <c r="C16541" s="8">
        <f t="array" ref="C16541">PRODUCT(1-'Sparkling Model'!D$2:D$38^A16541)</f>
        <v>0.9990400096</v>
      </c>
    </row>
    <row r="16542">
      <c r="A16542" s="6">
        <v>16540.0</v>
      </c>
      <c r="B16542" s="17">
        <f t="array" ref="B16542">SUM(1-'Sparkling Model'!D$2:D$38^A16542)</f>
        <v>36.99904017</v>
      </c>
      <c r="C16542" s="8">
        <f t="array" ref="C16542">PRODUCT(1-'Sparkling Model'!D$2:D$38^A16542)</f>
        <v>0.9990404825</v>
      </c>
    </row>
    <row r="16543">
      <c r="A16543" s="6">
        <v>16541.0</v>
      </c>
      <c r="B16543" s="17">
        <f t="array" ref="B16543">SUM(1-'Sparkling Model'!D$2:D$38^A16543)</f>
        <v>36.99904064</v>
      </c>
      <c r="C16543" s="8">
        <f t="array" ref="C16543">PRODUCT(1-'Sparkling Model'!D$2:D$38^A16543)</f>
        <v>0.9990409551</v>
      </c>
    </row>
    <row r="16544">
      <c r="A16544" s="6">
        <v>16542.0</v>
      </c>
      <c r="B16544" s="17">
        <f t="array" ref="B16544">SUM(1-'Sparkling Model'!D$2:D$38^A16544)</f>
        <v>36.99904111</v>
      </c>
      <c r="C16544" s="8">
        <f t="array" ref="C16544">PRODUCT(1-'Sparkling Model'!D$2:D$38^A16544)</f>
        <v>0.9990414274</v>
      </c>
    </row>
    <row r="16545">
      <c r="A16545" s="6">
        <v>16543.0</v>
      </c>
      <c r="B16545" s="17">
        <f t="array" ref="B16545">SUM(1-'Sparkling Model'!D$2:D$38^A16545)</f>
        <v>36.99904158</v>
      </c>
      <c r="C16545" s="8">
        <f t="array" ref="C16545">PRODUCT(1-'Sparkling Model'!D$2:D$38^A16545)</f>
        <v>0.9990418996</v>
      </c>
    </row>
    <row r="16546">
      <c r="A16546" s="6">
        <v>16544.0</v>
      </c>
      <c r="B16546" s="17">
        <f t="array" ref="B16546">SUM(1-'Sparkling Model'!D$2:D$38^A16546)</f>
        <v>36.99904206</v>
      </c>
      <c r="C16546" s="8">
        <f t="array" ref="C16546">PRODUCT(1-'Sparkling Model'!D$2:D$38^A16546)</f>
        <v>0.9990423715</v>
      </c>
    </row>
    <row r="16547">
      <c r="A16547" s="6">
        <v>16545.0</v>
      </c>
      <c r="B16547" s="17">
        <f t="array" ref="B16547">SUM(1-'Sparkling Model'!D$2:D$38^A16547)</f>
        <v>36.99904253</v>
      </c>
      <c r="C16547" s="8">
        <f t="array" ref="C16547">PRODUCT(1-'Sparkling Model'!D$2:D$38^A16547)</f>
        <v>0.9990428431</v>
      </c>
    </row>
    <row r="16548">
      <c r="A16548" s="6">
        <v>16546.0</v>
      </c>
      <c r="B16548" s="17">
        <f t="array" ref="B16548">SUM(1-'Sparkling Model'!D$2:D$38^A16548)</f>
        <v>36.999043</v>
      </c>
      <c r="C16548" s="8">
        <f t="array" ref="C16548">PRODUCT(1-'Sparkling Model'!D$2:D$38^A16548)</f>
        <v>0.9990433145</v>
      </c>
    </row>
    <row r="16549">
      <c r="A16549" s="6">
        <v>16547.0</v>
      </c>
      <c r="B16549" s="17">
        <f t="array" ref="B16549">SUM(1-'Sparkling Model'!D$2:D$38^A16549)</f>
        <v>36.99904347</v>
      </c>
      <c r="C16549" s="8">
        <f t="array" ref="C16549">PRODUCT(1-'Sparkling Model'!D$2:D$38^A16549)</f>
        <v>0.9990437857</v>
      </c>
    </row>
    <row r="16550">
      <c r="A16550" s="6">
        <v>16548.0</v>
      </c>
      <c r="B16550" s="17">
        <f t="array" ref="B16550">SUM(1-'Sparkling Model'!D$2:D$38^A16550)</f>
        <v>36.99904394</v>
      </c>
      <c r="C16550" s="8">
        <f t="array" ref="C16550">PRODUCT(1-'Sparkling Model'!D$2:D$38^A16550)</f>
        <v>0.9990442567</v>
      </c>
    </row>
    <row r="16551">
      <c r="A16551" s="6">
        <v>16549.0</v>
      </c>
      <c r="B16551" s="17">
        <f t="array" ref="B16551">SUM(1-'Sparkling Model'!D$2:D$38^A16551)</f>
        <v>36.99904441</v>
      </c>
      <c r="C16551" s="8">
        <f t="array" ref="C16551">PRODUCT(1-'Sparkling Model'!D$2:D$38^A16551)</f>
        <v>0.9990447274</v>
      </c>
    </row>
    <row r="16552">
      <c r="A16552" s="6">
        <v>16550.0</v>
      </c>
      <c r="B16552" s="17">
        <f t="array" ref="B16552">SUM(1-'Sparkling Model'!D$2:D$38^A16552)</f>
        <v>36.99904489</v>
      </c>
      <c r="C16552" s="8">
        <f t="array" ref="C16552">PRODUCT(1-'Sparkling Model'!D$2:D$38^A16552)</f>
        <v>0.999045198</v>
      </c>
    </row>
    <row r="16553">
      <c r="A16553" s="6">
        <v>16551.0</v>
      </c>
      <c r="B16553" s="17">
        <f t="array" ref="B16553">SUM(1-'Sparkling Model'!D$2:D$38^A16553)</f>
        <v>36.99904536</v>
      </c>
      <c r="C16553" s="8">
        <f t="array" ref="C16553">PRODUCT(1-'Sparkling Model'!D$2:D$38^A16553)</f>
        <v>0.9990456682</v>
      </c>
    </row>
    <row r="16554">
      <c r="A16554" s="6">
        <v>16552.0</v>
      </c>
      <c r="B16554" s="17">
        <f t="array" ref="B16554">SUM(1-'Sparkling Model'!D$2:D$38^A16554)</f>
        <v>36.99904583</v>
      </c>
      <c r="C16554" s="8">
        <f t="array" ref="C16554">PRODUCT(1-'Sparkling Model'!D$2:D$38^A16554)</f>
        <v>0.9990461383</v>
      </c>
    </row>
    <row r="16555">
      <c r="A16555" s="6">
        <v>16553.0</v>
      </c>
      <c r="B16555" s="17">
        <f t="array" ref="B16555">SUM(1-'Sparkling Model'!D$2:D$38^A16555)</f>
        <v>36.9990463</v>
      </c>
      <c r="C16555" s="8">
        <f t="array" ref="C16555">PRODUCT(1-'Sparkling Model'!D$2:D$38^A16555)</f>
        <v>0.9990466081</v>
      </c>
    </row>
    <row r="16556">
      <c r="A16556" s="6">
        <v>16554.0</v>
      </c>
      <c r="B16556" s="17">
        <f t="array" ref="B16556">SUM(1-'Sparkling Model'!D$2:D$38^A16556)</f>
        <v>36.99904677</v>
      </c>
      <c r="C16556" s="8">
        <f t="array" ref="C16556">PRODUCT(1-'Sparkling Model'!D$2:D$38^A16556)</f>
        <v>0.9990470776</v>
      </c>
    </row>
    <row r="16557">
      <c r="A16557" s="6">
        <v>16555.0</v>
      </c>
      <c r="B16557" s="17">
        <f t="array" ref="B16557">SUM(1-'Sparkling Model'!D$2:D$38^A16557)</f>
        <v>36.99904724</v>
      </c>
      <c r="C16557" s="8">
        <f t="array" ref="C16557">PRODUCT(1-'Sparkling Model'!D$2:D$38^A16557)</f>
        <v>0.999047547</v>
      </c>
    </row>
    <row r="16558">
      <c r="A16558" s="6">
        <v>16556.0</v>
      </c>
      <c r="B16558" s="17">
        <f t="array" ref="B16558">SUM(1-'Sparkling Model'!D$2:D$38^A16558)</f>
        <v>36.99904771</v>
      </c>
      <c r="C16558" s="8">
        <f t="array" ref="C16558">PRODUCT(1-'Sparkling Model'!D$2:D$38^A16558)</f>
        <v>0.9990480161</v>
      </c>
    </row>
    <row r="16559">
      <c r="A16559" s="6">
        <v>16557.0</v>
      </c>
      <c r="B16559" s="17">
        <f t="array" ref="B16559">SUM(1-'Sparkling Model'!D$2:D$38^A16559)</f>
        <v>36.99904817</v>
      </c>
      <c r="C16559" s="8">
        <f t="array" ref="C16559">PRODUCT(1-'Sparkling Model'!D$2:D$38^A16559)</f>
        <v>0.999048485</v>
      </c>
    </row>
    <row r="16560">
      <c r="A16560" s="6">
        <v>16558.0</v>
      </c>
      <c r="B16560" s="17">
        <f t="array" ref="B16560">SUM(1-'Sparkling Model'!D$2:D$38^A16560)</f>
        <v>36.99904864</v>
      </c>
      <c r="C16560" s="8">
        <f t="array" ref="C16560">PRODUCT(1-'Sparkling Model'!D$2:D$38^A16560)</f>
        <v>0.9990489536</v>
      </c>
    </row>
    <row r="16561">
      <c r="A16561" s="6">
        <v>16559.0</v>
      </c>
      <c r="B16561" s="17">
        <f t="array" ref="B16561">SUM(1-'Sparkling Model'!D$2:D$38^A16561)</f>
        <v>36.99904911</v>
      </c>
      <c r="C16561" s="8">
        <f t="array" ref="C16561">PRODUCT(1-'Sparkling Model'!D$2:D$38^A16561)</f>
        <v>0.999049422</v>
      </c>
    </row>
    <row r="16562">
      <c r="A16562" s="6">
        <v>16560.0</v>
      </c>
      <c r="B16562" s="17">
        <f t="array" ref="B16562">SUM(1-'Sparkling Model'!D$2:D$38^A16562)</f>
        <v>36.99904958</v>
      </c>
      <c r="C16562" s="8">
        <f t="array" ref="C16562">PRODUCT(1-'Sparkling Model'!D$2:D$38^A16562)</f>
        <v>0.9990498902</v>
      </c>
    </row>
    <row r="16563">
      <c r="A16563" s="6">
        <v>16561.0</v>
      </c>
      <c r="B16563" s="17">
        <f t="array" ref="B16563">SUM(1-'Sparkling Model'!D$2:D$38^A16563)</f>
        <v>36.99905005</v>
      </c>
      <c r="C16563" s="8">
        <f t="array" ref="C16563">PRODUCT(1-'Sparkling Model'!D$2:D$38^A16563)</f>
        <v>0.9990503582</v>
      </c>
    </row>
    <row r="16564">
      <c r="A16564" s="6">
        <v>16562.0</v>
      </c>
      <c r="B16564" s="17">
        <f t="array" ref="B16564">SUM(1-'Sparkling Model'!D$2:D$38^A16564)</f>
        <v>36.99905052</v>
      </c>
      <c r="C16564" s="8">
        <f t="array" ref="C16564">PRODUCT(1-'Sparkling Model'!D$2:D$38^A16564)</f>
        <v>0.9990508259</v>
      </c>
    </row>
    <row r="16565">
      <c r="A16565" s="6">
        <v>16563.0</v>
      </c>
      <c r="B16565" s="17">
        <f t="array" ref="B16565">SUM(1-'Sparkling Model'!D$2:D$38^A16565)</f>
        <v>36.99905098</v>
      </c>
      <c r="C16565" s="8">
        <f t="array" ref="C16565">PRODUCT(1-'Sparkling Model'!D$2:D$38^A16565)</f>
        <v>0.9990512934</v>
      </c>
    </row>
    <row r="16566">
      <c r="A16566" s="6">
        <v>16564.0</v>
      </c>
      <c r="B16566" s="17">
        <f t="array" ref="B16566">SUM(1-'Sparkling Model'!D$2:D$38^A16566)</f>
        <v>36.99905145</v>
      </c>
      <c r="C16566" s="8">
        <f t="array" ref="C16566">PRODUCT(1-'Sparkling Model'!D$2:D$38^A16566)</f>
        <v>0.9990517606</v>
      </c>
    </row>
    <row r="16567">
      <c r="A16567" s="6">
        <v>16565.0</v>
      </c>
      <c r="B16567" s="17">
        <f t="array" ref="B16567">SUM(1-'Sparkling Model'!D$2:D$38^A16567)</f>
        <v>36.99905192</v>
      </c>
      <c r="C16567" s="8">
        <f t="array" ref="C16567">PRODUCT(1-'Sparkling Model'!D$2:D$38^A16567)</f>
        <v>0.9990522277</v>
      </c>
    </row>
    <row r="16568">
      <c r="A16568" s="6">
        <v>16566.0</v>
      </c>
      <c r="B16568" s="17">
        <f t="array" ref="B16568">SUM(1-'Sparkling Model'!D$2:D$38^A16568)</f>
        <v>36.99905239</v>
      </c>
      <c r="C16568" s="8">
        <f t="array" ref="C16568">PRODUCT(1-'Sparkling Model'!D$2:D$38^A16568)</f>
        <v>0.9990526945</v>
      </c>
    </row>
    <row r="16569">
      <c r="A16569" s="6">
        <v>16567.0</v>
      </c>
      <c r="B16569" s="17">
        <f t="array" ref="B16569">SUM(1-'Sparkling Model'!D$2:D$38^A16569)</f>
        <v>36.99905285</v>
      </c>
      <c r="C16569" s="8">
        <f t="array" ref="C16569">PRODUCT(1-'Sparkling Model'!D$2:D$38^A16569)</f>
        <v>0.999053161</v>
      </c>
    </row>
    <row r="16570">
      <c r="A16570" s="6">
        <v>16568.0</v>
      </c>
      <c r="B16570" s="17">
        <f t="array" ref="B16570">SUM(1-'Sparkling Model'!D$2:D$38^A16570)</f>
        <v>36.99905332</v>
      </c>
      <c r="C16570" s="8">
        <f t="array" ref="C16570">PRODUCT(1-'Sparkling Model'!D$2:D$38^A16570)</f>
        <v>0.9990536274</v>
      </c>
    </row>
    <row r="16571">
      <c r="A16571" s="6">
        <v>16569.0</v>
      </c>
      <c r="B16571" s="17">
        <f t="array" ref="B16571">SUM(1-'Sparkling Model'!D$2:D$38^A16571)</f>
        <v>36.99905379</v>
      </c>
      <c r="C16571" s="8">
        <f t="array" ref="C16571">PRODUCT(1-'Sparkling Model'!D$2:D$38^A16571)</f>
        <v>0.9990540935</v>
      </c>
    </row>
    <row r="16572">
      <c r="A16572" s="6">
        <v>16570.0</v>
      </c>
      <c r="B16572" s="17">
        <f t="array" ref="B16572">SUM(1-'Sparkling Model'!D$2:D$38^A16572)</f>
        <v>36.99905425</v>
      </c>
      <c r="C16572" s="8">
        <f t="array" ref="C16572">PRODUCT(1-'Sparkling Model'!D$2:D$38^A16572)</f>
        <v>0.9990545594</v>
      </c>
    </row>
    <row r="16573">
      <c r="A16573" s="6">
        <v>16571.0</v>
      </c>
      <c r="B16573" s="17">
        <f t="array" ref="B16573">SUM(1-'Sparkling Model'!D$2:D$38^A16573)</f>
        <v>36.99905472</v>
      </c>
      <c r="C16573" s="8">
        <f t="array" ref="C16573">PRODUCT(1-'Sparkling Model'!D$2:D$38^A16573)</f>
        <v>0.999055025</v>
      </c>
    </row>
    <row r="16574">
      <c r="A16574" s="6">
        <v>16572.0</v>
      </c>
      <c r="B16574" s="17">
        <f t="array" ref="B16574">SUM(1-'Sparkling Model'!D$2:D$38^A16574)</f>
        <v>36.99905518</v>
      </c>
      <c r="C16574" s="8">
        <f t="array" ref="C16574">PRODUCT(1-'Sparkling Model'!D$2:D$38^A16574)</f>
        <v>0.9990554904</v>
      </c>
    </row>
    <row r="16575">
      <c r="A16575" s="6">
        <v>16573.0</v>
      </c>
      <c r="B16575" s="17">
        <f t="array" ref="B16575">SUM(1-'Sparkling Model'!D$2:D$38^A16575)</f>
        <v>36.99905565</v>
      </c>
      <c r="C16575" s="8">
        <f t="array" ref="C16575">PRODUCT(1-'Sparkling Model'!D$2:D$38^A16575)</f>
        <v>0.9990559556</v>
      </c>
    </row>
    <row r="16576">
      <c r="A16576" s="6">
        <v>16574.0</v>
      </c>
      <c r="B16576" s="17">
        <f t="array" ref="B16576">SUM(1-'Sparkling Model'!D$2:D$38^A16576)</f>
        <v>36.99905612</v>
      </c>
      <c r="C16576" s="8">
        <f t="array" ref="C16576">PRODUCT(1-'Sparkling Model'!D$2:D$38^A16576)</f>
        <v>0.9990564206</v>
      </c>
    </row>
    <row r="16577">
      <c r="A16577" s="6">
        <v>16575.0</v>
      </c>
      <c r="B16577" s="17">
        <f t="array" ref="B16577">SUM(1-'Sparkling Model'!D$2:D$38^A16577)</f>
        <v>36.99905658</v>
      </c>
      <c r="C16577" s="8">
        <f t="array" ref="C16577">PRODUCT(1-'Sparkling Model'!D$2:D$38^A16577)</f>
        <v>0.9990568853</v>
      </c>
    </row>
    <row r="16578">
      <c r="A16578" s="6">
        <v>16576.0</v>
      </c>
      <c r="B16578" s="17">
        <f t="array" ref="B16578">SUM(1-'Sparkling Model'!D$2:D$38^A16578)</f>
        <v>36.99905705</v>
      </c>
      <c r="C16578" s="8">
        <f t="array" ref="C16578">PRODUCT(1-'Sparkling Model'!D$2:D$38^A16578)</f>
        <v>0.9990573498</v>
      </c>
    </row>
    <row r="16579">
      <c r="A16579" s="6">
        <v>16577.0</v>
      </c>
      <c r="B16579" s="17">
        <f t="array" ref="B16579">SUM(1-'Sparkling Model'!D$2:D$38^A16579)</f>
        <v>36.99905751</v>
      </c>
      <c r="C16579" s="8">
        <f t="array" ref="C16579">PRODUCT(1-'Sparkling Model'!D$2:D$38^A16579)</f>
        <v>0.9990578141</v>
      </c>
    </row>
    <row r="16580">
      <c r="A16580" s="6">
        <v>16578.0</v>
      </c>
      <c r="B16580" s="17">
        <f t="array" ref="B16580">SUM(1-'Sparkling Model'!D$2:D$38^A16580)</f>
        <v>36.99905797</v>
      </c>
      <c r="C16580" s="8">
        <f t="array" ref="C16580">PRODUCT(1-'Sparkling Model'!D$2:D$38^A16580)</f>
        <v>0.9990582781</v>
      </c>
    </row>
    <row r="16581">
      <c r="A16581" s="6">
        <v>16579.0</v>
      </c>
      <c r="B16581" s="17">
        <f t="array" ref="B16581">SUM(1-'Sparkling Model'!D$2:D$38^A16581)</f>
        <v>36.99905844</v>
      </c>
      <c r="C16581" s="8">
        <f t="array" ref="C16581">PRODUCT(1-'Sparkling Model'!D$2:D$38^A16581)</f>
        <v>0.9990587419</v>
      </c>
    </row>
    <row r="16582">
      <c r="A16582" s="6">
        <v>16580.0</v>
      </c>
      <c r="B16582" s="17">
        <f t="array" ref="B16582">SUM(1-'Sparkling Model'!D$2:D$38^A16582)</f>
        <v>36.9990589</v>
      </c>
      <c r="C16582" s="8">
        <f t="array" ref="C16582">PRODUCT(1-'Sparkling Model'!D$2:D$38^A16582)</f>
        <v>0.9990592055</v>
      </c>
    </row>
    <row r="16583">
      <c r="A16583" s="6">
        <v>16581.0</v>
      </c>
      <c r="B16583" s="17">
        <f t="array" ref="B16583">SUM(1-'Sparkling Model'!D$2:D$38^A16583)</f>
        <v>36.99905937</v>
      </c>
      <c r="C16583" s="8">
        <f t="array" ref="C16583">PRODUCT(1-'Sparkling Model'!D$2:D$38^A16583)</f>
        <v>0.9990596689</v>
      </c>
    </row>
    <row r="16584">
      <c r="A16584" s="6">
        <v>16582.0</v>
      </c>
      <c r="B16584" s="17">
        <f t="array" ref="B16584">SUM(1-'Sparkling Model'!D$2:D$38^A16584)</f>
        <v>36.99905983</v>
      </c>
      <c r="C16584" s="8">
        <f t="array" ref="C16584">PRODUCT(1-'Sparkling Model'!D$2:D$38^A16584)</f>
        <v>0.999060132</v>
      </c>
    </row>
    <row r="16585">
      <c r="A16585" s="6">
        <v>16583.0</v>
      </c>
      <c r="B16585" s="17">
        <f t="array" ref="B16585">SUM(1-'Sparkling Model'!D$2:D$38^A16585)</f>
        <v>36.99906029</v>
      </c>
      <c r="C16585" s="8">
        <f t="array" ref="C16585">PRODUCT(1-'Sparkling Model'!D$2:D$38^A16585)</f>
        <v>0.9990605949</v>
      </c>
    </row>
    <row r="16586">
      <c r="A16586" s="6">
        <v>16584.0</v>
      </c>
      <c r="B16586" s="17">
        <f t="array" ref="B16586">SUM(1-'Sparkling Model'!D$2:D$38^A16586)</f>
        <v>36.99906076</v>
      </c>
      <c r="C16586" s="8">
        <f t="array" ref="C16586">PRODUCT(1-'Sparkling Model'!D$2:D$38^A16586)</f>
        <v>0.9990610576</v>
      </c>
    </row>
    <row r="16587">
      <c r="A16587" s="6">
        <v>16585.0</v>
      </c>
      <c r="B16587" s="17">
        <f t="array" ref="B16587">SUM(1-'Sparkling Model'!D$2:D$38^A16587)</f>
        <v>36.99906122</v>
      </c>
      <c r="C16587" s="8">
        <f t="array" ref="C16587">PRODUCT(1-'Sparkling Model'!D$2:D$38^A16587)</f>
        <v>0.99906152</v>
      </c>
    </row>
    <row r="16588">
      <c r="A16588" s="6">
        <v>16586.0</v>
      </c>
      <c r="B16588" s="17">
        <f t="array" ref="B16588">SUM(1-'Sparkling Model'!D$2:D$38^A16588)</f>
        <v>36.99906168</v>
      </c>
      <c r="C16588" s="8">
        <f t="array" ref="C16588">PRODUCT(1-'Sparkling Model'!D$2:D$38^A16588)</f>
        <v>0.9990619822</v>
      </c>
    </row>
    <row r="16589">
      <c r="A16589" s="6">
        <v>16587.0</v>
      </c>
      <c r="B16589" s="17">
        <f t="array" ref="B16589">SUM(1-'Sparkling Model'!D$2:D$38^A16589)</f>
        <v>36.99906214</v>
      </c>
      <c r="C16589" s="8">
        <f t="array" ref="C16589">PRODUCT(1-'Sparkling Model'!D$2:D$38^A16589)</f>
        <v>0.9990624442</v>
      </c>
    </row>
    <row r="16590">
      <c r="A16590" s="6">
        <v>16588.0</v>
      </c>
      <c r="B16590" s="17">
        <f t="array" ref="B16590">SUM(1-'Sparkling Model'!D$2:D$38^A16590)</f>
        <v>36.9990626</v>
      </c>
      <c r="C16590" s="8">
        <f t="array" ref="C16590">PRODUCT(1-'Sparkling Model'!D$2:D$38^A16590)</f>
        <v>0.999062906</v>
      </c>
    </row>
    <row r="16591">
      <c r="A16591" s="6">
        <v>16589.0</v>
      </c>
      <c r="B16591" s="17">
        <f t="array" ref="B16591">SUM(1-'Sparkling Model'!D$2:D$38^A16591)</f>
        <v>36.99906307</v>
      </c>
      <c r="C16591" s="8">
        <f t="array" ref="C16591">PRODUCT(1-'Sparkling Model'!D$2:D$38^A16591)</f>
        <v>0.9990633675</v>
      </c>
    </row>
    <row r="16592">
      <c r="A16592" s="6">
        <v>16590.0</v>
      </c>
      <c r="B16592" s="17">
        <f t="array" ref="B16592">SUM(1-'Sparkling Model'!D$2:D$38^A16592)</f>
        <v>36.99906353</v>
      </c>
      <c r="C16592" s="8">
        <f t="array" ref="C16592">PRODUCT(1-'Sparkling Model'!D$2:D$38^A16592)</f>
        <v>0.9990638288</v>
      </c>
    </row>
    <row r="16593">
      <c r="A16593" s="6">
        <v>16591.0</v>
      </c>
      <c r="B16593" s="17">
        <f t="array" ref="B16593">SUM(1-'Sparkling Model'!D$2:D$38^A16593)</f>
        <v>36.99906399</v>
      </c>
      <c r="C16593" s="8">
        <f t="array" ref="C16593">PRODUCT(1-'Sparkling Model'!D$2:D$38^A16593)</f>
        <v>0.9990642899</v>
      </c>
    </row>
    <row r="16594">
      <c r="A16594" s="6">
        <v>16592.0</v>
      </c>
      <c r="B16594" s="17">
        <f t="array" ref="B16594">SUM(1-'Sparkling Model'!D$2:D$38^A16594)</f>
        <v>36.99906445</v>
      </c>
      <c r="C16594" s="8">
        <f t="array" ref="C16594">PRODUCT(1-'Sparkling Model'!D$2:D$38^A16594)</f>
        <v>0.9990647507</v>
      </c>
    </row>
    <row r="16595">
      <c r="A16595" s="6">
        <v>16593.0</v>
      </c>
      <c r="B16595" s="17">
        <f t="array" ref="B16595">SUM(1-'Sparkling Model'!D$2:D$38^A16595)</f>
        <v>36.99906491</v>
      </c>
      <c r="C16595" s="8">
        <f t="array" ref="C16595">PRODUCT(1-'Sparkling Model'!D$2:D$38^A16595)</f>
        <v>0.9990652113</v>
      </c>
    </row>
    <row r="16596">
      <c r="A16596" s="6">
        <v>16594.0</v>
      </c>
      <c r="B16596" s="17">
        <f t="array" ref="B16596">SUM(1-'Sparkling Model'!D$2:D$38^A16596)</f>
        <v>36.99906537</v>
      </c>
      <c r="C16596" s="8">
        <f t="array" ref="C16596">PRODUCT(1-'Sparkling Model'!D$2:D$38^A16596)</f>
        <v>0.9990656717</v>
      </c>
    </row>
    <row r="16597">
      <c r="A16597" s="6">
        <v>16595.0</v>
      </c>
      <c r="B16597" s="17">
        <f t="array" ref="B16597">SUM(1-'Sparkling Model'!D$2:D$38^A16597)</f>
        <v>36.99906583</v>
      </c>
      <c r="C16597" s="8">
        <f t="array" ref="C16597">PRODUCT(1-'Sparkling Model'!D$2:D$38^A16597)</f>
        <v>0.9990661319</v>
      </c>
    </row>
    <row r="16598">
      <c r="A16598" s="6">
        <v>16596.0</v>
      </c>
      <c r="B16598" s="17">
        <f t="array" ref="B16598">SUM(1-'Sparkling Model'!D$2:D$38^A16598)</f>
        <v>36.99906629</v>
      </c>
      <c r="C16598" s="8">
        <f t="array" ref="C16598">PRODUCT(1-'Sparkling Model'!D$2:D$38^A16598)</f>
        <v>0.9990665918</v>
      </c>
    </row>
    <row r="16599">
      <c r="A16599" s="6">
        <v>16597.0</v>
      </c>
      <c r="B16599" s="17">
        <f t="array" ref="B16599">SUM(1-'Sparkling Model'!D$2:D$38^A16599)</f>
        <v>36.99906675</v>
      </c>
      <c r="C16599" s="8">
        <f t="array" ref="C16599">PRODUCT(1-'Sparkling Model'!D$2:D$38^A16599)</f>
        <v>0.9990670515</v>
      </c>
    </row>
    <row r="16600">
      <c r="A16600" s="6">
        <v>16598.0</v>
      </c>
      <c r="B16600" s="17">
        <f t="array" ref="B16600">SUM(1-'Sparkling Model'!D$2:D$38^A16600)</f>
        <v>36.99906721</v>
      </c>
      <c r="C16600" s="8">
        <f t="array" ref="C16600">PRODUCT(1-'Sparkling Model'!D$2:D$38^A16600)</f>
        <v>0.999067511</v>
      </c>
    </row>
    <row r="16601">
      <c r="A16601" s="6">
        <v>16599.0</v>
      </c>
      <c r="B16601" s="17">
        <f t="array" ref="B16601">SUM(1-'Sparkling Model'!D$2:D$38^A16601)</f>
        <v>36.99906767</v>
      </c>
      <c r="C16601" s="8">
        <f t="array" ref="C16601">PRODUCT(1-'Sparkling Model'!D$2:D$38^A16601)</f>
        <v>0.9990679703</v>
      </c>
    </row>
    <row r="16602">
      <c r="A16602" s="6">
        <v>16600.0</v>
      </c>
      <c r="B16602" s="17">
        <f t="array" ref="B16602">SUM(1-'Sparkling Model'!D$2:D$38^A16602)</f>
        <v>36.99906813</v>
      </c>
      <c r="C16602" s="8">
        <f t="array" ref="C16602">PRODUCT(1-'Sparkling Model'!D$2:D$38^A16602)</f>
        <v>0.9990684293</v>
      </c>
    </row>
    <row r="16603">
      <c r="A16603" s="6">
        <v>16601.0</v>
      </c>
      <c r="B16603" s="17">
        <f t="array" ref="B16603">SUM(1-'Sparkling Model'!D$2:D$38^A16603)</f>
        <v>36.99906859</v>
      </c>
      <c r="C16603" s="8">
        <f t="array" ref="C16603">PRODUCT(1-'Sparkling Model'!D$2:D$38^A16603)</f>
        <v>0.9990688881</v>
      </c>
    </row>
    <row r="16604">
      <c r="A16604" s="6">
        <v>16602.0</v>
      </c>
      <c r="B16604" s="17">
        <f t="array" ref="B16604">SUM(1-'Sparkling Model'!D$2:D$38^A16604)</f>
        <v>36.99906905</v>
      </c>
      <c r="C16604" s="8">
        <f t="array" ref="C16604">PRODUCT(1-'Sparkling Model'!D$2:D$38^A16604)</f>
        <v>0.9990693467</v>
      </c>
    </row>
    <row r="16605">
      <c r="A16605" s="6">
        <v>16603.0</v>
      </c>
      <c r="B16605" s="17">
        <f t="array" ref="B16605">SUM(1-'Sparkling Model'!D$2:D$38^A16605)</f>
        <v>36.99906951</v>
      </c>
      <c r="C16605" s="8">
        <f t="array" ref="C16605">PRODUCT(1-'Sparkling Model'!D$2:D$38^A16605)</f>
        <v>0.999069805</v>
      </c>
    </row>
    <row r="16606">
      <c r="A16606" s="6">
        <v>16604.0</v>
      </c>
      <c r="B16606" s="17">
        <f t="array" ref="B16606">SUM(1-'Sparkling Model'!D$2:D$38^A16606)</f>
        <v>36.99906997</v>
      </c>
      <c r="C16606" s="8">
        <f t="array" ref="C16606">PRODUCT(1-'Sparkling Model'!D$2:D$38^A16606)</f>
        <v>0.9990702631</v>
      </c>
    </row>
    <row r="16607">
      <c r="A16607" s="6">
        <v>16605.0</v>
      </c>
      <c r="B16607" s="17">
        <f t="array" ref="B16607">SUM(1-'Sparkling Model'!D$2:D$38^A16607)</f>
        <v>36.99907042</v>
      </c>
      <c r="C16607" s="8">
        <f t="array" ref="C16607">PRODUCT(1-'Sparkling Model'!D$2:D$38^A16607)</f>
        <v>0.999070721</v>
      </c>
    </row>
    <row r="16608">
      <c r="A16608" s="6">
        <v>16606.0</v>
      </c>
      <c r="B16608" s="17">
        <f t="array" ref="B16608">SUM(1-'Sparkling Model'!D$2:D$38^A16608)</f>
        <v>36.99907088</v>
      </c>
      <c r="C16608" s="8">
        <f t="array" ref="C16608">PRODUCT(1-'Sparkling Model'!D$2:D$38^A16608)</f>
        <v>0.9990711787</v>
      </c>
    </row>
    <row r="16609">
      <c r="A16609" s="6">
        <v>16607.0</v>
      </c>
      <c r="B16609" s="17">
        <f t="array" ref="B16609">SUM(1-'Sparkling Model'!D$2:D$38^A16609)</f>
        <v>36.99907134</v>
      </c>
      <c r="C16609" s="8">
        <f t="array" ref="C16609">PRODUCT(1-'Sparkling Model'!D$2:D$38^A16609)</f>
        <v>0.9990716361</v>
      </c>
    </row>
    <row r="16610">
      <c r="A16610" s="6">
        <v>16608.0</v>
      </c>
      <c r="B16610" s="17">
        <f t="array" ref="B16610">SUM(1-'Sparkling Model'!D$2:D$38^A16610)</f>
        <v>36.9990718</v>
      </c>
      <c r="C16610" s="8">
        <f t="array" ref="C16610">PRODUCT(1-'Sparkling Model'!D$2:D$38^A16610)</f>
        <v>0.9990720934</v>
      </c>
    </row>
    <row r="16611">
      <c r="A16611" s="6">
        <v>16609.0</v>
      </c>
      <c r="B16611" s="17">
        <f t="array" ref="B16611">SUM(1-'Sparkling Model'!D$2:D$38^A16611)</f>
        <v>36.99907226</v>
      </c>
      <c r="C16611" s="8">
        <f t="array" ref="C16611">PRODUCT(1-'Sparkling Model'!D$2:D$38^A16611)</f>
        <v>0.9990725503</v>
      </c>
    </row>
    <row r="16612">
      <c r="A16612" s="6">
        <v>16610.0</v>
      </c>
      <c r="B16612" s="17">
        <f t="array" ref="B16612">SUM(1-'Sparkling Model'!D$2:D$38^A16612)</f>
        <v>36.99907271</v>
      </c>
      <c r="C16612" s="8">
        <f t="array" ref="C16612">PRODUCT(1-'Sparkling Model'!D$2:D$38^A16612)</f>
        <v>0.9990730071</v>
      </c>
    </row>
    <row r="16613">
      <c r="A16613" s="6">
        <v>16611.0</v>
      </c>
      <c r="B16613" s="17">
        <f t="array" ref="B16613">SUM(1-'Sparkling Model'!D$2:D$38^A16613)</f>
        <v>36.99907317</v>
      </c>
      <c r="C16613" s="8">
        <f t="array" ref="C16613">PRODUCT(1-'Sparkling Model'!D$2:D$38^A16613)</f>
        <v>0.9990734637</v>
      </c>
    </row>
    <row r="16614">
      <c r="A16614" s="6">
        <v>16612.0</v>
      </c>
      <c r="B16614" s="17">
        <f t="array" ref="B16614">SUM(1-'Sparkling Model'!D$2:D$38^A16614)</f>
        <v>36.99907363</v>
      </c>
      <c r="C16614" s="8">
        <f t="array" ref="C16614">PRODUCT(1-'Sparkling Model'!D$2:D$38^A16614)</f>
        <v>0.99907392</v>
      </c>
    </row>
    <row r="16615">
      <c r="A16615" s="6">
        <v>16613.0</v>
      </c>
      <c r="B16615" s="17">
        <f t="array" ref="B16615">SUM(1-'Sparkling Model'!D$2:D$38^A16615)</f>
        <v>36.99907408</v>
      </c>
      <c r="C16615" s="8">
        <f t="array" ref="C16615">PRODUCT(1-'Sparkling Model'!D$2:D$38^A16615)</f>
        <v>0.9990743761</v>
      </c>
    </row>
    <row r="16616">
      <c r="A16616" s="6">
        <v>16614.0</v>
      </c>
      <c r="B16616" s="17">
        <f t="array" ref="B16616">SUM(1-'Sparkling Model'!D$2:D$38^A16616)</f>
        <v>36.99907454</v>
      </c>
      <c r="C16616" s="8">
        <f t="array" ref="C16616">PRODUCT(1-'Sparkling Model'!D$2:D$38^A16616)</f>
        <v>0.9990748319</v>
      </c>
    </row>
    <row r="16617">
      <c r="A16617" s="6">
        <v>16615.0</v>
      </c>
      <c r="B16617" s="17">
        <f t="array" ref="B16617">SUM(1-'Sparkling Model'!D$2:D$38^A16617)</f>
        <v>36.99907499</v>
      </c>
      <c r="C16617" s="8">
        <f t="array" ref="C16617">PRODUCT(1-'Sparkling Model'!D$2:D$38^A16617)</f>
        <v>0.9990752876</v>
      </c>
    </row>
    <row r="16618">
      <c r="A16618" s="6">
        <v>16616.0</v>
      </c>
      <c r="B16618" s="17">
        <f t="array" ref="B16618">SUM(1-'Sparkling Model'!D$2:D$38^A16618)</f>
        <v>36.99907545</v>
      </c>
      <c r="C16618" s="8">
        <f t="array" ref="C16618">PRODUCT(1-'Sparkling Model'!D$2:D$38^A16618)</f>
        <v>0.999075743</v>
      </c>
    </row>
    <row r="16619">
      <c r="A16619" s="6">
        <v>16617.0</v>
      </c>
      <c r="B16619" s="17">
        <f t="array" ref="B16619">SUM(1-'Sparkling Model'!D$2:D$38^A16619)</f>
        <v>36.99907591</v>
      </c>
      <c r="C16619" s="8">
        <f t="array" ref="C16619">PRODUCT(1-'Sparkling Model'!D$2:D$38^A16619)</f>
        <v>0.9990761982</v>
      </c>
    </row>
    <row r="16620">
      <c r="A16620" s="6">
        <v>16618.0</v>
      </c>
      <c r="B16620" s="17">
        <f t="array" ref="B16620">SUM(1-'Sparkling Model'!D$2:D$38^A16620)</f>
        <v>36.99907636</v>
      </c>
      <c r="C16620" s="8">
        <f t="array" ref="C16620">PRODUCT(1-'Sparkling Model'!D$2:D$38^A16620)</f>
        <v>0.9990766531</v>
      </c>
    </row>
    <row r="16621">
      <c r="A16621" s="6">
        <v>16619.0</v>
      </c>
      <c r="B16621" s="17">
        <f t="array" ref="B16621">SUM(1-'Sparkling Model'!D$2:D$38^A16621)</f>
        <v>36.99907682</v>
      </c>
      <c r="C16621" s="8">
        <f t="array" ref="C16621">PRODUCT(1-'Sparkling Model'!D$2:D$38^A16621)</f>
        <v>0.9990771079</v>
      </c>
    </row>
    <row r="16622">
      <c r="A16622" s="6">
        <v>16620.0</v>
      </c>
      <c r="B16622" s="17">
        <f t="array" ref="B16622">SUM(1-'Sparkling Model'!D$2:D$38^A16622)</f>
        <v>36.99907727</v>
      </c>
      <c r="C16622" s="8">
        <f t="array" ref="C16622">PRODUCT(1-'Sparkling Model'!D$2:D$38^A16622)</f>
        <v>0.9990775624</v>
      </c>
    </row>
    <row r="16623">
      <c r="A16623" s="6">
        <v>16621.0</v>
      </c>
      <c r="B16623" s="17">
        <f t="array" ref="B16623">SUM(1-'Sparkling Model'!D$2:D$38^A16623)</f>
        <v>36.99907773</v>
      </c>
      <c r="C16623" s="8">
        <f t="array" ref="C16623">PRODUCT(1-'Sparkling Model'!D$2:D$38^A16623)</f>
        <v>0.9990780167</v>
      </c>
    </row>
    <row r="16624">
      <c r="A16624" s="6">
        <v>16622.0</v>
      </c>
      <c r="B16624" s="17">
        <f t="array" ref="B16624">SUM(1-'Sparkling Model'!D$2:D$38^A16624)</f>
        <v>36.99907818</v>
      </c>
      <c r="C16624" s="8">
        <f t="array" ref="C16624">PRODUCT(1-'Sparkling Model'!D$2:D$38^A16624)</f>
        <v>0.9990784708</v>
      </c>
    </row>
    <row r="16625">
      <c r="A16625" s="6">
        <v>16623.0</v>
      </c>
      <c r="B16625" s="17">
        <f t="array" ref="B16625">SUM(1-'Sparkling Model'!D$2:D$38^A16625)</f>
        <v>36.99907863</v>
      </c>
      <c r="C16625" s="8">
        <f t="array" ref="C16625">PRODUCT(1-'Sparkling Model'!D$2:D$38^A16625)</f>
        <v>0.9990789246</v>
      </c>
    </row>
    <row r="16626">
      <c r="A16626" s="6">
        <v>16624.0</v>
      </c>
      <c r="B16626" s="17">
        <f t="array" ref="B16626">SUM(1-'Sparkling Model'!D$2:D$38^A16626)</f>
        <v>36.99907909</v>
      </c>
      <c r="C16626" s="8">
        <f t="array" ref="C16626">PRODUCT(1-'Sparkling Model'!D$2:D$38^A16626)</f>
        <v>0.9990793782</v>
      </c>
    </row>
    <row r="16627">
      <c r="A16627" s="6">
        <v>16625.0</v>
      </c>
      <c r="B16627" s="17">
        <f t="array" ref="B16627">SUM(1-'Sparkling Model'!D$2:D$38^A16627)</f>
        <v>36.99907954</v>
      </c>
      <c r="C16627" s="8">
        <f t="array" ref="C16627">PRODUCT(1-'Sparkling Model'!D$2:D$38^A16627)</f>
        <v>0.9990798316</v>
      </c>
    </row>
    <row r="16628">
      <c r="A16628" s="6">
        <v>16626.0</v>
      </c>
      <c r="B16628" s="17">
        <f t="array" ref="B16628">SUM(1-'Sparkling Model'!D$2:D$38^A16628)</f>
        <v>36.99907999</v>
      </c>
      <c r="C16628" s="8">
        <f t="array" ref="C16628">PRODUCT(1-'Sparkling Model'!D$2:D$38^A16628)</f>
        <v>0.9990802848</v>
      </c>
    </row>
    <row r="16629">
      <c r="A16629" s="6">
        <v>16627.0</v>
      </c>
      <c r="B16629" s="17">
        <f t="array" ref="B16629">SUM(1-'Sparkling Model'!D$2:D$38^A16629)</f>
        <v>36.99908045</v>
      </c>
      <c r="C16629" s="8">
        <f t="array" ref="C16629">PRODUCT(1-'Sparkling Model'!D$2:D$38^A16629)</f>
        <v>0.9990807377</v>
      </c>
    </row>
    <row r="16630">
      <c r="A16630" s="6">
        <v>16628.0</v>
      </c>
      <c r="B16630" s="17">
        <f t="array" ref="B16630">SUM(1-'Sparkling Model'!D$2:D$38^A16630)</f>
        <v>36.9990809</v>
      </c>
      <c r="C16630" s="8">
        <f t="array" ref="C16630">PRODUCT(1-'Sparkling Model'!D$2:D$38^A16630)</f>
        <v>0.9990811905</v>
      </c>
    </row>
    <row r="16631">
      <c r="A16631" s="6">
        <v>16629.0</v>
      </c>
      <c r="B16631" s="17">
        <f t="array" ref="B16631">SUM(1-'Sparkling Model'!D$2:D$38^A16631)</f>
        <v>36.99908135</v>
      </c>
      <c r="C16631" s="8">
        <f t="array" ref="C16631">PRODUCT(1-'Sparkling Model'!D$2:D$38^A16631)</f>
        <v>0.999081643</v>
      </c>
    </row>
    <row r="16632">
      <c r="A16632" s="6">
        <v>16630.0</v>
      </c>
      <c r="B16632" s="17">
        <f t="array" ref="B16632">SUM(1-'Sparkling Model'!D$2:D$38^A16632)</f>
        <v>36.99908181</v>
      </c>
      <c r="C16632" s="8">
        <f t="array" ref="C16632">PRODUCT(1-'Sparkling Model'!D$2:D$38^A16632)</f>
        <v>0.9990820953</v>
      </c>
    </row>
    <row r="16633">
      <c r="A16633" s="6">
        <v>16631.0</v>
      </c>
      <c r="B16633" s="17">
        <f t="array" ref="B16633">SUM(1-'Sparkling Model'!D$2:D$38^A16633)</f>
        <v>36.99908226</v>
      </c>
      <c r="C16633" s="8">
        <f t="array" ref="C16633">PRODUCT(1-'Sparkling Model'!D$2:D$38^A16633)</f>
        <v>0.9990825473</v>
      </c>
    </row>
    <row r="16634">
      <c r="A16634" s="6">
        <v>16632.0</v>
      </c>
      <c r="B16634" s="17">
        <f t="array" ref="B16634">SUM(1-'Sparkling Model'!D$2:D$38^A16634)</f>
        <v>36.99908271</v>
      </c>
      <c r="C16634" s="8">
        <f t="array" ref="C16634">PRODUCT(1-'Sparkling Model'!D$2:D$38^A16634)</f>
        <v>0.9990829991</v>
      </c>
    </row>
    <row r="16635">
      <c r="A16635" s="6">
        <v>16633.0</v>
      </c>
      <c r="B16635" s="17">
        <f t="array" ref="B16635">SUM(1-'Sparkling Model'!D$2:D$38^A16635)</f>
        <v>36.99908316</v>
      </c>
      <c r="C16635" s="8">
        <f t="array" ref="C16635">PRODUCT(1-'Sparkling Model'!D$2:D$38^A16635)</f>
        <v>0.9990834507</v>
      </c>
    </row>
    <row r="16636">
      <c r="A16636" s="6">
        <v>16634.0</v>
      </c>
      <c r="B16636" s="17">
        <f t="array" ref="B16636">SUM(1-'Sparkling Model'!D$2:D$38^A16636)</f>
        <v>36.99908361</v>
      </c>
      <c r="C16636" s="8">
        <f t="array" ref="C16636">PRODUCT(1-'Sparkling Model'!D$2:D$38^A16636)</f>
        <v>0.9990839021</v>
      </c>
    </row>
    <row r="16637">
      <c r="A16637" s="6">
        <v>16635.0</v>
      </c>
      <c r="B16637" s="17">
        <f t="array" ref="B16637">SUM(1-'Sparkling Model'!D$2:D$38^A16637)</f>
        <v>36.99908407</v>
      </c>
      <c r="C16637" s="8">
        <f t="array" ref="C16637">PRODUCT(1-'Sparkling Model'!D$2:D$38^A16637)</f>
        <v>0.9990843533</v>
      </c>
    </row>
    <row r="16638">
      <c r="A16638" s="6">
        <v>16636.0</v>
      </c>
      <c r="B16638" s="17">
        <f t="array" ref="B16638">SUM(1-'Sparkling Model'!D$2:D$38^A16638)</f>
        <v>36.99908452</v>
      </c>
      <c r="C16638" s="8">
        <f t="array" ref="C16638">PRODUCT(1-'Sparkling Model'!D$2:D$38^A16638)</f>
        <v>0.9990848042</v>
      </c>
    </row>
    <row r="16639">
      <c r="A16639" s="6">
        <v>16637.0</v>
      </c>
      <c r="B16639" s="17">
        <f t="array" ref="B16639">SUM(1-'Sparkling Model'!D$2:D$38^A16639)</f>
        <v>36.99908497</v>
      </c>
      <c r="C16639" s="8">
        <f t="array" ref="C16639">PRODUCT(1-'Sparkling Model'!D$2:D$38^A16639)</f>
        <v>0.999085255</v>
      </c>
    </row>
    <row r="16640">
      <c r="A16640" s="6">
        <v>16638.0</v>
      </c>
      <c r="B16640" s="17">
        <f t="array" ref="B16640">SUM(1-'Sparkling Model'!D$2:D$38^A16640)</f>
        <v>36.99908542</v>
      </c>
      <c r="C16640" s="8">
        <f t="array" ref="C16640">PRODUCT(1-'Sparkling Model'!D$2:D$38^A16640)</f>
        <v>0.9990857055</v>
      </c>
    </row>
    <row r="16641">
      <c r="A16641" s="6">
        <v>16639.0</v>
      </c>
      <c r="B16641" s="17">
        <f t="array" ref="B16641">SUM(1-'Sparkling Model'!D$2:D$38^A16641)</f>
        <v>36.99908587</v>
      </c>
      <c r="C16641" s="8">
        <f t="array" ref="C16641">PRODUCT(1-'Sparkling Model'!D$2:D$38^A16641)</f>
        <v>0.9990861557</v>
      </c>
    </row>
    <row r="16642">
      <c r="A16642" s="6">
        <v>16640.0</v>
      </c>
      <c r="B16642" s="17">
        <f t="array" ref="B16642">SUM(1-'Sparkling Model'!D$2:D$38^A16642)</f>
        <v>36.99908632</v>
      </c>
      <c r="C16642" s="8">
        <f t="array" ref="C16642">PRODUCT(1-'Sparkling Model'!D$2:D$38^A16642)</f>
        <v>0.9990866058</v>
      </c>
    </row>
    <row r="16643">
      <c r="A16643" s="6">
        <v>16641.0</v>
      </c>
      <c r="B16643" s="17">
        <f t="array" ref="B16643">SUM(1-'Sparkling Model'!D$2:D$38^A16643)</f>
        <v>36.99908677</v>
      </c>
      <c r="C16643" s="8">
        <f t="array" ref="C16643">PRODUCT(1-'Sparkling Model'!D$2:D$38^A16643)</f>
        <v>0.9990870556</v>
      </c>
    </row>
    <row r="16644">
      <c r="A16644" s="6">
        <v>16642.0</v>
      </c>
      <c r="B16644" s="17">
        <f t="array" ref="B16644">SUM(1-'Sparkling Model'!D$2:D$38^A16644)</f>
        <v>36.99908722</v>
      </c>
      <c r="C16644" s="8">
        <f t="array" ref="C16644">PRODUCT(1-'Sparkling Model'!D$2:D$38^A16644)</f>
        <v>0.9990875052</v>
      </c>
    </row>
    <row r="16645">
      <c r="A16645" s="6">
        <v>16643.0</v>
      </c>
      <c r="B16645" s="17">
        <f t="array" ref="B16645">SUM(1-'Sparkling Model'!D$2:D$38^A16645)</f>
        <v>36.99908767</v>
      </c>
      <c r="C16645" s="8">
        <f t="array" ref="C16645">PRODUCT(1-'Sparkling Model'!D$2:D$38^A16645)</f>
        <v>0.9990879546</v>
      </c>
    </row>
    <row r="16646">
      <c r="A16646" s="6">
        <v>16644.0</v>
      </c>
      <c r="B16646" s="17">
        <f t="array" ref="B16646">SUM(1-'Sparkling Model'!D$2:D$38^A16646)</f>
        <v>36.99908812</v>
      </c>
      <c r="C16646" s="8">
        <f t="array" ref="C16646">PRODUCT(1-'Sparkling Model'!D$2:D$38^A16646)</f>
        <v>0.9990884038</v>
      </c>
    </row>
    <row r="16647">
      <c r="A16647" s="6">
        <v>16645.0</v>
      </c>
      <c r="B16647" s="17">
        <f t="array" ref="B16647">SUM(1-'Sparkling Model'!D$2:D$38^A16647)</f>
        <v>36.99908857</v>
      </c>
      <c r="C16647" s="8">
        <f t="array" ref="C16647">PRODUCT(1-'Sparkling Model'!D$2:D$38^A16647)</f>
        <v>0.9990888527</v>
      </c>
    </row>
    <row r="16648">
      <c r="A16648" s="6">
        <v>16646.0</v>
      </c>
      <c r="B16648" s="17">
        <f t="array" ref="B16648">SUM(1-'Sparkling Model'!D$2:D$38^A16648)</f>
        <v>36.99908902</v>
      </c>
      <c r="C16648" s="8">
        <f t="array" ref="C16648">PRODUCT(1-'Sparkling Model'!D$2:D$38^A16648)</f>
        <v>0.9990893014</v>
      </c>
    </row>
    <row r="16649">
      <c r="A16649" s="6">
        <v>16647.0</v>
      </c>
      <c r="B16649" s="17">
        <f t="array" ref="B16649">SUM(1-'Sparkling Model'!D$2:D$38^A16649)</f>
        <v>36.99908947</v>
      </c>
      <c r="C16649" s="8">
        <f t="array" ref="C16649">PRODUCT(1-'Sparkling Model'!D$2:D$38^A16649)</f>
        <v>0.9990897499</v>
      </c>
    </row>
    <row r="16650">
      <c r="A16650" s="6">
        <v>16648.0</v>
      </c>
      <c r="B16650" s="17">
        <f t="array" ref="B16650">SUM(1-'Sparkling Model'!D$2:D$38^A16650)</f>
        <v>36.99908991</v>
      </c>
      <c r="C16650" s="8">
        <f t="array" ref="C16650">PRODUCT(1-'Sparkling Model'!D$2:D$38^A16650)</f>
        <v>0.9990901982</v>
      </c>
    </row>
    <row r="16651">
      <c r="A16651" s="6">
        <v>16649.0</v>
      </c>
      <c r="B16651" s="17">
        <f t="array" ref="B16651">SUM(1-'Sparkling Model'!D$2:D$38^A16651)</f>
        <v>36.99909036</v>
      </c>
      <c r="C16651" s="8">
        <f t="array" ref="C16651">PRODUCT(1-'Sparkling Model'!D$2:D$38^A16651)</f>
        <v>0.9990906462</v>
      </c>
    </row>
    <row r="16652">
      <c r="A16652" s="6">
        <v>16650.0</v>
      </c>
      <c r="B16652" s="17">
        <f t="array" ref="B16652">SUM(1-'Sparkling Model'!D$2:D$38^A16652)</f>
        <v>36.99909081</v>
      </c>
      <c r="C16652" s="8">
        <f t="array" ref="C16652">PRODUCT(1-'Sparkling Model'!D$2:D$38^A16652)</f>
        <v>0.9990910941</v>
      </c>
    </row>
    <row r="16653">
      <c r="A16653" s="6">
        <v>16651.0</v>
      </c>
      <c r="B16653" s="17">
        <f t="array" ref="B16653">SUM(1-'Sparkling Model'!D$2:D$38^A16653)</f>
        <v>36.99909126</v>
      </c>
      <c r="C16653" s="8">
        <f t="array" ref="C16653">PRODUCT(1-'Sparkling Model'!D$2:D$38^A16653)</f>
        <v>0.9990915417</v>
      </c>
    </row>
    <row r="16654">
      <c r="A16654" s="6">
        <v>16652.0</v>
      </c>
      <c r="B16654" s="17">
        <f t="array" ref="B16654">SUM(1-'Sparkling Model'!D$2:D$38^A16654)</f>
        <v>36.99909171</v>
      </c>
      <c r="C16654" s="8">
        <f t="array" ref="C16654">PRODUCT(1-'Sparkling Model'!D$2:D$38^A16654)</f>
        <v>0.9990919891</v>
      </c>
    </row>
    <row r="16655">
      <c r="A16655" s="6">
        <v>16653.0</v>
      </c>
      <c r="B16655" s="17">
        <f t="array" ref="B16655">SUM(1-'Sparkling Model'!D$2:D$38^A16655)</f>
        <v>36.99909215</v>
      </c>
      <c r="C16655" s="8">
        <f t="array" ref="C16655">PRODUCT(1-'Sparkling Model'!D$2:D$38^A16655)</f>
        <v>0.9990924363</v>
      </c>
    </row>
    <row r="16656">
      <c r="A16656" s="6">
        <v>16654.0</v>
      </c>
      <c r="B16656" s="17">
        <f t="array" ref="B16656">SUM(1-'Sparkling Model'!D$2:D$38^A16656)</f>
        <v>36.9990926</v>
      </c>
      <c r="C16656" s="8">
        <f t="array" ref="C16656">PRODUCT(1-'Sparkling Model'!D$2:D$38^A16656)</f>
        <v>0.9990928832</v>
      </c>
    </row>
    <row r="16657">
      <c r="A16657" s="6">
        <v>16655.0</v>
      </c>
      <c r="B16657" s="17">
        <f t="array" ref="B16657">SUM(1-'Sparkling Model'!D$2:D$38^A16657)</f>
        <v>36.99909305</v>
      </c>
      <c r="C16657" s="8">
        <f t="array" ref="C16657">PRODUCT(1-'Sparkling Model'!D$2:D$38^A16657)</f>
        <v>0.9990933299</v>
      </c>
    </row>
    <row r="16658">
      <c r="A16658" s="6">
        <v>16656.0</v>
      </c>
      <c r="B16658" s="17">
        <f t="array" ref="B16658">SUM(1-'Sparkling Model'!D$2:D$38^A16658)</f>
        <v>36.99909349</v>
      </c>
      <c r="C16658" s="8">
        <f t="array" ref="C16658">PRODUCT(1-'Sparkling Model'!D$2:D$38^A16658)</f>
        <v>0.9990937765</v>
      </c>
    </row>
    <row r="16659">
      <c r="A16659" s="6">
        <v>16657.0</v>
      </c>
      <c r="B16659" s="17">
        <f t="array" ref="B16659">SUM(1-'Sparkling Model'!D$2:D$38^A16659)</f>
        <v>36.99909394</v>
      </c>
      <c r="C16659" s="8">
        <f t="array" ref="C16659">PRODUCT(1-'Sparkling Model'!D$2:D$38^A16659)</f>
        <v>0.9990942227</v>
      </c>
    </row>
    <row r="16660">
      <c r="A16660" s="6">
        <v>16658.0</v>
      </c>
      <c r="B16660" s="17">
        <f t="array" ref="B16660">SUM(1-'Sparkling Model'!D$2:D$38^A16660)</f>
        <v>36.99909439</v>
      </c>
      <c r="C16660" s="8">
        <f t="array" ref="C16660">PRODUCT(1-'Sparkling Model'!D$2:D$38^A16660)</f>
        <v>0.9990946688</v>
      </c>
    </row>
    <row r="16661">
      <c r="A16661" s="6">
        <v>16659.0</v>
      </c>
      <c r="B16661" s="17">
        <f t="array" ref="B16661">SUM(1-'Sparkling Model'!D$2:D$38^A16661)</f>
        <v>36.99909483</v>
      </c>
      <c r="C16661" s="8">
        <f t="array" ref="C16661">PRODUCT(1-'Sparkling Model'!D$2:D$38^A16661)</f>
        <v>0.9990951147</v>
      </c>
    </row>
    <row r="16662">
      <c r="A16662" s="6">
        <v>16660.0</v>
      </c>
      <c r="B16662" s="17">
        <f t="array" ref="B16662">SUM(1-'Sparkling Model'!D$2:D$38^A16662)</f>
        <v>36.99909528</v>
      </c>
      <c r="C16662" s="8">
        <f t="array" ref="C16662">PRODUCT(1-'Sparkling Model'!D$2:D$38^A16662)</f>
        <v>0.9990955603</v>
      </c>
    </row>
    <row r="16663">
      <c r="A16663" s="6">
        <v>16661.0</v>
      </c>
      <c r="B16663" s="17">
        <f t="array" ref="B16663">SUM(1-'Sparkling Model'!D$2:D$38^A16663)</f>
        <v>36.99909573</v>
      </c>
      <c r="C16663" s="8">
        <f t="array" ref="C16663">PRODUCT(1-'Sparkling Model'!D$2:D$38^A16663)</f>
        <v>0.9990960057</v>
      </c>
    </row>
    <row r="16664">
      <c r="A16664" s="6">
        <v>16662.0</v>
      </c>
      <c r="B16664" s="17">
        <f t="array" ref="B16664">SUM(1-'Sparkling Model'!D$2:D$38^A16664)</f>
        <v>36.99909617</v>
      </c>
      <c r="C16664" s="8">
        <f t="array" ref="C16664">PRODUCT(1-'Sparkling Model'!D$2:D$38^A16664)</f>
        <v>0.9990964509</v>
      </c>
    </row>
    <row r="16665">
      <c r="A16665" s="6">
        <v>16663.0</v>
      </c>
      <c r="B16665" s="17">
        <f t="array" ref="B16665">SUM(1-'Sparkling Model'!D$2:D$38^A16665)</f>
        <v>36.99909662</v>
      </c>
      <c r="C16665" s="8">
        <f t="array" ref="C16665">PRODUCT(1-'Sparkling Model'!D$2:D$38^A16665)</f>
        <v>0.9990968959</v>
      </c>
    </row>
    <row r="16666">
      <c r="A16666" s="6">
        <v>16664.0</v>
      </c>
      <c r="B16666" s="17">
        <f t="array" ref="B16666">SUM(1-'Sparkling Model'!D$2:D$38^A16666)</f>
        <v>36.99909706</v>
      </c>
      <c r="C16666" s="8">
        <f t="array" ref="C16666">PRODUCT(1-'Sparkling Model'!D$2:D$38^A16666)</f>
        <v>0.9990973406</v>
      </c>
    </row>
    <row r="16667">
      <c r="A16667" s="6">
        <v>16665.0</v>
      </c>
      <c r="B16667" s="17">
        <f t="array" ref="B16667">SUM(1-'Sparkling Model'!D$2:D$38^A16667)</f>
        <v>36.99909751</v>
      </c>
      <c r="C16667" s="8">
        <f t="array" ref="C16667">PRODUCT(1-'Sparkling Model'!D$2:D$38^A16667)</f>
        <v>0.9990977851</v>
      </c>
    </row>
    <row r="16668">
      <c r="A16668" s="6">
        <v>16666.0</v>
      </c>
      <c r="B16668" s="17">
        <f t="array" ref="B16668">SUM(1-'Sparkling Model'!D$2:D$38^A16668)</f>
        <v>36.99909795</v>
      </c>
      <c r="C16668" s="8">
        <f t="array" ref="C16668">PRODUCT(1-'Sparkling Model'!D$2:D$38^A16668)</f>
        <v>0.9990982294</v>
      </c>
    </row>
    <row r="16669">
      <c r="A16669" s="6">
        <v>16667.0</v>
      </c>
      <c r="B16669" s="17">
        <f t="array" ref="B16669">SUM(1-'Sparkling Model'!D$2:D$38^A16669)</f>
        <v>36.9990984</v>
      </c>
      <c r="C16669" s="8">
        <f t="array" ref="C16669">PRODUCT(1-'Sparkling Model'!D$2:D$38^A16669)</f>
        <v>0.9990986735</v>
      </c>
    </row>
    <row r="16670">
      <c r="A16670" s="6">
        <v>16668.0</v>
      </c>
      <c r="B16670" s="17">
        <f t="array" ref="B16670">SUM(1-'Sparkling Model'!D$2:D$38^A16670)</f>
        <v>36.99909884</v>
      </c>
      <c r="C16670" s="8">
        <f t="array" ref="C16670">PRODUCT(1-'Sparkling Model'!D$2:D$38^A16670)</f>
        <v>0.9990991174</v>
      </c>
    </row>
    <row r="16671">
      <c r="A16671" s="6">
        <v>16669.0</v>
      </c>
      <c r="B16671" s="17">
        <f t="array" ref="B16671">SUM(1-'Sparkling Model'!D$2:D$38^A16671)</f>
        <v>36.99909928</v>
      </c>
      <c r="C16671" s="8">
        <f t="array" ref="C16671">PRODUCT(1-'Sparkling Model'!D$2:D$38^A16671)</f>
        <v>0.9990995611</v>
      </c>
    </row>
    <row r="16672">
      <c r="A16672" s="6">
        <v>16670.0</v>
      </c>
      <c r="B16672" s="17">
        <f t="array" ref="B16672">SUM(1-'Sparkling Model'!D$2:D$38^A16672)</f>
        <v>36.99909973</v>
      </c>
      <c r="C16672" s="8">
        <f t="array" ref="C16672">PRODUCT(1-'Sparkling Model'!D$2:D$38^A16672)</f>
        <v>0.9991000045</v>
      </c>
    </row>
    <row r="16673">
      <c r="A16673" s="6">
        <v>16671.0</v>
      </c>
      <c r="B16673" s="17">
        <f t="array" ref="B16673">SUM(1-'Sparkling Model'!D$2:D$38^A16673)</f>
        <v>36.99910017</v>
      </c>
      <c r="C16673" s="8">
        <f t="array" ref="C16673">PRODUCT(1-'Sparkling Model'!D$2:D$38^A16673)</f>
        <v>0.9991004477</v>
      </c>
    </row>
    <row r="16674">
      <c r="A16674" s="6">
        <v>16672.0</v>
      </c>
      <c r="B16674" s="17">
        <f t="array" ref="B16674">SUM(1-'Sparkling Model'!D$2:D$38^A16674)</f>
        <v>36.99910061</v>
      </c>
      <c r="C16674" s="8">
        <f t="array" ref="C16674">PRODUCT(1-'Sparkling Model'!D$2:D$38^A16674)</f>
        <v>0.9991008907</v>
      </c>
    </row>
    <row r="16675">
      <c r="A16675" s="6">
        <v>16673.0</v>
      </c>
      <c r="B16675" s="17">
        <f t="array" ref="B16675">SUM(1-'Sparkling Model'!D$2:D$38^A16675)</f>
        <v>36.99910106</v>
      </c>
      <c r="C16675" s="8">
        <f t="array" ref="C16675">PRODUCT(1-'Sparkling Model'!D$2:D$38^A16675)</f>
        <v>0.9991013335</v>
      </c>
    </row>
    <row r="16676">
      <c r="A16676" s="6">
        <v>16674.0</v>
      </c>
      <c r="B16676" s="17">
        <f t="array" ref="B16676">SUM(1-'Sparkling Model'!D$2:D$38^A16676)</f>
        <v>36.9991015</v>
      </c>
      <c r="C16676" s="8">
        <f t="array" ref="C16676">PRODUCT(1-'Sparkling Model'!D$2:D$38^A16676)</f>
        <v>0.999101776</v>
      </c>
    </row>
    <row r="16677">
      <c r="A16677" s="6">
        <v>16675.0</v>
      </c>
      <c r="B16677" s="17">
        <f t="array" ref="B16677">SUM(1-'Sparkling Model'!D$2:D$38^A16677)</f>
        <v>36.99910194</v>
      </c>
      <c r="C16677" s="8">
        <f t="array" ref="C16677">PRODUCT(1-'Sparkling Model'!D$2:D$38^A16677)</f>
        <v>0.9991022184</v>
      </c>
    </row>
    <row r="16678">
      <c r="A16678" s="6">
        <v>16676.0</v>
      </c>
      <c r="B16678" s="17">
        <f t="array" ref="B16678">SUM(1-'Sparkling Model'!D$2:D$38^A16678)</f>
        <v>36.99910238</v>
      </c>
      <c r="C16678" s="8">
        <f t="array" ref="C16678">PRODUCT(1-'Sparkling Model'!D$2:D$38^A16678)</f>
        <v>0.9991026605</v>
      </c>
    </row>
    <row r="16679">
      <c r="A16679" s="6">
        <v>16677.0</v>
      </c>
      <c r="B16679" s="17">
        <f t="array" ref="B16679">SUM(1-'Sparkling Model'!D$2:D$38^A16679)</f>
        <v>36.99910283</v>
      </c>
      <c r="C16679" s="8">
        <f t="array" ref="C16679">PRODUCT(1-'Sparkling Model'!D$2:D$38^A16679)</f>
        <v>0.9991031024</v>
      </c>
    </row>
    <row r="16680">
      <c r="A16680" s="6">
        <v>16678.0</v>
      </c>
      <c r="B16680" s="17">
        <f t="array" ref="B16680">SUM(1-'Sparkling Model'!D$2:D$38^A16680)</f>
        <v>36.99910327</v>
      </c>
      <c r="C16680" s="8">
        <f t="array" ref="C16680">PRODUCT(1-'Sparkling Model'!D$2:D$38^A16680)</f>
        <v>0.9991035441</v>
      </c>
    </row>
    <row r="16681">
      <c r="A16681" s="6">
        <v>16679.0</v>
      </c>
      <c r="B16681" s="17">
        <f t="array" ref="B16681">SUM(1-'Sparkling Model'!D$2:D$38^A16681)</f>
        <v>36.99910371</v>
      </c>
      <c r="C16681" s="8">
        <f t="array" ref="C16681">PRODUCT(1-'Sparkling Model'!D$2:D$38^A16681)</f>
        <v>0.9991039856</v>
      </c>
    </row>
    <row r="16682">
      <c r="A16682" s="6">
        <v>16680.0</v>
      </c>
      <c r="B16682" s="17">
        <f t="array" ref="B16682">SUM(1-'Sparkling Model'!D$2:D$38^A16682)</f>
        <v>36.99910415</v>
      </c>
      <c r="C16682" s="8">
        <f t="array" ref="C16682">PRODUCT(1-'Sparkling Model'!D$2:D$38^A16682)</f>
        <v>0.9991044268</v>
      </c>
    </row>
    <row r="16683">
      <c r="A16683" s="6">
        <v>16681.0</v>
      </c>
      <c r="B16683" s="17">
        <f t="array" ref="B16683">SUM(1-'Sparkling Model'!D$2:D$38^A16683)</f>
        <v>36.99910459</v>
      </c>
      <c r="C16683" s="8">
        <f t="array" ref="C16683">PRODUCT(1-'Sparkling Model'!D$2:D$38^A16683)</f>
        <v>0.9991048678</v>
      </c>
    </row>
    <row r="16684">
      <c r="A16684" s="6">
        <v>16682.0</v>
      </c>
      <c r="B16684" s="17">
        <f t="array" ref="B16684">SUM(1-'Sparkling Model'!D$2:D$38^A16684)</f>
        <v>36.99910503</v>
      </c>
      <c r="C16684" s="8">
        <f t="array" ref="C16684">PRODUCT(1-'Sparkling Model'!D$2:D$38^A16684)</f>
        <v>0.9991053087</v>
      </c>
    </row>
    <row r="16685">
      <c r="A16685" s="6">
        <v>16683.0</v>
      </c>
      <c r="B16685" s="17">
        <f t="array" ref="B16685">SUM(1-'Sparkling Model'!D$2:D$38^A16685)</f>
        <v>36.99910548</v>
      </c>
      <c r="C16685" s="8">
        <f t="array" ref="C16685">PRODUCT(1-'Sparkling Model'!D$2:D$38^A16685)</f>
        <v>0.9991057493</v>
      </c>
    </row>
    <row r="16686">
      <c r="A16686" s="6">
        <v>16684.0</v>
      </c>
      <c r="B16686" s="17">
        <f t="array" ref="B16686">SUM(1-'Sparkling Model'!D$2:D$38^A16686)</f>
        <v>36.99910592</v>
      </c>
      <c r="C16686" s="8">
        <f t="array" ref="C16686">PRODUCT(1-'Sparkling Model'!D$2:D$38^A16686)</f>
        <v>0.9991061896</v>
      </c>
    </row>
    <row r="16687">
      <c r="A16687" s="6">
        <v>16685.0</v>
      </c>
      <c r="B16687" s="17">
        <f t="array" ref="B16687">SUM(1-'Sparkling Model'!D$2:D$38^A16687)</f>
        <v>36.99910636</v>
      </c>
      <c r="C16687" s="8">
        <f t="array" ref="C16687">PRODUCT(1-'Sparkling Model'!D$2:D$38^A16687)</f>
        <v>0.9991066298</v>
      </c>
    </row>
    <row r="16688">
      <c r="A16688" s="6">
        <v>16686.0</v>
      </c>
      <c r="B16688" s="17">
        <f t="array" ref="B16688">SUM(1-'Sparkling Model'!D$2:D$38^A16688)</f>
        <v>36.9991068</v>
      </c>
      <c r="C16688" s="8">
        <f t="array" ref="C16688">PRODUCT(1-'Sparkling Model'!D$2:D$38^A16688)</f>
        <v>0.9991070697</v>
      </c>
    </row>
    <row r="16689">
      <c r="A16689" s="6">
        <v>16687.0</v>
      </c>
      <c r="B16689" s="17">
        <f t="array" ref="B16689">SUM(1-'Sparkling Model'!D$2:D$38^A16689)</f>
        <v>36.99910724</v>
      </c>
      <c r="C16689" s="8">
        <f t="array" ref="C16689">PRODUCT(1-'Sparkling Model'!D$2:D$38^A16689)</f>
        <v>0.9991075095</v>
      </c>
    </row>
    <row r="16690">
      <c r="A16690" s="6">
        <v>16688.0</v>
      </c>
      <c r="B16690" s="17">
        <f t="array" ref="B16690">SUM(1-'Sparkling Model'!D$2:D$38^A16690)</f>
        <v>36.99910768</v>
      </c>
      <c r="C16690" s="8">
        <f t="array" ref="C16690">PRODUCT(1-'Sparkling Model'!D$2:D$38^A16690)</f>
        <v>0.999107949</v>
      </c>
    </row>
    <row r="16691">
      <c r="A16691" s="6">
        <v>16689.0</v>
      </c>
      <c r="B16691" s="17">
        <f t="array" ref="B16691">SUM(1-'Sparkling Model'!D$2:D$38^A16691)</f>
        <v>36.99910812</v>
      </c>
      <c r="C16691" s="8">
        <f t="array" ref="C16691">PRODUCT(1-'Sparkling Model'!D$2:D$38^A16691)</f>
        <v>0.9991083883</v>
      </c>
    </row>
    <row r="16692">
      <c r="A16692" s="6">
        <v>16690.0</v>
      </c>
      <c r="B16692" s="17">
        <f t="array" ref="B16692">SUM(1-'Sparkling Model'!D$2:D$38^A16692)</f>
        <v>36.99910856</v>
      </c>
      <c r="C16692" s="8">
        <f t="array" ref="C16692">PRODUCT(1-'Sparkling Model'!D$2:D$38^A16692)</f>
        <v>0.9991088273</v>
      </c>
    </row>
    <row r="16693">
      <c r="A16693" s="6">
        <v>16691.0</v>
      </c>
      <c r="B16693" s="17">
        <f t="array" ref="B16693">SUM(1-'Sparkling Model'!D$2:D$38^A16693)</f>
        <v>36.99910899</v>
      </c>
      <c r="C16693" s="8">
        <f t="array" ref="C16693">PRODUCT(1-'Sparkling Model'!D$2:D$38^A16693)</f>
        <v>0.9991092662</v>
      </c>
    </row>
    <row r="16694">
      <c r="A16694" s="6">
        <v>16692.0</v>
      </c>
      <c r="B16694" s="17">
        <f t="array" ref="B16694">SUM(1-'Sparkling Model'!D$2:D$38^A16694)</f>
        <v>36.99910943</v>
      </c>
      <c r="C16694" s="8">
        <f t="array" ref="C16694">PRODUCT(1-'Sparkling Model'!D$2:D$38^A16694)</f>
        <v>0.9991097049</v>
      </c>
    </row>
    <row r="16695">
      <c r="A16695" s="6">
        <v>16693.0</v>
      </c>
      <c r="B16695" s="17">
        <f t="array" ref="B16695">SUM(1-'Sparkling Model'!D$2:D$38^A16695)</f>
        <v>36.99910987</v>
      </c>
      <c r="C16695" s="8">
        <f t="array" ref="C16695">PRODUCT(1-'Sparkling Model'!D$2:D$38^A16695)</f>
        <v>0.9991101433</v>
      </c>
    </row>
    <row r="16696">
      <c r="A16696" s="6">
        <v>16694.0</v>
      </c>
      <c r="B16696" s="17">
        <f t="array" ref="B16696">SUM(1-'Sparkling Model'!D$2:D$38^A16696)</f>
        <v>36.99911031</v>
      </c>
      <c r="C16696" s="8">
        <f t="array" ref="C16696">PRODUCT(1-'Sparkling Model'!D$2:D$38^A16696)</f>
        <v>0.9991105815</v>
      </c>
    </row>
    <row r="16697">
      <c r="A16697" s="6">
        <v>16695.0</v>
      </c>
      <c r="B16697" s="17">
        <f t="array" ref="B16697">SUM(1-'Sparkling Model'!D$2:D$38^A16697)</f>
        <v>36.99911075</v>
      </c>
      <c r="C16697" s="8">
        <f t="array" ref="C16697">PRODUCT(1-'Sparkling Model'!D$2:D$38^A16697)</f>
        <v>0.9991110195</v>
      </c>
    </row>
    <row r="16698">
      <c r="A16698" s="6">
        <v>16696.0</v>
      </c>
      <c r="B16698" s="17">
        <f t="array" ref="B16698">SUM(1-'Sparkling Model'!D$2:D$38^A16698)</f>
        <v>36.99911119</v>
      </c>
      <c r="C16698" s="8">
        <f t="array" ref="C16698">PRODUCT(1-'Sparkling Model'!D$2:D$38^A16698)</f>
        <v>0.9991114573</v>
      </c>
    </row>
    <row r="16699">
      <c r="A16699" s="6">
        <v>16697.0</v>
      </c>
      <c r="B16699" s="17">
        <f t="array" ref="B16699">SUM(1-'Sparkling Model'!D$2:D$38^A16699)</f>
        <v>36.99911162</v>
      </c>
      <c r="C16699" s="8">
        <f t="array" ref="C16699">PRODUCT(1-'Sparkling Model'!D$2:D$38^A16699)</f>
        <v>0.9991118948</v>
      </c>
    </row>
    <row r="16700">
      <c r="A16700" s="6">
        <v>16698.0</v>
      </c>
      <c r="B16700" s="17">
        <f t="array" ref="B16700">SUM(1-'Sparkling Model'!D$2:D$38^A16700)</f>
        <v>36.99911206</v>
      </c>
      <c r="C16700" s="8">
        <f t="array" ref="C16700">PRODUCT(1-'Sparkling Model'!D$2:D$38^A16700)</f>
        <v>0.9991123322</v>
      </c>
    </row>
    <row r="16701">
      <c r="A16701" s="6">
        <v>16699.0</v>
      </c>
      <c r="B16701" s="17">
        <f t="array" ref="B16701">SUM(1-'Sparkling Model'!D$2:D$38^A16701)</f>
        <v>36.9991125</v>
      </c>
      <c r="C16701" s="8">
        <f t="array" ref="C16701">PRODUCT(1-'Sparkling Model'!D$2:D$38^A16701)</f>
        <v>0.9991127693</v>
      </c>
    </row>
    <row r="16702">
      <c r="A16702" s="6">
        <v>16700.0</v>
      </c>
      <c r="B16702" s="17">
        <f t="array" ref="B16702">SUM(1-'Sparkling Model'!D$2:D$38^A16702)</f>
        <v>36.99911294</v>
      </c>
      <c r="C16702" s="8">
        <f t="array" ref="C16702">PRODUCT(1-'Sparkling Model'!D$2:D$38^A16702)</f>
        <v>0.9991132062</v>
      </c>
    </row>
    <row r="16703">
      <c r="A16703" s="6">
        <v>16701.0</v>
      </c>
      <c r="B16703" s="17">
        <f t="array" ref="B16703">SUM(1-'Sparkling Model'!D$2:D$38^A16703)</f>
        <v>36.99911337</v>
      </c>
      <c r="C16703" s="8">
        <f t="array" ref="C16703">PRODUCT(1-'Sparkling Model'!D$2:D$38^A16703)</f>
        <v>0.9991136429</v>
      </c>
    </row>
    <row r="16704">
      <c r="A16704" s="6">
        <v>16702.0</v>
      </c>
      <c r="B16704" s="17">
        <f t="array" ref="B16704">SUM(1-'Sparkling Model'!D$2:D$38^A16704)</f>
        <v>36.99911381</v>
      </c>
      <c r="C16704" s="8">
        <f t="array" ref="C16704">PRODUCT(1-'Sparkling Model'!D$2:D$38^A16704)</f>
        <v>0.9991140794</v>
      </c>
    </row>
    <row r="16705">
      <c r="A16705" s="6">
        <v>16703.0</v>
      </c>
      <c r="B16705" s="17">
        <f t="array" ref="B16705">SUM(1-'Sparkling Model'!D$2:D$38^A16705)</f>
        <v>36.99911425</v>
      </c>
      <c r="C16705" s="8">
        <f t="array" ref="C16705">PRODUCT(1-'Sparkling Model'!D$2:D$38^A16705)</f>
        <v>0.9991145157</v>
      </c>
    </row>
    <row r="16706">
      <c r="A16706" s="6">
        <v>16704.0</v>
      </c>
      <c r="B16706" s="17">
        <f t="array" ref="B16706">SUM(1-'Sparkling Model'!D$2:D$38^A16706)</f>
        <v>36.99911468</v>
      </c>
      <c r="C16706" s="8">
        <f t="array" ref="C16706">PRODUCT(1-'Sparkling Model'!D$2:D$38^A16706)</f>
        <v>0.9991149517</v>
      </c>
    </row>
    <row r="16707">
      <c r="A16707" s="6">
        <v>16705.0</v>
      </c>
      <c r="B16707" s="17">
        <f t="array" ref="B16707">SUM(1-'Sparkling Model'!D$2:D$38^A16707)</f>
        <v>36.99911512</v>
      </c>
      <c r="C16707" s="8">
        <f t="array" ref="C16707">PRODUCT(1-'Sparkling Model'!D$2:D$38^A16707)</f>
        <v>0.9991153876</v>
      </c>
    </row>
    <row r="16708">
      <c r="A16708" s="6">
        <v>16706.0</v>
      </c>
      <c r="B16708" s="17">
        <f t="array" ref="B16708">SUM(1-'Sparkling Model'!D$2:D$38^A16708)</f>
        <v>36.99911556</v>
      </c>
      <c r="C16708" s="8">
        <f t="array" ref="C16708">PRODUCT(1-'Sparkling Model'!D$2:D$38^A16708)</f>
        <v>0.9991158232</v>
      </c>
    </row>
    <row r="16709">
      <c r="A16709" s="6">
        <v>16707.0</v>
      </c>
      <c r="B16709" s="17">
        <f t="array" ref="B16709">SUM(1-'Sparkling Model'!D$2:D$38^A16709)</f>
        <v>36.99911599</v>
      </c>
      <c r="C16709" s="8">
        <f t="array" ref="C16709">PRODUCT(1-'Sparkling Model'!D$2:D$38^A16709)</f>
        <v>0.9991162586</v>
      </c>
    </row>
    <row r="16710">
      <c r="A16710" s="6">
        <v>16708.0</v>
      </c>
      <c r="B16710" s="17">
        <f t="array" ref="B16710">SUM(1-'Sparkling Model'!D$2:D$38^A16710)</f>
        <v>36.99911643</v>
      </c>
      <c r="C16710" s="8">
        <f t="array" ref="C16710">PRODUCT(1-'Sparkling Model'!D$2:D$38^A16710)</f>
        <v>0.9991166938</v>
      </c>
    </row>
    <row r="16711">
      <c r="A16711" s="6">
        <v>16709.0</v>
      </c>
      <c r="B16711" s="17">
        <f t="array" ref="B16711">SUM(1-'Sparkling Model'!D$2:D$38^A16711)</f>
        <v>36.99911686</v>
      </c>
      <c r="C16711" s="8">
        <f t="array" ref="C16711">PRODUCT(1-'Sparkling Model'!D$2:D$38^A16711)</f>
        <v>0.9991171288</v>
      </c>
    </row>
    <row r="16712">
      <c r="A16712" s="6">
        <v>16710.0</v>
      </c>
      <c r="B16712" s="17">
        <f t="array" ref="B16712">SUM(1-'Sparkling Model'!D$2:D$38^A16712)</f>
        <v>36.9991173</v>
      </c>
      <c r="C16712" s="8">
        <f t="array" ref="C16712">PRODUCT(1-'Sparkling Model'!D$2:D$38^A16712)</f>
        <v>0.9991175635</v>
      </c>
    </row>
    <row r="16713">
      <c r="A16713" s="6">
        <v>16711.0</v>
      </c>
      <c r="B16713" s="17">
        <f t="array" ref="B16713">SUM(1-'Sparkling Model'!D$2:D$38^A16713)</f>
        <v>36.99911773</v>
      </c>
      <c r="C16713" s="8">
        <f t="array" ref="C16713">PRODUCT(1-'Sparkling Model'!D$2:D$38^A16713)</f>
        <v>0.9991179981</v>
      </c>
    </row>
    <row r="16714">
      <c r="A16714" s="6">
        <v>16712.0</v>
      </c>
      <c r="B16714" s="17">
        <f t="array" ref="B16714">SUM(1-'Sparkling Model'!D$2:D$38^A16714)</f>
        <v>36.99911817</v>
      </c>
      <c r="C16714" s="8">
        <f t="array" ref="C16714">PRODUCT(1-'Sparkling Model'!D$2:D$38^A16714)</f>
        <v>0.9991184324</v>
      </c>
    </row>
    <row r="16715">
      <c r="A16715" s="6">
        <v>16713.0</v>
      </c>
      <c r="B16715" s="17">
        <f t="array" ref="B16715">SUM(1-'Sparkling Model'!D$2:D$38^A16715)</f>
        <v>36.9991186</v>
      </c>
      <c r="C16715" s="8">
        <f t="array" ref="C16715">PRODUCT(1-'Sparkling Model'!D$2:D$38^A16715)</f>
        <v>0.9991188665</v>
      </c>
    </row>
    <row r="16716">
      <c r="A16716" s="6">
        <v>16714.0</v>
      </c>
      <c r="B16716" s="17">
        <f t="array" ref="B16716">SUM(1-'Sparkling Model'!D$2:D$38^A16716)</f>
        <v>36.99911903</v>
      </c>
      <c r="C16716" s="8">
        <f t="array" ref="C16716">PRODUCT(1-'Sparkling Model'!D$2:D$38^A16716)</f>
        <v>0.9991193004</v>
      </c>
    </row>
    <row r="16717">
      <c r="A16717" s="6">
        <v>16715.0</v>
      </c>
      <c r="B16717" s="17">
        <f t="array" ref="B16717">SUM(1-'Sparkling Model'!D$2:D$38^A16717)</f>
        <v>36.99911947</v>
      </c>
      <c r="C16717" s="8">
        <f t="array" ref="C16717">PRODUCT(1-'Sparkling Model'!D$2:D$38^A16717)</f>
        <v>0.9991197341</v>
      </c>
    </row>
    <row r="16718">
      <c r="A16718" s="6">
        <v>16716.0</v>
      </c>
      <c r="B16718" s="17">
        <f t="array" ref="B16718">SUM(1-'Sparkling Model'!D$2:D$38^A16718)</f>
        <v>36.9991199</v>
      </c>
      <c r="C16718" s="8">
        <f t="array" ref="C16718">PRODUCT(1-'Sparkling Model'!D$2:D$38^A16718)</f>
        <v>0.9991201676</v>
      </c>
    </row>
    <row r="16719">
      <c r="A16719" s="6">
        <v>16717.0</v>
      </c>
      <c r="B16719" s="17">
        <f t="array" ref="B16719">SUM(1-'Sparkling Model'!D$2:D$38^A16719)</f>
        <v>36.99912034</v>
      </c>
      <c r="C16719" s="8">
        <f t="array" ref="C16719">PRODUCT(1-'Sparkling Model'!D$2:D$38^A16719)</f>
        <v>0.9991206009</v>
      </c>
    </row>
    <row r="16720">
      <c r="A16720" s="6">
        <v>16718.0</v>
      </c>
      <c r="B16720" s="17">
        <f t="array" ref="B16720">SUM(1-'Sparkling Model'!D$2:D$38^A16720)</f>
        <v>36.99912077</v>
      </c>
      <c r="C16720" s="8">
        <f t="array" ref="C16720">PRODUCT(1-'Sparkling Model'!D$2:D$38^A16720)</f>
        <v>0.9991210339</v>
      </c>
    </row>
    <row r="16721">
      <c r="A16721" s="6">
        <v>16719.0</v>
      </c>
      <c r="B16721" s="17">
        <f t="array" ref="B16721">SUM(1-'Sparkling Model'!D$2:D$38^A16721)</f>
        <v>36.9991212</v>
      </c>
      <c r="C16721" s="8">
        <f t="array" ref="C16721">PRODUCT(1-'Sparkling Model'!D$2:D$38^A16721)</f>
        <v>0.9991214667</v>
      </c>
    </row>
    <row r="16722">
      <c r="A16722" s="6">
        <v>16720.0</v>
      </c>
      <c r="B16722" s="17">
        <f t="array" ref="B16722">SUM(1-'Sparkling Model'!D$2:D$38^A16722)</f>
        <v>36.99912164</v>
      </c>
      <c r="C16722" s="8">
        <f t="array" ref="C16722">PRODUCT(1-'Sparkling Model'!D$2:D$38^A16722)</f>
        <v>0.9991218994</v>
      </c>
    </row>
    <row r="16723">
      <c r="A16723" s="6">
        <v>16721.0</v>
      </c>
      <c r="B16723" s="17">
        <f t="array" ref="B16723">SUM(1-'Sparkling Model'!D$2:D$38^A16723)</f>
        <v>36.99912207</v>
      </c>
      <c r="C16723" s="8">
        <f t="array" ref="C16723">PRODUCT(1-'Sparkling Model'!D$2:D$38^A16723)</f>
        <v>0.9991223318</v>
      </c>
    </row>
    <row r="16724">
      <c r="A16724" s="6">
        <v>16722.0</v>
      </c>
      <c r="B16724" s="17">
        <f t="array" ref="B16724">SUM(1-'Sparkling Model'!D$2:D$38^A16724)</f>
        <v>36.9991225</v>
      </c>
      <c r="C16724" s="8">
        <f t="array" ref="C16724">PRODUCT(1-'Sparkling Model'!D$2:D$38^A16724)</f>
        <v>0.999122764</v>
      </c>
    </row>
    <row r="16725">
      <c r="A16725" s="6">
        <v>16723.0</v>
      </c>
      <c r="B16725" s="17">
        <f t="array" ref="B16725">SUM(1-'Sparkling Model'!D$2:D$38^A16725)</f>
        <v>36.99912293</v>
      </c>
      <c r="C16725" s="8">
        <f t="array" ref="C16725">PRODUCT(1-'Sparkling Model'!D$2:D$38^A16725)</f>
        <v>0.9991231959</v>
      </c>
    </row>
    <row r="16726">
      <c r="A16726" s="6">
        <v>16724.0</v>
      </c>
      <c r="B16726" s="17">
        <f t="array" ref="B16726">SUM(1-'Sparkling Model'!D$2:D$38^A16726)</f>
        <v>36.99912336</v>
      </c>
      <c r="C16726" s="8">
        <f t="array" ref="C16726">PRODUCT(1-'Sparkling Model'!D$2:D$38^A16726)</f>
        <v>0.9991236277</v>
      </c>
    </row>
    <row r="16727">
      <c r="A16727" s="6">
        <v>16725.0</v>
      </c>
      <c r="B16727" s="17">
        <f t="array" ref="B16727">SUM(1-'Sparkling Model'!D$2:D$38^A16727)</f>
        <v>36.9991238</v>
      </c>
      <c r="C16727" s="8">
        <f t="array" ref="C16727">PRODUCT(1-'Sparkling Model'!D$2:D$38^A16727)</f>
        <v>0.9991240593</v>
      </c>
    </row>
    <row r="16728">
      <c r="A16728" s="6">
        <v>16726.0</v>
      </c>
      <c r="B16728" s="17">
        <f t="array" ref="B16728">SUM(1-'Sparkling Model'!D$2:D$38^A16728)</f>
        <v>36.99912423</v>
      </c>
      <c r="C16728" s="8">
        <f t="array" ref="C16728">PRODUCT(1-'Sparkling Model'!D$2:D$38^A16728)</f>
        <v>0.9991244906</v>
      </c>
    </row>
    <row r="16729">
      <c r="A16729" s="6">
        <v>16727.0</v>
      </c>
      <c r="B16729" s="17">
        <f t="array" ref="B16729">SUM(1-'Sparkling Model'!D$2:D$38^A16729)</f>
        <v>36.99912466</v>
      </c>
      <c r="C16729" s="8">
        <f t="array" ref="C16729">PRODUCT(1-'Sparkling Model'!D$2:D$38^A16729)</f>
        <v>0.9991249217</v>
      </c>
    </row>
    <row r="16730">
      <c r="A16730" s="6">
        <v>16728.0</v>
      </c>
      <c r="B16730" s="17">
        <f t="array" ref="B16730">SUM(1-'Sparkling Model'!D$2:D$38^A16730)</f>
        <v>36.99912509</v>
      </c>
      <c r="C16730" s="8">
        <f t="array" ref="C16730">PRODUCT(1-'Sparkling Model'!D$2:D$38^A16730)</f>
        <v>0.9991253527</v>
      </c>
    </row>
    <row r="16731">
      <c r="A16731" s="6">
        <v>16729.0</v>
      </c>
      <c r="B16731" s="17">
        <f t="array" ref="B16731">SUM(1-'Sparkling Model'!D$2:D$38^A16731)</f>
        <v>36.99912552</v>
      </c>
      <c r="C16731" s="8">
        <f t="array" ref="C16731">PRODUCT(1-'Sparkling Model'!D$2:D$38^A16731)</f>
        <v>0.9991257834</v>
      </c>
    </row>
    <row r="16732">
      <c r="A16732" s="6">
        <v>16730.0</v>
      </c>
      <c r="B16732" s="17">
        <f t="array" ref="B16732">SUM(1-'Sparkling Model'!D$2:D$38^A16732)</f>
        <v>36.99912595</v>
      </c>
      <c r="C16732" s="8">
        <f t="array" ref="C16732">PRODUCT(1-'Sparkling Model'!D$2:D$38^A16732)</f>
        <v>0.9991262138</v>
      </c>
    </row>
    <row r="16733">
      <c r="A16733" s="6">
        <v>16731.0</v>
      </c>
      <c r="B16733" s="17">
        <f t="array" ref="B16733">SUM(1-'Sparkling Model'!D$2:D$38^A16733)</f>
        <v>36.99912638</v>
      </c>
      <c r="C16733" s="8">
        <f t="array" ref="C16733">PRODUCT(1-'Sparkling Model'!D$2:D$38^A16733)</f>
        <v>0.9991266441</v>
      </c>
    </row>
    <row r="16734">
      <c r="A16734" s="6">
        <v>16732.0</v>
      </c>
      <c r="B16734" s="17">
        <f t="array" ref="B16734">SUM(1-'Sparkling Model'!D$2:D$38^A16734)</f>
        <v>36.99912681</v>
      </c>
      <c r="C16734" s="8">
        <f t="array" ref="C16734">PRODUCT(1-'Sparkling Model'!D$2:D$38^A16734)</f>
        <v>0.9991270742</v>
      </c>
    </row>
    <row r="16735">
      <c r="A16735" s="6">
        <v>16733.0</v>
      </c>
      <c r="B16735" s="17">
        <f t="array" ref="B16735">SUM(1-'Sparkling Model'!D$2:D$38^A16735)</f>
        <v>36.99912724</v>
      </c>
      <c r="C16735" s="8">
        <f t="array" ref="C16735">PRODUCT(1-'Sparkling Model'!D$2:D$38^A16735)</f>
        <v>0.999127504</v>
      </c>
    </row>
    <row r="16736">
      <c r="A16736" s="6">
        <v>16734.0</v>
      </c>
      <c r="B16736" s="17">
        <f t="array" ref="B16736">SUM(1-'Sparkling Model'!D$2:D$38^A16736)</f>
        <v>36.99912767</v>
      </c>
      <c r="C16736" s="8">
        <f t="array" ref="C16736">PRODUCT(1-'Sparkling Model'!D$2:D$38^A16736)</f>
        <v>0.9991279337</v>
      </c>
    </row>
    <row r="16737">
      <c r="A16737" s="6">
        <v>16735.0</v>
      </c>
      <c r="B16737" s="17">
        <f t="array" ref="B16737">SUM(1-'Sparkling Model'!D$2:D$38^A16737)</f>
        <v>36.9991281</v>
      </c>
      <c r="C16737" s="8">
        <f t="array" ref="C16737">PRODUCT(1-'Sparkling Model'!D$2:D$38^A16737)</f>
        <v>0.9991283631</v>
      </c>
    </row>
    <row r="16738">
      <c r="A16738" s="6">
        <v>16736.0</v>
      </c>
      <c r="B16738" s="17">
        <f t="array" ref="B16738">SUM(1-'Sparkling Model'!D$2:D$38^A16738)</f>
        <v>36.99912853</v>
      </c>
      <c r="C16738" s="8">
        <f t="array" ref="C16738">PRODUCT(1-'Sparkling Model'!D$2:D$38^A16738)</f>
        <v>0.9991287923</v>
      </c>
    </row>
    <row r="16739">
      <c r="A16739" s="6">
        <v>16737.0</v>
      </c>
      <c r="B16739" s="17">
        <f t="array" ref="B16739">SUM(1-'Sparkling Model'!D$2:D$38^A16739)</f>
        <v>36.99912896</v>
      </c>
      <c r="C16739" s="8">
        <f t="array" ref="C16739">PRODUCT(1-'Sparkling Model'!D$2:D$38^A16739)</f>
        <v>0.9991292213</v>
      </c>
    </row>
    <row r="16740">
      <c r="A16740" s="6">
        <v>16738.0</v>
      </c>
      <c r="B16740" s="17">
        <f t="array" ref="B16740">SUM(1-'Sparkling Model'!D$2:D$38^A16740)</f>
        <v>36.99912939</v>
      </c>
      <c r="C16740" s="8">
        <f t="array" ref="C16740">PRODUCT(1-'Sparkling Model'!D$2:D$38^A16740)</f>
        <v>0.9991296501</v>
      </c>
    </row>
    <row r="16741">
      <c r="A16741" s="6">
        <v>16739.0</v>
      </c>
      <c r="B16741" s="17">
        <f t="array" ref="B16741">SUM(1-'Sparkling Model'!D$2:D$38^A16741)</f>
        <v>36.99912982</v>
      </c>
      <c r="C16741" s="8">
        <f t="array" ref="C16741">PRODUCT(1-'Sparkling Model'!D$2:D$38^A16741)</f>
        <v>0.9991300787</v>
      </c>
    </row>
    <row r="16742">
      <c r="A16742" s="6">
        <v>16740.0</v>
      </c>
      <c r="B16742" s="17">
        <f t="array" ref="B16742">SUM(1-'Sparkling Model'!D$2:D$38^A16742)</f>
        <v>36.99913025</v>
      </c>
      <c r="C16742" s="8">
        <f t="array" ref="C16742">PRODUCT(1-'Sparkling Model'!D$2:D$38^A16742)</f>
        <v>0.9991305071</v>
      </c>
    </row>
    <row r="16743">
      <c r="A16743" s="6">
        <v>16741.0</v>
      </c>
      <c r="B16743" s="17">
        <f t="array" ref="B16743">SUM(1-'Sparkling Model'!D$2:D$38^A16743)</f>
        <v>36.99913068</v>
      </c>
      <c r="C16743" s="8">
        <f t="array" ref="C16743">PRODUCT(1-'Sparkling Model'!D$2:D$38^A16743)</f>
        <v>0.9991309352</v>
      </c>
    </row>
    <row r="16744">
      <c r="A16744" s="6">
        <v>16742.0</v>
      </c>
      <c r="B16744" s="17">
        <f t="array" ref="B16744">SUM(1-'Sparkling Model'!D$2:D$38^A16744)</f>
        <v>36.9991311</v>
      </c>
      <c r="C16744" s="8">
        <f t="array" ref="C16744">PRODUCT(1-'Sparkling Model'!D$2:D$38^A16744)</f>
        <v>0.9991313632</v>
      </c>
    </row>
    <row r="16745">
      <c r="A16745" s="6">
        <v>16743.0</v>
      </c>
      <c r="B16745" s="17">
        <f t="array" ref="B16745">SUM(1-'Sparkling Model'!D$2:D$38^A16745)</f>
        <v>36.99913153</v>
      </c>
      <c r="C16745" s="8">
        <f t="array" ref="C16745">PRODUCT(1-'Sparkling Model'!D$2:D$38^A16745)</f>
        <v>0.9991317909</v>
      </c>
    </row>
    <row r="16746">
      <c r="A16746" s="6">
        <v>16744.0</v>
      </c>
      <c r="B16746" s="17">
        <f t="array" ref="B16746">SUM(1-'Sparkling Model'!D$2:D$38^A16746)</f>
        <v>36.99913196</v>
      </c>
      <c r="C16746" s="8">
        <f t="array" ref="C16746">PRODUCT(1-'Sparkling Model'!D$2:D$38^A16746)</f>
        <v>0.9991322185</v>
      </c>
    </row>
    <row r="16747">
      <c r="A16747" s="6">
        <v>16745.0</v>
      </c>
      <c r="B16747" s="17">
        <f t="array" ref="B16747">SUM(1-'Sparkling Model'!D$2:D$38^A16747)</f>
        <v>36.99913239</v>
      </c>
      <c r="C16747" s="8">
        <f t="array" ref="C16747">PRODUCT(1-'Sparkling Model'!D$2:D$38^A16747)</f>
        <v>0.9991326458</v>
      </c>
    </row>
    <row r="16748">
      <c r="A16748" s="6">
        <v>16746.0</v>
      </c>
      <c r="B16748" s="17">
        <f t="array" ref="B16748">SUM(1-'Sparkling Model'!D$2:D$38^A16748)</f>
        <v>36.99913282</v>
      </c>
      <c r="C16748" s="8">
        <f t="array" ref="C16748">PRODUCT(1-'Sparkling Model'!D$2:D$38^A16748)</f>
        <v>0.9991330729</v>
      </c>
    </row>
    <row r="16749">
      <c r="A16749" s="6">
        <v>16747.0</v>
      </c>
      <c r="B16749" s="17">
        <f t="array" ref="B16749">SUM(1-'Sparkling Model'!D$2:D$38^A16749)</f>
        <v>36.99913324</v>
      </c>
      <c r="C16749" s="8">
        <f t="array" ref="C16749">PRODUCT(1-'Sparkling Model'!D$2:D$38^A16749)</f>
        <v>0.9991334998</v>
      </c>
    </row>
    <row r="16750">
      <c r="A16750" s="6">
        <v>16748.0</v>
      </c>
      <c r="B16750" s="17">
        <f t="array" ref="B16750">SUM(1-'Sparkling Model'!D$2:D$38^A16750)</f>
        <v>36.99913367</v>
      </c>
      <c r="C16750" s="8">
        <f t="array" ref="C16750">PRODUCT(1-'Sparkling Model'!D$2:D$38^A16750)</f>
        <v>0.9991339265</v>
      </c>
    </row>
    <row r="16751">
      <c r="A16751" s="6">
        <v>16749.0</v>
      </c>
      <c r="B16751" s="17">
        <f t="array" ref="B16751">SUM(1-'Sparkling Model'!D$2:D$38^A16751)</f>
        <v>36.9991341</v>
      </c>
      <c r="C16751" s="8">
        <f t="array" ref="C16751">PRODUCT(1-'Sparkling Model'!D$2:D$38^A16751)</f>
        <v>0.9991343529</v>
      </c>
    </row>
    <row r="16752">
      <c r="A16752" s="6">
        <v>16750.0</v>
      </c>
      <c r="B16752" s="17">
        <f t="array" ref="B16752">SUM(1-'Sparkling Model'!D$2:D$38^A16752)</f>
        <v>36.99913452</v>
      </c>
      <c r="C16752" s="8">
        <f t="array" ref="C16752">PRODUCT(1-'Sparkling Model'!D$2:D$38^A16752)</f>
        <v>0.9991347792</v>
      </c>
    </row>
    <row r="16753">
      <c r="A16753" s="6">
        <v>16751.0</v>
      </c>
      <c r="B16753" s="17">
        <f t="array" ref="B16753">SUM(1-'Sparkling Model'!D$2:D$38^A16753)</f>
        <v>36.99913495</v>
      </c>
      <c r="C16753" s="8">
        <f t="array" ref="C16753">PRODUCT(1-'Sparkling Model'!D$2:D$38^A16753)</f>
        <v>0.9991352052</v>
      </c>
    </row>
    <row r="16754">
      <c r="A16754" s="6">
        <v>16752.0</v>
      </c>
      <c r="B16754" s="17">
        <f t="array" ref="B16754">SUM(1-'Sparkling Model'!D$2:D$38^A16754)</f>
        <v>36.99913538</v>
      </c>
      <c r="C16754" s="8">
        <f t="array" ref="C16754">PRODUCT(1-'Sparkling Model'!D$2:D$38^A16754)</f>
        <v>0.9991356311</v>
      </c>
    </row>
    <row r="16755">
      <c r="A16755" s="6">
        <v>16753.0</v>
      </c>
      <c r="B16755" s="17">
        <f t="array" ref="B16755">SUM(1-'Sparkling Model'!D$2:D$38^A16755)</f>
        <v>36.9991358</v>
      </c>
      <c r="C16755" s="8">
        <f t="array" ref="C16755">PRODUCT(1-'Sparkling Model'!D$2:D$38^A16755)</f>
        <v>0.9991360567</v>
      </c>
    </row>
    <row r="16756">
      <c r="A16756" s="6">
        <v>16754.0</v>
      </c>
      <c r="B16756" s="17">
        <f t="array" ref="B16756">SUM(1-'Sparkling Model'!D$2:D$38^A16756)</f>
        <v>36.99913623</v>
      </c>
      <c r="C16756" s="8">
        <f t="array" ref="C16756">PRODUCT(1-'Sparkling Model'!D$2:D$38^A16756)</f>
        <v>0.9991364821</v>
      </c>
    </row>
    <row r="16757">
      <c r="A16757" s="6">
        <v>16755.0</v>
      </c>
      <c r="B16757" s="17">
        <f t="array" ref="B16757">SUM(1-'Sparkling Model'!D$2:D$38^A16757)</f>
        <v>36.99913665</v>
      </c>
      <c r="C16757" s="8">
        <f t="array" ref="C16757">PRODUCT(1-'Sparkling Model'!D$2:D$38^A16757)</f>
        <v>0.9991369073</v>
      </c>
    </row>
    <row r="16758">
      <c r="A16758" s="6">
        <v>16756.0</v>
      </c>
      <c r="B16758" s="17">
        <f t="array" ref="B16758">SUM(1-'Sparkling Model'!D$2:D$38^A16758)</f>
        <v>36.99913708</v>
      </c>
      <c r="C16758" s="8">
        <f t="array" ref="C16758">PRODUCT(1-'Sparkling Model'!D$2:D$38^A16758)</f>
        <v>0.9991373323</v>
      </c>
    </row>
    <row r="16759">
      <c r="A16759" s="6">
        <v>16757.0</v>
      </c>
      <c r="B16759" s="17">
        <f t="array" ref="B16759">SUM(1-'Sparkling Model'!D$2:D$38^A16759)</f>
        <v>36.9991375</v>
      </c>
      <c r="C16759" s="8">
        <f t="array" ref="C16759">PRODUCT(1-'Sparkling Model'!D$2:D$38^A16759)</f>
        <v>0.9991377571</v>
      </c>
    </row>
    <row r="16760">
      <c r="A16760" s="6">
        <v>16758.0</v>
      </c>
      <c r="B16760" s="17">
        <f t="array" ref="B16760">SUM(1-'Sparkling Model'!D$2:D$38^A16760)</f>
        <v>36.99913793</v>
      </c>
      <c r="C16760" s="8">
        <f t="array" ref="C16760">PRODUCT(1-'Sparkling Model'!D$2:D$38^A16760)</f>
        <v>0.9991381817</v>
      </c>
    </row>
    <row r="16761">
      <c r="A16761" s="6">
        <v>16759.0</v>
      </c>
      <c r="B16761" s="17">
        <f t="array" ref="B16761">SUM(1-'Sparkling Model'!D$2:D$38^A16761)</f>
        <v>36.99913835</v>
      </c>
      <c r="C16761" s="8">
        <f t="array" ref="C16761">PRODUCT(1-'Sparkling Model'!D$2:D$38^A16761)</f>
        <v>0.9991386061</v>
      </c>
    </row>
    <row r="16762">
      <c r="A16762" s="6">
        <v>16760.0</v>
      </c>
      <c r="B16762" s="17">
        <f t="array" ref="B16762">SUM(1-'Sparkling Model'!D$2:D$38^A16762)</f>
        <v>36.99913878</v>
      </c>
      <c r="C16762" s="8">
        <f t="array" ref="C16762">PRODUCT(1-'Sparkling Model'!D$2:D$38^A16762)</f>
        <v>0.9991390302</v>
      </c>
    </row>
    <row r="16763">
      <c r="A16763" s="6">
        <v>16761.0</v>
      </c>
      <c r="B16763" s="17">
        <f t="array" ref="B16763">SUM(1-'Sparkling Model'!D$2:D$38^A16763)</f>
        <v>36.9991392</v>
      </c>
      <c r="C16763" s="8">
        <f t="array" ref="C16763">PRODUCT(1-'Sparkling Model'!D$2:D$38^A16763)</f>
        <v>0.9991394542</v>
      </c>
    </row>
    <row r="16764">
      <c r="A16764" s="6">
        <v>16762.0</v>
      </c>
      <c r="B16764" s="17">
        <f t="array" ref="B16764">SUM(1-'Sparkling Model'!D$2:D$38^A16764)</f>
        <v>36.99913962</v>
      </c>
      <c r="C16764" s="8">
        <f t="array" ref="C16764">PRODUCT(1-'Sparkling Model'!D$2:D$38^A16764)</f>
        <v>0.9991398779</v>
      </c>
    </row>
    <row r="16765">
      <c r="A16765" s="6">
        <v>16763.0</v>
      </c>
      <c r="B16765" s="17">
        <f t="array" ref="B16765">SUM(1-'Sparkling Model'!D$2:D$38^A16765)</f>
        <v>36.99914005</v>
      </c>
      <c r="C16765" s="8">
        <f t="array" ref="C16765">PRODUCT(1-'Sparkling Model'!D$2:D$38^A16765)</f>
        <v>0.9991403015</v>
      </c>
    </row>
    <row r="16766">
      <c r="A16766" s="6">
        <v>16764.0</v>
      </c>
      <c r="B16766" s="17">
        <f t="array" ref="B16766">SUM(1-'Sparkling Model'!D$2:D$38^A16766)</f>
        <v>36.99914047</v>
      </c>
      <c r="C16766" s="8">
        <f t="array" ref="C16766">PRODUCT(1-'Sparkling Model'!D$2:D$38^A16766)</f>
        <v>0.9991407248</v>
      </c>
    </row>
    <row r="16767">
      <c r="A16767" s="6">
        <v>16765.0</v>
      </c>
      <c r="B16767" s="17">
        <f t="array" ref="B16767">SUM(1-'Sparkling Model'!D$2:D$38^A16767)</f>
        <v>36.9991409</v>
      </c>
      <c r="C16767" s="8">
        <f t="array" ref="C16767">PRODUCT(1-'Sparkling Model'!D$2:D$38^A16767)</f>
        <v>0.9991411479</v>
      </c>
    </row>
    <row r="16768">
      <c r="A16768" s="6">
        <v>16766.0</v>
      </c>
      <c r="B16768" s="17">
        <f t="array" ref="B16768">SUM(1-'Sparkling Model'!D$2:D$38^A16768)</f>
        <v>36.99914132</v>
      </c>
      <c r="C16768" s="8">
        <f t="array" ref="C16768">PRODUCT(1-'Sparkling Model'!D$2:D$38^A16768)</f>
        <v>0.9991415708</v>
      </c>
    </row>
    <row r="16769">
      <c r="A16769" s="6">
        <v>16767.0</v>
      </c>
      <c r="B16769" s="17">
        <f t="array" ref="B16769">SUM(1-'Sparkling Model'!D$2:D$38^A16769)</f>
        <v>36.99914174</v>
      </c>
      <c r="C16769" s="8">
        <f t="array" ref="C16769">PRODUCT(1-'Sparkling Model'!D$2:D$38^A16769)</f>
        <v>0.9991419935</v>
      </c>
    </row>
    <row r="16770">
      <c r="A16770" s="6">
        <v>16768.0</v>
      </c>
      <c r="B16770" s="17">
        <f t="array" ref="B16770">SUM(1-'Sparkling Model'!D$2:D$38^A16770)</f>
        <v>36.99914216</v>
      </c>
      <c r="C16770" s="8">
        <f t="array" ref="C16770">PRODUCT(1-'Sparkling Model'!D$2:D$38^A16770)</f>
        <v>0.999142416</v>
      </c>
    </row>
    <row r="16771">
      <c r="A16771" s="6">
        <v>16769.0</v>
      </c>
      <c r="B16771" s="17">
        <f t="array" ref="B16771">SUM(1-'Sparkling Model'!D$2:D$38^A16771)</f>
        <v>36.99914259</v>
      </c>
      <c r="C16771" s="8">
        <f t="array" ref="C16771">PRODUCT(1-'Sparkling Model'!D$2:D$38^A16771)</f>
        <v>0.9991428383</v>
      </c>
    </row>
    <row r="16772">
      <c r="A16772" s="6">
        <v>16770.0</v>
      </c>
      <c r="B16772" s="17">
        <f t="array" ref="B16772">SUM(1-'Sparkling Model'!D$2:D$38^A16772)</f>
        <v>36.99914301</v>
      </c>
      <c r="C16772" s="8">
        <f t="array" ref="C16772">PRODUCT(1-'Sparkling Model'!D$2:D$38^A16772)</f>
        <v>0.9991432604</v>
      </c>
    </row>
    <row r="16773">
      <c r="A16773" s="6">
        <v>16771.0</v>
      </c>
      <c r="B16773" s="17">
        <f t="array" ref="B16773">SUM(1-'Sparkling Model'!D$2:D$38^A16773)</f>
        <v>36.99914343</v>
      </c>
      <c r="C16773" s="8">
        <f t="array" ref="C16773">PRODUCT(1-'Sparkling Model'!D$2:D$38^A16773)</f>
        <v>0.9991436822</v>
      </c>
    </row>
    <row r="16774">
      <c r="A16774" s="6">
        <v>16772.0</v>
      </c>
      <c r="B16774" s="17">
        <f t="array" ref="B16774">SUM(1-'Sparkling Model'!D$2:D$38^A16774)</f>
        <v>36.99914385</v>
      </c>
      <c r="C16774" s="8">
        <f t="array" ref="C16774">PRODUCT(1-'Sparkling Model'!D$2:D$38^A16774)</f>
        <v>0.9991441039</v>
      </c>
    </row>
    <row r="16775">
      <c r="A16775" s="6">
        <v>16773.0</v>
      </c>
      <c r="B16775" s="17">
        <f t="array" ref="B16775">SUM(1-'Sparkling Model'!D$2:D$38^A16775)</f>
        <v>36.99914427</v>
      </c>
      <c r="C16775" s="8">
        <f t="array" ref="C16775">PRODUCT(1-'Sparkling Model'!D$2:D$38^A16775)</f>
        <v>0.9991445253</v>
      </c>
    </row>
    <row r="16776">
      <c r="A16776" s="6">
        <v>16774.0</v>
      </c>
      <c r="B16776" s="17">
        <f t="array" ref="B16776">SUM(1-'Sparkling Model'!D$2:D$38^A16776)</f>
        <v>36.9991447</v>
      </c>
      <c r="C16776" s="8">
        <f t="array" ref="C16776">PRODUCT(1-'Sparkling Model'!D$2:D$38^A16776)</f>
        <v>0.9991449466</v>
      </c>
    </row>
    <row r="16777">
      <c r="A16777" s="6">
        <v>16775.0</v>
      </c>
      <c r="B16777" s="17">
        <f t="array" ref="B16777">SUM(1-'Sparkling Model'!D$2:D$38^A16777)</f>
        <v>36.99914512</v>
      </c>
      <c r="C16777" s="8">
        <f t="array" ref="C16777">PRODUCT(1-'Sparkling Model'!D$2:D$38^A16777)</f>
        <v>0.9991453676</v>
      </c>
    </row>
    <row r="16778">
      <c r="A16778" s="6">
        <v>16776.0</v>
      </c>
      <c r="B16778" s="17">
        <f t="array" ref="B16778">SUM(1-'Sparkling Model'!D$2:D$38^A16778)</f>
        <v>36.99914554</v>
      </c>
      <c r="C16778" s="8">
        <f t="array" ref="C16778">PRODUCT(1-'Sparkling Model'!D$2:D$38^A16778)</f>
        <v>0.9991457884</v>
      </c>
    </row>
    <row r="16779">
      <c r="A16779" s="6">
        <v>16777.0</v>
      </c>
      <c r="B16779" s="17">
        <f t="array" ref="B16779">SUM(1-'Sparkling Model'!D$2:D$38^A16779)</f>
        <v>36.99914596</v>
      </c>
      <c r="C16779" s="8">
        <f t="array" ref="C16779">PRODUCT(1-'Sparkling Model'!D$2:D$38^A16779)</f>
        <v>0.9991462091</v>
      </c>
    </row>
    <row r="16780">
      <c r="A16780" s="6">
        <v>16778.0</v>
      </c>
      <c r="B16780" s="17">
        <f t="array" ref="B16780">SUM(1-'Sparkling Model'!D$2:D$38^A16780)</f>
        <v>36.99914638</v>
      </c>
      <c r="C16780" s="8">
        <f t="array" ref="C16780">PRODUCT(1-'Sparkling Model'!D$2:D$38^A16780)</f>
        <v>0.9991466295</v>
      </c>
    </row>
    <row r="16781">
      <c r="A16781" s="6">
        <v>16779.0</v>
      </c>
      <c r="B16781" s="17">
        <f t="array" ref="B16781">SUM(1-'Sparkling Model'!D$2:D$38^A16781)</f>
        <v>36.9991468</v>
      </c>
      <c r="C16781" s="8">
        <f t="array" ref="C16781">PRODUCT(1-'Sparkling Model'!D$2:D$38^A16781)</f>
        <v>0.9991470497</v>
      </c>
    </row>
    <row r="16782">
      <c r="A16782" s="6">
        <v>16780.0</v>
      </c>
      <c r="B16782" s="17">
        <f t="array" ref="B16782">SUM(1-'Sparkling Model'!D$2:D$38^A16782)</f>
        <v>36.99914722</v>
      </c>
      <c r="C16782" s="8">
        <f t="array" ref="C16782">PRODUCT(1-'Sparkling Model'!D$2:D$38^A16782)</f>
        <v>0.9991474697</v>
      </c>
    </row>
    <row r="16783">
      <c r="A16783" s="6">
        <v>16781.0</v>
      </c>
      <c r="B16783" s="17">
        <f t="array" ref="B16783">SUM(1-'Sparkling Model'!D$2:D$38^A16783)</f>
        <v>36.99914764</v>
      </c>
      <c r="C16783" s="8">
        <f t="array" ref="C16783">PRODUCT(1-'Sparkling Model'!D$2:D$38^A16783)</f>
        <v>0.9991478895</v>
      </c>
    </row>
    <row r="16784">
      <c r="A16784" s="6">
        <v>16782.0</v>
      </c>
      <c r="B16784" s="17">
        <f t="array" ref="B16784">SUM(1-'Sparkling Model'!D$2:D$38^A16784)</f>
        <v>36.99914806</v>
      </c>
      <c r="C16784" s="8">
        <f t="array" ref="C16784">PRODUCT(1-'Sparkling Model'!D$2:D$38^A16784)</f>
        <v>0.999148309</v>
      </c>
    </row>
    <row r="16785">
      <c r="A16785" s="6">
        <v>16783.0</v>
      </c>
      <c r="B16785" s="17">
        <f t="array" ref="B16785">SUM(1-'Sparkling Model'!D$2:D$38^A16785)</f>
        <v>36.99914848</v>
      </c>
      <c r="C16785" s="8">
        <f t="array" ref="C16785">PRODUCT(1-'Sparkling Model'!D$2:D$38^A16785)</f>
        <v>0.9991487284</v>
      </c>
    </row>
    <row r="16786">
      <c r="A16786" s="6">
        <v>16784.0</v>
      </c>
      <c r="B16786" s="17">
        <f t="array" ref="B16786">SUM(1-'Sparkling Model'!D$2:D$38^A16786)</f>
        <v>36.9991489</v>
      </c>
      <c r="C16786" s="8">
        <f t="array" ref="C16786">PRODUCT(1-'Sparkling Model'!D$2:D$38^A16786)</f>
        <v>0.9991491476</v>
      </c>
    </row>
    <row r="16787">
      <c r="A16787" s="6">
        <v>16785.0</v>
      </c>
      <c r="B16787" s="17">
        <f t="array" ref="B16787">SUM(1-'Sparkling Model'!D$2:D$38^A16787)</f>
        <v>36.99914932</v>
      </c>
      <c r="C16787" s="8">
        <f t="array" ref="C16787">PRODUCT(1-'Sparkling Model'!D$2:D$38^A16787)</f>
        <v>0.9991495665</v>
      </c>
    </row>
    <row r="16788">
      <c r="A16788" s="6">
        <v>16786.0</v>
      </c>
      <c r="B16788" s="17">
        <f t="array" ref="B16788">SUM(1-'Sparkling Model'!D$2:D$38^A16788)</f>
        <v>36.99914974</v>
      </c>
      <c r="C16788" s="8">
        <f t="array" ref="C16788">PRODUCT(1-'Sparkling Model'!D$2:D$38^A16788)</f>
        <v>0.9991499853</v>
      </c>
    </row>
    <row r="16789">
      <c r="A16789" s="6">
        <v>16787.0</v>
      </c>
      <c r="B16789" s="17">
        <f t="array" ref="B16789">SUM(1-'Sparkling Model'!D$2:D$38^A16789)</f>
        <v>36.99915016</v>
      </c>
      <c r="C16789" s="8">
        <f t="array" ref="C16789">PRODUCT(1-'Sparkling Model'!D$2:D$38^A16789)</f>
        <v>0.9991504038</v>
      </c>
    </row>
    <row r="16790">
      <c r="A16790" s="6">
        <v>16788.0</v>
      </c>
      <c r="B16790" s="17">
        <f t="array" ref="B16790">SUM(1-'Sparkling Model'!D$2:D$38^A16790)</f>
        <v>36.99915058</v>
      </c>
      <c r="C16790" s="8">
        <f t="array" ref="C16790">PRODUCT(1-'Sparkling Model'!D$2:D$38^A16790)</f>
        <v>0.9991508222</v>
      </c>
    </row>
    <row r="16791">
      <c r="A16791" s="6">
        <v>16789.0</v>
      </c>
      <c r="B16791" s="17">
        <f t="array" ref="B16791">SUM(1-'Sparkling Model'!D$2:D$38^A16791)</f>
        <v>36.99915099</v>
      </c>
      <c r="C16791" s="8">
        <f t="array" ref="C16791">PRODUCT(1-'Sparkling Model'!D$2:D$38^A16791)</f>
        <v>0.9991512403</v>
      </c>
    </row>
    <row r="16792">
      <c r="A16792" s="6">
        <v>16790.0</v>
      </c>
      <c r="B16792" s="17">
        <f t="array" ref="B16792">SUM(1-'Sparkling Model'!D$2:D$38^A16792)</f>
        <v>36.99915141</v>
      </c>
      <c r="C16792" s="8">
        <f t="array" ref="C16792">PRODUCT(1-'Sparkling Model'!D$2:D$38^A16792)</f>
        <v>0.9991516582</v>
      </c>
    </row>
    <row r="16793">
      <c r="A16793" s="6">
        <v>16791.0</v>
      </c>
      <c r="B16793" s="17">
        <f t="array" ref="B16793">SUM(1-'Sparkling Model'!D$2:D$38^A16793)</f>
        <v>36.99915183</v>
      </c>
      <c r="C16793" s="8">
        <f t="array" ref="C16793">PRODUCT(1-'Sparkling Model'!D$2:D$38^A16793)</f>
        <v>0.999152076</v>
      </c>
    </row>
    <row r="16794">
      <c r="A16794" s="6">
        <v>16792.0</v>
      </c>
      <c r="B16794" s="17">
        <f t="array" ref="B16794">SUM(1-'Sparkling Model'!D$2:D$38^A16794)</f>
        <v>36.99915225</v>
      </c>
      <c r="C16794" s="8">
        <f t="array" ref="C16794">PRODUCT(1-'Sparkling Model'!D$2:D$38^A16794)</f>
        <v>0.9991524935</v>
      </c>
    </row>
    <row r="16795">
      <c r="A16795" s="6">
        <v>16793.0</v>
      </c>
      <c r="B16795" s="17">
        <f t="array" ref="B16795">SUM(1-'Sparkling Model'!D$2:D$38^A16795)</f>
        <v>36.99915266</v>
      </c>
      <c r="C16795" s="8">
        <f t="array" ref="C16795">PRODUCT(1-'Sparkling Model'!D$2:D$38^A16795)</f>
        <v>0.9991529108</v>
      </c>
    </row>
    <row r="16796">
      <c r="A16796" s="6">
        <v>16794.0</v>
      </c>
      <c r="B16796" s="17">
        <f t="array" ref="B16796">SUM(1-'Sparkling Model'!D$2:D$38^A16796)</f>
        <v>36.99915308</v>
      </c>
      <c r="C16796" s="8">
        <f t="array" ref="C16796">PRODUCT(1-'Sparkling Model'!D$2:D$38^A16796)</f>
        <v>0.9991533279</v>
      </c>
    </row>
    <row r="16797">
      <c r="A16797" s="6">
        <v>16795.0</v>
      </c>
      <c r="B16797" s="17">
        <f t="array" ref="B16797">SUM(1-'Sparkling Model'!D$2:D$38^A16797)</f>
        <v>36.9991535</v>
      </c>
      <c r="C16797" s="8">
        <f t="array" ref="C16797">PRODUCT(1-'Sparkling Model'!D$2:D$38^A16797)</f>
        <v>0.9991537448</v>
      </c>
    </row>
    <row r="16798">
      <c r="A16798" s="6">
        <v>16796.0</v>
      </c>
      <c r="B16798" s="17">
        <f t="array" ref="B16798">SUM(1-'Sparkling Model'!D$2:D$38^A16798)</f>
        <v>36.99915392</v>
      </c>
      <c r="C16798" s="8">
        <f t="array" ref="C16798">PRODUCT(1-'Sparkling Model'!D$2:D$38^A16798)</f>
        <v>0.9991541615</v>
      </c>
    </row>
    <row r="16799">
      <c r="A16799" s="6">
        <v>16797.0</v>
      </c>
      <c r="B16799" s="17">
        <f t="array" ref="B16799">SUM(1-'Sparkling Model'!D$2:D$38^A16799)</f>
        <v>36.99915433</v>
      </c>
      <c r="C16799" s="8">
        <f t="array" ref="C16799">PRODUCT(1-'Sparkling Model'!D$2:D$38^A16799)</f>
        <v>0.999154578</v>
      </c>
    </row>
    <row r="16800">
      <c r="A16800" s="6">
        <v>16798.0</v>
      </c>
      <c r="B16800" s="17">
        <f t="array" ref="B16800">SUM(1-'Sparkling Model'!D$2:D$38^A16800)</f>
        <v>36.99915475</v>
      </c>
      <c r="C16800" s="8">
        <f t="array" ref="C16800">PRODUCT(1-'Sparkling Model'!D$2:D$38^A16800)</f>
        <v>0.9991549942</v>
      </c>
    </row>
    <row r="16801">
      <c r="A16801" s="6">
        <v>16799.0</v>
      </c>
      <c r="B16801" s="17">
        <f t="array" ref="B16801">SUM(1-'Sparkling Model'!D$2:D$38^A16801)</f>
        <v>36.99915517</v>
      </c>
      <c r="C16801" s="8">
        <f t="array" ref="C16801">PRODUCT(1-'Sparkling Model'!D$2:D$38^A16801)</f>
        <v>0.9991554103</v>
      </c>
    </row>
    <row r="16802">
      <c r="A16802" s="6">
        <v>16800.0</v>
      </c>
      <c r="B16802" s="17">
        <f t="array" ref="B16802">SUM(1-'Sparkling Model'!D$2:D$38^A16802)</f>
        <v>36.99915558</v>
      </c>
      <c r="C16802" s="8">
        <f t="array" ref="C16802">PRODUCT(1-'Sparkling Model'!D$2:D$38^A16802)</f>
        <v>0.9991558262</v>
      </c>
    </row>
    <row r="16803">
      <c r="A16803" s="6">
        <v>16801.0</v>
      </c>
      <c r="B16803" s="17">
        <f t="array" ref="B16803">SUM(1-'Sparkling Model'!D$2:D$38^A16803)</f>
        <v>36.999156</v>
      </c>
      <c r="C16803" s="8">
        <f t="array" ref="C16803">PRODUCT(1-'Sparkling Model'!D$2:D$38^A16803)</f>
        <v>0.9991562418</v>
      </c>
    </row>
    <row r="16804">
      <c r="A16804" s="6">
        <v>16802.0</v>
      </c>
      <c r="B16804" s="17">
        <f t="array" ref="B16804">SUM(1-'Sparkling Model'!D$2:D$38^A16804)</f>
        <v>36.99915641</v>
      </c>
      <c r="C16804" s="8">
        <f t="array" ref="C16804">PRODUCT(1-'Sparkling Model'!D$2:D$38^A16804)</f>
        <v>0.9991566573</v>
      </c>
    </row>
    <row r="16805">
      <c r="A16805" s="6">
        <v>16803.0</v>
      </c>
      <c r="B16805" s="17">
        <f t="array" ref="B16805">SUM(1-'Sparkling Model'!D$2:D$38^A16805)</f>
        <v>36.99915683</v>
      </c>
      <c r="C16805" s="8">
        <f t="array" ref="C16805">PRODUCT(1-'Sparkling Model'!D$2:D$38^A16805)</f>
        <v>0.9991570726</v>
      </c>
    </row>
    <row r="16806">
      <c r="A16806" s="6">
        <v>16804.0</v>
      </c>
      <c r="B16806" s="17">
        <f t="array" ref="B16806">SUM(1-'Sparkling Model'!D$2:D$38^A16806)</f>
        <v>36.99915724</v>
      </c>
      <c r="C16806" s="8">
        <f t="array" ref="C16806">PRODUCT(1-'Sparkling Model'!D$2:D$38^A16806)</f>
        <v>0.9991574876</v>
      </c>
    </row>
    <row r="16807">
      <c r="A16807" s="6">
        <v>16805.0</v>
      </c>
      <c r="B16807" s="17">
        <f t="array" ref="B16807">SUM(1-'Sparkling Model'!D$2:D$38^A16807)</f>
        <v>36.99915766</v>
      </c>
      <c r="C16807" s="8">
        <f t="array" ref="C16807">PRODUCT(1-'Sparkling Model'!D$2:D$38^A16807)</f>
        <v>0.9991579024</v>
      </c>
    </row>
    <row r="16808">
      <c r="A16808" s="6">
        <v>16806.0</v>
      </c>
      <c r="B16808" s="17">
        <f t="array" ref="B16808">SUM(1-'Sparkling Model'!D$2:D$38^A16808)</f>
        <v>36.99915807</v>
      </c>
      <c r="C16808" s="8">
        <f t="array" ref="C16808">PRODUCT(1-'Sparkling Model'!D$2:D$38^A16808)</f>
        <v>0.9991583171</v>
      </c>
    </row>
    <row r="16809">
      <c r="A16809" s="6">
        <v>16807.0</v>
      </c>
      <c r="B16809" s="17">
        <f t="array" ref="B16809">SUM(1-'Sparkling Model'!D$2:D$38^A16809)</f>
        <v>36.99915849</v>
      </c>
      <c r="C16809" s="8">
        <f t="array" ref="C16809">PRODUCT(1-'Sparkling Model'!D$2:D$38^A16809)</f>
        <v>0.9991587315</v>
      </c>
    </row>
    <row r="16810">
      <c r="A16810" s="6">
        <v>16808.0</v>
      </c>
      <c r="B16810" s="17">
        <f t="array" ref="B16810">SUM(1-'Sparkling Model'!D$2:D$38^A16810)</f>
        <v>36.9991589</v>
      </c>
      <c r="C16810" s="8">
        <f t="array" ref="C16810">PRODUCT(1-'Sparkling Model'!D$2:D$38^A16810)</f>
        <v>0.9991591458</v>
      </c>
    </row>
    <row r="16811">
      <c r="A16811" s="6">
        <v>16809.0</v>
      </c>
      <c r="B16811" s="17">
        <f t="array" ref="B16811">SUM(1-'Sparkling Model'!D$2:D$38^A16811)</f>
        <v>36.99915932</v>
      </c>
      <c r="C16811" s="8">
        <f t="array" ref="C16811">PRODUCT(1-'Sparkling Model'!D$2:D$38^A16811)</f>
        <v>0.9991595598</v>
      </c>
    </row>
    <row r="16812">
      <c r="A16812" s="6">
        <v>16810.0</v>
      </c>
      <c r="B16812" s="17">
        <f t="array" ref="B16812">SUM(1-'Sparkling Model'!D$2:D$38^A16812)</f>
        <v>36.99915973</v>
      </c>
      <c r="C16812" s="8">
        <f t="array" ref="C16812">PRODUCT(1-'Sparkling Model'!D$2:D$38^A16812)</f>
        <v>0.9991599736</v>
      </c>
    </row>
    <row r="16813">
      <c r="A16813" s="6">
        <v>16811.0</v>
      </c>
      <c r="B16813" s="17">
        <f t="array" ref="B16813">SUM(1-'Sparkling Model'!D$2:D$38^A16813)</f>
        <v>36.99916015</v>
      </c>
      <c r="C16813" s="8">
        <f t="array" ref="C16813">PRODUCT(1-'Sparkling Model'!D$2:D$38^A16813)</f>
        <v>0.9991603872</v>
      </c>
    </row>
    <row r="16814">
      <c r="A16814" s="6">
        <v>16812.0</v>
      </c>
      <c r="B16814" s="17">
        <f t="array" ref="B16814">SUM(1-'Sparkling Model'!D$2:D$38^A16814)</f>
        <v>36.99916056</v>
      </c>
      <c r="C16814" s="8">
        <f t="array" ref="C16814">PRODUCT(1-'Sparkling Model'!D$2:D$38^A16814)</f>
        <v>0.9991608006</v>
      </c>
    </row>
    <row r="16815">
      <c r="A16815" s="6">
        <v>16813.0</v>
      </c>
      <c r="B16815" s="17">
        <f t="array" ref="B16815">SUM(1-'Sparkling Model'!D$2:D$38^A16815)</f>
        <v>36.99916097</v>
      </c>
      <c r="C16815" s="8">
        <f t="array" ref="C16815">PRODUCT(1-'Sparkling Model'!D$2:D$38^A16815)</f>
        <v>0.9991612138</v>
      </c>
    </row>
    <row r="16816">
      <c r="A16816" s="6">
        <v>16814.0</v>
      </c>
      <c r="B16816" s="17">
        <f t="array" ref="B16816">SUM(1-'Sparkling Model'!D$2:D$38^A16816)</f>
        <v>36.99916139</v>
      </c>
      <c r="C16816" s="8">
        <f t="array" ref="C16816">PRODUCT(1-'Sparkling Model'!D$2:D$38^A16816)</f>
        <v>0.9991616268</v>
      </c>
    </row>
    <row r="16817">
      <c r="A16817" s="6">
        <v>16815.0</v>
      </c>
      <c r="B16817" s="17">
        <f t="array" ref="B16817">SUM(1-'Sparkling Model'!D$2:D$38^A16817)</f>
        <v>36.9991618</v>
      </c>
      <c r="C16817" s="8">
        <f t="array" ref="C16817">PRODUCT(1-'Sparkling Model'!D$2:D$38^A16817)</f>
        <v>0.9991620396</v>
      </c>
    </row>
    <row r="16818">
      <c r="A16818" s="6">
        <v>16816.0</v>
      </c>
      <c r="B16818" s="17">
        <f t="array" ref="B16818">SUM(1-'Sparkling Model'!D$2:D$38^A16818)</f>
        <v>36.99916221</v>
      </c>
      <c r="C16818" s="8">
        <f t="array" ref="C16818">PRODUCT(1-'Sparkling Model'!D$2:D$38^A16818)</f>
        <v>0.9991624522</v>
      </c>
    </row>
    <row r="16819">
      <c r="A16819" s="6">
        <v>16817.0</v>
      </c>
      <c r="B16819" s="17">
        <f t="array" ref="B16819">SUM(1-'Sparkling Model'!D$2:D$38^A16819)</f>
        <v>36.99916262</v>
      </c>
      <c r="C16819" s="8">
        <f t="array" ref="C16819">PRODUCT(1-'Sparkling Model'!D$2:D$38^A16819)</f>
        <v>0.9991628646</v>
      </c>
    </row>
    <row r="16820">
      <c r="A16820" s="6">
        <v>16818.0</v>
      </c>
      <c r="B16820" s="17">
        <f t="array" ref="B16820">SUM(1-'Sparkling Model'!D$2:D$38^A16820)</f>
        <v>36.99916304</v>
      </c>
      <c r="C16820" s="8">
        <f t="array" ref="C16820">PRODUCT(1-'Sparkling Model'!D$2:D$38^A16820)</f>
        <v>0.9991632768</v>
      </c>
    </row>
    <row r="16821">
      <c r="A16821" s="6">
        <v>16819.0</v>
      </c>
      <c r="B16821" s="17">
        <f t="array" ref="B16821">SUM(1-'Sparkling Model'!D$2:D$38^A16821)</f>
        <v>36.99916345</v>
      </c>
      <c r="C16821" s="8">
        <f t="array" ref="C16821">PRODUCT(1-'Sparkling Model'!D$2:D$38^A16821)</f>
        <v>0.9991636888</v>
      </c>
    </row>
    <row r="16822">
      <c r="A16822" s="6">
        <v>16820.0</v>
      </c>
      <c r="B16822" s="17">
        <f t="array" ref="B16822">SUM(1-'Sparkling Model'!D$2:D$38^A16822)</f>
        <v>36.99916386</v>
      </c>
      <c r="C16822" s="8">
        <f t="array" ref="C16822">PRODUCT(1-'Sparkling Model'!D$2:D$38^A16822)</f>
        <v>0.9991641006</v>
      </c>
    </row>
    <row r="16823">
      <c r="A16823" s="6">
        <v>16821.0</v>
      </c>
      <c r="B16823" s="17">
        <f t="array" ref="B16823">SUM(1-'Sparkling Model'!D$2:D$38^A16823)</f>
        <v>36.99916427</v>
      </c>
      <c r="C16823" s="8">
        <f t="array" ref="C16823">PRODUCT(1-'Sparkling Model'!D$2:D$38^A16823)</f>
        <v>0.9991645122</v>
      </c>
    </row>
    <row r="16824">
      <c r="A16824" s="6">
        <v>16822.0</v>
      </c>
      <c r="B16824" s="17">
        <f t="array" ref="B16824">SUM(1-'Sparkling Model'!D$2:D$38^A16824)</f>
        <v>36.99916468</v>
      </c>
      <c r="C16824" s="8">
        <f t="array" ref="C16824">PRODUCT(1-'Sparkling Model'!D$2:D$38^A16824)</f>
        <v>0.9991649236</v>
      </c>
    </row>
    <row r="16825">
      <c r="A16825" s="6">
        <v>16823.0</v>
      </c>
      <c r="B16825" s="17">
        <f t="array" ref="B16825">SUM(1-'Sparkling Model'!D$2:D$38^A16825)</f>
        <v>36.9991651</v>
      </c>
      <c r="C16825" s="8">
        <f t="array" ref="C16825">PRODUCT(1-'Sparkling Model'!D$2:D$38^A16825)</f>
        <v>0.9991653347</v>
      </c>
    </row>
    <row r="16826">
      <c r="A16826" s="6">
        <v>16824.0</v>
      </c>
      <c r="B16826" s="17">
        <f t="array" ref="B16826">SUM(1-'Sparkling Model'!D$2:D$38^A16826)</f>
        <v>36.99916551</v>
      </c>
      <c r="C16826" s="8">
        <f t="array" ref="C16826">PRODUCT(1-'Sparkling Model'!D$2:D$38^A16826)</f>
        <v>0.9991657457</v>
      </c>
    </row>
    <row r="16827">
      <c r="A16827" s="6">
        <v>16825.0</v>
      </c>
      <c r="B16827" s="17">
        <f t="array" ref="B16827">SUM(1-'Sparkling Model'!D$2:D$38^A16827)</f>
        <v>36.99916592</v>
      </c>
      <c r="C16827" s="8">
        <f t="array" ref="C16827">PRODUCT(1-'Sparkling Model'!D$2:D$38^A16827)</f>
        <v>0.9991661565</v>
      </c>
    </row>
    <row r="16828">
      <c r="A16828" s="6">
        <v>16826.0</v>
      </c>
      <c r="B16828" s="17">
        <f t="array" ref="B16828">SUM(1-'Sparkling Model'!D$2:D$38^A16828)</f>
        <v>36.99916633</v>
      </c>
      <c r="C16828" s="8">
        <f t="array" ref="C16828">PRODUCT(1-'Sparkling Model'!D$2:D$38^A16828)</f>
        <v>0.999166567</v>
      </c>
    </row>
    <row r="16829">
      <c r="A16829" s="6">
        <v>16827.0</v>
      </c>
      <c r="B16829" s="17">
        <f t="array" ref="B16829">SUM(1-'Sparkling Model'!D$2:D$38^A16829)</f>
        <v>36.99916674</v>
      </c>
      <c r="C16829" s="8">
        <f t="array" ref="C16829">PRODUCT(1-'Sparkling Model'!D$2:D$38^A16829)</f>
        <v>0.9991669774</v>
      </c>
    </row>
    <row r="16830">
      <c r="A16830" s="6">
        <v>16828.0</v>
      </c>
      <c r="B16830" s="17">
        <f t="array" ref="B16830">SUM(1-'Sparkling Model'!D$2:D$38^A16830)</f>
        <v>36.99916715</v>
      </c>
      <c r="C16830" s="8">
        <f t="array" ref="C16830">PRODUCT(1-'Sparkling Model'!D$2:D$38^A16830)</f>
        <v>0.9991673876</v>
      </c>
    </row>
    <row r="16831">
      <c r="A16831" s="6">
        <v>16829.0</v>
      </c>
      <c r="B16831" s="17">
        <f t="array" ref="B16831">SUM(1-'Sparkling Model'!D$2:D$38^A16831)</f>
        <v>36.99916756</v>
      </c>
      <c r="C16831" s="8">
        <f t="array" ref="C16831">PRODUCT(1-'Sparkling Model'!D$2:D$38^A16831)</f>
        <v>0.9991677975</v>
      </c>
    </row>
    <row r="16832">
      <c r="A16832" s="6">
        <v>16830.0</v>
      </c>
      <c r="B16832" s="17">
        <f t="array" ref="B16832">SUM(1-'Sparkling Model'!D$2:D$38^A16832)</f>
        <v>36.99916797</v>
      </c>
      <c r="C16832" s="8">
        <f t="array" ref="C16832">PRODUCT(1-'Sparkling Model'!D$2:D$38^A16832)</f>
        <v>0.9991682073</v>
      </c>
    </row>
    <row r="16833">
      <c r="A16833" s="6">
        <v>16831.0</v>
      </c>
      <c r="B16833" s="17">
        <f t="array" ref="B16833">SUM(1-'Sparkling Model'!D$2:D$38^A16833)</f>
        <v>36.99916838</v>
      </c>
      <c r="C16833" s="8">
        <f t="array" ref="C16833">PRODUCT(1-'Sparkling Model'!D$2:D$38^A16833)</f>
        <v>0.9991686168</v>
      </c>
    </row>
    <row r="16834">
      <c r="A16834" s="6">
        <v>16832.0</v>
      </c>
      <c r="B16834" s="17">
        <f t="array" ref="B16834">SUM(1-'Sparkling Model'!D$2:D$38^A16834)</f>
        <v>36.99916879</v>
      </c>
      <c r="C16834" s="8">
        <f t="array" ref="C16834">PRODUCT(1-'Sparkling Model'!D$2:D$38^A16834)</f>
        <v>0.9991690262</v>
      </c>
    </row>
    <row r="16835">
      <c r="A16835" s="6">
        <v>16833.0</v>
      </c>
      <c r="B16835" s="17">
        <f t="array" ref="B16835">SUM(1-'Sparkling Model'!D$2:D$38^A16835)</f>
        <v>36.9991692</v>
      </c>
      <c r="C16835" s="8">
        <f t="array" ref="C16835">PRODUCT(1-'Sparkling Model'!D$2:D$38^A16835)</f>
        <v>0.9991694353</v>
      </c>
    </row>
    <row r="16836">
      <c r="A16836" s="6">
        <v>16834.0</v>
      </c>
      <c r="B16836" s="17">
        <f t="array" ref="B16836">SUM(1-'Sparkling Model'!D$2:D$38^A16836)</f>
        <v>36.99916961</v>
      </c>
      <c r="C16836" s="8">
        <f t="array" ref="C16836">PRODUCT(1-'Sparkling Model'!D$2:D$38^A16836)</f>
        <v>0.9991698443</v>
      </c>
    </row>
    <row r="16837">
      <c r="A16837" s="6">
        <v>16835.0</v>
      </c>
      <c r="B16837" s="17">
        <f t="array" ref="B16837">SUM(1-'Sparkling Model'!D$2:D$38^A16837)</f>
        <v>36.99917002</v>
      </c>
      <c r="C16837" s="8">
        <f t="array" ref="C16837">PRODUCT(1-'Sparkling Model'!D$2:D$38^A16837)</f>
        <v>0.999170253</v>
      </c>
    </row>
    <row r="16838">
      <c r="A16838" s="6">
        <v>16836.0</v>
      </c>
      <c r="B16838" s="17">
        <f t="array" ref="B16838">SUM(1-'Sparkling Model'!D$2:D$38^A16838)</f>
        <v>36.99917043</v>
      </c>
      <c r="C16838" s="8">
        <f t="array" ref="C16838">PRODUCT(1-'Sparkling Model'!D$2:D$38^A16838)</f>
        <v>0.9991706616</v>
      </c>
    </row>
    <row r="16839">
      <c r="A16839" s="6">
        <v>16837.0</v>
      </c>
      <c r="B16839" s="17">
        <f t="array" ref="B16839">SUM(1-'Sparkling Model'!D$2:D$38^A16839)</f>
        <v>36.99917083</v>
      </c>
      <c r="C16839" s="8">
        <f t="array" ref="C16839">PRODUCT(1-'Sparkling Model'!D$2:D$38^A16839)</f>
        <v>0.9991710699</v>
      </c>
    </row>
    <row r="16840">
      <c r="A16840" s="6">
        <v>16838.0</v>
      </c>
      <c r="B16840" s="17">
        <f t="array" ref="B16840">SUM(1-'Sparkling Model'!D$2:D$38^A16840)</f>
        <v>36.99917124</v>
      </c>
      <c r="C16840" s="8">
        <f t="array" ref="C16840">PRODUCT(1-'Sparkling Model'!D$2:D$38^A16840)</f>
        <v>0.999171478</v>
      </c>
    </row>
    <row r="16841">
      <c r="A16841" s="6">
        <v>16839.0</v>
      </c>
      <c r="B16841" s="17">
        <f t="array" ref="B16841">SUM(1-'Sparkling Model'!D$2:D$38^A16841)</f>
        <v>36.99917165</v>
      </c>
      <c r="C16841" s="8">
        <f t="array" ref="C16841">PRODUCT(1-'Sparkling Model'!D$2:D$38^A16841)</f>
        <v>0.999171886</v>
      </c>
    </row>
    <row r="16842">
      <c r="A16842" s="6">
        <v>16840.0</v>
      </c>
      <c r="B16842" s="17">
        <f t="array" ref="B16842">SUM(1-'Sparkling Model'!D$2:D$38^A16842)</f>
        <v>36.99917206</v>
      </c>
      <c r="C16842" s="8">
        <f t="array" ref="C16842">PRODUCT(1-'Sparkling Model'!D$2:D$38^A16842)</f>
        <v>0.9991722937</v>
      </c>
    </row>
    <row r="16843">
      <c r="A16843" s="6">
        <v>16841.0</v>
      </c>
      <c r="B16843" s="17">
        <f t="array" ref="B16843">SUM(1-'Sparkling Model'!D$2:D$38^A16843)</f>
        <v>36.99917247</v>
      </c>
      <c r="C16843" s="8">
        <f t="array" ref="C16843">PRODUCT(1-'Sparkling Model'!D$2:D$38^A16843)</f>
        <v>0.9991727013</v>
      </c>
    </row>
    <row r="16844">
      <c r="A16844" s="6">
        <v>16842.0</v>
      </c>
      <c r="B16844" s="17">
        <f t="array" ref="B16844">SUM(1-'Sparkling Model'!D$2:D$38^A16844)</f>
        <v>36.99917287</v>
      </c>
      <c r="C16844" s="8">
        <f t="array" ref="C16844">PRODUCT(1-'Sparkling Model'!D$2:D$38^A16844)</f>
        <v>0.9991731086</v>
      </c>
    </row>
    <row r="16845">
      <c r="A16845" s="6">
        <v>16843.0</v>
      </c>
      <c r="B16845" s="17">
        <f t="array" ref="B16845">SUM(1-'Sparkling Model'!D$2:D$38^A16845)</f>
        <v>36.99917328</v>
      </c>
      <c r="C16845" s="8">
        <f t="array" ref="C16845">PRODUCT(1-'Sparkling Model'!D$2:D$38^A16845)</f>
        <v>0.9991735157</v>
      </c>
    </row>
    <row r="16846">
      <c r="A16846" s="6">
        <v>16844.0</v>
      </c>
      <c r="B16846" s="17">
        <f t="array" ref="B16846">SUM(1-'Sparkling Model'!D$2:D$38^A16846)</f>
        <v>36.99917369</v>
      </c>
      <c r="C16846" s="8">
        <f t="array" ref="C16846">PRODUCT(1-'Sparkling Model'!D$2:D$38^A16846)</f>
        <v>0.9991739227</v>
      </c>
    </row>
    <row r="16847">
      <c r="A16847" s="6">
        <v>16845.0</v>
      </c>
      <c r="B16847" s="17">
        <f t="array" ref="B16847">SUM(1-'Sparkling Model'!D$2:D$38^A16847)</f>
        <v>36.9991741</v>
      </c>
      <c r="C16847" s="8">
        <f t="array" ref="C16847">PRODUCT(1-'Sparkling Model'!D$2:D$38^A16847)</f>
        <v>0.9991743294</v>
      </c>
    </row>
    <row r="16848">
      <c r="A16848" s="6">
        <v>16846.0</v>
      </c>
      <c r="B16848" s="17">
        <f t="array" ref="B16848">SUM(1-'Sparkling Model'!D$2:D$38^A16848)</f>
        <v>36.9991745</v>
      </c>
      <c r="C16848" s="8">
        <f t="array" ref="C16848">PRODUCT(1-'Sparkling Model'!D$2:D$38^A16848)</f>
        <v>0.9991747359</v>
      </c>
    </row>
    <row r="16849">
      <c r="A16849" s="6">
        <v>16847.0</v>
      </c>
      <c r="B16849" s="17">
        <f t="array" ref="B16849">SUM(1-'Sparkling Model'!D$2:D$38^A16849)</f>
        <v>36.99917491</v>
      </c>
      <c r="C16849" s="8">
        <f t="array" ref="C16849">PRODUCT(1-'Sparkling Model'!D$2:D$38^A16849)</f>
        <v>0.9991751423</v>
      </c>
    </row>
    <row r="16850">
      <c r="A16850" s="6">
        <v>16848.0</v>
      </c>
      <c r="B16850" s="17">
        <f t="array" ref="B16850">SUM(1-'Sparkling Model'!D$2:D$38^A16850)</f>
        <v>36.99917532</v>
      </c>
      <c r="C16850" s="8">
        <f t="array" ref="C16850">PRODUCT(1-'Sparkling Model'!D$2:D$38^A16850)</f>
        <v>0.9991755484</v>
      </c>
    </row>
    <row r="16851">
      <c r="A16851" s="6">
        <v>16849.0</v>
      </c>
      <c r="B16851" s="17">
        <f t="array" ref="B16851">SUM(1-'Sparkling Model'!D$2:D$38^A16851)</f>
        <v>36.99917572</v>
      </c>
      <c r="C16851" s="8">
        <f t="array" ref="C16851">PRODUCT(1-'Sparkling Model'!D$2:D$38^A16851)</f>
        <v>0.9991759543</v>
      </c>
    </row>
    <row r="16852">
      <c r="A16852" s="6">
        <v>16850.0</v>
      </c>
      <c r="B16852" s="17">
        <f t="array" ref="B16852">SUM(1-'Sparkling Model'!D$2:D$38^A16852)</f>
        <v>36.99917613</v>
      </c>
      <c r="C16852" s="8">
        <f t="array" ref="C16852">PRODUCT(1-'Sparkling Model'!D$2:D$38^A16852)</f>
        <v>0.9991763601</v>
      </c>
    </row>
    <row r="16853">
      <c r="A16853" s="6">
        <v>16851.0</v>
      </c>
      <c r="B16853" s="17">
        <f t="array" ref="B16853">SUM(1-'Sparkling Model'!D$2:D$38^A16853)</f>
        <v>36.99917653</v>
      </c>
      <c r="C16853" s="8">
        <f t="array" ref="C16853">PRODUCT(1-'Sparkling Model'!D$2:D$38^A16853)</f>
        <v>0.9991767656</v>
      </c>
    </row>
    <row r="16854">
      <c r="A16854" s="6">
        <v>16852.0</v>
      </c>
      <c r="B16854" s="17">
        <f t="array" ref="B16854">SUM(1-'Sparkling Model'!D$2:D$38^A16854)</f>
        <v>36.99917694</v>
      </c>
      <c r="C16854" s="8">
        <f t="array" ref="C16854">PRODUCT(1-'Sparkling Model'!D$2:D$38^A16854)</f>
        <v>0.9991771709</v>
      </c>
    </row>
    <row r="16855">
      <c r="A16855" s="6">
        <v>16853.0</v>
      </c>
      <c r="B16855" s="17">
        <f t="array" ref="B16855">SUM(1-'Sparkling Model'!D$2:D$38^A16855)</f>
        <v>36.99917734</v>
      </c>
      <c r="C16855" s="8">
        <f t="array" ref="C16855">PRODUCT(1-'Sparkling Model'!D$2:D$38^A16855)</f>
        <v>0.999177576</v>
      </c>
    </row>
    <row r="16856">
      <c r="A16856" s="6">
        <v>16854.0</v>
      </c>
      <c r="B16856" s="17">
        <f t="array" ref="B16856">SUM(1-'Sparkling Model'!D$2:D$38^A16856)</f>
        <v>36.99917775</v>
      </c>
      <c r="C16856" s="8">
        <f t="array" ref="C16856">PRODUCT(1-'Sparkling Model'!D$2:D$38^A16856)</f>
        <v>0.999177981</v>
      </c>
    </row>
    <row r="16857">
      <c r="A16857" s="6">
        <v>16855.0</v>
      </c>
      <c r="B16857" s="17">
        <f t="array" ref="B16857">SUM(1-'Sparkling Model'!D$2:D$38^A16857)</f>
        <v>36.99917815</v>
      </c>
      <c r="C16857" s="8">
        <f t="array" ref="C16857">PRODUCT(1-'Sparkling Model'!D$2:D$38^A16857)</f>
        <v>0.9991783857</v>
      </c>
    </row>
    <row r="16858">
      <c r="A16858" s="6">
        <v>16856.0</v>
      </c>
      <c r="B16858" s="17">
        <f t="array" ref="B16858">SUM(1-'Sparkling Model'!D$2:D$38^A16858)</f>
        <v>36.99917856</v>
      </c>
      <c r="C16858" s="8">
        <f t="array" ref="C16858">PRODUCT(1-'Sparkling Model'!D$2:D$38^A16858)</f>
        <v>0.9991787902</v>
      </c>
    </row>
    <row r="16859">
      <c r="A16859" s="6">
        <v>16857.0</v>
      </c>
      <c r="B16859" s="17">
        <f t="array" ref="B16859">SUM(1-'Sparkling Model'!D$2:D$38^A16859)</f>
        <v>36.99917896</v>
      </c>
      <c r="C16859" s="8">
        <f t="array" ref="C16859">PRODUCT(1-'Sparkling Model'!D$2:D$38^A16859)</f>
        <v>0.9991791946</v>
      </c>
    </row>
    <row r="16860">
      <c r="A16860" s="6">
        <v>16858.0</v>
      </c>
      <c r="B16860" s="17">
        <f t="array" ref="B16860">SUM(1-'Sparkling Model'!D$2:D$38^A16860)</f>
        <v>36.99917937</v>
      </c>
      <c r="C16860" s="8">
        <f t="array" ref="C16860">PRODUCT(1-'Sparkling Model'!D$2:D$38^A16860)</f>
        <v>0.9991795987</v>
      </c>
    </row>
    <row r="16861">
      <c r="A16861" s="6">
        <v>16859.0</v>
      </c>
      <c r="B16861" s="17">
        <f t="array" ref="B16861">SUM(1-'Sparkling Model'!D$2:D$38^A16861)</f>
        <v>36.99917977</v>
      </c>
      <c r="C16861" s="8">
        <f t="array" ref="C16861">PRODUCT(1-'Sparkling Model'!D$2:D$38^A16861)</f>
        <v>0.9991800026</v>
      </c>
    </row>
    <row r="16862">
      <c r="A16862" s="6">
        <v>16860.0</v>
      </c>
      <c r="B16862" s="17">
        <f t="array" ref="B16862">SUM(1-'Sparkling Model'!D$2:D$38^A16862)</f>
        <v>36.99918018</v>
      </c>
      <c r="C16862" s="8">
        <f t="array" ref="C16862">PRODUCT(1-'Sparkling Model'!D$2:D$38^A16862)</f>
        <v>0.9991804064</v>
      </c>
    </row>
    <row r="16863">
      <c r="A16863" s="6">
        <v>16861.0</v>
      </c>
      <c r="B16863" s="17">
        <f t="array" ref="B16863">SUM(1-'Sparkling Model'!D$2:D$38^A16863)</f>
        <v>36.99918058</v>
      </c>
      <c r="C16863" s="8">
        <f t="array" ref="C16863">PRODUCT(1-'Sparkling Model'!D$2:D$38^A16863)</f>
        <v>0.9991808099</v>
      </c>
    </row>
    <row r="16864">
      <c r="A16864" s="6">
        <v>16862.0</v>
      </c>
      <c r="B16864" s="17">
        <f t="array" ref="B16864">SUM(1-'Sparkling Model'!D$2:D$38^A16864)</f>
        <v>36.99918098</v>
      </c>
      <c r="C16864" s="8">
        <f t="array" ref="C16864">PRODUCT(1-'Sparkling Model'!D$2:D$38^A16864)</f>
        <v>0.9991812132</v>
      </c>
    </row>
    <row r="16865">
      <c r="A16865" s="6">
        <v>16863.0</v>
      </c>
      <c r="B16865" s="17">
        <f t="array" ref="B16865">SUM(1-'Sparkling Model'!D$2:D$38^A16865)</f>
        <v>36.99918139</v>
      </c>
      <c r="C16865" s="8">
        <f t="array" ref="C16865">PRODUCT(1-'Sparkling Model'!D$2:D$38^A16865)</f>
        <v>0.9991816164</v>
      </c>
    </row>
    <row r="16866">
      <c r="A16866" s="6">
        <v>16864.0</v>
      </c>
      <c r="B16866" s="17">
        <f t="array" ref="B16866">SUM(1-'Sparkling Model'!D$2:D$38^A16866)</f>
        <v>36.99918179</v>
      </c>
      <c r="C16866" s="8">
        <f t="array" ref="C16866">PRODUCT(1-'Sparkling Model'!D$2:D$38^A16866)</f>
        <v>0.9991820193</v>
      </c>
    </row>
    <row r="16867">
      <c r="A16867" s="6">
        <v>16865.0</v>
      </c>
      <c r="B16867" s="17">
        <f t="array" ref="B16867">SUM(1-'Sparkling Model'!D$2:D$38^A16867)</f>
        <v>36.99918219</v>
      </c>
      <c r="C16867" s="8">
        <f t="array" ref="C16867">PRODUCT(1-'Sparkling Model'!D$2:D$38^A16867)</f>
        <v>0.999182422</v>
      </c>
    </row>
    <row r="16868">
      <c r="A16868" s="6">
        <v>16866.0</v>
      </c>
      <c r="B16868" s="17">
        <f t="array" ref="B16868">SUM(1-'Sparkling Model'!D$2:D$38^A16868)</f>
        <v>36.9991826</v>
      </c>
      <c r="C16868" s="8">
        <f t="array" ref="C16868">PRODUCT(1-'Sparkling Model'!D$2:D$38^A16868)</f>
        <v>0.9991828246</v>
      </c>
    </row>
    <row r="16869">
      <c r="A16869" s="6">
        <v>16867.0</v>
      </c>
      <c r="B16869" s="17">
        <f t="array" ref="B16869">SUM(1-'Sparkling Model'!D$2:D$38^A16869)</f>
        <v>36.999183</v>
      </c>
      <c r="C16869" s="8">
        <f t="array" ref="C16869">PRODUCT(1-'Sparkling Model'!D$2:D$38^A16869)</f>
        <v>0.9991832269</v>
      </c>
    </row>
    <row r="16870">
      <c r="A16870" s="6">
        <v>16868.0</v>
      </c>
      <c r="B16870" s="17">
        <f t="array" ref="B16870">SUM(1-'Sparkling Model'!D$2:D$38^A16870)</f>
        <v>36.9991834</v>
      </c>
      <c r="C16870" s="8">
        <f t="array" ref="C16870">PRODUCT(1-'Sparkling Model'!D$2:D$38^A16870)</f>
        <v>0.9991836291</v>
      </c>
    </row>
    <row r="16871">
      <c r="A16871" s="6">
        <v>16869.0</v>
      </c>
      <c r="B16871" s="17">
        <f t="array" ref="B16871">SUM(1-'Sparkling Model'!D$2:D$38^A16871)</f>
        <v>36.9991838</v>
      </c>
      <c r="C16871" s="8">
        <f t="array" ref="C16871">PRODUCT(1-'Sparkling Model'!D$2:D$38^A16871)</f>
        <v>0.999184031</v>
      </c>
    </row>
    <row r="16872">
      <c r="A16872" s="6">
        <v>16870.0</v>
      </c>
      <c r="B16872" s="17">
        <f t="array" ref="B16872">SUM(1-'Sparkling Model'!D$2:D$38^A16872)</f>
        <v>36.9991842</v>
      </c>
      <c r="C16872" s="8">
        <f t="array" ref="C16872">PRODUCT(1-'Sparkling Model'!D$2:D$38^A16872)</f>
        <v>0.9991844328</v>
      </c>
    </row>
    <row r="16873">
      <c r="A16873" s="6">
        <v>16871.0</v>
      </c>
      <c r="B16873" s="17">
        <f t="array" ref="B16873">SUM(1-'Sparkling Model'!D$2:D$38^A16873)</f>
        <v>36.99918461</v>
      </c>
      <c r="C16873" s="8">
        <f t="array" ref="C16873">PRODUCT(1-'Sparkling Model'!D$2:D$38^A16873)</f>
        <v>0.9991848343</v>
      </c>
    </row>
    <row r="16874">
      <c r="A16874" s="6">
        <v>16872.0</v>
      </c>
      <c r="B16874" s="17">
        <f t="array" ref="B16874">SUM(1-'Sparkling Model'!D$2:D$38^A16874)</f>
        <v>36.99918501</v>
      </c>
      <c r="C16874" s="8">
        <f t="array" ref="C16874">PRODUCT(1-'Sparkling Model'!D$2:D$38^A16874)</f>
        <v>0.9991852357</v>
      </c>
    </row>
    <row r="16875">
      <c r="A16875" s="6">
        <v>16873.0</v>
      </c>
      <c r="B16875" s="17">
        <f t="array" ref="B16875">SUM(1-'Sparkling Model'!D$2:D$38^A16875)</f>
        <v>36.99918541</v>
      </c>
      <c r="C16875" s="8">
        <f t="array" ref="C16875">PRODUCT(1-'Sparkling Model'!D$2:D$38^A16875)</f>
        <v>0.9991856368</v>
      </c>
    </row>
    <row r="16876">
      <c r="A16876" s="6">
        <v>16874.0</v>
      </c>
      <c r="B16876" s="17">
        <f t="array" ref="B16876">SUM(1-'Sparkling Model'!D$2:D$38^A16876)</f>
        <v>36.99918581</v>
      </c>
      <c r="C16876" s="8">
        <f t="array" ref="C16876">PRODUCT(1-'Sparkling Model'!D$2:D$38^A16876)</f>
        <v>0.9991860378</v>
      </c>
    </row>
    <row r="16877">
      <c r="A16877" s="6">
        <v>16875.0</v>
      </c>
      <c r="B16877" s="17">
        <f t="array" ref="B16877">SUM(1-'Sparkling Model'!D$2:D$38^A16877)</f>
        <v>36.99918621</v>
      </c>
      <c r="C16877" s="8">
        <f t="array" ref="C16877">PRODUCT(1-'Sparkling Model'!D$2:D$38^A16877)</f>
        <v>0.9991864385</v>
      </c>
    </row>
    <row r="16878">
      <c r="A16878" s="6">
        <v>16876.0</v>
      </c>
      <c r="B16878" s="17">
        <f t="array" ref="B16878">SUM(1-'Sparkling Model'!D$2:D$38^A16878)</f>
        <v>36.99918661</v>
      </c>
      <c r="C16878" s="8">
        <f t="array" ref="C16878">PRODUCT(1-'Sparkling Model'!D$2:D$38^A16878)</f>
        <v>0.9991868391</v>
      </c>
    </row>
    <row r="16879">
      <c r="A16879" s="6">
        <v>16877.0</v>
      </c>
      <c r="B16879" s="17">
        <f t="array" ref="B16879">SUM(1-'Sparkling Model'!D$2:D$38^A16879)</f>
        <v>36.99918701</v>
      </c>
      <c r="C16879" s="8">
        <f t="array" ref="C16879">PRODUCT(1-'Sparkling Model'!D$2:D$38^A16879)</f>
        <v>0.9991872394</v>
      </c>
    </row>
    <row r="16880">
      <c r="A16880" s="6">
        <v>16878.0</v>
      </c>
      <c r="B16880" s="17">
        <f t="array" ref="B16880">SUM(1-'Sparkling Model'!D$2:D$38^A16880)</f>
        <v>36.99918741</v>
      </c>
      <c r="C16880" s="8">
        <f t="array" ref="C16880">PRODUCT(1-'Sparkling Model'!D$2:D$38^A16880)</f>
        <v>0.9991876396</v>
      </c>
    </row>
    <row r="16881">
      <c r="A16881" s="6">
        <v>16879.0</v>
      </c>
      <c r="B16881" s="17">
        <f t="array" ref="B16881">SUM(1-'Sparkling Model'!D$2:D$38^A16881)</f>
        <v>36.99918781</v>
      </c>
      <c r="C16881" s="8">
        <f t="array" ref="C16881">PRODUCT(1-'Sparkling Model'!D$2:D$38^A16881)</f>
        <v>0.9991880396</v>
      </c>
    </row>
    <row r="16882">
      <c r="A16882" s="6">
        <v>16880.0</v>
      </c>
      <c r="B16882" s="17">
        <f t="array" ref="B16882">SUM(1-'Sparkling Model'!D$2:D$38^A16882)</f>
        <v>36.99918821</v>
      </c>
      <c r="C16882" s="8">
        <f t="array" ref="C16882">PRODUCT(1-'Sparkling Model'!D$2:D$38^A16882)</f>
        <v>0.9991884393</v>
      </c>
    </row>
    <row r="16883">
      <c r="A16883" s="6">
        <v>16881.0</v>
      </c>
      <c r="B16883" s="17">
        <f t="array" ref="B16883">SUM(1-'Sparkling Model'!D$2:D$38^A16883)</f>
        <v>36.99918861</v>
      </c>
      <c r="C16883" s="8">
        <f t="array" ref="C16883">PRODUCT(1-'Sparkling Model'!D$2:D$38^A16883)</f>
        <v>0.9991888389</v>
      </c>
    </row>
    <row r="16884">
      <c r="A16884" s="6">
        <v>16882.0</v>
      </c>
      <c r="B16884" s="17">
        <f t="array" ref="B16884">SUM(1-'Sparkling Model'!D$2:D$38^A16884)</f>
        <v>36.99918901</v>
      </c>
      <c r="C16884" s="8">
        <f t="array" ref="C16884">PRODUCT(1-'Sparkling Model'!D$2:D$38^A16884)</f>
        <v>0.9991892383</v>
      </c>
    </row>
    <row r="16885">
      <c r="A16885" s="6">
        <v>16883.0</v>
      </c>
      <c r="B16885" s="17">
        <f t="array" ref="B16885">SUM(1-'Sparkling Model'!D$2:D$38^A16885)</f>
        <v>36.99918941</v>
      </c>
      <c r="C16885" s="8">
        <f t="array" ref="C16885">PRODUCT(1-'Sparkling Model'!D$2:D$38^A16885)</f>
        <v>0.9991896374</v>
      </c>
    </row>
    <row r="16886">
      <c r="A16886" s="6">
        <v>16884.0</v>
      </c>
      <c r="B16886" s="17">
        <f t="array" ref="B16886">SUM(1-'Sparkling Model'!D$2:D$38^A16886)</f>
        <v>36.99918981</v>
      </c>
      <c r="C16886" s="8">
        <f t="array" ref="C16886">PRODUCT(1-'Sparkling Model'!D$2:D$38^A16886)</f>
        <v>0.9991900364</v>
      </c>
    </row>
    <row r="16887">
      <c r="A16887" s="6">
        <v>16885.0</v>
      </c>
      <c r="B16887" s="17">
        <f t="array" ref="B16887">SUM(1-'Sparkling Model'!D$2:D$38^A16887)</f>
        <v>36.99919021</v>
      </c>
      <c r="C16887" s="8">
        <f t="array" ref="C16887">PRODUCT(1-'Sparkling Model'!D$2:D$38^A16887)</f>
        <v>0.9991904352</v>
      </c>
    </row>
    <row r="16888">
      <c r="A16888" s="6">
        <v>16886.0</v>
      </c>
      <c r="B16888" s="17">
        <f t="array" ref="B16888">SUM(1-'Sparkling Model'!D$2:D$38^A16888)</f>
        <v>36.99919061</v>
      </c>
      <c r="C16888" s="8">
        <f t="array" ref="C16888">PRODUCT(1-'Sparkling Model'!D$2:D$38^A16888)</f>
        <v>0.9991908338</v>
      </c>
    </row>
    <row r="16889">
      <c r="A16889" s="6">
        <v>16887.0</v>
      </c>
      <c r="B16889" s="17">
        <f t="array" ref="B16889">SUM(1-'Sparkling Model'!D$2:D$38^A16889)</f>
        <v>36.99919101</v>
      </c>
      <c r="C16889" s="8">
        <f t="array" ref="C16889">PRODUCT(1-'Sparkling Model'!D$2:D$38^A16889)</f>
        <v>0.9991912322</v>
      </c>
    </row>
    <row r="16890">
      <c r="A16890" s="6">
        <v>16888.0</v>
      </c>
      <c r="B16890" s="17">
        <f t="array" ref="B16890">SUM(1-'Sparkling Model'!D$2:D$38^A16890)</f>
        <v>36.99919141</v>
      </c>
      <c r="C16890" s="8">
        <f t="array" ref="C16890">PRODUCT(1-'Sparkling Model'!D$2:D$38^A16890)</f>
        <v>0.9991916304</v>
      </c>
    </row>
    <row r="16891">
      <c r="A16891" s="6">
        <v>16889.0</v>
      </c>
      <c r="B16891" s="17">
        <f t="array" ref="B16891">SUM(1-'Sparkling Model'!D$2:D$38^A16891)</f>
        <v>36.9991918</v>
      </c>
      <c r="C16891" s="8">
        <f t="array" ref="C16891">PRODUCT(1-'Sparkling Model'!D$2:D$38^A16891)</f>
        <v>0.9991920284</v>
      </c>
    </row>
    <row r="16892">
      <c r="A16892" s="6">
        <v>16890.0</v>
      </c>
      <c r="B16892" s="17">
        <f t="array" ref="B16892">SUM(1-'Sparkling Model'!D$2:D$38^A16892)</f>
        <v>36.9991922</v>
      </c>
      <c r="C16892" s="8">
        <f t="array" ref="C16892">PRODUCT(1-'Sparkling Model'!D$2:D$38^A16892)</f>
        <v>0.9991924262</v>
      </c>
    </row>
    <row r="16893">
      <c r="A16893" s="6">
        <v>16891.0</v>
      </c>
      <c r="B16893" s="17">
        <f t="array" ref="B16893">SUM(1-'Sparkling Model'!D$2:D$38^A16893)</f>
        <v>36.9991926</v>
      </c>
      <c r="C16893" s="8">
        <f t="array" ref="C16893">PRODUCT(1-'Sparkling Model'!D$2:D$38^A16893)</f>
        <v>0.9991928238</v>
      </c>
    </row>
    <row r="16894">
      <c r="A16894" s="6">
        <v>16892.0</v>
      </c>
      <c r="B16894" s="17">
        <f t="array" ref="B16894">SUM(1-'Sparkling Model'!D$2:D$38^A16894)</f>
        <v>36.999193</v>
      </c>
      <c r="C16894" s="8">
        <f t="array" ref="C16894">PRODUCT(1-'Sparkling Model'!D$2:D$38^A16894)</f>
        <v>0.9991932212</v>
      </c>
    </row>
    <row r="16895">
      <c r="A16895" s="6">
        <v>16893.0</v>
      </c>
      <c r="B16895" s="17">
        <f t="array" ref="B16895">SUM(1-'Sparkling Model'!D$2:D$38^A16895)</f>
        <v>36.9991934</v>
      </c>
      <c r="C16895" s="8">
        <f t="array" ref="C16895">PRODUCT(1-'Sparkling Model'!D$2:D$38^A16895)</f>
        <v>0.9991936184</v>
      </c>
    </row>
    <row r="16896">
      <c r="A16896" s="6">
        <v>16894.0</v>
      </c>
      <c r="B16896" s="17">
        <f t="array" ref="B16896">SUM(1-'Sparkling Model'!D$2:D$38^A16896)</f>
        <v>36.99919379</v>
      </c>
      <c r="C16896" s="8">
        <f t="array" ref="C16896">PRODUCT(1-'Sparkling Model'!D$2:D$38^A16896)</f>
        <v>0.9991940154</v>
      </c>
    </row>
    <row r="16897">
      <c r="A16897" s="6">
        <v>16895.0</v>
      </c>
      <c r="B16897" s="17">
        <f t="array" ref="B16897">SUM(1-'Sparkling Model'!D$2:D$38^A16897)</f>
        <v>36.99919419</v>
      </c>
      <c r="C16897" s="8">
        <f t="array" ref="C16897">PRODUCT(1-'Sparkling Model'!D$2:D$38^A16897)</f>
        <v>0.9991944122</v>
      </c>
    </row>
    <row r="16898">
      <c r="A16898" s="6">
        <v>16896.0</v>
      </c>
      <c r="B16898" s="17">
        <f t="array" ref="B16898">SUM(1-'Sparkling Model'!D$2:D$38^A16898)</f>
        <v>36.99919459</v>
      </c>
      <c r="C16898" s="8">
        <f t="array" ref="C16898">PRODUCT(1-'Sparkling Model'!D$2:D$38^A16898)</f>
        <v>0.9991948088</v>
      </c>
    </row>
    <row r="16899">
      <c r="A16899" s="6">
        <v>16897.0</v>
      </c>
      <c r="B16899" s="17">
        <f t="array" ref="B16899">SUM(1-'Sparkling Model'!D$2:D$38^A16899)</f>
        <v>36.99919498</v>
      </c>
      <c r="C16899" s="8">
        <f t="array" ref="C16899">PRODUCT(1-'Sparkling Model'!D$2:D$38^A16899)</f>
        <v>0.9991952053</v>
      </c>
    </row>
    <row r="16900">
      <c r="A16900" s="6">
        <v>16898.0</v>
      </c>
      <c r="B16900" s="17">
        <f t="array" ref="B16900">SUM(1-'Sparkling Model'!D$2:D$38^A16900)</f>
        <v>36.99919538</v>
      </c>
      <c r="C16900" s="8">
        <f t="array" ref="C16900">PRODUCT(1-'Sparkling Model'!D$2:D$38^A16900)</f>
        <v>0.9991956015</v>
      </c>
    </row>
    <row r="16901">
      <c r="A16901" s="6">
        <v>16899.0</v>
      </c>
      <c r="B16901" s="17">
        <f t="array" ref="B16901">SUM(1-'Sparkling Model'!D$2:D$38^A16901)</f>
        <v>36.99919578</v>
      </c>
      <c r="C16901" s="8">
        <f t="array" ref="C16901">PRODUCT(1-'Sparkling Model'!D$2:D$38^A16901)</f>
        <v>0.9991959975</v>
      </c>
    </row>
    <row r="16902">
      <c r="A16902" s="6">
        <v>16900.0</v>
      </c>
      <c r="B16902" s="17">
        <f t="array" ref="B16902">SUM(1-'Sparkling Model'!D$2:D$38^A16902)</f>
        <v>36.99919617</v>
      </c>
      <c r="C16902" s="8">
        <f t="array" ref="C16902">PRODUCT(1-'Sparkling Model'!D$2:D$38^A16902)</f>
        <v>0.9991963934</v>
      </c>
    </row>
    <row r="16903">
      <c r="A16903" s="6">
        <v>16901.0</v>
      </c>
      <c r="B16903" s="17">
        <f t="array" ref="B16903">SUM(1-'Sparkling Model'!D$2:D$38^A16903)</f>
        <v>36.99919657</v>
      </c>
      <c r="C16903" s="8">
        <f t="array" ref="C16903">PRODUCT(1-'Sparkling Model'!D$2:D$38^A16903)</f>
        <v>0.999196789</v>
      </c>
    </row>
    <row r="16904">
      <c r="A16904" s="6">
        <v>16902.0</v>
      </c>
      <c r="B16904" s="17">
        <f t="array" ref="B16904">SUM(1-'Sparkling Model'!D$2:D$38^A16904)</f>
        <v>36.99919696</v>
      </c>
      <c r="C16904" s="8">
        <f t="array" ref="C16904">PRODUCT(1-'Sparkling Model'!D$2:D$38^A16904)</f>
        <v>0.9991971845</v>
      </c>
    </row>
    <row r="16905">
      <c r="A16905" s="6">
        <v>16903.0</v>
      </c>
      <c r="B16905" s="17">
        <f t="array" ref="B16905">SUM(1-'Sparkling Model'!D$2:D$38^A16905)</f>
        <v>36.99919736</v>
      </c>
      <c r="C16905" s="8">
        <f t="array" ref="C16905">PRODUCT(1-'Sparkling Model'!D$2:D$38^A16905)</f>
        <v>0.9991975797</v>
      </c>
    </row>
    <row r="16906">
      <c r="A16906" s="6">
        <v>16904.0</v>
      </c>
      <c r="B16906" s="17">
        <f t="array" ref="B16906">SUM(1-'Sparkling Model'!D$2:D$38^A16906)</f>
        <v>36.99919775</v>
      </c>
      <c r="C16906" s="8">
        <f t="array" ref="C16906">PRODUCT(1-'Sparkling Model'!D$2:D$38^A16906)</f>
        <v>0.9991979748</v>
      </c>
    </row>
    <row r="16907">
      <c r="A16907" s="6">
        <v>16905.0</v>
      </c>
      <c r="B16907" s="17">
        <f t="array" ref="B16907">SUM(1-'Sparkling Model'!D$2:D$38^A16907)</f>
        <v>36.99919815</v>
      </c>
      <c r="C16907" s="8">
        <f t="array" ref="C16907">PRODUCT(1-'Sparkling Model'!D$2:D$38^A16907)</f>
        <v>0.9991983696</v>
      </c>
    </row>
    <row r="16908">
      <c r="A16908" s="6">
        <v>16906.0</v>
      </c>
      <c r="B16908" s="17">
        <f t="array" ref="B16908">SUM(1-'Sparkling Model'!D$2:D$38^A16908)</f>
        <v>36.99919854</v>
      </c>
      <c r="C16908" s="8">
        <f t="array" ref="C16908">PRODUCT(1-'Sparkling Model'!D$2:D$38^A16908)</f>
        <v>0.9991987643</v>
      </c>
    </row>
    <row r="16909">
      <c r="A16909" s="6">
        <v>16907.0</v>
      </c>
      <c r="B16909" s="17">
        <f t="array" ref="B16909">SUM(1-'Sparkling Model'!D$2:D$38^A16909)</f>
        <v>36.99919894</v>
      </c>
      <c r="C16909" s="8">
        <f t="array" ref="C16909">PRODUCT(1-'Sparkling Model'!D$2:D$38^A16909)</f>
        <v>0.9991991588</v>
      </c>
    </row>
    <row r="16910">
      <c r="A16910" s="6">
        <v>16908.0</v>
      </c>
      <c r="B16910" s="17">
        <f t="array" ref="B16910">SUM(1-'Sparkling Model'!D$2:D$38^A16910)</f>
        <v>36.99919933</v>
      </c>
      <c r="C16910" s="8">
        <f t="array" ref="C16910">PRODUCT(1-'Sparkling Model'!D$2:D$38^A16910)</f>
        <v>0.9991995531</v>
      </c>
    </row>
    <row r="16911">
      <c r="A16911" s="6">
        <v>16909.0</v>
      </c>
      <c r="B16911" s="17">
        <f t="array" ref="B16911">SUM(1-'Sparkling Model'!D$2:D$38^A16911)</f>
        <v>36.99919973</v>
      </c>
      <c r="C16911" s="8">
        <f t="array" ref="C16911">PRODUCT(1-'Sparkling Model'!D$2:D$38^A16911)</f>
        <v>0.9991999471</v>
      </c>
    </row>
    <row r="16912">
      <c r="A16912" s="6">
        <v>16910.0</v>
      </c>
      <c r="B16912" s="17">
        <f t="array" ref="B16912">SUM(1-'Sparkling Model'!D$2:D$38^A16912)</f>
        <v>36.99920012</v>
      </c>
      <c r="C16912" s="8">
        <f t="array" ref="C16912">PRODUCT(1-'Sparkling Model'!D$2:D$38^A16912)</f>
        <v>0.999200341</v>
      </c>
    </row>
    <row r="16913">
      <c r="A16913" s="6">
        <v>16911.0</v>
      </c>
      <c r="B16913" s="17">
        <f t="array" ref="B16913">SUM(1-'Sparkling Model'!D$2:D$38^A16913)</f>
        <v>36.99920052</v>
      </c>
      <c r="C16913" s="8">
        <f t="array" ref="C16913">PRODUCT(1-'Sparkling Model'!D$2:D$38^A16913)</f>
        <v>0.9992007347</v>
      </c>
    </row>
    <row r="16914">
      <c r="A16914" s="6">
        <v>16912.0</v>
      </c>
      <c r="B16914" s="17">
        <f t="array" ref="B16914">SUM(1-'Sparkling Model'!D$2:D$38^A16914)</f>
        <v>36.99920091</v>
      </c>
      <c r="C16914" s="8">
        <f t="array" ref="C16914">PRODUCT(1-'Sparkling Model'!D$2:D$38^A16914)</f>
        <v>0.9992011282</v>
      </c>
    </row>
    <row r="16915">
      <c r="A16915" s="6">
        <v>16913.0</v>
      </c>
      <c r="B16915" s="17">
        <f t="array" ref="B16915">SUM(1-'Sparkling Model'!D$2:D$38^A16915)</f>
        <v>36.9992013</v>
      </c>
      <c r="C16915" s="8">
        <f t="array" ref="C16915">PRODUCT(1-'Sparkling Model'!D$2:D$38^A16915)</f>
        <v>0.9992015215</v>
      </c>
    </row>
    <row r="16916">
      <c r="A16916" s="6">
        <v>16914.0</v>
      </c>
      <c r="B16916" s="17">
        <f t="array" ref="B16916">SUM(1-'Sparkling Model'!D$2:D$38^A16916)</f>
        <v>36.9992017</v>
      </c>
      <c r="C16916" s="8">
        <f t="array" ref="C16916">PRODUCT(1-'Sparkling Model'!D$2:D$38^A16916)</f>
        <v>0.9992019147</v>
      </c>
    </row>
    <row r="16917">
      <c r="A16917" s="6">
        <v>16915.0</v>
      </c>
      <c r="B16917" s="17">
        <f t="array" ref="B16917">SUM(1-'Sparkling Model'!D$2:D$38^A16917)</f>
        <v>36.99920209</v>
      </c>
      <c r="C16917" s="8">
        <f t="array" ref="C16917">PRODUCT(1-'Sparkling Model'!D$2:D$38^A16917)</f>
        <v>0.9992023076</v>
      </c>
    </row>
    <row r="16918">
      <c r="A16918" s="6">
        <v>16916.0</v>
      </c>
      <c r="B16918" s="17">
        <f t="array" ref="B16918">SUM(1-'Sparkling Model'!D$2:D$38^A16918)</f>
        <v>36.99920248</v>
      </c>
      <c r="C16918" s="8">
        <f t="array" ref="C16918">PRODUCT(1-'Sparkling Model'!D$2:D$38^A16918)</f>
        <v>0.9992027003</v>
      </c>
    </row>
    <row r="16919">
      <c r="A16919" s="6">
        <v>16917.0</v>
      </c>
      <c r="B16919" s="17">
        <f t="array" ref="B16919">SUM(1-'Sparkling Model'!D$2:D$38^A16919)</f>
        <v>36.99920288</v>
      </c>
      <c r="C16919" s="8">
        <f t="array" ref="C16919">PRODUCT(1-'Sparkling Model'!D$2:D$38^A16919)</f>
        <v>0.9992030928</v>
      </c>
    </row>
    <row r="16920">
      <c r="A16920" s="6">
        <v>16918.0</v>
      </c>
      <c r="B16920" s="17">
        <f t="array" ref="B16920">SUM(1-'Sparkling Model'!D$2:D$38^A16920)</f>
        <v>36.99920327</v>
      </c>
      <c r="C16920" s="8">
        <f t="array" ref="C16920">PRODUCT(1-'Sparkling Model'!D$2:D$38^A16920)</f>
        <v>0.9992034852</v>
      </c>
    </row>
    <row r="16921">
      <c r="A16921" s="6">
        <v>16919.0</v>
      </c>
      <c r="B16921" s="17">
        <f t="array" ref="B16921">SUM(1-'Sparkling Model'!D$2:D$38^A16921)</f>
        <v>36.99920366</v>
      </c>
      <c r="C16921" s="8">
        <f t="array" ref="C16921">PRODUCT(1-'Sparkling Model'!D$2:D$38^A16921)</f>
        <v>0.9992038773</v>
      </c>
    </row>
    <row r="16922">
      <c r="A16922" s="6">
        <v>16920.0</v>
      </c>
      <c r="B16922" s="17">
        <f t="array" ref="B16922">SUM(1-'Sparkling Model'!D$2:D$38^A16922)</f>
        <v>36.99920405</v>
      </c>
      <c r="C16922" s="8">
        <f t="array" ref="C16922">PRODUCT(1-'Sparkling Model'!D$2:D$38^A16922)</f>
        <v>0.9992042693</v>
      </c>
    </row>
    <row r="16923">
      <c r="A16923" s="6">
        <v>16921.0</v>
      </c>
      <c r="B16923" s="17">
        <f t="array" ref="B16923">SUM(1-'Sparkling Model'!D$2:D$38^A16923)</f>
        <v>36.99920444</v>
      </c>
      <c r="C16923" s="8">
        <f t="array" ref="C16923">PRODUCT(1-'Sparkling Model'!D$2:D$38^A16923)</f>
        <v>0.999204661</v>
      </c>
    </row>
    <row r="16924">
      <c r="A16924" s="6">
        <v>16922.0</v>
      </c>
      <c r="B16924" s="17">
        <f t="array" ref="B16924">SUM(1-'Sparkling Model'!D$2:D$38^A16924)</f>
        <v>36.99920484</v>
      </c>
      <c r="C16924" s="8">
        <f t="array" ref="C16924">PRODUCT(1-'Sparkling Model'!D$2:D$38^A16924)</f>
        <v>0.9992050526</v>
      </c>
    </row>
    <row r="16925">
      <c r="A16925" s="6">
        <v>16923.0</v>
      </c>
      <c r="B16925" s="17">
        <f t="array" ref="B16925">SUM(1-'Sparkling Model'!D$2:D$38^A16925)</f>
        <v>36.99920523</v>
      </c>
      <c r="C16925" s="8">
        <f t="array" ref="C16925">PRODUCT(1-'Sparkling Model'!D$2:D$38^A16925)</f>
        <v>0.999205444</v>
      </c>
    </row>
    <row r="16926">
      <c r="A16926" s="6">
        <v>16924.0</v>
      </c>
      <c r="B16926" s="17">
        <f t="array" ref="B16926">SUM(1-'Sparkling Model'!D$2:D$38^A16926)</f>
        <v>36.99920562</v>
      </c>
      <c r="C16926" s="8">
        <f t="array" ref="C16926">PRODUCT(1-'Sparkling Model'!D$2:D$38^A16926)</f>
        <v>0.9992058351</v>
      </c>
    </row>
    <row r="16927">
      <c r="A16927" s="6">
        <v>16925.0</v>
      </c>
      <c r="B16927" s="17">
        <f t="array" ref="B16927">SUM(1-'Sparkling Model'!D$2:D$38^A16927)</f>
        <v>36.99920601</v>
      </c>
      <c r="C16927" s="8">
        <f t="array" ref="C16927">PRODUCT(1-'Sparkling Model'!D$2:D$38^A16927)</f>
        <v>0.9992062261</v>
      </c>
    </row>
    <row r="16928">
      <c r="A16928" s="6">
        <v>16926.0</v>
      </c>
      <c r="B16928" s="17">
        <f t="array" ref="B16928">SUM(1-'Sparkling Model'!D$2:D$38^A16928)</f>
        <v>36.9992064</v>
      </c>
      <c r="C16928" s="8">
        <f t="array" ref="C16928">PRODUCT(1-'Sparkling Model'!D$2:D$38^A16928)</f>
        <v>0.9992066169</v>
      </c>
    </row>
    <row r="16929">
      <c r="A16929" s="6">
        <v>16927.0</v>
      </c>
      <c r="B16929" s="17">
        <f t="array" ref="B16929">SUM(1-'Sparkling Model'!D$2:D$38^A16929)</f>
        <v>36.99920679</v>
      </c>
      <c r="C16929" s="8">
        <f t="array" ref="C16929">PRODUCT(1-'Sparkling Model'!D$2:D$38^A16929)</f>
        <v>0.9992070075</v>
      </c>
    </row>
    <row r="16930">
      <c r="A16930" s="6">
        <v>16928.0</v>
      </c>
      <c r="B16930" s="17">
        <f t="array" ref="B16930">SUM(1-'Sparkling Model'!D$2:D$38^A16930)</f>
        <v>36.99920718</v>
      </c>
      <c r="C16930" s="8">
        <f t="array" ref="C16930">PRODUCT(1-'Sparkling Model'!D$2:D$38^A16930)</f>
        <v>0.9992073979</v>
      </c>
    </row>
    <row r="16931">
      <c r="A16931" s="6">
        <v>16929.0</v>
      </c>
      <c r="B16931" s="17">
        <f t="array" ref="B16931">SUM(1-'Sparkling Model'!D$2:D$38^A16931)</f>
        <v>36.99920757</v>
      </c>
      <c r="C16931" s="8">
        <f t="array" ref="C16931">PRODUCT(1-'Sparkling Model'!D$2:D$38^A16931)</f>
        <v>0.9992077881</v>
      </c>
    </row>
    <row r="16932">
      <c r="A16932" s="6">
        <v>16930.0</v>
      </c>
      <c r="B16932" s="17">
        <f t="array" ref="B16932">SUM(1-'Sparkling Model'!D$2:D$38^A16932)</f>
        <v>36.99920796</v>
      </c>
      <c r="C16932" s="8">
        <f t="array" ref="C16932">PRODUCT(1-'Sparkling Model'!D$2:D$38^A16932)</f>
        <v>0.9992081782</v>
      </c>
    </row>
    <row r="16933">
      <c r="A16933" s="6">
        <v>16931.0</v>
      </c>
      <c r="B16933" s="17">
        <f t="array" ref="B16933">SUM(1-'Sparkling Model'!D$2:D$38^A16933)</f>
        <v>36.99920835</v>
      </c>
      <c r="C16933" s="8">
        <f t="array" ref="C16933">PRODUCT(1-'Sparkling Model'!D$2:D$38^A16933)</f>
        <v>0.999208568</v>
      </c>
    </row>
    <row r="16934">
      <c r="A16934" s="6">
        <v>16932.0</v>
      </c>
      <c r="B16934" s="17">
        <f t="array" ref="B16934">SUM(1-'Sparkling Model'!D$2:D$38^A16934)</f>
        <v>36.99920874</v>
      </c>
      <c r="C16934" s="8">
        <f t="array" ref="C16934">PRODUCT(1-'Sparkling Model'!D$2:D$38^A16934)</f>
        <v>0.9992089576</v>
      </c>
    </row>
    <row r="16935">
      <c r="A16935" s="6">
        <v>16933.0</v>
      </c>
      <c r="B16935" s="17">
        <f t="array" ref="B16935">SUM(1-'Sparkling Model'!D$2:D$38^A16935)</f>
        <v>36.99920913</v>
      </c>
      <c r="C16935" s="8">
        <f t="array" ref="C16935">PRODUCT(1-'Sparkling Model'!D$2:D$38^A16935)</f>
        <v>0.9992093471</v>
      </c>
    </row>
    <row r="16936">
      <c r="A16936" s="6">
        <v>16934.0</v>
      </c>
      <c r="B16936" s="17">
        <f t="array" ref="B16936">SUM(1-'Sparkling Model'!D$2:D$38^A16936)</f>
        <v>36.99920952</v>
      </c>
      <c r="C16936" s="8">
        <f t="array" ref="C16936">PRODUCT(1-'Sparkling Model'!D$2:D$38^A16936)</f>
        <v>0.9992097363</v>
      </c>
    </row>
    <row r="16937">
      <c r="A16937" s="6">
        <v>16935.0</v>
      </c>
      <c r="B16937" s="17">
        <f t="array" ref="B16937">SUM(1-'Sparkling Model'!D$2:D$38^A16937)</f>
        <v>36.99920991</v>
      </c>
      <c r="C16937" s="8">
        <f t="array" ref="C16937">PRODUCT(1-'Sparkling Model'!D$2:D$38^A16937)</f>
        <v>0.9992101254</v>
      </c>
    </row>
    <row r="16938">
      <c r="A16938" s="6">
        <v>16936.0</v>
      </c>
      <c r="B16938" s="17">
        <f t="array" ref="B16938">SUM(1-'Sparkling Model'!D$2:D$38^A16938)</f>
        <v>36.9992103</v>
      </c>
      <c r="C16938" s="8">
        <f t="array" ref="C16938">PRODUCT(1-'Sparkling Model'!D$2:D$38^A16938)</f>
        <v>0.9992105143</v>
      </c>
    </row>
    <row r="16939">
      <c r="A16939" s="6">
        <v>16937.0</v>
      </c>
      <c r="B16939" s="17">
        <f t="array" ref="B16939">SUM(1-'Sparkling Model'!D$2:D$38^A16939)</f>
        <v>36.99921069</v>
      </c>
      <c r="C16939" s="8">
        <f t="array" ref="C16939">PRODUCT(1-'Sparkling Model'!D$2:D$38^A16939)</f>
        <v>0.9992109029</v>
      </c>
    </row>
    <row r="16940">
      <c r="A16940" s="6">
        <v>16938.0</v>
      </c>
      <c r="B16940" s="17">
        <f t="array" ref="B16940">SUM(1-'Sparkling Model'!D$2:D$38^A16940)</f>
        <v>36.99921108</v>
      </c>
      <c r="C16940" s="8">
        <f t="array" ref="C16940">PRODUCT(1-'Sparkling Model'!D$2:D$38^A16940)</f>
        <v>0.9992112914</v>
      </c>
    </row>
    <row r="16941">
      <c r="A16941" s="6">
        <v>16939.0</v>
      </c>
      <c r="B16941" s="17">
        <f t="array" ref="B16941">SUM(1-'Sparkling Model'!D$2:D$38^A16941)</f>
        <v>36.99921147</v>
      </c>
      <c r="C16941" s="8">
        <f t="array" ref="C16941">PRODUCT(1-'Sparkling Model'!D$2:D$38^A16941)</f>
        <v>0.9992116797</v>
      </c>
    </row>
    <row r="16942">
      <c r="A16942" s="6">
        <v>16940.0</v>
      </c>
      <c r="B16942" s="17">
        <f t="array" ref="B16942">SUM(1-'Sparkling Model'!D$2:D$38^A16942)</f>
        <v>36.99921186</v>
      </c>
      <c r="C16942" s="8">
        <f t="array" ref="C16942">PRODUCT(1-'Sparkling Model'!D$2:D$38^A16942)</f>
        <v>0.9992120678</v>
      </c>
    </row>
    <row r="16943">
      <c r="A16943" s="6">
        <v>16941.0</v>
      </c>
      <c r="B16943" s="17">
        <f t="array" ref="B16943">SUM(1-'Sparkling Model'!D$2:D$38^A16943)</f>
        <v>36.99921224</v>
      </c>
      <c r="C16943" s="8">
        <f t="array" ref="C16943">PRODUCT(1-'Sparkling Model'!D$2:D$38^A16943)</f>
        <v>0.9992124557</v>
      </c>
    </row>
    <row r="16944">
      <c r="A16944" s="6">
        <v>16942.0</v>
      </c>
      <c r="B16944" s="17">
        <f t="array" ref="B16944">SUM(1-'Sparkling Model'!D$2:D$38^A16944)</f>
        <v>36.99921263</v>
      </c>
      <c r="C16944" s="8">
        <f t="array" ref="C16944">PRODUCT(1-'Sparkling Model'!D$2:D$38^A16944)</f>
        <v>0.9992128435</v>
      </c>
    </row>
    <row r="16945">
      <c r="A16945" s="6">
        <v>16943.0</v>
      </c>
      <c r="B16945" s="17">
        <f t="array" ref="B16945">SUM(1-'Sparkling Model'!D$2:D$38^A16945)</f>
        <v>36.99921302</v>
      </c>
      <c r="C16945" s="8">
        <f t="array" ref="C16945">PRODUCT(1-'Sparkling Model'!D$2:D$38^A16945)</f>
        <v>0.999213231</v>
      </c>
    </row>
    <row r="16946">
      <c r="A16946" s="6">
        <v>16944.0</v>
      </c>
      <c r="B16946" s="17">
        <f t="array" ref="B16946">SUM(1-'Sparkling Model'!D$2:D$38^A16946)</f>
        <v>36.99921341</v>
      </c>
      <c r="C16946" s="8">
        <f t="array" ref="C16946">PRODUCT(1-'Sparkling Model'!D$2:D$38^A16946)</f>
        <v>0.9992136183</v>
      </c>
    </row>
    <row r="16947">
      <c r="A16947" s="6">
        <v>16945.0</v>
      </c>
      <c r="B16947" s="17">
        <f t="array" ref="B16947">SUM(1-'Sparkling Model'!D$2:D$38^A16947)</f>
        <v>36.99921379</v>
      </c>
      <c r="C16947" s="8">
        <f t="array" ref="C16947">PRODUCT(1-'Sparkling Model'!D$2:D$38^A16947)</f>
        <v>0.9992140055</v>
      </c>
    </row>
    <row r="16948">
      <c r="A16948" s="6">
        <v>16946.0</v>
      </c>
      <c r="B16948" s="17">
        <f t="array" ref="B16948">SUM(1-'Sparkling Model'!D$2:D$38^A16948)</f>
        <v>36.99921418</v>
      </c>
      <c r="C16948" s="8">
        <f t="array" ref="C16948">PRODUCT(1-'Sparkling Model'!D$2:D$38^A16948)</f>
        <v>0.9992143924</v>
      </c>
    </row>
    <row r="16949">
      <c r="A16949" s="6">
        <v>16947.0</v>
      </c>
      <c r="B16949" s="17">
        <f t="array" ref="B16949">SUM(1-'Sparkling Model'!D$2:D$38^A16949)</f>
        <v>36.99921457</v>
      </c>
      <c r="C16949" s="8">
        <f t="array" ref="C16949">PRODUCT(1-'Sparkling Model'!D$2:D$38^A16949)</f>
        <v>0.9992147792</v>
      </c>
    </row>
    <row r="16950">
      <c r="A16950" s="6">
        <v>16948.0</v>
      </c>
      <c r="B16950" s="17">
        <f t="array" ref="B16950">SUM(1-'Sparkling Model'!D$2:D$38^A16950)</f>
        <v>36.99921495</v>
      </c>
      <c r="C16950" s="8">
        <f t="array" ref="C16950">PRODUCT(1-'Sparkling Model'!D$2:D$38^A16950)</f>
        <v>0.9992151658</v>
      </c>
    </row>
    <row r="16951">
      <c r="A16951" s="6">
        <v>16949.0</v>
      </c>
      <c r="B16951" s="17">
        <f t="array" ref="B16951">SUM(1-'Sparkling Model'!D$2:D$38^A16951)</f>
        <v>36.99921534</v>
      </c>
      <c r="C16951" s="8">
        <f t="array" ref="C16951">PRODUCT(1-'Sparkling Model'!D$2:D$38^A16951)</f>
        <v>0.9992155521</v>
      </c>
    </row>
    <row r="16952">
      <c r="A16952" s="6">
        <v>16950.0</v>
      </c>
      <c r="B16952" s="17">
        <f t="array" ref="B16952">SUM(1-'Sparkling Model'!D$2:D$38^A16952)</f>
        <v>36.99921573</v>
      </c>
      <c r="C16952" s="8">
        <f t="array" ref="C16952">PRODUCT(1-'Sparkling Model'!D$2:D$38^A16952)</f>
        <v>0.9992159383</v>
      </c>
    </row>
    <row r="16953">
      <c r="A16953" s="6">
        <v>16951.0</v>
      </c>
      <c r="B16953" s="17">
        <f t="array" ref="B16953">SUM(1-'Sparkling Model'!D$2:D$38^A16953)</f>
        <v>36.99921611</v>
      </c>
      <c r="C16953" s="8">
        <f t="array" ref="C16953">PRODUCT(1-'Sparkling Model'!D$2:D$38^A16953)</f>
        <v>0.9992163243</v>
      </c>
    </row>
    <row r="16954">
      <c r="A16954" s="6">
        <v>16952.0</v>
      </c>
      <c r="B16954" s="17">
        <f t="array" ref="B16954">SUM(1-'Sparkling Model'!D$2:D$38^A16954)</f>
        <v>36.9992165</v>
      </c>
      <c r="C16954" s="8">
        <f t="array" ref="C16954">PRODUCT(1-'Sparkling Model'!D$2:D$38^A16954)</f>
        <v>0.9992167101</v>
      </c>
    </row>
    <row r="16955">
      <c r="A16955" s="6">
        <v>16953.0</v>
      </c>
      <c r="B16955" s="17">
        <f t="array" ref="B16955">SUM(1-'Sparkling Model'!D$2:D$38^A16955)</f>
        <v>36.99921689</v>
      </c>
      <c r="C16955" s="8">
        <f t="array" ref="C16955">PRODUCT(1-'Sparkling Model'!D$2:D$38^A16955)</f>
        <v>0.9992170958</v>
      </c>
    </row>
    <row r="16956">
      <c r="A16956" s="6">
        <v>16954.0</v>
      </c>
      <c r="B16956" s="17">
        <f t="array" ref="B16956">SUM(1-'Sparkling Model'!D$2:D$38^A16956)</f>
        <v>36.99921727</v>
      </c>
      <c r="C16956" s="8">
        <f t="array" ref="C16956">PRODUCT(1-'Sparkling Model'!D$2:D$38^A16956)</f>
        <v>0.9992174812</v>
      </c>
    </row>
    <row r="16957">
      <c r="A16957" s="6">
        <v>16955.0</v>
      </c>
      <c r="B16957" s="17">
        <f t="array" ref="B16957">SUM(1-'Sparkling Model'!D$2:D$38^A16957)</f>
        <v>36.99921766</v>
      </c>
      <c r="C16957" s="8">
        <f t="array" ref="C16957">PRODUCT(1-'Sparkling Model'!D$2:D$38^A16957)</f>
        <v>0.9992178664</v>
      </c>
    </row>
    <row r="16958">
      <c r="A16958" s="6">
        <v>16956.0</v>
      </c>
      <c r="B16958" s="17">
        <f t="array" ref="B16958">SUM(1-'Sparkling Model'!D$2:D$38^A16958)</f>
        <v>36.99921804</v>
      </c>
      <c r="C16958" s="8">
        <f t="array" ref="C16958">PRODUCT(1-'Sparkling Model'!D$2:D$38^A16958)</f>
        <v>0.9992182515</v>
      </c>
    </row>
    <row r="16959">
      <c r="A16959" s="6">
        <v>16957.0</v>
      </c>
      <c r="B16959" s="17">
        <f t="array" ref="B16959">SUM(1-'Sparkling Model'!D$2:D$38^A16959)</f>
        <v>36.99921843</v>
      </c>
      <c r="C16959" s="8">
        <f t="array" ref="C16959">PRODUCT(1-'Sparkling Model'!D$2:D$38^A16959)</f>
        <v>0.9992186363</v>
      </c>
    </row>
    <row r="16960">
      <c r="A16960" s="6">
        <v>16958.0</v>
      </c>
      <c r="B16960" s="17">
        <f t="array" ref="B16960">SUM(1-'Sparkling Model'!D$2:D$38^A16960)</f>
        <v>36.99921881</v>
      </c>
      <c r="C16960" s="8">
        <f t="array" ref="C16960">PRODUCT(1-'Sparkling Model'!D$2:D$38^A16960)</f>
        <v>0.999219021</v>
      </c>
    </row>
    <row r="16961">
      <c r="A16961" s="6">
        <v>16959.0</v>
      </c>
      <c r="B16961" s="17">
        <f t="array" ref="B16961">SUM(1-'Sparkling Model'!D$2:D$38^A16961)</f>
        <v>36.9992192</v>
      </c>
      <c r="C16961" s="8">
        <f t="array" ref="C16961">PRODUCT(1-'Sparkling Model'!D$2:D$38^A16961)</f>
        <v>0.9992194055</v>
      </c>
    </row>
    <row r="16962">
      <c r="A16962" s="6">
        <v>16960.0</v>
      </c>
      <c r="B16962" s="17">
        <f t="array" ref="B16962">SUM(1-'Sparkling Model'!D$2:D$38^A16962)</f>
        <v>36.99921958</v>
      </c>
      <c r="C16962" s="8">
        <f t="array" ref="C16962">PRODUCT(1-'Sparkling Model'!D$2:D$38^A16962)</f>
        <v>0.9992197898</v>
      </c>
    </row>
    <row r="16963">
      <c r="A16963" s="6">
        <v>16961.0</v>
      </c>
      <c r="B16963" s="17">
        <f t="array" ref="B16963">SUM(1-'Sparkling Model'!D$2:D$38^A16963)</f>
        <v>36.99921997</v>
      </c>
      <c r="C16963" s="8">
        <f t="array" ref="C16963">PRODUCT(1-'Sparkling Model'!D$2:D$38^A16963)</f>
        <v>0.9992201739</v>
      </c>
    </row>
    <row r="16964">
      <c r="A16964" s="6">
        <v>16962.0</v>
      </c>
      <c r="B16964" s="17">
        <f t="array" ref="B16964">SUM(1-'Sparkling Model'!D$2:D$38^A16964)</f>
        <v>36.99922035</v>
      </c>
      <c r="C16964" s="8">
        <f t="array" ref="C16964">PRODUCT(1-'Sparkling Model'!D$2:D$38^A16964)</f>
        <v>0.9992205578</v>
      </c>
    </row>
    <row r="16965">
      <c r="A16965" s="6">
        <v>16963.0</v>
      </c>
      <c r="B16965" s="17">
        <f t="array" ref="B16965">SUM(1-'Sparkling Model'!D$2:D$38^A16965)</f>
        <v>36.99922073</v>
      </c>
      <c r="C16965" s="8">
        <f t="array" ref="C16965">PRODUCT(1-'Sparkling Model'!D$2:D$38^A16965)</f>
        <v>0.9992209415</v>
      </c>
    </row>
    <row r="16966">
      <c r="A16966" s="6">
        <v>16964.0</v>
      </c>
      <c r="B16966" s="17">
        <f t="array" ref="B16966">SUM(1-'Sparkling Model'!D$2:D$38^A16966)</f>
        <v>36.99922112</v>
      </c>
      <c r="C16966" s="8">
        <f t="array" ref="C16966">PRODUCT(1-'Sparkling Model'!D$2:D$38^A16966)</f>
        <v>0.999221325</v>
      </c>
    </row>
    <row r="16967">
      <c r="A16967" s="6">
        <v>16965.0</v>
      </c>
      <c r="B16967" s="17">
        <f t="array" ref="B16967">SUM(1-'Sparkling Model'!D$2:D$38^A16967)</f>
        <v>36.9992215</v>
      </c>
      <c r="C16967" s="8">
        <f t="array" ref="C16967">PRODUCT(1-'Sparkling Model'!D$2:D$38^A16967)</f>
        <v>0.9992217084</v>
      </c>
    </row>
    <row r="16968">
      <c r="A16968" s="6">
        <v>16966.0</v>
      </c>
      <c r="B16968" s="17">
        <f t="array" ref="B16968">SUM(1-'Sparkling Model'!D$2:D$38^A16968)</f>
        <v>36.99922188</v>
      </c>
      <c r="C16968" s="8">
        <f t="array" ref="C16968">PRODUCT(1-'Sparkling Model'!D$2:D$38^A16968)</f>
        <v>0.9992220915</v>
      </c>
    </row>
    <row r="16969">
      <c r="A16969" s="6">
        <v>16967.0</v>
      </c>
      <c r="B16969" s="17">
        <f t="array" ref="B16969">SUM(1-'Sparkling Model'!D$2:D$38^A16969)</f>
        <v>36.99922227</v>
      </c>
      <c r="C16969" s="8">
        <f t="array" ref="C16969">PRODUCT(1-'Sparkling Model'!D$2:D$38^A16969)</f>
        <v>0.9992224745</v>
      </c>
    </row>
    <row r="16970">
      <c r="A16970" s="6">
        <v>16968.0</v>
      </c>
      <c r="B16970" s="17">
        <f t="array" ref="B16970">SUM(1-'Sparkling Model'!D$2:D$38^A16970)</f>
        <v>36.99922265</v>
      </c>
      <c r="C16970" s="8">
        <f t="array" ref="C16970">PRODUCT(1-'Sparkling Model'!D$2:D$38^A16970)</f>
        <v>0.9992228573</v>
      </c>
    </row>
    <row r="16971">
      <c r="A16971" s="6">
        <v>16969.0</v>
      </c>
      <c r="B16971" s="17">
        <f t="array" ref="B16971">SUM(1-'Sparkling Model'!D$2:D$38^A16971)</f>
        <v>36.99922303</v>
      </c>
      <c r="C16971" s="8">
        <f t="array" ref="C16971">PRODUCT(1-'Sparkling Model'!D$2:D$38^A16971)</f>
        <v>0.9992232399</v>
      </c>
    </row>
    <row r="16972">
      <c r="A16972" s="6">
        <v>16970.0</v>
      </c>
      <c r="B16972" s="17">
        <f t="array" ref="B16972">SUM(1-'Sparkling Model'!D$2:D$38^A16972)</f>
        <v>36.99922342</v>
      </c>
      <c r="C16972" s="8">
        <f t="array" ref="C16972">PRODUCT(1-'Sparkling Model'!D$2:D$38^A16972)</f>
        <v>0.9992236223</v>
      </c>
    </row>
    <row r="16973">
      <c r="A16973" s="6">
        <v>16971.0</v>
      </c>
      <c r="B16973" s="17">
        <f t="array" ref="B16973">SUM(1-'Sparkling Model'!D$2:D$38^A16973)</f>
        <v>36.9992238</v>
      </c>
      <c r="C16973" s="8">
        <f t="array" ref="C16973">PRODUCT(1-'Sparkling Model'!D$2:D$38^A16973)</f>
        <v>0.9992240045</v>
      </c>
    </row>
    <row r="16974">
      <c r="A16974" s="6">
        <v>16972.0</v>
      </c>
      <c r="B16974" s="17">
        <f t="array" ref="B16974">SUM(1-'Sparkling Model'!D$2:D$38^A16974)</f>
        <v>36.99922418</v>
      </c>
      <c r="C16974" s="8">
        <f t="array" ref="C16974">PRODUCT(1-'Sparkling Model'!D$2:D$38^A16974)</f>
        <v>0.9992243865</v>
      </c>
    </row>
    <row r="16975">
      <c r="A16975" s="6">
        <v>16973.0</v>
      </c>
      <c r="B16975" s="17">
        <f t="array" ref="B16975">SUM(1-'Sparkling Model'!D$2:D$38^A16975)</f>
        <v>36.99922456</v>
      </c>
      <c r="C16975" s="8">
        <f t="array" ref="C16975">PRODUCT(1-'Sparkling Model'!D$2:D$38^A16975)</f>
        <v>0.9992247683</v>
      </c>
    </row>
    <row r="16976">
      <c r="A16976" s="6">
        <v>16974.0</v>
      </c>
      <c r="B16976" s="17">
        <f t="array" ref="B16976">SUM(1-'Sparkling Model'!D$2:D$38^A16976)</f>
        <v>36.99922494</v>
      </c>
      <c r="C16976" s="8">
        <f t="array" ref="C16976">PRODUCT(1-'Sparkling Model'!D$2:D$38^A16976)</f>
        <v>0.99922515</v>
      </c>
    </row>
    <row r="16977">
      <c r="A16977" s="6">
        <v>16975.0</v>
      </c>
      <c r="B16977" s="17">
        <f t="array" ref="B16977">SUM(1-'Sparkling Model'!D$2:D$38^A16977)</f>
        <v>36.99922533</v>
      </c>
      <c r="C16977" s="8">
        <f t="array" ref="C16977">PRODUCT(1-'Sparkling Model'!D$2:D$38^A16977)</f>
        <v>0.9992255314</v>
      </c>
    </row>
    <row r="16978">
      <c r="A16978" s="6">
        <v>16976.0</v>
      </c>
      <c r="B16978" s="17">
        <f t="array" ref="B16978">SUM(1-'Sparkling Model'!D$2:D$38^A16978)</f>
        <v>36.99922571</v>
      </c>
      <c r="C16978" s="8">
        <f t="array" ref="C16978">PRODUCT(1-'Sparkling Model'!D$2:D$38^A16978)</f>
        <v>0.9992259127</v>
      </c>
    </row>
    <row r="16979">
      <c r="A16979" s="6">
        <v>16977.0</v>
      </c>
      <c r="B16979" s="17">
        <f t="array" ref="B16979">SUM(1-'Sparkling Model'!D$2:D$38^A16979)</f>
        <v>36.99922609</v>
      </c>
      <c r="C16979" s="8">
        <f t="array" ref="C16979">PRODUCT(1-'Sparkling Model'!D$2:D$38^A16979)</f>
        <v>0.9992262938</v>
      </c>
    </row>
    <row r="16980">
      <c r="A16980" s="6">
        <v>16978.0</v>
      </c>
      <c r="B16980" s="17">
        <f t="array" ref="B16980">SUM(1-'Sparkling Model'!D$2:D$38^A16980)</f>
        <v>36.99922647</v>
      </c>
      <c r="C16980" s="8">
        <f t="array" ref="C16980">PRODUCT(1-'Sparkling Model'!D$2:D$38^A16980)</f>
        <v>0.9992266747</v>
      </c>
    </row>
    <row r="16981">
      <c r="A16981" s="6">
        <v>16979.0</v>
      </c>
      <c r="B16981" s="17">
        <f t="array" ref="B16981">SUM(1-'Sparkling Model'!D$2:D$38^A16981)</f>
        <v>36.99922685</v>
      </c>
      <c r="C16981" s="8">
        <f t="array" ref="C16981">PRODUCT(1-'Sparkling Model'!D$2:D$38^A16981)</f>
        <v>0.9992270554</v>
      </c>
    </row>
    <row r="16982">
      <c r="A16982" s="6">
        <v>16980.0</v>
      </c>
      <c r="B16982" s="17">
        <f t="array" ref="B16982">SUM(1-'Sparkling Model'!D$2:D$38^A16982)</f>
        <v>36.99922723</v>
      </c>
      <c r="C16982" s="8">
        <f t="array" ref="C16982">PRODUCT(1-'Sparkling Model'!D$2:D$38^A16982)</f>
        <v>0.9992274359</v>
      </c>
    </row>
    <row r="16983">
      <c r="A16983" s="6">
        <v>16981.0</v>
      </c>
      <c r="B16983" s="17">
        <f t="array" ref="B16983">SUM(1-'Sparkling Model'!D$2:D$38^A16983)</f>
        <v>36.99922761</v>
      </c>
      <c r="C16983" s="8">
        <f t="array" ref="C16983">PRODUCT(1-'Sparkling Model'!D$2:D$38^A16983)</f>
        <v>0.9992278162</v>
      </c>
    </row>
    <row r="16984">
      <c r="A16984" s="6">
        <v>16982.0</v>
      </c>
      <c r="B16984" s="17">
        <f t="array" ref="B16984">SUM(1-'Sparkling Model'!D$2:D$38^A16984)</f>
        <v>36.99922799</v>
      </c>
      <c r="C16984" s="8">
        <f t="array" ref="C16984">PRODUCT(1-'Sparkling Model'!D$2:D$38^A16984)</f>
        <v>0.9992281963</v>
      </c>
    </row>
    <row r="16985">
      <c r="A16985" s="6">
        <v>16983.0</v>
      </c>
      <c r="B16985" s="17">
        <f t="array" ref="B16985">SUM(1-'Sparkling Model'!D$2:D$38^A16985)</f>
        <v>36.99922837</v>
      </c>
      <c r="C16985" s="8">
        <f t="array" ref="C16985">PRODUCT(1-'Sparkling Model'!D$2:D$38^A16985)</f>
        <v>0.9992285763</v>
      </c>
    </row>
    <row r="16986">
      <c r="A16986" s="6">
        <v>16984.0</v>
      </c>
      <c r="B16986" s="17">
        <f t="array" ref="B16986">SUM(1-'Sparkling Model'!D$2:D$38^A16986)</f>
        <v>36.99922875</v>
      </c>
      <c r="C16986" s="8">
        <f t="array" ref="C16986">PRODUCT(1-'Sparkling Model'!D$2:D$38^A16986)</f>
        <v>0.9992289561</v>
      </c>
    </row>
    <row r="16987">
      <c r="A16987" s="6">
        <v>16985.0</v>
      </c>
      <c r="B16987" s="17">
        <f t="array" ref="B16987">SUM(1-'Sparkling Model'!D$2:D$38^A16987)</f>
        <v>36.99922913</v>
      </c>
      <c r="C16987" s="8">
        <f t="array" ref="C16987">PRODUCT(1-'Sparkling Model'!D$2:D$38^A16987)</f>
        <v>0.9992293356</v>
      </c>
    </row>
    <row r="16988">
      <c r="A16988" s="6">
        <v>16986.0</v>
      </c>
      <c r="B16988" s="17">
        <f t="array" ref="B16988">SUM(1-'Sparkling Model'!D$2:D$38^A16988)</f>
        <v>36.99922951</v>
      </c>
      <c r="C16988" s="8">
        <f t="array" ref="C16988">PRODUCT(1-'Sparkling Model'!D$2:D$38^A16988)</f>
        <v>0.999229715</v>
      </c>
    </row>
    <row r="16989">
      <c r="A16989" s="6">
        <v>16987.0</v>
      </c>
      <c r="B16989" s="17">
        <f t="array" ref="B16989">SUM(1-'Sparkling Model'!D$2:D$38^A16989)</f>
        <v>36.99922989</v>
      </c>
      <c r="C16989" s="8">
        <f t="array" ref="C16989">PRODUCT(1-'Sparkling Model'!D$2:D$38^A16989)</f>
        <v>0.9992300942</v>
      </c>
    </row>
    <row r="16990">
      <c r="A16990" s="6">
        <v>16988.0</v>
      </c>
      <c r="B16990" s="17">
        <f t="array" ref="B16990">SUM(1-'Sparkling Model'!D$2:D$38^A16990)</f>
        <v>36.99923027</v>
      </c>
      <c r="C16990" s="8">
        <f t="array" ref="C16990">PRODUCT(1-'Sparkling Model'!D$2:D$38^A16990)</f>
        <v>0.9992304733</v>
      </c>
    </row>
    <row r="16991">
      <c r="A16991" s="6">
        <v>16989.0</v>
      </c>
      <c r="B16991" s="17">
        <f t="array" ref="B16991">SUM(1-'Sparkling Model'!D$2:D$38^A16991)</f>
        <v>36.99923065</v>
      </c>
      <c r="C16991" s="8">
        <f t="array" ref="C16991">PRODUCT(1-'Sparkling Model'!D$2:D$38^A16991)</f>
        <v>0.9992308521</v>
      </c>
    </row>
    <row r="16992">
      <c r="A16992" s="6">
        <v>16990.0</v>
      </c>
      <c r="B16992" s="17">
        <f t="array" ref="B16992">SUM(1-'Sparkling Model'!D$2:D$38^A16992)</f>
        <v>36.99923103</v>
      </c>
      <c r="C16992" s="8">
        <f t="array" ref="C16992">PRODUCT(1-'Sparkling Model'!D$2:D$38^A16992)</f>
        <v>0.9992312307</v>
      </c>
    </row>
    <row r="16993">
      <c r="A16993" s="6">
        <v>16991.0</v>
      </c>
      <c r="B16993" s="17">
        <f t="array" ref="B16993">SUM(1-'Sparkling Model'!D$2:D$38^A16993)</f>
        <v>36.99923141</v>
      </c>
      <c r="C16993" s="8">
        <f t="array" ref="C16993">PRODUCT(1-'Sparkling Model'!D$2:D$38^A16993)</f>
        <v>0.9992316092</v>
      </c>
    </row>
    <row r="16994">
      <c r="A16994" s="6">
        <v>16992.0</v>
      </c>
      <c r="B16994" s="17">
        <f t="array" ref="B16994">SUM(1-'Sparkling Model'!D$2:D$38^A16994)</f>
        <v>36.99923179</v>
      </c>
      <c r="C16994" s="8">
        <f t="array" ref="C16994">PRODUCT(1-'Sparkling Model'!D$2:D$38^A16994)</f>
        <v>0.9992319874</v>
      </c>
    </row>
    <row r="16995">
      <c r="A16995" s="6">
        <v>16993.0</v>
      </c>
      <c r="B16995" s="17">
        <f t="array" ref="B16995">SUM(1-'Sparkling Model'!D$2:D$38^A16995)</f>
        <v>36.99923216</v>
      </c>
      <c r="C16995" s="8">
        <f t="array" ref="C16995">PRODUCT(1-'Sparkling Model'!D$2:D$38^A16995)</f>
        <v>0.9992323655</v>
      </c>
    </row>
    <row r="16996">
      <c r="A16996" s="6">
        <v>16994.0</v>
      </c>
      <c r="B16996" s="17">
        <f t="array" ref="B16996">SUM(1-'Sparkling Model'!D$2:D$38^A16996)</f>
        <v>36.99923254</v>
      </c>
      <c r="C16996" s="8">
        <f t="array" ref="C16996">PRODUCT(1-'Sparkling Model'!D$2:D$38^A16996)</f>
        <v>0.9992327434</v>
      </c>
    </row>
    <row r="16997">
      <c r="A16997" s="6">
        <v>16995.0</v>
      </c>
      <c r="B16997" s="17">
        <f t="array" ref="B16997">SUM(1-'Sparkling Model'!D$2:D$38^A16997)</f>
        <v>36.99923292</v>
      </c>
      <c r="C16997" s="8">
        <f t="array" ref="C16997">PRODUCT(1-'Sparkling Model'!D$2:D$38^A16997)</f>
        <v>0.9992331211</v>
      </c>
    </row>
    <row r="16998">
      <c r="A16998" s="6">
        <v>16996.0</v>
      </c>
      <c r="B16998" s="17">
        <f t="array" ref="B16998">SUM(1-'Sparkling Model'!D$2:D$38^A16998)</f>
        <v>36.9992333</v>
      </c>
      <c r="C16998" s="8">
        <f t="array" ref="C16998">PRODUCT(1-'Sparkling Model'!D$2:D$38^A16998)</f>
        <v>0.9992334987</v>
      </c>
    </row>
    <row r="16999">
      <c r="A16999" s="6">
        <v>16997.0</v>
      </c>
      <c r="B16999" s="17">
        <f t="array" ref="B16999">SUM(1-'Sparkling Model'!D$2:D$38^A16999)</f>
        <v>36.99923368</v>
      </c>
      <c r="C16999" s="8">
        <f t="array" ref="C16999">PRODUCT(1-'Sparkling Model'!D$2:D$38^A16999)</f>
        <v>0.999233876</v>
      </c>
    </row>
    <row r="17000">
      <c r="A17000" s="6">
        <v>16998.0</v>
      </c>
      <c r="B17000" s="17">
        <f t="array" ref="B17000">SUM(1-'Sparkling Model'!D$2:D$38^A17000)</f>
        <v>36.99923405</v>
      </c>
      <c r="C17000" s="8">
        <f t="array" ref="C17000">PRODUCT(1-'Sparkling Model'!D$2:D$38^A17000)</f>
        <v>0.9992342531</v>
      </c>
    </row>
    <row r="17001">
      <c r="A17001" s="6">
        <v>16999.0</v>
      </c>
      <c r="B17001" s="17">
        <f t="array" ref="B17001">SUM(1-'Sparkling Model'!D$2:D$38^A17001)</f>
        <v>36.99923443</v>
      </c>
      <c r="C17001" s="8">
        <f t="array" ref="C17001">PRODUCT(1-'Sparkling Model'!D$2:D$38^A17001)</f>
        <v>0.9992346301</v>
      </c>
    </row>
    <row r="17002">
      <c r="A17002" s="6">
        <v>17000.0</v>
      </c>
      <c r="B17002" s="17">
        <f t="array" ref="B17002">SUM(1-'Sparkling Model'!D$2:D$38^A17002)</f>
        <v>36.99923481</v>
      </c>
      <c r="C17002" s="8">
        <f t="array" ref="C17002">PRODUCT(1-'Sparkling Model'!D$2:D$38^A17002)</f>
        <v>0.9992350069</v>
      </c>
    </row>
    <row r="17003">
      <c r="A17003" s="6">
        <v>17001.0</v>
      </c>
      <c r="B17003" s="17">
        <f t="array" ref="B17003">SUM(1-'Sparkling Model'!D$2:D$38^A17003)</f>
        <v>36.99923518</v>
      </c>
      <c r="C17003" s="8">
        <f t="array" ref="C17003">PRODUCT(1-'Sparkling Model'!D$2:D$38^A17003)</f>
        <v>0.9992353835</v>
      </c>
    </row>
    <row r="17004">
      <c r="A17004" s="6">
        <v>17002.0</v>
      </c>
      <c r="B17004" s="17">
        <f t="array" ref="B17004">SUM(1-'Sparkling Model'!D$2:D$38^A17004)</f>
        <v>36.99923556</v>
      </c>
      <c r="C17004" s="8">
        <f t="array" ref="C17004">PRODUCT(1-'Sparkling Model'!D$2:D$38^A17004)</f>
        <v>0.9992357599</v>
      </c>
    </row>
    <row r="17005">
      <c r="A17005" s="6">
        <v>17003.0</v>
      </c>
      <c r="B17005" s="17">
        <f t="array" ref="B17005">SUM(1-'Sparkling Model'!D$2:D$38^A17005)</f>
        <v>36.99923594</v>
      </c>
      <c r="C17005" s="8">
        <f t="array" ref="C17005">PRODUCT(1-'Sparkling Model'!D$2:D$38^A17005)</f>
        <v>0.9992361361</v>
      </c>
    </row>
    <row r="17006">
      <c r="A17006" s="6">
        <v>17004.0</v>
      </c>
      <c r="B17006" s="17">
        <f t="array" ref="B17006">SUM(1-'Sparkling Model'!D$2:D$38^A17006)</f>
        <v>36.99923631</v>
      </c>
      <c r="C17006" s="8">
        <f t="array" ref="C17006">PRODUCT(1-'Sparkling Model'!D$2:D$38^A17006)</f>
        <v>0.9992365121</v>
      </c>
    </row>
    <row r="17007">
      <c r="A17007" s="6">
        <v>17005.0</v>
      </c>
      <c r="B17007" s="17">
        <f t="array" ref="B17007">SUM(1-'Sparkling Model'!D$2:D$38^A17007)</f>
        <v>36.99923669</v>
      </c>
      <c r="C17007" s="8">
        <f t="array" ref="C17007">PRODUCT(1-'Sparkling Model'!D$2:D$38^A17007)</f>
        <v>0.999236888</v>
      </c>
    </row>
    <row r="17008">
      <c r="A17008" s="6">
        <v>17006.0</v>
      </c>
      <c r="B17008" s="17">
        <f t="array" ref="B17008">SUM(1-'Sparkling Model'!D$2:D$38^A17008)</f>
        <v>36.99923706</v>
      </c>
      <c r="C17008" s="8">
        <f t="array" ref="C17008">PRODUCT(1-'Sparkling Model'!D$2:D$38^A17008)</f>
        <v>0.9992372637</v>
      </c>
    </row>
    <row r="17009">
      <c r="A17009" s="6">
        <v>17007.0</v>
      </c>
      <c r="B17009" s="17">
        <f t="array" ref="B17009">SUM(1-'Sparkling Model'!D$2:D$38^A17009)</f>
        <v>36.99923744</v>
      </c>
      <c r="C17009" s="8">
        <f t="array" ref="C17009">PRODUCT(1-'Sparkling Model'!D$2:D$38^A17009)</f>
        <v>0.9992376391</v>
      </c>
    </row>
    <row r="17010">
      <c r="A17010" s="6">
        <v>17008.0</v>
      </c>
      <c r="B17010" s="17">
        <f t="array" ref="B17010">SUM(1-'Sparkling Model'!D$2:D$38^A17010)</f>
        <v>36.99923782</v>
      </c>
      <c r="C17010" s="8">
        <f t="array" ref="C17010">PRODUCT(1-'Sparkling Model'!D$2:D$38^A17010)</f>
        <v>0.9992380144</v>
      </c>
    </row>
    <row r="17011">
      <c r="A17011" s="6">
        <v>17009.0</v>
      </c>
      <c r="B17011" s="17">
        <f t="array" ref="B17011">SUM(1-'Sparkling Model'!D$2:D$38^A17011)</f>
        <v>36.99923819</v>
      </c>
      <c r="C17011" s="8">
        <f t="array" ref="C17011">PRODUCT(1-'Sparkling Model'!D$2:D$38^A17011)</f>
        <v>0.9992383895</v>
      </c>
    </row>
    <row r="17012">
      <c r="A17012" s="6">
        <v>17010.0</v>
      </c>
      <c r="B17012" s="17">
        <f t="array" ref="B17012">SUM(1-'Sparkling Model'!D$2:D$38^A17012)</f>
        <v>36.99923857</v>
      </c>
      <c r="C17012" s="8">
        <f t="array" ref="C17012">PRODUCT(1-'Sparkling Model'!D$2:D$38^A17012)</f>
        <v>0.9992387645</v>
      </c>
    </row>
    <row r="17013">
      <c r="A17013" s="6">
        <v>17011.0</v>
      </c>
      <c r="B17013" s="17">
        <f t="array" ref="B17013">SUM(1-'Sparkling Model'!D$2:D$38^A17013)</f>
        <v>36.99923894</v>
      </c>
      <c r="C17013" s="8">
        <f t="array" ref="C17013">PRODUCT(1-'Sparkling Model'!D$2:D$38^A17013)</f>
        <v>0.9992391392</v>
      </c>
    </row>
    <row r="17014">
      <c r="A17014" s="6">
        <v>17012.0</v>
      </c>
      <c r="B17014" s="17">
        <f t="array" ref="B17014">SUM(1-'Sparkling Model'!D$2:D$38^A17014)</f>
        <v>36.99923932</v>
      </c>
      <c r="C17014" s="8">
        <f t="array" ref="C17014">PRODUCT(1-'Sparkling Model'!D$2:D$38^A17014)</f>
        <v>0.9992395138</v>
      </c>
    </row>
    <row r="17015">
      <c r="A17015" s="6">
        <v>17013.0</v>
      </c>
      <c r="B17015" s="17">
        <f t="array" ref="B17015">SUM(1-'Sparkling Model'!D$2:D$38^A17015)</f>
        <v>36.99923969</v>
      </c>
      <c r="C17015" s="8">
        <f t="array" ref="C17015">PRODUCT(1-'Sparkling Model'!D$2:D$38^A17015)</f>
        <v>0.9992398881</v>
      </c>
    </row>
    <row r="17016">
      <c r="A17016" s="6">
        <v>17014.0</v>
      </c>
      <c r="B17016" s="17">
        <f t="array" ref="B17016">SUM(1-'Sparkling Model'!D$2:D$38^A17016)</f>
        <v>36.99924006</v>
      </c>
      <c r="C17016" s="8">
        <f t="array" ref="C17016">PRODUCT(1-'Sparkling Model'!D$2:D$38^A17016)</f>
        <v>0.9992402623</v>
      </c>
    </row>
    <row r="17017">
      <c r="A17017" s="6">
        <v>17015.0</v>
      </c>
      <c r="B17017" s="17">
        <f t="array" ref="B17017">SUM(1-'Sparkling Model'!D$2:D$38^A17017)</f>
        <v>36.99924044</v>
      </c>
      <c r="C17017" s="8">
        <f t="array" ref="C17017">PRODUCT(1-'Sparkling Model'!D$2:D$38^A17017)</f>
        <v>0.9992406363</v>
      </c>
    </row>
    <row r="17018">
      <c r="A17018" s="6">
        <v>17016.0</v>
      </c>
      <c r="B17018" s="17">
        <f t="array" ref="B17018">SUM(1-'Sparkling Model'!D$2:D$38^A17018)</f>
        <v>36.99924081</v>
      </c>
      <c r="C17018" s="8">
        <f t="array" ref="C17018">PRODUCT(1-'Sparkling Model'!D$2:D$38^A17018)</f>
        <v>0.9992410101</v>
      </c>
    </row>
    <row r="17019">
      <c r="A17019" s="6">
        <v>17017.0</v>
      </c>
      <c r="B17019" s="17">
        <f t="array" ref="B17019">SUM(1-'Sparkling Model'!D$2:D$38^A17019)</f>
        <v>36.99924119</v>
      </c>
      <c r="C17019" s="8">
        <f t="array" ref="C17019">PRODUCT(1-'Sparkling Model'!D$2:D$38^A17019)</f>
        <v>0.9992413838</v>
      </c>
    </row>
    <row r="17020">
      <c r="A17020" s="6">
        <v>17018.0</v>
      </c>
      <c r="B17020" s="17">
        <f t="array" ref="B17020">SUM(1-'Sparkling Model'!D$2:D$38^A17020)</f>
        <v>36.99924156</v>
      </c>
      <c r="C17020" s="8">
        <f t="array" ref="C17020">PRODUCT(1-'Sparkling Model'!D$2:D$38^A17020)</f>
        <v>0.9992417572</v>
      </c>
    </row>
    <row r="17021">
      <c r="A17021" s="6">
        <v>17019.0</v>
      </c>
      <c r="B17021" s="17">
        <f t="array" ref="B17021">SUM(1-'Sparkling Model'!D$2:D$38^A17021)</f>
        <v>36.99924193</v>
      </c>
      <c r="C17021" s="8">
        <f t="array" ref="C17021">PRODUCT(1-'Sparkling Model'!D$2:D$38^A17021)</f>
        <v>0.9992421305</v>
      </c>
    </row>
    <row r="17022">
      <c r="A17022" s="6">
        <v>17020.0</v>
      </c>
      <c r="B17022" s="17">
        <f t="array" ref="B17022">SUM(1-'Sparkling Model'!D$2:D$38^A17022)</f>
        <v>36.99924231</v>
      </c>
      <c r="C17022" s="8">
        <f t="array" ref="C17022">PRODUCT(1-'Sparkling Model'!D$2:D$38^A17022)</f>
        <v>0.9992425035</v>
      </c>
    </row>
    <row r="17023">
      <c r="A17023" s="6">
        <v>17021.0</v>
      </c>
      <c r="B17023" s="17">
        <f t="array" ref="B17023">SUM(1-'Sparkling Model'!D$2:D$38^A17023)</f>
        <v>36.99924268</v>
      </c>
      <c r="C17023" s="8">
        <f t="array" ref="C17023">PRODUCT(1-'Sparkling Model'!D$2:D$38^A17023)</f>
        <v>0.9992428764</v>
      </c>
    </row>
    <row r="17024">
      <c r="A17024" s="6">
        <v>17022.0</v>
      </c>
      <c r="B17024" s="17">
        <f t="array" ref="B17024">SUM(1-'Sparkling Model'!D$2:D$38^A17024)</f>
        <v>36.99924305</v>
      </c>
      <c r="C17024" s="8">
        <f t="array" ref="C17024">PRODUCT(1-'Sparkling Model'!D$2:D$38^A17024)</f>
        <v>0.9992432491</v>
      </c>
    </row>
    <row r="17025">
      <c r="A17025" s="6">
        <v>17023.0</v>
      </c>
      <c r="B17025" s="17">
        <f t="array" ref="B17025">SUM(1-'Sparkling Model'!D$2:D$38^A17025)</f>
        <v>36.99924343</v>
      </c>
      <c r="C17025" s="8">
        <f t="array" ref="C17025">PRODUCT(1-'Sparkling Model'!D$2:D$38^A17025)</f>
        <v>0.9992436217</v>
      </c>
    </row>
    <row r="17026">
      <c r="A17026" s="6">
        <v>17024.0</v>
      </c>
      <c r="B17026" s="17">
        <f t="array" ref="B17026">SUM(1-'Sparkling Model'!D$2:D$38^A17026)</f>
        <v>36.9992438</v>
      </c>
      <c r="C17026" s="8">
        <f t="array" ref="C17026">PRODUCT(1-'Sparkling Model'!D$2:D$38^A17026)</f>
        <v>0.999243994</v>
      </c>
    </row>
    <row r="17027">
      <c r="A17027" s="6">
        <v>17025.0</v>
      </c>
      <c r="B17027" s="17">
        <f t="array" ref="B17027">SUM(1-'Sparkling Model'!D$2:D$38^A17027)</f>
        <v>36.99924417</v>
      </c>
      <c r="C17027" s="8">
        <f t="array" ref="C17027">PRODUCT(1-'Sparkling Model'!D$2:D$38^A17027)</f>
        <v>0.9992443662</v>
      </c>
    </row>
    <row r="17028">
      <c r="A17028" s="6">
        <v>17026.0</v>
      </c>
      <c r="B17028" s="17">
        <f t="array" ref="B17028">SUM(1-'Sparkling Model'!D$2:D$38^A17028)</f>
        <v>36.99924454</v>
      </c>
      <c r="C17028" s="8">
        <f t="array" ref="C17028">PRODUCT(1-'Sparkling Model'!D$2:D$38^A17028)</f>
        <v>0.9992447381</v>
      </c>
    </row>
    <row r="17029">
      <c r="A17029" s="6">
        <v>17027.0</v>
      </c>
      <c r="B17029" s="17">
        <f t="array" ref="B17029">SUM(1-'Sparkling Model'!D$2:D$38^A17029)</f>
        <v>36.99924491</v>
      </c>
      <c r="C17029" s="8">
        <f t="array" ref="C17029">PRODUCT(1-'Sparkling Model'!D$2:D$38^A17029)</f>
        <v>0.9992451099</v>
      </c>
    </row>
    <row r="17030">
      <c r="A17030" s="6">
        <v>17028.0</v>
      </c>
      <c r="B17030" s="17">
        <f t="array" ref="B17030">SUM(1-'Sparkling Model'!D$2:D$38^A17030)</f>
        <v>36.99924529</v>
      </c>
      <c r="C17030" s="8">
        <f t="array" ref="C17030">PRODUCT(1-'Sparkling Model'!D$2:D$38^A17030)</f>
        <v>0.9992454815</v>
      </c>
    </row>
    <row r="17031">
      <c r="A17031" s="6">
        <v>17029.0</v>
      </c>
      <c r="B17031" s="17">
        <f t="array" ref="B17031">SUM(1-'Sparkling Model'!D$2:D$38^A17031)</f>
        <v>36.99924566</v>
      </c>
      <c r="C17031" s="8">
        <f t="array" ref="C17031">PRODUCT(1-'Sparkling Model'!D$2:D$38^A17031)</f>
        <v>0.999245853</v>
      </c>
    </row>
    <row r="17032">
      <c r="A17032" s="6">
        <v>17030.0</v>
      </c>
      <c r="B17032" s="17">
        <f t="array" ref="B17032">SUM(1-'Sparkling Model'!D$2:D$38^A17032)</f>
        <v>36.99924603</v>
      </c>
      <c r="C17032" s="8">
        <f t="array" ref="C17032">PRODUCT(1-'Sparkling Model'!D$2:D$38^A17032)</f>
        <v>0.9992462242</v>
      </c>
    </row>
    <row r="17033">
      <c r="A17033" s="6">
        <v>17031.0</v>
      </c>
      <c r="B17033" s="17">
        <f t="array" ref="B17033">SUM(1-'Sparkling Model'!D$2:D$38^A17033)</f>
        <v>36.9992464</v>
      </c>
      <c r="C17033" s="8">
        <f t="array" ref="C17033">PRODUCT(1-'Sparkling Model'!D$2:D$38^A17033)</f>
        <v>0.9992465953</v>
      </c>
    </row>
    <row r="17034">
      <c r="A17034" s="6">
        <v>17032.0</v>
      </c>
      <c r="B17034" s="17">
        <f t="array" ref="B17034">SUM(1-'Sparkling Model'!D$2:D$38^A17034)</f>
        <v>36.99924677</v>
      </c>
      <c r="C17034" s="8">
        <f t="array" ref="C17034">PRODUCT(1-'Sparkling Model'!D$2:D$38^A17034)</f>
        <v>0.9992469661</v>
      </c>
    </row>
    <row r="17035">
      <c r="A17035" s="6">
        <v>17033.0</v>
      </c>
      <c r="B17035" s="17">
        <f t="array" ref="B17035">SUM(1-'Sparkling Model'!D$2:D$38^A17035)</f>
        <v>36.99924714</v>
      </c>
      <c r="C17035" s="8">
        <f t="array" ref="C17035">PRODUCT(1-'Sparkling Model'!D$2:D$38^A17035)</f>
        <v>0.9992473368</v>
      </c>
    </row>
    <row r="17036">
      <c r="A17036" s="6">
        <v>17034.0</v>
      </c>
      <c r="B17036" s="17">
        <f t="array" ref="B17036">SUM(1-'Sparkling Model'!D$2:D$38^A17036)</f>
        <v>36.99924751</v>
      </c>
      <c r="C17036" s="8">
        <f t="array" ref="C17036">PRODUCT(1-'Sparkling Model'!D$2:D$38^A17036)</f>
        <v>0.9992477073</v>
      </c>
    </row>
    <row r="17037">
      <c r="A17037" s="6">
        <v>17035.0</v>
      </c>
      <c r="B17037" s="17">
        <f t="array" ref="B17037">SUM(1-'Sparkling Model'!D$2:D$38^A17037)</f>
        <v>36.99924788</v>
      </c>
      <c r="C17037" s="8">
        <f t="array" ref="C17037">PRODUCT(1-'Sparkling Model'!D$2:D$38^A17037)</f>
        <v>0.9992480777</v>
      </c>
    </row>
    <row r="17038">
      <c r="A17038" s="6">
        <v>17036.0</v>
      </c>
      <c r="B17038" s="17">
        <f t="array" ref="B17038">SUM(1-'Sparkling Model'!D$2:D$38^A17038)</f>
        <v>36.99924825</v>
      </c>
      <c r="C17038" s="8">
        <f t="array" ref="C17038">PRODUCT(1-'Sparkling Model'!D$2:D$38^A17038)</f>
        <v>0.9992484478</v>
      </c>
    </row>
    <row r="17039">
      <c r="A17039" s="6">
        <v>17037.0</v>
      </c>
      <c r="B17039" s="17">
        <f t="array" ref="B17039">SUM(1-'Sparkling Model'!D$2:D$38^A17039)</f>
        <v>36.99924862</v>
      </c>
      <c r="C17039" s="8">
        <f t="array" ref="C17039">PRODUCT(1-'Sparkling Model'!D$2:D$38^A17039)</f>
        <v>0.9992488178</v>
      </c>
    </row>
    <row r="17040">
      <c r="A17040" s="6">
        <v>17038.0</v>
      </c>
      <c r="B17040" s="17">
        <f t="array" ref="B17040">SUM(1-'Sparkling Model'!D$2:D$38^A17040)</f>
        <v>36.99924899</v>
      </c>
      <c r="C17040" s="8">
        <f t="array" ref="C17040">PRODUCT(1-'Sparkling Model'!D$2:D$38^A17040)</f>
        <v>0.9992491876</v>
      </c>
    </row>
    <row r="17041">
      <c r="A17041" s="6">
        <v>17039.0</v>
      </c>
      <c r="B17041" s="17">
        <f t="array" ref="B17041">SUM(1-'Sparkling Model'!D$2:D$38^A17041)</f>
        <v>36.99924936</v>
      </c>
      <c r="C17041" s="8">
        <f t="array" ref="C17041">PRODUCT(1-'Sparkling Model'!D$2:D$38^A17041)</f>
        <v>0.9992495571</v>
      </c>
    </row>
    <row r="17042">
      <c r="A17042" s="6">
        <v>17040.0</v>
      </c>
      <c r="B17042" s="17">
        <f t="array" ref="B17042">SUM(1-'Sparkling Model'!D$2:D$38^A17042)</f>
        <v>36.99924973</v>
      </c>
      <c r="C17042" s="8">
        <f t="array" ref="C17042">PRODUCT(1-'Sparkling Model'!D$2:D$38^A17042)</f>
        <v>0.9992499266</v>
      </c>
    </row>
    <row r="17043">
      <c r="A17043" s="6">
        <v>17041.0</v>
      </c>
      <c r="B17043" s="17">
        <f t="array" ref="B17043">SUM(1-'Sparkling Model'!D$2:D$38^A17043)</f>
        <v>36.9992501</v>
      </c>
      <c r="C17043" s="8">
        <f t="array" ref="C17043">PRODUCT(1-'Sparkling Model'!D$2:D$38^A17043)</f>
        <v>0.9992502958</v>
      </c>
    </row>
    <row r="17044">
      <c r="A17044" s="6">
        <v>17042.0</v>
      </c>
      <c r="B17044" s="17">
        <f t="array" ref="B17044">SUM(1-'Sparkling Model'!D$2:D$38^A17044)</f>
        <v>36.99925047</v>
      </c>
      <c r="C17044" s="8">
        <f t="array" ref="C17044">PRODUCT(1-'Sparkling Model'!D$2:D$38^A17044)</f>
        <v>0.9992506648</v>
      </c>
    </row>
    <row r="17045">
      <c r="A17045" s="6">
        <v>17043.0</v>
      </c>
      <c r="B17045" s="17">
        <f t="array" ref="B17045">SUM(1-'Sparkling Model'!D$2:D$38^A17045)</f>
        <v>36.99925084</v>
      </c>
      <c r="C17045" s="8">
        <f t="array" ref="C17045">PRODUCT(1-'Sparkling Model'!D$2:D$38^A17045)</f>
        <v>0.9992510337</v>
      </c>
    </row>
    <row r="17046">
      <c r="A17046" s="6">
        <v>17044.0</v>
      </c>
      <c r="B17046" s="17">
        <f t="array" ref="B17046">SUM(1-'Sparkling Model'!D$2:D$38^A17046)</f>
        <v>36.99925121</v>
      </c>
      <c r="C17046" s="8">
        <f t="array" ref="C17046">PRODUCT(1-'Sparkling Model'!D$2:D$38^A17046)</f>
        <v>0.9992514024</v>
      </c>
    </row>
    <row r="17047">
      <c r="A17047" s="6">
        <v>17045.0</v>
      </c>
      <c r="B17047" s="17">
        <f t="array" ref="B17047">SUM(1-'Sparkling Model'!D$2:D$38^A17047)</f>
        <v>36.99925158</v>
      </c>
      <c r="C17047" s="8">
        <f t="array" ref="C17047">PRODUCT(1-'Sparkling Model'!D$2:D$38^A17047)</f>
        <v>0.9992517709</v>
      </c>
    </row>
    <row r="17048">
      <c r="A17048" s="6">
        <v>17046.0</v>
      </c>
      <c r="B17048" s="17">
        <f t="array" ref="B17048">SUM(1-'Sparkling Model'!D$2:D$38^A17048)</f>
        <v>36.99925195</v>
      </c>
      <c r="C17048" s="8">
        <f t="array" ref="C17048">PRODUCT(1-'Sparkling Model'!D$2:D$38^A17048)</f>
        <v>0.9992521392</v>
      </c>
    </row>
    <row r="17049">
      <c r="A17049" s="6">
        <v>17047.0</v>
      </c>
      <c r="B17049" s="17">
        <f t="array" ref="B17049">SUM(1-'Sparkling Model'!D$2:D$38^A17049)</f>
        <v>36.99925232</v>
      </c>
      <c r="C17049" s="8">
        <f t="array" ref="C17049">PRODUCT(1-'Sparkling Model'!D$2:D$38^A17049)</f>
        <v>0.9992525074</v>
      </c>
    </row>
    <row r="17050">
      <c r="A17050" s="6">
        <v>17048.0</v>
      </c>
      <c r="B17050" s="17">
        <f t="array" ref="B17050">SUM(1-'Sparkling Model'!D$2:D$38^A17050)</f>
        <v>36.99925268</v>
      </c>
      <c r="C17050" s="8">
        <f t="array" ref="C17050">PRODUCT(1-'Sparkling Model'!D$2:D$38^A17050)</f>
        <v>0.9992528753</v>
      </c>
    </row>
    <row r="17051">
      <c r="A17051" s="6">
        <v>17049.0</v>
      </c>
      <c r="B17051" s="17">
        <f t="array" ref="B17051">SUM(1-'Sparkling Model'!D$2:D$38^A17051)</f>
        <v>36.99925305</v>
      </c>
      <c r="C17051" s="8">
        <f t="array" ref="C17051">PRODUCT(1-'Sparkling Model'!D$2:D$38^A17051)</f>
        <v>0.9992532431</v>
      </c>
    </row>
    <row r="17052">
      <c r="A17052" s="6">
        <v>17050.0</v>
      </c>
      <c r="B17052" s="17">
        <f t="array" ref="B17052">SUM(1-'Sparkling Model'!D$2:D$38^A17052)</f>
        <v>36.99925342</v>
      </c>
      <c r="C17052" s="8">
        <f t="array" ref="C17052">PRODUCT(1-'Sparkling Model'!D$2:D$38^A17052)</f>
        <v>0.9992536107</v>
      </c>
    </row>
    <row r="17053">
      <c r="A17053" s="6">
        <v>17051.0</v>
      </c>
      <c r="B17053" s="17">
        <f t="array" ref="B17053">SUM(1-'Sparkling Model'!D$2:D$38^A17053)</f>
        <v>36.99925379</v>
      </c>
      <c r="C17053" s="8">
        <f t="array" ref="C17053">PRODUCT(1-'Sparkling Model'!D$2:D$38^A17053)</f>
        <v>0.9992539781</v>
      </c>
    </row>
    <row r="17054">
      <c r="A17054" s="6">
        <v>17052.0</v>
      </c>
      <c r="B17054" s="17">
        <f t="array" ref="B17054">SUM(1-'Sparkling Model'!D$2:D$38^A17054)</f>
        <v>36.99925415</v>
      </c>
      <c r="C17054" s="8">
        <f t="array" ref="C17054">PRODUCT(1-'Sparkling Model'!D$2:D$38^A17054)</f>
        <v>0.9992543453</v>
      </c>
    </row>
    <row r="17055">
      <c r="A17055" s="6">
        <v>17053.0</v>
      </c>
      <c r="B17055" s="17">
        <f t="array" ref="B17055">SUM(1-'Sparkling Model'!D$2:D$38^A17055)</f>
        <v>36.99925452</v>
      </c>
      <c r="C17055" s="8">
        <f t="array" ref="C17055">PRODUCT(1-'Sparkling Model'!D$2:D$38^A17055)</f>
        <v>0.9992547124</v>
      </c>
    </row>
    <row r="17056">
      <c r="A17056" s="6">
        <v>17054.0</v>
      </c>
      <c r="B17056" s="17">
        <f t="array" ref="B17056">SUM(1-'Sparkling Model'!D$2:D$38^A17056)</f>
        <v>36.99925489</v>
      </c>
      <c r="C17056" s="8">
        <f t="array" ref="C17056">PRODUCT(1-'Sparkling Model'!D$2:D$38^A17056)</f>
        <v>0.9992550793</v>
      </c>
    </row>
    <row r="17057">
      <c r="A17057" s="6">
        <v>17055.0</v>
      </c>
      <c r="B17057" s="17">
        <f t="array" ref="B17057">SUM(1-'Sparkling Model'!D$2:D$38^A17057)</f>
        <v>36.99925526</v>
      </c>
      <c r="C17057" s="8">
        <f t="array" ref="C17057">PRODUCT(1-'Sparkling Model'!D$2:D$38^A17057)</f>
        <v>0.999255446</v>
      </c>
    </row>
    <row r="17058">
      <c r="A17058" s="6">
        <v>17056.0</v>
      </c>
      <c r="B17058" s="17">
        <f t="array" ref="B17058">SUM(1-'Sparkling Model'!D$2:D$38^A17058)</f>
        <v>36.99925562</v>
      </c>
      <c r="C17058" s="8">
        <f t="array" ref="C17058">PRODUCT(1-'Sparkling Model'!D$2:D$38^A17058)</f>
        <v>0.9992558125</v>
      </c>
    </row>
    <row r="17059">
      <c r="A17059" s="6">
        <v>17057.0</v>
      </c>
      <c r="B17059" s="17">
        <f t="array" ref="B17059">SUM(1-'Sparkling Model'!D$2:D$38^A17059)</f>
        <v>36.99925599</v>
      </c>
      <c r="C17059" s="8">
        <f t="array" ref="C17059">PRODUCT(1-'Sparkling Model'!D$2:D$38^A17059)</f>
        <v>0.9992561788</v>
      </c>
    </row>
    <row r="17060">
      <c r="A17060" s="6">
        <v>17058.0</v>
      </c>
      <c r="B17060" s="17">
        <f t="array" ref="B17060">SUM(1-'Sparkling Model'!D$2:D$38^A17060)</f>
        <v>36.99925636</v>
      </c>
      <c r="C17060" s="8">
        <f t="array" ref="C17060">PRODUCT(1-'Sparkling Model'!D$2:D$38^A17060)</f>
        <v>0.9992565449</v>
      </c>
    </row>
    <row r="17061">
      <c r="A17061" s="6">
        <v>17059.0</v>
      </c>
      <c r="B17061" s="17">
        <f t="array" ref="B17061">SUM(1-'Sparkling Model'!D$2:D$38^A17061)</f>
        <v>36.99925672</v>
      </c>
      <c r="C17061" s="8">
        <f t="array" ref="C17061">PRODUCT(1-'Sparkling Model'!D$2:D$38^A17061)</f>
        <v>0.9992569109</v>
      </c>
    </row>
    <row r="17062">
      <c r="A17062" s="6">
        <v>17060.0</v>
      </c>
      <c r="B17062" s="17">
        <f t="array" ref="B17062">SUM(1-'Sparkling Model'!D$2:D$38^A17062)</f>
        <v>36.99925709</v>
      </c>
      <c r="C17062" s="8">
        <f t="array" ref="C17062">PRODUCT(1-'Sparkling Model'!D$2:D$38^A17062)</f>
        <v>0.9992572767</v>
      </c>
    </row>
    <row r="17063">
      <c r="A17063" s="6">
        <v>17061.0</v>
      </c>
      <c r="B17063" s="17">
        <f t="array" ref="B17063">SUM(1-'Sparkling Model'!D$2:D$38^A17063)</f>
        <v>36.99925745</v>
      </c>
      <c r="C17063" s="8">
        <f t="array" ref="C17063">PRODUCT(1-'Sparkling Model'!D$2:D$38^A17063)</f>
        <v>0.9992576423</v>
      </c>
    </row>
    <row r="17064">
      <c r="A17064" s="6">
        <v>17062.0</v>
      </c>
      <c r="B17064" s="17">
        <f t="array" ref="B17064">SUM(1-'Sparkling Model'!D$2:D$38^A17064)</f>
        <v>36.99925782</v>
      </c>
      <c r="C17064" s="8">
        <f t="array" ref="C17064">PRODUCT(1-'Sparkling Model'!D$2:D$38^A17064)</f>
        <v>0.9992580077</v>
      </c>
    </row>
    <row r="17065">
      <c r="A17065" s="6">
        <v>17063.0</v>
      </c>
      <c r="B17065" s="17">
        <f t="array" ref="B17065">SUM(1-'Sparkling Model'!D$2:D$38^A17065)</f>
        <v>36.99925818</v>
      </c>
      <c r="C17065" s="8">
        <f t="array" ref="C17065">PRODUCT(1-'Sparkling Model'!D$2:D$38^A17065)</f>
        <v>0.999258373</v>
      </c>
    </row>
    <row r="17066">
      <c r="A17066" s="6">
        <v>17064.0</v>
      </c>
      <c r="B17066" s="17">
        <f t="array" ref="B17066">SUM(1-'Sparkling Model'!D$2:D$38^A17066)</f>
        <v>36.99925855</v>
      </c>
      <c r="C17066" s="8">
        <f t="array" ref="C17066">PRODUCT(1-'Sparkling Model'!D$2:D$38^A17066)</f>
        <v>0.999258738</v>
      </c>
    </row>
    <row r="17067">
      <c r="A17067" s="6">
        <v>17065.0</v>
      </c>
      <c r="B17067" s="17">
        <f t="array" ref="B17067">SUM(1-'Sparkling Model'!D$2:D$38^A17067)</f>
        <v>36.99925891</v>
      </c>
      <c r="C17067" s="8">
        <f t="array" ref="C17067">PRODUCT(1-'Sparkling Model'!D$2:D$38^A17067)</f>
        <v>0.9992591029</v>
      </c>
    </row>
    <row r="17068">
      <c r="A17068" s="6">
        <v>17066.0</v>
      </c>
      <c r="B17068" s="17">
        <f t="array" ref="B17068">SUM(1-'Sparkling Model'!D$2:D$38^A17068)</f>
        <v>36.99925928</v>
      </c>
      <c r="C17068" s="8">
        <f t="array" ref="C17068">PRODUCT(1-'Sparkling Model'!D$2:D$38^A17068)</f>
        <v>0.9992594676</v>
      </c>
    </row>
    <row r="17069">
      <c r="A17069" s="6">
        <v>17067.0</v>
      </c>
      <c r="B17069" s="17">
        <f t="array" ref="B17069">SUM(1-'Sparkling Model'!D$2:D$38^A17069)</f>
        <v>36.99925964</v>
      </c>
      <c r="C17069" s="8">
        <f t="array" ref="C17069">PRODUCT(1-'Sparkling Model'!D$2:D$38^A17069)</f>
        <v>0.9992598321</v>
      </c>
    </row>
    <row r="17070">
      <c r="A17070" s="6">
        <v>17068.0</v>
      </c>
      <c r="B17070" s="17">
        <f t="array" ref="B17070">SUM(1-'Sparkling Model'!D$2:D$38^A17070)</f>
        <v>36.99926001</v>
      </c>
      <c r="C17070" s="8">
        <f t="array" ref="C17070">PRODUCT(1-'Sparkling Model'!D$2:D$38^A17070)</f>
        <v>0.9992601965</v>
      </c>
    </row>
    <row r="17071">
      <c r="A17071" s="6">
        <v>17069.0</v>
      </c>
      <c r="B17071" s="17">
        <f t="array" ref="B17071">SUM(1-'Sparkling Model'!D$2:D$38^A17071)</f>
        <v>36.99926037</v>
      </c>
      <c r="C17071" s="8">
        <f t="array" ref="C17071">PRODUCT(1-'Sparkling Model'!D$2:D$38^A17071)</f>
        <v>0.9992605607</v>
      </c>
    </row>
    <row r="17072">
      <c r="A17072" s="6">
        <v>17070.0</v>
      </c>
      <c r="B17072" s="17">
        <f t="array" ref="B17072">SUM(1-'Sparkling Model'!D$2:D$38^A17072)</f>
        <v>36.99926074</v>
      </c>
      <c r="C17072" s="8">
        <f t="array" ref="C17072">PRODUCT(1-'Sparkling Model'!D$2:D$38^A17072)</f>
        <v>0.9992609246</v>
      </c>
    </row>
    <row r="17073">
      <c r="A17073" s="6">
        <v>17071.0</v>
      </c>
      <c r="B17073" s="17">
        <f t="array" ref="B17073">SUM(1-'Sparkling Model'!D$2:D$38^A17073)</f>
        <v>36.9992611</v>
      </c>
      <c r="C17073" s="8">
        <f t="array" ref="C17073">PRODUCT(1-'Sparkling Model'!D$2:D$38^A17073)</f>
        <v>0.9992612884</v>
      </c>
    </row>
    <row r="17074">
      <c r="A17074" s="6">
        <v>17072.0</v>
      </c>
      <c r="B17074" s="17">
        <f t="array" ref="B17074">SUM(1-'Sparkling Model'!D$2:D$38^A17074)</f>
        <v>36.99926147</v>
      </c>
      <c r="C17074" s="8">
        <f t="array" ref="C17074">PRODUCT(1-'Sparkling Model'!D$2:D$38^A17074)</f>
        <v>0.9992616521</v>
      </c>
    </row>
    <row r="17075">
      <c r="A17075" s="6">
        <v>17073.0</v>
      </c>
      <c r="B17075" s="17">
        <f t="array" ref="B17075">SUM(1-'Sparkling Model'!D$2:D$38^A17075)</f>
        <v>36.99926183</v>
      </c>
      <c r="C17075" s="8">
        <f t="array" ref="C17075">PRODUCT(1-'Sparkling Model'!D$2:D$38^A17075)</f>
        <v>0.9992620155</v>
      </c>
    </row>
    <row r="17076">
      <c r="A17076" s="6">
        <v>17074.0</v>
      </c>
      <c r="B17076" s="17">
        <f t="array" ref="B17076">SUM(1-'Sparkling Model'!D$2:D$38^A17076)</f>
        <v>36.99926219</v>
      </c>
      <c r="C17076" s="8">
        <f t="array" ref="C17076">PRODUCT(1-'Sparkling Model'!D$2:D$38^A17076)</f>
        <v>0.9992623788</v>
      </c>
    </row>
    <row r="17077">
      <c r="A17077" s="6">
        <v>17075.0</v>
      </c>
      <c r="B17077" s="17">
        <f t="array" ref="B17077">SUM(1-'Sparkling Model'!D$2:D$38^A17077)</f>
        <v>36.99926256</v>
      </c>
      <c r="C17077" s="8">
        <f t="array" ref="C17077">PRODUCT(1-'Sparkling Model'!D$2:D$38^A17077)</f>
        <v>0.9992627419</v>
      </c>
    </row>
    <row r="17078">
      <c r="A17078" s="6">
        <v>17076.0</v>
      </c>
      <c r="B17078" s="17">
        <f t="array" ref="B17078">SUM(1-'Sparkling Model'!D$2:D$38^A17078)</f>
        <v>36.99926292</v>
      </c>
      <c r="C17078" s="8">
        <f t="array" ref="C17078">PRODUCT(1-'Sparkling Model'!D$2:D$38^A17078)</f>
        <v>0.9992631048</v>
      </c>
    </row>
    <row r="17079">
      <c r="A17079" s="6">
        <v>17077.0</v>
      </c>
      <c r="B17079" s="17">
        <f t="array" ref="B17079">SUM(1-'Sparkling Model'!D$2:D$38^A17079)</f>
        <v>36.99926328</v>
      </c>
      <c r="C17079" s="8">
        <f t="array" ref="C17079">PRODUCT(1-'Sparkling Model'!D$2:D$38^A17079)</f>
        <v>0.9992634675</v>
      </c>
    </row>
    <row r="17080">
      <c r="A17080" s="6">
        <v>17078.0</v>
      </c>
      <c r="B17080" s="17">
        <f t="array" ref="B17080">SUM(1-'Sparkling Model'!D$2:D$38^A17080)</f>
        <v>36.99926364</v>
      </c>
      <c r="C17080" s="8">
        <f t="array" ref="C17080">PRODUCT(1-'Sparkling Model'!D$2:D$38^A17080)</f>
        <v>0.9992638301</v>
      </c>
    </row>
    <row r="17081">
      <c r="A17081" s="6">
        <v>17079.0</v>
      </c>
      <c r="B17081" s="17">
        <f t="array" ref="B17081">SUM(1-'Sparkling Model'!D$2:D$38^A17081)</f>
        <v>36.99926401</v>
      </c>
      <c r="C17081" s="8">
        <f t="array" ref="C17081">PRODUCT(1-'Sparkling Model'!D$2:D$38^A17081)</f>
        <v>0.9992641924</v>
      </c>
    </row>
    <row r="17082">
      <c r="A17082" s="6">
        <v>17080.0</v>
      </c>
      <c r="B17082" s="17">
        <f t="array" ref="B17082">SUM(1-'Sparkling Model'!D$2:D$38^A17082)</f>
        <v>36.99926437</v>
      </c>
      <c r="C17082" s="8">
        <f t="array" ref="C17082">PRODUCT(1-'Sparkling Model'!D$2:D$38^A17082)</f>
        <v>0.9992645546</v>
      </c>
    </row>
    <row r="17083">
      <c r="A17083" s="6">
        <v>17081.0</v>
      </c>
      <c r="B17083" s="17">
        <f t="array" ref="B17083">SUM(1-'Sparkling Model'!D$2:D$38^A17083)</f>
        <v>36.99926473</v>
      </c>
      <c r="C17083" s="8">
        <f t="array" ref="C17083">PRODUCT(1-'Sparkling Model'!D$2:D$38^A17083)</f>
        <v>0.9992649166</v>
      </c>
    </row>
    <row r="17084">
      <c r="A17084" s="6">
        <v>17082.0</v>
      </c>
      <c r="B17084" s="17">
        <f t="array" ref="B17084">SUM(1-'Sparkling Model'!D$2:D$38^A17084)</f>
        <v>36.99926509</v>
      </c>
      <c r="C17084" s="8">
        <f t="array" ref="C17084">PRODUCT(1-'Sparkling Model'!D$2:D$38^A17084)</f>
        <v>0.9992652785</v>
      </c>
    </row>
    <row r="17085">
      <c r="A17085" s="6">
        <v>17083.0</v>
      </c>
      <c r="B17085" s="17">
        <f t="array" ref="B17085">SUM(1-'Sparkling Model'!D$2:D$38^A17085)</f>
        <v>36.99926546</v>
      </c>
      <c r="C17085" s="8">
        <f t="array" ref="C17085">PRODUCT(1-'Sparkling Model'!D$2:D$38^A17085)</f>
        <v>0.9992656401</v>
      </c>
    </row>
    <row r="17086">
      <c r="A17086" s="6">
        <v>17084.0</v>
      </c>
      <c r="B17086" s="17">
        <f t="array" ref="B17086">SUM(1-'Sparkling Model'!D$2:D$38^A17086)</f>
        <v>36.99926582</v>
      </c>
      <c r="C17086" s="8">
        <f t="array" ref="C17086">PRODUCT(1-'Sparkling Model'!D$2:D$38^A17086)</f>
        <v>0.9992660016</v>
      </c>
    </row>
    <row r="17087">
      <c r="A17087" s="6">
        <v>17085.0</v>
      </c>
      <c r="B17087" s="17">
        <f t="array" ref="B17087">SUM(1-'Sparkling Model'!D$2:D$38^A17087)</f>
        <v>36.99926618</v>
      </c>
      <c r="C17087" s="8">
        <f t="array" ref="C17087">PRODUCT(1-'Sparkling Model'!D$2:D$38^A17087)</f>
        <v>0.9992663629</v>
      </c>
    </row>
    <row r="17088">
      <c r="A17088" s="6">
        <v>17086.0</v>
      </c>
      <c r="B17088" s="17">
        <f t="array" ref="B17088">SUM(1-'Sparkling Model'!D$2:D$38^A17088)</f>
        <v>36.99926654</v>
      </c>
      <c r="C17088" s="8">
        <f t="array" ref="C17088">PRODUCT(1-'Sparkling Model'!D$2:D$38^A17088)</f>
        <v>0.999266724</v>
      </c>
    </row>
    <row r="17089">
      <c r="A17089" s="6">
        <v>17087.0</v>
      </c>
      <c r="B17089" s="17">
        <f t="array" ref="B17089">SUM(1-'Sparkling Model'!D$2:D$38^A17089)</f>
        <v>36.9992669</v>
      </c>
      <c r="C17089" s="8">
        <f t="array" ref="C17089">PRODUCT(1-'Sparkling Model'!D$2:D$38^A17089)</f>
        <v>0.999267085</v>
      </c>
    </row>
    <row r="17090">
      <c r="A17090" s="6">
        <v>17088.0</v>
      </c>
      <c r="B17090" s="17">
        <f t="array" ref="B17090">SUM(1-'Sparkling Model'!D$2:D$38^A17090)</f>
        <v>36.99926726</v>
      </c>
      <c r="C17090" s="8">
        <f t="array" ref="C17090">PRODUCT(1-'Sparkling Model'!D$2:D$38^A17090)</f>
        <v>0.9992674458</v>
      </c>
    </row>
    <row r="17091">
      <c r="A17091" s="6">
        <v>17089.0</v>
      </c>
      <c r="B17091" s="17">
        <f t="array" ref="B17091">SUM(1-'Sparkling Model'!D$2:D$38^A17091)</f>
        <v>36.99926762</v>
      </c>
      <c r="C17091" s="8">
        <f t="array" ref="C17091">PRODUCT(1-'Sparkling Model'!D$2:D$38^A17091)</f>
        <v>0.9992678063</v>
      </c>
    </row>
    <row r="17092">
      <c r="A17092" s="6">
        <v>17090.0</v>
      </c>
      <c r="B17092" s="17">
        <f t="array" ref="B17092">SUM(1-'Sparkling Model'!D$2:D$38^A17092)</f>
        <v>36.99926798</v>
      </c>
      <c r="C17092" s="8">
        <f t="array" ref="C17092">PRODUCT(1-'Sparkling Model'!D$2:D$38^A17092)</f>
        <v>0.9992681668</v>
      </c>
    </row>
    <row r="17093">
      <c r="A17093" s="6">
        <v>17091.0</v>
      </c>
      <c r="B17093" s="17">
        <f t="array" ref="B17093">SUM(1-'Sparkling Model'!D$2:D$38^A17093)</f>
        <v>36.99926834</v>
      </c>
      <c r="C17093" s="8">
        <f t="array" ref="C17093">PRODUCT(1-'Sparkling Model'!D$2:D$38^A17093)</f>
        <v>0.999268527</v>
      </c>
    </row>
    <row r="17094">
      <c r="A17094" s="6">
        <v>17092.0</v>
      </c>
      <c r="B17094" s="17">
        <f t="array" ref="B17094">SUM(1-'Sparkling Model'!D$2:D$38^A17094)</f>
        <v>36.9992687</v>
      </c>
      <c r="C17094" s="8">
        <f t="array" ref="C17094">PRODUCT(1-'Sparkling Model'!D$2:D$38^A17094)</f>
        <v>0.999268887</v>
      </c>
    </row>
    <row r="17095">
      <c r="A17095" s="6">
        <v>17093.0</v>
      </c>
      <c r="B17095" s="17">
        <f t="array" ref="B17095">SUM(1-'Sparkling Model'!D$2:D$38^A17095)</f>
        <v>36.99926906</v>
      </c>
      <c r="C17095" s="8">
        <f t="array" ref="C17095">PRODUCT(1-'Sparkling Model'!D$2:D$38^A17095)</f>
        <v>0.9992692469</v>
      </c>
    </row>
    <row r="17096">
      <c r="A17096" s="6">
        <v>17094.0</v>
      </c>
      <c r="B17096" s="17">
        <f t="array" ref="B17096">SUM(1-'Sparkling Model'!D$2:D$38^A17096)</f>
        <v>36.99926942</v>
      </c>
      <c r="C17096" s="8">
        <f t="array" ref="C17096">PRODUCT(1-'Sparkling Model'!D$2:D$38^A17096)</f>
        <v>0.9992696066</v>
      </c>
    </row>
    <row r="17097">
      <c r="A17097" s="6">
        <v>17095.0</v>
      </c>
      <c r="B17097" s="17">
        <f t="array" ref="B17097">SUM(1-'Sparkling Model'!D$2:D$38^A17097)</f>
        <v>36.99926978</v>
      </c>
      <c r="C17097" s="8">
        <f t="array" ref="C17097">PRODUCT(1-'Sparkling Model'!D$2:D$38^A17097)</f>
        <v>0.9992699661</v>
      </c>
    </row>
    <row r="17098">
      <c r="A17098" s="6">
        <v>17096.0</v>
      </c>
      <c r="B17098" s="17">
        <f t="array" ref="B17098">SUM(1-'Sparkling Model'!D$2:D$38^A17098)</f>
        <v>36.99927014</v>
      </c>
      <c r="C17098" s="8">
        <f t="array" ref="C17098">PRODUCT(1-'Sparkling Model'!D$2:D$38^A17098)</f>
        <v>0.9992703255</v>
      </c>
    </row>
    <row r="17099">
      <c r="A17099" s="6">
        <v>17097.0</v>
      </c>
      <c r="B17099" s="17">
        <f t="array" ref="B17099">SUM(1-'Sparkling Model'!D$2:D$38^A17099)</f>
        <v>36.9992705</v>
      </c>
      <c r="C17099" s="8">
        <f t="array" ref="C17099">PRODUCT(1-'Sparkling Model'!D$2:D$38^A17099)</f>
        <v>0.9992706847</v>
      </c>
    </row>
    <row r="17100">
      <c r="A17100" s="6">
        <v>17098.0</v>
      </c>
      <c r="B17100" s="17">
        <f t="array" ref="B17100">SUM(1-'Sparkling Model'!D$2:D$38^A17100)</f>
        <v>36.99927086</v>
      </c>
      <c r="C17100" s="8">
        <f t="array" ref="C17100">PRODUCT(1-'Sparkling Model'!D$2:D$38^A17100)</f>
        <v>0.9992710436</v>
      </c>
    </row>
    <row r="17101">
      <c r="A17101" s="6">
        <v>17099.0</v>
      </c>
      <c r="B17101" s="17">
        <f t="array" ref="B17101">SUM(1-'Sparkling Model'!D$2:D$38^A17101)</f>
        <v>36.99927122</v>
      </c>
      <c r="C17101" s="8">
        <f t="array" ref="C17101">PRODUCT(1-'Sparkling Model'!D$2:D$38^A17101)</f>
        <v>0.9992714025</v>
      </c>
    </row>
    <row r="17102">
      <c r="A17102" s="6">
        <v>17100.0</v>
      </c>
      <c r="B17102" s="17">
        <f t="array" ref="B17102">SUM(1-'Sparkling Model'!D$2:D$38^A17102)</f>
        <v>36.99927158</v>
      </c>
      <c r="C17102" s="8">
        <f t="array" ref="C17102">PRODUCT(1-'Sparkling Model'!D$2:D$38^A17102)</f>
        <v>0.9992717611</v>
      </c>
    </row>
    <row r="17103">
      <c r="A17103" s="6">
        <v>17101.0</v>
      </c>
      <c r="B17103" s="17">
        <f t="array" ref="B17103">SUM(1-'Sparkling Model'!D$2:D$38^A17103)</f>
        <v>36.99927194</v>
      </c>
      <c r="C17103" s="8">
        <f t="array" ref="C17103">PRODUCT(1-'Sparkling Model'!D$2:D$38^A17103)</f>
        <v>0.9992721196</v>
      </c>
    </row>
    <row r="17104">
      <c r="A17104" s="6">
        <v>17102.0</v>
      </c>
      <c r="B17104" s="17">
        <f t="array" ref="B17104">SUM(1-'Sparkling Model'!D$2:D$38^A17104)</f>
        <v>36.9992723</v>
      </c>
      <c r="C17104" s="8">
        <f t="array" ref="C17104">PRODUCT(1-'Sparkling Model'!D$2:D$38^A17104)</f>
        <v>0.9992724778</v>
      </c>
    </row>
    <row r="17105">
      <c r="A17105" s="6">
        <v>17103.0</v>
      </c>
      <c r="B17105" s="17">
        <f t="array" ref="B17105">SUM(1-'Sparkling Model'!D$2:D$38^A17105)</f>
        <v>36.99927265</v>
      </c>
      <c r="C17105" s="8">
        <f t="array" ref="C17105">PRODUCT(1-'Sparkling Model'!D$2:D$38^A17105)</f>
        <v>0.9992728359</v>
      </c>
    </row>
    <row r="17106">
      <c r="A17106" s="6">
        <v>17104.0</v>
      </c>
      <c r="B17106" s="17">
        <f t="array" ref="B17106">SUM(1-'Sparkling Model'!D$2:D$38^A17106)</f>
        <v>36.99927301</v>
      </c>
      <c r="C17106" s="8">
        <f t="array" ref="C17106">PRODUCT(1-'Sparkling Model'!D$2:D$38^A17106)</f>
        <v>0.9992731939</v>
      </c>
    </row>
    <row r="17107">
      <c r="A17107" s="6">
        <v>17105.0</v>
      </c>
      <c r="B17107" s="17">
        <f t="array" ref="B17107">SUM(1-'Sparkling Model'!D$2:D$38^A17107)</f>
        <v>36.99927337</v>
      </c>
      <c r="C17107" s="8">
        <f t="array" ref="C17107">PRODUCT(1-'Sparkling Model'!D$2:D$38^A17107)</f>
        <v>0.9992735516</v>
      </c>
    </row>
    <row r="17108">
      <c r="A17108" s="6">
        <v>17106.0</v>
      </c>
      <c r="B17108" s="17">
        <f t="array" ref="B17108">SUM(1-'Sparkling Model'!D$2:D$38^A17108)</f>
        <v>36.99927373</v>
      </c>
      <c r="C17108" s="8">
        <f t="array" ref="C17108">PRODUCT(1-'Sparkling Model'!D$2:D$38^A17108)</f>
        <v>0.9992739092</v>
      </c>
    </row>
    <row r="17109">
      <c r="A17109" s="6">
        <v>17107.0</v>
      </c>
      <c r="B17109" s="17">
        <f t="array" ref="B17109">SUM(1-'Sparkling Model'!D$2:D$38^A17109)</f>
        <v>36.99927409</v>
      </c>
      <c r="C17109" s="8">
        <f t="array" ref="C17109">PRODUCT(1-'Sparkling Model'!D$2:D$38^A17109)</f>
        <v>0.9992742666</v>
      </c>
    </row>
    <row r="17110">
      <c r="A17110" s="6">
        <v>17108.0</v>
      </c>
      <c r="B17110" s="17">
        <f t="array" ref="B17110">SUM(1-'Sparkling Model'!D$2:D$38^A17110)</f>
        <v>36.99927444</v>
      </c>
      <c r="C17110" s="8">
        <f t="array" ref="C17110">PRODUCT(1-'Sparkling Model'!D$2:D$38^A17110)</f>
        <v>0.9992746238</v>
      </c>
    </row>
    <row r="17111">
      <c r="A17111" s="6">
        <v>17109.0</v>
      </c>
      <c r="B17111" s="17">
        <f t="array" ref="B17111">SUM(1-'Sparkling Model'!D$2:D$38^A17111)</f>
        <v>36.9992748</v>
      </c>
      <c r="C17111" s="8">
        <f t="array" ref="C17111">PRODUCT(1-'Sparkling Model'!D$2:D$38^A17111)</f>
        <v>0.9992749809</v>
      </c>
    </row>
    <row r="17112">
      <c r="A17112" s="6">
        <v>17110.0</v>
      </c>
      <c r="B17112" s="17">
        <f t="array" ref="B17112">SUM(1-'Sparkling Model'!D$2:D$38^A17112)</f>
        <v>36.99927516</v>
      </c>
      <c r="C17112" s="8">
        <f t="array" ref="C17112">PRODUCT(1-'Sparkling Model'!D$2:D$38^A17112)</f>
        <v>0.9992753377</v>
      </c>
    </row>
    <row r="17113">
      <c r="A17113" s="6">
        <v>17111.0</v>
      </c>
      <c r="B17113" s="17">
        <f t="array" ref="B17113">SUM(1-'Sparkling Model'!D$2:D$38^A17113)</f>
        <v>36.99927551</v>
      </c>
      <c r="C17113" s="8">
        <f t="array" ref="C17113">PRODUCT(1-'Sparkling Model'!D$2:D$38^A17113)</f>
        <v>0.9992756944</v>
      </c>
    </row>
    <row r="17114">
      <c r="A17114" s="6">
        <v>17112.0</v>
      </c>
      <c r="B17114" s="17">
        <f t="array" ref="B17114">SUM(1-'Sparkling Model'!D$2:D$38^A17114)</f>
        <v>36.99927587</v>
      </c>
      <c r="C17114" s="8">
        <f t="array" ref="C17114">PRODUCT(1-'Sparkling Model'!D$2:D$38^A17114)</f>
        <v>0.999276051</v>
      </c>
    </row>
    <row r="17115">
      <c r="A17115" s="6">
        <v>17113.0</v>
      </c>
      <c r="B17115" s="17">
        <f t="array" ref="B17115">SUM(1-'Sparkling Model'!D$2:D$38^A17115)</f>
        <v>36.99927623</v>
      </c>
      <c r="C17115" s="8">
        <f t="array" ref="C17115">PRODUCT(1-'Sparkling Model'!D$2:D$38^A17115)</f>
        <v>0.9992764073</v>
      </c>
    </row>
    <row r="17116">
      <c r="A17116" s="6">
        <v>17114.0</v>
      </c>
      <c r="B17116" s="17">
        <f t="array" ref="B17116">SUM(1-'Sparkling Model'!D$2:D$38^A17116)</f>
        <v>36.99927658</v>
      </c>
      <c r="C17116" s="8">
        <f t="array" ref="C17116">PRODUCT(1-'Sparkling Model'!D$2:D$38^A17116)</f>
        <v>0.9992767635</v>
      </c>
    </row>
    <row r="17117">
      <c r="A17117" s="6">
        <v>17115.0</v>
      </c>
      <c r="B17117" s="17">
        <f t="array" ref="B17117">SUM(1-'Sparkling Model'!D$2:D$38^A17117)</f>
        <v>36.99927694</v>
      </c>
      <c r="C17117" s="8">
        <f t="array" ref="C17117">PRODUCT(1-'Sparkling Model'!D$2:D$38^A17117)</f>
        <v>0.9992771195</v>
      </c>
    </row>
    <row r="17118">
      <c r="A17118" s="6">
        <v>17116.0</v>
      </c>
      <c r="B17118" s="17">
        <f t="array" ref="B17118">SUM(1-'Sparkling Model'!D$2:D$38^A17118)</f>
        <v>36.9992773</v>
      </c>
      <c r="C17118" s="8">
        <f t="array" ref="C17118">PRODUCT(1-'Sparkling Model'!D$2:D$38^A17118)</f>
        <v>0.9992774753</v>
      </c>
    </row>
    <row r="17119">
      <c r="A17119" s="6">
        <v>17117.0</v>
      </c>
      <c r="B17119" s="17">
        <f t="array" ref="B17119">SUM(1-'Sparkling Model'!D$2:D$38^A17119)</f>
        <v>36.99927765</v>
      </c>
      <c r="C17119" s="8">
        <f t="array" ref="C17119">PRODUCT(1-'Sparkling Model'!D$2:D$38^A17119)</f>
        <v>0.9992778309</v>
      </c>
    </row>
    <row r="17120">
      <c r="A17120" s="6">
        <v>17118.0</v>
      </c>
      <c r="B17120" s="17">
        <f t="array" ref="B17120">SUM(1-'Sparkling Model'!D$2:D$38^A17120)</f>
        <v>36.99927801</v>
      </c>
      <c r="C17120" s="8">
        <f t="array" ref="C17120">PRODUCT(1-'Sparkling Model'!D$2:D$38^A17120)</f>
        <v>0.9992781864</v>
      </c>
    </row>
    <row r="17121">
      <c r="A17121" s="6">
        <v>17119.0</v>
      </c>
      <c r="B17121" s="17">
        <f t="array" ref="B17121">SUM(1-'Sparkling Model'!D$2:D$38^A17121)</f>
        <v>36.99927836</v>
      </c>
      <c r="C17121" s="8">
        <f t="array" ref="C17121">PRODUCT(1-'Sparkling Model'!D$2:D$38^A17121)</f>
        <v>0.9992785417</v>
      </c>
    </row>
    <row r="17122">
      <c r="A17122" s="6">
        <v>17120.0</v>
      </c>
      <c r="B17122" s="17">
        <f t="array" ref="B17122">SUM(1-'Sparkling Model'!D$2:D$38^A17122)</f>
        <v>36.99927872</v>
      </c>
      <c r="C17122" s="8">
        <f t="array" ref="C17122">PRODUCT(1-'Sparkling Model'!D$2:D$38^A17122)</f>
        <v>0.9992788968</v>
      </c>
    </row>
    <row r="17123">
      <c r="A17123" s="6">
        <v>17121.0</v>
      </c>
      <c r="B17123" s="17">
        <f t="array" ref="B17123">SUM(1-'Sparkling Model'!D$2:D$38^A17123)</f>
        <v>36.99927907</v>
      </c>
      <c r="C17123" s="8">
        <f t="array" ref="C17123">PRODUCT(1-'Sparkling Model'!D$2:D$38^A17123)</f>
        <v>0.9992792517</v>
      </c>
    </row>
    <row r="17124">
      <c r="A17124" s="6">
        <v>17122.0</v>
      </c>
      <c r="B17124" s="17">
        <f t="array" ref="B17124">SUM(1-'Sparkling Model'!D$2:D$38^A17124)</f>
        <v>36.99927943</v>
      </c>
      <c r="C17124" s="8">
        <f t="array" ref="C17124">PRODUCT(1-'Sparkling Model'!D$2:D$38^A17124)</f>
        <v>0.9992796065</v>
      </c>
    </row>
    <row r="17125">
      <c r="A17125" s="6">
        <v>17123.0</v>
      </c>
      <c r="B17125" s="17">
        <f t="array" ref="B17125">SUM(1-'Sparkling Model'!D$2:D$38^A17125)</f>
        <v>36.99927978</v>
      </c>
      <c r="C17125" s="8">
        <f t="array" ref="C17125">PRODUCT(1-'Sparkling Model'!D$2:D$38^A17125)</f>
        <v>0.9992799611</v>
      </c>
    </row>
    <row r="17126">
      <c r="A17126" s="6">
        <v>17124.0</v>
      </c>
      <c r="B17126" s="17">
        <f t="array" ref="B17126">SUM(1-'Sparkling Model'!D$2:D$38^A17126)</f>
        <v>36.99928014</v>
      </c>
      <c r="C17126" s="8">
        <f t="array" ref="C17126">PRODUCT(1-'Sparkling Model'!D$2:D$38^A17126)</f>
        <v>0.9992803155</v>
      </c>
    </row>
    <row r="17127">
      <c r="A17127" s="6">
        <v>17125.0</v>
      </c>
      <c r="B17127" s="17">
        <f t="array" ref="B17127">SUM(1-'Sparkling Model'!D$2:D$38^A17127)</f>
        <v>36.99928049</v>
      </c>
      <c r="C17127" s="8">
        <f t="array" ref="C17127">PRODUCT(1-'Sparkling Model'!D$2:D$38^A17127)</f>
        <v>0.9992806697</v>
      </c>
    </row>
    <row r="17128">
      <c r="A17128" s="6">
        <v>17126.0</v>
      </c>
      <c r="B17128" s="17">
        <f t="array" ref="B17128">SUM(1-'Sparkling Model'!D$2:D$38^A17128)</f>
        <v>36.99928085</v>
      </c>
      <c r="C17128" s="8">
        <f t="array" ref="C17128">PRODUCT(1-'Sparkling Model'!D$2:D$38^A17128)</f>
        <v>0.9992810238</v>
      </c>
    </row>
    <row r="17129">
      <c r="A17129" s="6">
        <v>17127.0</v>
      </c>
      <c r="B17129" s="17">
        <f t="array" ref="B17129">SUM(1-'Sparkling Model'!D$2:D$38^A17129)</f>
        <v>36.9992812</v>
      </c>
      <c r="C17129" s="8">
        <f t="array" ref="C17129">PRODUCT(1-'Sparkling Model'!D$2:D$38^A17129)</f>
        <v>0.9992813777</v>
      </c>
    </row>
    <row r="17130">
      <c r="A17130" s="6">
        <v>17128.0</v>
      </c>
      <c r="B17130" s="17">
        <f t="array" ref="B17130">SUM(1-'Sparkling Model'!D$2:D$38^A17130)</f>
        <v>36.99928155</v>
      </c>
      <c r="C17130" s="8">
        <f t="array" ref="C17130">PRODUCT(1-'Sparkling Model'!D$2:D$38^A17130)</f>
        <v>0.9992817314</v>
      </c>
    </row>
    <row r="17131">
      <c r="A17131" s="6">
        <v>17129.0</v>
      </c>
      <c r="B17131" s="17">
        <f t="array" ref="B17131">SUM(1-'Sparkling Model'!D$2:D$38^A17131)</f>
        <v>36.99928191</v>
      </c>
      <c r="C17131" s="8">
        <f t="array" ref="C17131">PRODUCT(1-'Sparkling Model'!D$2:D$38^A17131)</f>
        <v>0.999282085</v>
      </c>
    </row>
    <row r="17132">
      <c r="A17132" s="6">
        <v>17130.0</v>
      </c>
      <c r="B17132" s="17">
        <f t="array" ref="B17132">SUM(1-'Sparkling Model'!D$2:D$38^A17132)</f>
        <v>36.99928226</v>
      </c>
      <c r="C17132" s="8">
        <f t="array" ref="C17132">PRODUCT(1-'Sparkling Model'!D$2:D$38^A17132)</f>
        <v>0.9992824383</v>
      </c>
    </row>
    <row r="17133">
      <c r="A17133" s="6">
        <v>17131.0</v>
      </c>
      <c r="B17133" s="17">
        <f t="array" ref="B17133">SUM(1-'Sparkling Model'!D$2:D$38^A17133)</f>
        <v>36.99928262</v>
      </c>
      <c r="C17133" s="8">
        <f t="array" ref="C17133">PRODUCT(1-'Sparkling Model'!D$2:D$38^A17133)</f>
        <v>0.9992827915</v>
      </c>
    </row>
    <row r="17134">
      <c r="A17134" s="6">
        <v>17132.0</v>
      </c>
      <c r="B17134" s="17">
        <f t="array" ref="B17134">SUM(1-'Sparkling Model'!D$2:D$38^A17134)</f>
        <v>36.99928297</v>
      </c>
      <c r="C17134" s="8">
        <f t="array" ref="C17134">PRODUCT(1-'Sparkling Model'!D$2:D$38^A17134)</f>
        <v>0.9992831445</v>
      </c>
    </row>
    <row r="17135">
      <c r="A17135" s="6">
        <v>17133.0</v>
      </c>
      <c r="B17135" s="17">
        <f t="array" ref="B17135">SUM(1-'Sparkling Model'!D$2:D$38^A17135)</f>
        <v>36.99928332</v>
      </c>
      <c r="C17135" s="8">
        <f t="array" ref="C17135">PRODUCT(1-'Sparkling Model'!D$2:D$38^A17135)</f>
        <v>0.9992834974</v>
      </c>
    </row>
    <row r="17136">
      <c r="A17136" s="6">
        <v>17134.0</v>
      </c>
      <c r="B17136" s="17">
        <f t="array" ref="B17136">SUM(1-'Sparkling Model'!D$2:D$38^A17136)</f>
        <v>36.99928367</v>
      </c>
      <c r="C17136" s="8">
        <f t="array" ref="C17136">PRODUCT(1-'Sparkling Model'!D$2:D$38^A17136)</f>
        <v>0.9992838501</v>
      </c>
    </row>
    <row r="17137">
      <c r="A17137" s="6">
        <v>17135.0</v>
      </c>
      <c r="B17137" s="17">
        <f t="array" ref="B17137">SUM(1-'Sparkling Model'!D$2:D$38^A17137)</f>
        <v>36.99928403</v>
      </c>
      <c r="C17137" s="8">
        <f t="array" ref="C17137">PRODUCT(1-'Sparkling Model'!D$2:D$38^A17137)</f>
        <v>0.9992842025</v>
      </c>
    </row>
    <row r="17138">
      <c r="A17138" s="6">
        <v>17136.0</v>
      </c>
      <c r="B17138" s="17">
        <f t="array" ref="B17138">SUM(1-'Sparkling Model'!D$2:D$38^A17138)</f>
        <v>36.99928438</v>
      </c>
      <c r="C17138" s="8">
        <f t="array" ref="C17138">PRODUCT(1-'Sparkling Model'!D$2:D$38^A17138)</f>
        <v>0.9992845549</v>
      </c>
    </row>
    <row r="17139">
      <c r="A17139" s="6">
        <v>17137.0</v>
      </c>
      <c r="B17139" s="17">
        <f t="array" ref="B17139">SUM(1-'Sparkling Model'!D$2:D$38^A17139)</f>
        <v>36.99928473</v>
      </c>
      <c r="C17139" s="8">
        <f t="array" ref="C17139">PRODUCT(1-'Sparkling Model'!D$2:D$38^A17139)</f>
        <v>0.999284907</v>
      </c>
    </row>
    <row r="17140">
      <c r="A17140" s="6">
        <v>17138.0</v>
      </c>
      <c r="B17140" s="17">
        <f t="array" ref="B17140">SUM(1-'Sparkling Model'!D$2:D$38^A17140)</f>
        <v>36.99928508</v>
      </c>
      <c r="C17140" s="8">
        <f t="array" ref="C17140">PRODUCT(1-'Sparkling Model'!D$2:D$38^A17140)</f>
        <v>0.999285259</v>
      </c>
    </row>
    <row r="17141">
      <c r="A17141" s="6">
        <v>17139.0</v>
      </c>
      <c r="B17141" s="17">
        <f t="array" ref="B17141">SUM(1-'Sparkling Model'!D$2:D$38^A17141)</f>
        <v>36.99928544</v>
      </c>
      <c r="C17141" s="8">
        <f t="array" ref="C17141">PRODUCT(1-'Sparkling Model'!D$2:D$38^A17141)</f>
        <v>0.9992856108</v>
      </c>
    </row>
    <row r="17142">
      <c r="A17142" s="6">
        <v>17140.0</v>
      </c>
      <c r="B17142" s="17">
        <f t="array" ref="B17142">SUM(1-'Sparkling Model'!D$2:D$38^A17142)</f>
        <v>36.99928579</v>
      </c>
      <c r="C17142" s="8">
        <f t="array" ref="C17142">PRODUCT(1-'Sparkling Model'!D$2:D$38^A17142)</f>
        <v>0.9992859624</v>
      </c>
    </row>
    <row r="17143">
      <c r="A17143" s="6">
        <v>17141.0</v>
      </c>
      <c r="B17143" s="17">
        <f t="array" ref="B17143">SUM(1-'Sparkling Model'!D$2:D$38^A17143)</f>
        <v>36.99928614</v>
      </c>
      <c r="C17143" s="8">
        <f t="array" ref="C17143">PRODUCT(1-'Sparkling Model'!D$2:D$38^A17143)</f>
        <v>0.9992863139</v>
      </c>
    </row>
    <row r="17144">
      <c r="A17144" s="6">
        <v>17142.0</v>
      </c>
      <c r="B17144" s="17">
        <f t="array" ref="B17144">SUM(1-'Sparkling Model'!D$2:D$38^A17144)</f>
        <v>36.99928649</v>
      </c>
      <c r="C17144" s="8">
        <f t="array" ref="C17144">PRODUCT(1-'Sparkling Model'!D$2:D$38^A17144)</f>
        <v>0.9992866652</v>
      </c>
    </row>
    <row r="17145">
      <c r="A17145" s="6">
        <v>17143.0</v>
      </c>
      <c r="B17145" s="17">
        <f t="array" ref="B17145">SUM(1-'Sparkling Model'!D$2:D$38^A17145)</f>
        <v>36.99928684</v>
      </c>
      <c r="C17145" s="8">
        <f t="array" ref="C17145">PRODUCT(1-'Sparkling Model'!D$2:D$38^A17145)</f>
        <v>0.9992870163</v>
      </c>
    </row>
    <row r="17146">
      <c r="A17146" s="6">
        <v>17144.0</v>
      </c>
      <c r="B17146" s="17">
        <f t="array" ref="B17146">SUM(1-'Sparkling Model'!D$2:D$38^A17146)</f>
        <v>36.99928719</v>
      </c>
      <c r="C17146" s="8">
        <f t="array" ref="C17146">PRODUCT(1-'Sparkling Model'!D$2:D$38^A17146)</f>
        <v>0.9992873672</v>
      </c>
    </row>
    <row r="17147">
      <c r="A17147" s="6">
        <v>17145.0</v>
      </c>
      <c r="B17147" s="17">
        <f t="array" ref="B17147">SUM(1-'Sparkling Model'!D$2:D$38^A17147)</f>
        <v>36.99928754</v>
      </c>
      <c r="C17147" s="8">
        <f t="array" ref="C17147">PRODUCT(1-'Sparkling Model'!D$2:D$38^A17147)</f>
        <v>0.999287718</v>
      </c>
    </row>
    <row r="17148">
      <c r="A17148" s="6">
        <v>17146.0</v>
      </c>
      <c r="B17148" s="17">
        <f t="array" ref="B17148">SUM(1-'Sparkling Model'!D$2:D$38^A17148)</f>
        <v>36.9992879</v>
      </c>
      <c r="C17148" s="8">
        <f t="array" ref="C17148">PRODUCT(1-'Sparkling Model'!D$2:D$38^A17148)</f>
        <v>0.9992880686</v>
      </c>
    </row>
    <row r="17149">
      <c r="A17149" s="6">
        <v>17147.0</v>
      </c>
      <c r="B17149" s="17">
        <f t="array" ref="B17149">SUM(1-'Sparkling Model'!D$2:D$38^A17149)</f>
        <v>36.99928825</v>
      </c>
      <c r="C17149" s="8">
        <f t="array" ref="C17149">PRODUCT(1-'Sparkling Model'!D$2:D$38^A17149)</f>
        <v>0.999288419</v>
      </c>
    </row>
    <row r="17150">
      <c r="A17150" s="6">
        <v>17148.0</v>
      </c>
      <c r="B17150" s="17">
        <f t="array" ref="B17150">SUM(1-'Sparkling Model'!D$2:D$38^A17150)</f>
        <v>36.9992886</v>
      </c>
      <c r="C17150" s="8">
        <f t="array" ref="C17150">PRODUCT(1-'Sparkling Model'!D$2:D$38^A17150)</f>
        <v>0.9992887692</v>
      </c>
    </row>
    <row r="17151">
      <c r="A17151" s="6">
        <v>17149.0</v>
      </c>
      <c r="B17151" s="17">
        <f t="array" ref="B17151">SUM(1-'Sparkling Model'!D$2:D$38^A17151)</f>
        <v>36.99928895</v>
      </c>
      <c r="C17151" s="8">
        <f t="array" ref="C17151">PRODUCT(1-'Sparkling Model'!D$2:D$38^A17151)</f>
        <v>0.9992891193</v>
      </c>
    </row>
    <row r="17152">
      <c r="A17152" s="6">
        <v>17150.0</v>
      </c>
      <c r="B17152" s="17">
        <f t="array" ref="B17152">SUM(1-'Sparkling Model'!D$2:D$38^A17152)</f>
        <v>36.9992893</v>
      </c>
      <c r="C17152" s="8">
        <f t="array" ref="C17152">PRODUCT(1-'Sparkling Model'!D$2:D$38^A17152)</f>
        <v>0.9992894692</v>
      </c>
    </row>
    <row r="17153">
      <c r="A17153" s="6">
        <v>17151.0</v>
      </c>
      <c r="B17153" s="17">
        <f t="array" ref="B17153">SUM(1-'Sparkling Model'!D$2:D$38^A17153)</f>
        <v>36.99928965</v>
      </c>
      <c r="C17153" s="8">
        <f t="array" ref="C17153">PRODUCT(1-'Sparkling Model'!D$2:D$38^A17153)</f>
        <v>0.9992898189</v>
      </c>
    </row>
    <row r="17154">
      <c r="A17154" s="6">
        <v>17152.0</v>
      </c>
      <c r="B17154" s="17">
        <f t="array" ref="B17154">SUM(1-'Sparkling Model'!D$2:D$38^A17154)</f>
        <v>36.99929</v>
      </c>
      <c r="C17154" s="8">
        <f t="array" ref="C17154">PRODUCT(1-'Sparkling Model'!D$2:D$38^A17154)</f>
        <v>0.9992901685</v>
      </c>
    </row>
    <row r="17155">
      <c r="A17155" s="6">
        <v>17153.0</v>
      </c>
      <c r="B17155" s="17">
        <f t="array" ref="B17155">SUM(1-'Sparkling Model'!D$2:D$38^A17155)</f>
        <v>36.99929035</v>
      </c>
      <c r="C17155" s="8">
        <f t="array" ref="C17155">PRODUCT(1-'Sparkling Model'!D$2:D$38^A17155)</f>
        <v>0.9992905178</v>
      </c>
    </row>
    <row r="17156">
      <c r="A17156" s="6">
        <v>17154.0</v>
      </c>
      <c r="B17156" s="17">
        <f t="array" ref="B17156">SUM(1-'Sparkling Model'!D$2:D$38^A17156)</f>
        <v>36.99929069</v>
      </c>
      <c r="C17156" s="8">
        <f t="array" ref="C17156">PRODUCT(1-'Sparkling Model'!D$2:D$38^A17156)</f>
        <v>0.999290867</v>
      </c>
    </row>
    <row r="17157">
      <c r="A17157" s="6">
        <v>17155.0</v>
      </c>
      <c r="B17157" s="17">
        <f t="array" ref="B17157">SUM(1-'Sparkling Model'!D$2:D$38^A17157)</f>
        <v>36.99929104</v>
      </c>
      <c r="C17157" s="8">
        <f t="array" ref="C17157">PRODUCT(1-'Sparkling Model'!D$2:D$38^A17157)</f>
        <v>0.9992912161</v>
      </c>
    </row>
    <row r="17158">
      <c r="A17158" s="6">
        <v>17156.0</v>
      </c>
      <c r="B17158" s="17">
        <f t="array" ref="B17158">SUM(1-'Sparkling Model'!D$2:D$38^A17158)</f>
        <v>36.99929139</v>
      </c>
      <c r="C17158" s="8">
        <f t="array" ref="C17158">PRODUCT(1-'Sparkling Model'!D$2:D$38^A17158)</f>
        <v>0.9992915649</v>
      </c>
    </row>
    <row r="17159">
      <c r="A17159" s="6">
        <v>17157.0</v>
      </c>
      <c r="B17159" s="17">
        <f t="array" ref="B17159">SUM(1-'Sparkling Model'!D$2:D$38^A17159)</f>
        <v>36.99929174</v>
      </c>
      <c r="C17159" s="8">
        <f t="array" ref="C17159">PRODUCT(1-'Sparkling Model'!D$2:D$38^A17159)</f>
        <v>0.9992919136</v>
      </c>
    </row>
    <row r="17160">
      <c r="A17160" s="6">
        <v>17158.0</v>
      </c>
      <c r="B17160" s="17">
        <f t="array" ref="B17160">SUM(1-'Sparkling Model'!D$2:D$38^A17160)</f>
        <v>36.99929209</v>
      </c>
      <c r="C17160" s="8">
        <f t="array" ref="C17160">PRODUCT(1-'Sparkling Model'!D$2:D$38^A17160)</f>
        <v>0.9992922621</v>
      </c>
    </row>
    <row r="17161">
      <c r="A17161" s="6">
        <v>17159.0</v>
      </c>
      <c r="B17161" s="17">
        <f t="array" ref="B17161">SUM(1-'Sparkling Model'!D$2:D$38^A17161)</f>
        <v>36.99929244</v>
      </c>
      <c r="C17161" s="8">
        <f t="array" ref="C17161">PRODUCT(1-'Sparkling Model'!D$2:D$38^A17161)</f>
        <v>0.9992926105</v>
      </c>
    </row>
    <row r="17162">
      <c r="A17162" s="6">
        <v>17160.0</v>
      </c>
      <c r="B17162" s="17">
        <f t="array" ref="B17162">SUM(1-'Sparkling Model'!D$2:D$38^A17162)</f>
        <v>36.99929279</v>
      </c>
      <c r="C17162" s="8">
        <f t="array" ref="C17162">PRODUCT(1-'Sparkling Model'!D$2:D$38^A17162)</f>
        <v>0.9992929587</v>
      </c>
    </row>
    <row r="17163">
      <c r="A17163" s="6">
        <v>17161.0</v>
      </c>
      <c r="B17163" s="17">
        <f t="array" ref="B17163">SUM(1-'Sparkling Model'!D$2:D$38^A17163)</f>
        <v>36.99929314</v>
      </c>
      <c r="C17163" s="8">
        <f t="array" ref="C17163">PRODUCT(1-'Sparkling Model'!D$2:D$38^A17163)</f>
        <v>0.9992933067</v>
      </c>
    </row>
    <row r="17164">
      <c r="A17164" s="6">
        <v>17162.0</v>
      </c>
      <c r="B17164" s="17">
        <f t="array" ref="B17164">SUM(1-'Sparkling Model'!D$2:D$38^A17164)</f>
        <v>36.99929348</v>
      </c>
      <c r="C17164" s="8">
        <f t="array" ref="C17164">PRODUCT(1-'Sparkling Model'!D$2:D$38^A17164)</f>
        <v>0.9992936545</v>
      </c>
    </row>
    <row r="17165">
      <c r="A17165" s="6">
        <v>17163.0</v>
      </c>
      <c r="B17165" s="17">
        <f t="array" ref="B17165">SUM(1-'Sparkling Model'!D$2:D$38^A17165)</f>
        <v>36.99929383</v>
      </c>
      <c r="C17165" s="8">
        <f t="array" ref="C17165">PRODUCT(1-'Sparkling Model'!D$2:D$38^A17165)</f>
        <v>0.9992940022</v>
      </c>
    </row>
    <row r="17166">
      <c r="A17166" s="6">
        <v>17164.0</v>
      </c>
      <c r="B17166" s="17">
        <f t="array" ref="B17166">SUM(1-'Sparkling Model'!D$2:D$38^A17166)</f>
        <v>36.99929418</v>
      </c>
      <c r="C17166" s="8">
        <f t="array" ref="C17166">PRODUCT(1-'Sparkling Model'!D$2:D$38^A17166)</f>
        <v>0.9992943497</v>
      </c>
    </row>
    <row r="17167">
      <c r="A17167" s="6">
        <v>17165.0</v>
      </c>
      <c r="B17167" s="17">
        <f t="array" ref="B17167">SUM(1-'Sparkling Model'!D$2:D$38^A17167)</f>
        <v>36.99929453</v>
      </c>
      <c r="C17167" s="8">
        <f t="array" ref="C17167">PRODUCT(1-'Sparkling Model'!D$2:D$38^A17167)</f>
        <v>0.999294697</v>
      </c>
    </row>
    <row r="17168">
      <c r="A17168" s="6">
        <v>17166.0</v>
      </c>
      <c r="B17168" s="17">
        <f t="array" ref="B17168">SUM(1-'Sparkling Model'!D$2:D$38^A17168)</f>
        <v>36.99929487</v>
      </c>
      <c r="C17168" s="8">
        <f t="array" ref="C17168">PRODUCT(1-'Sparkling Model'!D$2:D$38^A17168)</f>
        <v>0.9992950441</v>
      </c>
    </row>
    <row r="17169">
      <c r="A17169" s="6">
        <v>17167.0</v>
      </c>
      <c r="B17169" s="17">
        <f t="array" ref="B17169">SUM(1-'Sparkling Model'!D$2:D$38^A17169)</f>
        <v>36.99929522</v>
      </c>
      <c r="C17169" s="8">
        <f t="array" ref="C17169">PRODUCT(1-'Sparkling Model'!D$2:D$38^A17169)</f>
        <v>0.9992953911</v>
      </c>
    </row>
    <row r="17170">
      <c r="A17170" s="6">
        <v>17168.0</v>
      </c>
      <c r="B17170" s="17">
        <f t="array" ref="B17170">SUM(1-'Sparkling Model'!D$2:D$38^A17170)</f>
        <v>36.99929557</v>
      </c>
      <c r="C17170" s="8">
        <f t="array" ref="C17170">PRODUCT(1-'Sparkling Model'!D$2:D$38^A17170)</f>
        <v>0.9992957379</v>
      </c>
    </row>
    <row r="17171">
      <c r="A17171" s="6">
        <v>17169.0</v>
      </c>
      <c r="B17171" s="17">
        <f t="array" ref="B17171">SUM(1-'Sparkling Model'!D$2:D$38^A17171)</f>
        <v>36.99929591</v>
      </c>
      <c r="C17171" s="8">
        <f t="array" ref="C17171">PRODUCT(1-'Sparkling Model'!D$2:D$38^A17171)</f>
        <v>0.9992960845</v>
      </c>
    </row>
    <row r="17172">
      <c r="A17172" s="6">
        <v>17170.0</v>
      </c>
      <c r="B17172" s="17">
        <f t="array" ref="B17172">SUM(1-'Sparkling Model'!D$2:D$38^A17172)</f>
        <v>36.99929626</v>
      </c>
      <c r="C17172" s="8">
        <f t="array" ref="C17172">PRODUCT(1-'Sparkling Model'!D$2:D$38^A17172)</f>
        <v>0.999296431</v>
      </c>
    </row>
    <row r="17173">
      <c r="A17173" s="6">
        <v>17171.0</v>
      </c>
      <c r="B17173" s="17">
        <f t="array" ref="B17173">SUM(1-'Sparkling Model'!D$2:D$38^A17173)</f>
        <v>36.99929661</v>
      </c>
      <c r="C17173" s="8">
        <f t="array" ref="C17173">PRODUCT(1-'Sparkling Model'!D$2:D$38^A17173)</f>
        <v>0.9992967773</v>
      </c>
    </row>
    <row r="17174">
      <c r="A17174" s="6">
        <v>17172.0</v>
      </c>
      <c r="B17174" s="17">
        <f t="array" ref="B17174">SUM(1-'Sparkling Model'!D$2:D$38^A17174)</f>
        <v>36.99929695</v>
      </c>
      <c r="C17174" s="8">
        <f t="array" ref="C17174">PRODUCT(1-'Sparkling Model'!D$2:D$38^A17174)</f>
        <v>0.9992971234</v>
      </c>
    </row>
    <row r="17175">
      <c r="A17175" s="6">
        <v>17173.0</v>
      </c>
      <c r="B17175" s="17">
        <f t="array" ref="B17175">SUM(1-'Sparkling Model'!D$2:D$38^A17175)</f>
        <v>36.9992973</v>
      </c>
      <c r="C17175" s="8">
        <f t="array" ref="C17175">PRODUCT(1-'Sparkling Model'!D$2:D$38^A17175)</f>
        <v>0.9992974694</v>
      </c>
    </row>
    <row r="17176">
      <c r="A17176" s="6">
        <v>17174.0</v>
      </c>
      <c r="B17176" s="17">
        <f t="array" ref="B17176">SUM(1-'Sparkling Model'!D$2:D$38^A17176)</f>
        <v>36.99929765</v>
      </c>
      <c r="C17176" s="8">
        <f t="array" ref="C17176">PRODUCT(1-'Sparkling Model'!D$2:D$38^A17176)</f>
        <v>0.9992978151</v>
      </c>
    </row>
    <row r="17177">
      <c r="A17177" s="6">
        <v>17175.0</v>
      </c>
      <c r="B17177" s="17">
        <f t="array" ref="B17177">SUM(1-'Sparkling Model'!D$2:D$38^A17177)</f>
        <v>36.99929799</v>
      </c>
      <c r="C17177" s="8">
        <f t="array" ref="C17177">PRODUCT(1-'Sparkling Model'!D$2:D$38^A17177)</f>
        <v>0.9992981607</v>
      </c>
    </row>
    <row r="17178">
      <c r="A17178" s="6">
        <v>17176.0</v>
      </c>
      <c r="B17178" s="17">
        <f t="array" ref="B17178">SUM(1-'Sparkling Model'!D$2:D$38^A17178)</f>
        <v>36.99929834</v>
      </c>
      <c r="C17178" s="8">
        <f t="array" ref="C17178">PRODUCT(1-'Sparkling Model'!D$2:D$38^A17178)</f>
        <v>0.9992985062</v>
      </c>
    </row>
    <row r="17179">
      <c r="A17179" s="6">
        <v>17177.0</v>
      </c>
      <c r="B17179" s="17">
        <f t="array" ref="B17179">SUM(1-'Sparkling Model'!D$2:D$38^A17179)</f>
        <v>36.99929868</v>
      </c>
      <c r="C17179" s="8">
        <f t="array" ref="C17179">PRODUCT(1-'Sparkling Model'!D$2:D$38^A17179)</f>
        <v>0.9992988514</v>
      </c>
    </row>
    <row r="17180">
      <c r="A17180" s="6">
        <v>17178.0</v>
      </c>
      <c r="B17180" s="17">
        <f t="array" ref="B17180">SUM(1-'Sparkling Model'!D$2:D$38^A17180)</f>
        <v>36.99929903</v>
      </c>
      <c r="C17180" s="8">
        <f t="array" ref="C17180">PRODUCT(1-'Sparkling Model'!D$2:D$38^A17180)</f>
        <v>0.9992991965</v>
      </c>
    </row>
    <row r="17181">
      <c r="A17181" s="6">
        <v>17179.0</v>
      </c>
      <c r="B17181" s="17">
        <f t="array" ref="B17181">SUM(1-'Sparkling Model'!D$2:D$38^A17181)</f>
        <v>36.99929937</v>
      </c>
      <c r="C17181" s="8">
        <f t="array" ref="C17181">PRODUCT(1-'Sparkling Model'!D$2:D$38^A17181)</f>
        <v>0.9992995415</v>
      </c>
    </row>
    <row r="17182">
      <c r="A17182" s="6">
        <v>17180.0</v>
      </c>
      <c r="B17182" s="17">
        <f t="array" ref="B17182">SUM(1-'Sparkling Model'!D$2:D$38^A17182)</f>
        <v>36.99929972</v>
      </c>
      <c r="C17182" s="8">
        <f t="array" ref="C17182">PRODUCT(1-'Sparkling Model'!D$2:D$38^A17182)</f>
        <v>0.9992998862</v>
      </c>
    </row>
    <row r="17183">
      <c r="A17183" s="6">
        <v>17181.0</v>
      </c>
      <c r="B17183" s="17">
        <f t="array" ref="B17183">SUM(1-'Sparkling Model'!D$2:D$38^A17183)</f>
        <v>36.99930006</v>
      </c>
      <c r="C17183" s="8">
        <f t="array" ref="C17183">PRODUCT(1-'Sparkling Model'!D$2:D$38^A17183)</f>
        <v>0.9993002308</v>
      </c>
    </row>
    <row r="17184">
      <c r="A17184" s="6">
        <v>17182.0</v>
      </c>
      <c r="B17184" s="17">
        <f t="array" ref="B17184">SUM(1-'Sparkling Model'!D$2:D$38^A17184)</f>
        <v>36.99930041</v>
      </c>
      <c r="C17184" s="8">
        <f t="array" ref="C17184">PRODUCT(1-'Sparkling Model'!D$2:D$38^A17184)</f>
        <v>0.9993005752</v>
      </c>
    </row>
    <row r="17185">
      <c r="A17185" s="6">
        <v>17183.0</v>
      </c>
      <c r="B17185" s="17">
        <f t="array" ref="B17185">SUM(1-'Sparkling Model'!D$2:D$38^A17185)</f>
        <v>36.99930075</v>
      </c>
      <c r="C17185" s="8">
        <f t="array" ref="C17185">PRODUCT(1-'Sparkling Model'!D$2:D$38^A17185)</f>
        <v>0.9993009195</v>
      </c>
    </row>
    <row r="17186">
      <c r="A17186" s="6">
        <v>17184.0</v>
      </c>
      <c r="B17186" s="17">
        <f t="array" ref="B17186">SUM(1-'Sparkling Model'!D$2:D$38^A17186)</f>
        <v>36.9993011</v>
      </c>
      <c r="C17186" s="8">
        <f t="array" ref="C17186">PRODUCT(1-'Sparkling Model'!D$2:D$38^A17186)</f>
        <v>0.9993012635</v>
      </c>
    </row>
    <row r="17187">
      <c r="A17187" s="6">
        <v>17185.0</v>
      </c>
      <c r="B17187" s="17">
        <f t="array" ref="B17187">SUM(1-'Sparkling Model'!D$2:D$38^A17187)</f>
        <v>36.99930144</v>
      </c>
      <c r="C17187" s="8">
        <f t="array" ref="C17187">PRODUCT(1-'Sparkling Model'!D$2:D$38^A17187)</f>
        <v>0.9993016075</v>
      </c>
    </row>
    <row r="17188">
      <c r="A17188" s="6">
        <v>17186.0</v>
      </c>
      <c r="B17188" s="17">
        <f t="array" ref="B17188">SUM(1-'Sparkling Model'!D$2:D$38^A17188)</f>
        <v>36.99930178</v>
      </c>
      <c r="C17188" s="8">
        <f t="array" ref="C17188">PRODUCT(1-'Sparkling Model'!D$2:D$38^A17188)</f>
        <v>0.9993019512</v>
      </c>
    </row>
    <row r="17189">
      <c r="A17189" s="6">
        <v>17187.0</v>
      </c>
      <c r="B17189" s="17">
        <f t="array" ref="B17189">SUM(1-'Sparkling Model'!D$2:D$38^A17189)</f>
        <v>36.99930213</v>
      </c>
      <c r="C17189" s="8">
        <f t="array" ref="C17189">PRODUCT(1-'Sparkling Model'!D$2:D$38^A17189)</f>
        <v>0.9993022948</v>
      </c>
    </row>
    <row r="17190">
      <c r="A17190" s="6">
        <v>17188.0</v>
      </c>
      <c r="B17190" s="17">
        <f t="array" ref="B17190">SUM(1-'Sparkling Model'!D$2:D$38^A17190)</f>
        <v>36.99930247</v>
      </c>
      <c r="C17190" s="8">
        <f t="array" ref="C17190">PRODUCT(1-'Sparkling Model'!D$2:D$38^A17190)</f>
        <v>0.9993026382</v>
      </c>
    </row>
    <row r="17191">
      <c r="A17191" s="6">
        <v>17189.0</v>
      </c>
      <c r="B17191" s="17">
        <f t="array" ref="B17191">SUM(1-'Sparkling Model'!D$2:D$38^A17191)</f>
        <v>36.99930282</v>
      </c>
      <c r="C17191" s="8">
        <f t="array" ref="C17191">PRODUCT(1-'Sparkling Model'!D$2:D$38^A17191)</f>
        <v>0.9993029814</v>
      </c>
    </row>
    <row r="17192">
      <c r="A17192" s="6">
        <v>17190.0</v>
      </c>
      <c r="B17192" s="17">
        <f t="array" ref="B17192">SUM(1-'Sparkling Model'!D$2:D$38^A17192)</f>
        <v>36.99930316</v>
      </c>
      <c r="C17192" s="8">
        <f t="array" ref="C17192">PRODUCT(1-'Sparkling Model'!D$2:D$38^A17192)</f>
        <v>0.9993033244</v>
      </c>
    </row>
    <row r="17193">
      <c r="A17193" s="6">
        <v>17191.0</v>
      </c>
      <c r="B17193" s="17">
        <f t="array" ref="B17193">SUM(1-'Sparkling Model'!D$2:D$38^A17193)</f>
        <v>36.9993035</v>
      </c>
      <c r="C17193" s="8">
        <f t="array" ref="C17193">PRODUCT(1-'Sparkling Model'!D$2:D$38^A17193)</f>
        <v>0.9993036673</v>
      </c>
    </row>
    <row r="17194">
      <c r="A17194" s="6">
        <v>17192.0</v>
      </c>
      <c r="B17194" s="17">
        <f t="array" ref="B17194">SUM(1-'Sparkling Model'!D$2:D$38^A17194)</f>
        <v>36.99930384</v>
      </c>
      <c r="C17194" s="8">
        <f t="array" ref="C17194">PRODUCT(1-'Sparkling Model'!D$2:D$38^A17194)</f>
        <v>0.9993040101</v>
      </c>
    </row>
    <row r="17195">
      <c r="A17195" s="6">
        <v>17193.0</v>
      </c>
      <c r="B17195" s="17">
        <f t="array" ref="B17195">SUM(1-'Sparkling Model'!D$2:D$38^A17195)</f>
        <v>36.99930419</v>
      </c>
      <c r="C17195" s="8">
        <f t="array" ref="C17195">PRODUCT(1-'Sparkling Model'!D$2:D$38^A17195)</f>
        <v>0.9993043526</v>
      </c>
    </row>
    <row r="17196">
      <c r="A17196" s="6">
        <v>17194.0</v>
      </c>
      <c r="B17196" s="17">
        <f t="array" ref="B17196">SUM(1-'Sparkling Model'!D$2:D$38^A17196)</f>
        <v>36.99930453</v>
      </c>
      <c r="C17196" s="8">
        <f t="array" ref="C17196">PRODUCT(1-'Sparkling Model'!D$2:D$38^A17196)</f>
        <v>0.999304695</v>
      </c>
    </row>
    <row r="17197">
      <c r="A17197" s="6">
        <v>17195.0</v>
      </c>
      <c r="B17197" s="17">
        <f t="array" ref="B17197">SUM(1-'Sparkling Model'!D$2:D$38^A17197)</f>
        <v>36.99930487</v>
      </c>
      <c r="C17197" s="8">
        <f t="array" ref="C17197">PRODUCT(1-'Sparkling Model'!D$2:D$38^A17197)</f>
        <v>0.9993050372</v>
      </c>
    </row>
    <row r="17198">
      <c r="A17198" s="6">
        <v>17196.0</v>
      </c>
      <c r="B17198" s="17">
        <f t="array" ref="B17198">SUM(1-'Sparkling Model'!D$2:D$38^A17198)</f>
        <v>36.99930521</v>
      </c>
      <c r="C17198" s="8">
        <f t="array" ref="C17198">PRODUCT(1-'Sparkling Model'!D$2:D$38^A17198)</f>
        <v>0.9993053793</v>
      </c>
    </row>
    <row r="17199">
      <c r="A17199" s="6">
        <v>17197.0</v>
      </c>
      <c r="B17199" s="17">
        <f t="array" ref="B17199">SUM(1-'Sparkling Model'!D$2:D$38^A17199)</f>
        <v>36.99930556</v>
      </c>
      <c r="C17199" s="8">
        <f t="array" ref="C17199">PRODUCT(1-'Sparkling Model'!D$2:D$38^A17199)</f>
        <v>0.9993057211</v>
      </c>
    </row>
    <row r="17200">
      <c r="A17200" s="6">
        <v>17198.0</v>
      </c>
      <c r="B17200" s="17">
        <f t="array" ref="B17200">SUM(1-'Sparkling Model'!D$2:D$38^A17200)</f>
        <v>36.9993059</v>
      </c>
      <c r="C17200" s="8">
        <f t="array" ref="C17200">PRODUCT(1-'Sparkling Model'!D$2:D$38^A17200)</f>
        <v>0.9993060628</v>
      </c>
    </row>
    <row r="17201">
      <c r="A17201" s="6">
        <v>17199.0</v>
      </c>
      <c r="B17201" s="17">
        <f t="array" ref="B17201">SUM(1-'Sparkling Model'!D$2:D$38^A17201)</f>
        <v>36.99930624</v>
      </c>
      <c r="C17201" s="8">
        <f t="array" ref="C17201">PRODUCT(1-'Sparkling Model'!D$2:D$38^A17201)</f>
        <v>0.9993064044</v>
      </c>
    </row>
    <row r="17202">
      <c r="A17202" s="6">
        <v>17200.0</v>
      </c>
      <c r="B17202" s="17">
        <f t="array" ref="B17202">SUM(1-'Sparkling Model'!D$2:D$38^A17202)</f>
        <v>36.99930658</v>
      </c>
      <c r="C17202" s="8">
        <f t="array" ref="C17202">PRODUCT(1-'Sparkling Model'!D$2:D$38^A17202)</f>
        <v>0.9993067457</v>
      </c>
    </row>
    <row r="17203">
      <c r="A17203" s="6">
        <v>17201.0</v>
      </c>
      <c r="B17203" s="17">
        <f t="array" ref="B17203">SUM(1-'Sparkling Model'!D$2:D$38^A17203)</f>
        <v>36.99930692</v>
      </c>
      <c r="C17203" s="8">
        <f t="array" ref="C17203">PRODUCT(1-'Sparkling Model'!D$2:D$38^A17203)</f>
        <v>0.9993070869</v>
      </c>
    </row>
    <row r="17204">
      <c r="A17204" s="6">
        <v>17202.0</v>
      </c>
      <c r="B17204" s="17">
        <f t="array" ref="B17204">SUM(1-'Sparkling Model'!D$2:D$38^A17204)</f>
        <v>36.99930726</v>
      </c>
      <c r="C17204" s="8">
        <f t="array" ref="C17204">PRODUCT(1-'Sparkling Model'!D$2:D$38^A17204)</f>
        <v>0.999307428</v>
      </c>
    </row>
    <row r="17205">
      <c r="A17205" s="6">
        <v>17203.0</v>
      </c>
      <c r="B17205" s="17">
        <f t="array" ref="B17205">SUM(1-'Sparkling Model'!D$2:D$38^A17205)</f>
        <v>36.9993076</v>
      </c>
      <c r="C17205" s="8">
        <f t="array" ref="C17205">PRODUCT(1-'Sparkling Model'!D$2:D$38^A17205)</f>
        <v>0.9993077688</v>
      </c>
    </row>
    <row r="17206">
      <c r="A17206" s="6">
        <v>17204.0</v>
      </c>
      <c r="B17206" s="17">
        <f t="array" ref="B17206">SUM(1-'Sparkling Model'!D$2:D$38^A17206)</f>
        <v>36.99930795</v>
      </c>
      <c r="C17206" s="8">
        <f t="array" ref="C17206">PRODUCT(1-'Sparkling Model'!D$2:D$38^A17206)</f>
        <v>0.9993081095</v>
      </c>
    </row>
    <row r="17207">
      <c r="A17207" s="6">
        <v>17205.0</v>
      </c>
      <c r="B17207" s="17">
        <f t="array" ref="B17207">SUM(1-'Sparkling Model'!D$2:D$38^A17207)</f>
        <v>36.99930829</v>
      </c>
      <c r="C17207" s="8">
        <f t="array" ref="C17207">PRODUCT(1-'Sparkling Model'!D$2:D$38^A17207)</f>
        <v>0.9993084501</v>
      </c>
    </row>
    <row r="17208">
      <c r="A17208" s="6">
        <v>17206.0</v>
      </c>
      <c r="B17208" s="17">
        <f t="array" ref="B17208">SUM(1-'Sparkling Model'!D$2:D$38^A17208)</f>
        <v>36.99930863</v>
      </c>
      <c r="C17208" s="8">
        <f t="array" ref="C17208">PRODUCT(1-'Sparkling Model'!D$2:D$38^A17208)</f>
        <v>0.9993087904</v>
      </c>
    </row>
    <row r="17209">
      <c r="A17209" s="6">
        <v>17207.0</v>
      </c>
      <c r="B17209" s="17">
        <f t="array" ref="B17209">SUM(1-'Sparkling Model'!D$2:D$38^A17209)</f>
        <v>36.99930897</v>
      </c>
      <c r="C17209" s="8">
        <f t="array" ref="C17209">PRODUCT(1-'Sparkling Model'!D$2:D$38^A17209)</f>
        <v>0.9993091306</v>
      </c>
    </row>
    <row r="17210">
      <c r="A17210" s="6">
        <v>17208.0</v>
      </c>
      <c r="B17210" s="17">
        <f t="array" ref="B17210">SUM(1-'Sparkling Model'!D$2:D$38^A17210)</f>
        <v>36.99930931</v>
      </c>
      <c r="C17210" s="8">
        <f t="array" ref="C17210">PRODUCT(1-'Sparkling Model'!D$2:D$38^A17210)</f>
        <v>0.9993094707</v>
      </c>
    </row>
    <row r="17211">
      <c r="A17211" s="6">
        <v>17209.0</v>
      </c>
      <c r="B17211" s="17">
        <f t="array" ref="B17211">SUM(1-'Sparkling Model'!D$2:D$38^A17211)</f>
        <v>36.99930965</v>
      </c>
      <c r="C17211" s="8">
        <f t="array" ref="C17211">PRODUCT(1-'Sparkling Model'!D$2:D$38^A17211)</f>
        <v>0.9993098105</v>
      </c>
    </row>
    <row r="17212">
      <c r="A17212" s="6">
        <v>17210.0</v>
      </c>
      <c r="B17212" s="17">
        <f t="array" ref="B17212">SUM(1-'Sparkling Model'!D$2:D$38^A17212)</f>
        <v>36.99930999</v>
      </c>
      <c r="C17212" s="8">
        <f t="array" ref="C17212">PRODUCT(1-'Sparkling Model'!D$2:D$38^A17212)</f>
        <v>0.9993101502</v>
      </c>
    </row>
    <row r="17213">
      <c r="A17213" s="6">
        <v>17211.0</v>
      </c>
      <c r="B17213" s="17">
        <f t="array" ref="B17213">SUM(1-'Sparkling Model'!D$2:D$38^A17213)</f>
        <v>36.99931033</v>
      </c>
      <c r="C17213" s="8">
        <f t="array" ref="C17213">PRODUCT(1-'Sparkling Model'!D$2:D$38^A17213)</f>
        <v>0.9993104897</v>
      </c>
    </row>
    <row r="17214">
      <c r="A17214" s="6">
        <v>17212.0</v>
      </c>
      <c r="B17214" s="17">
        <f t="array" ref="B17214">SUM(1-'Sparkling Model'!D$2:D$38^A17214)</f>
        <v>36.99931067</v>
      </c>
      <c r="C17214" s="8">
        <f t="array" ref="C17214">PRODUCT(1-'Sparkling Model'!D$2:D$38^A17214)</f>
        <v>0.9993108291</v>
      </c>
    </row>
    <row r="17215">
      <c r="A17215" s="6">
        <v>17213.0</v>
      </c>
      <c r="B17215" s="17">
        <f t="array" ref="B17215">SUM(1-'Sparkling Model'!D$2:D$38^A17215)</f>
        <v>36.99931101</v>
      </c>
      <c r="C17215" s="8">
        <f t="array" ref="C17215">PRODUCT(1-'Sparkling Model'!D$2:D$38^A17215)</f>
        <v>0.9993111683</v>
      </c>
    </row>
    <row r="17216">
      <c r="A17216" s="6">
        <v>17214.0</v>
      </c>
      <c r="B17216" s="17">
        <f t="array" ref="B17216">SUM(1-'Sparkling Model'!D$2:D$38^A17216)</f>
        <v>36.99931135</v>
      </c>
      <c r="C17216" s="8">
        <f t="array" ref="C17216">PRODUCT(1-'Sparkling Model'!D$2:D$38^A17216)</f>
        <v>0.9993115073</v>
      </c>
    </row>
    <row r="17217">
      <c r="A17217" s="6">
        <v>17215.0</v>
      </c>
      <c r="B17217" s="17">
        <f t="array" ref="B17217">SUM(1-'Sparkling Model'!D$2:D$38^A17217)</f>
        <v>36.99931168</v>
      </c>
      <c r="C17217" s="8">
        <f t="array" ref="C17217">PRODUCT(1-'Sparkling Model'!D$2:D$38^A17217)</f>
        <v>0.9993118462</v>
      </c>
    </row>
    <row r="17218">
      <c r="A17218" s="6">
        <v>17216.0</v>
      </c>
      <c r="B17218" s="17">
        <f t="array" ref="B17218">SUM(1-'Sparkling Model'!D$2:D$38^A17218)</f>
        <v>36.99931202</v>
      </c>
      <c r="C17218" s="8">
        <f t="array" ref="C17218">PRODUCT(1-'Sparkling Model'!D$2:D$38^A17218)</f>
        <v>0.9993121848</v>
      </c>
    </row>
    <row r="17219">
      <c r="A17219" s="6">
        <v>17217.0</v>
      </c>
      <c r="B17219" s="17">
        <f t="array" ref="B17219">SUM(1-'Sparkling Model'!D$2:D$38^A17219)</f>
        <v>36.99931236</v>
      </c>
      <c r="C17219" s="8">
        <f t="array" ref="C17219">PRODUCT(1-'Sparkling Model'!D$2:D$38^A17219)</f>
        <v>0.9993125234</v>
      </c>
    </row>
    <row r="17220">
      <c r="A17220" s="6">
        <v>17218.0</v>
      </c>
      <c r="B17220" s="17">
        <f t="array" ref="B17220">SUM(1-'Sparkling Model'!D$2:D$38^A17220)</f>
        <v>36.9993127</v>
      </c>
      <c r="C17220" s="8">
        <f t="array" ref="C17220">PRODUCT(1-'Sparkling Model'!D$2:D$38^A17220)</f>
        <v>0.9993128617</v>
      </c>
    </row>
    <row r="17221">
      <c r="A17221" s="6">
        <v>17219.0</v>
      </c>
      <c r="B17221" s="17">
        <f t="array" ref="B17221">SUM(1-'Sparkling Model'!D$2:D$38^A17221)</f>
        <v>36.99931304</v>
      </c>
      <c r="C17221" s="8">
        <f t="array" ref="C17221">PRODUCT(1-'Sparkling Model'!D$2:D$38^A17221)</f>
        <v>0.9993131999</v>
      </c>
    </row>
    <row r="17222">
      <c r="A17222" s="6">
        <v>17220.0</v>
      </c>
      <c r="B17222" s="17">
        <f t="array" ref="B17222">SUM(1-'Sparkling Model'!D$2:D$38^A17222)</f>
        <v>36.99931338</v>
      </c>
      <c r="C17222" s="8">
        <f t="array" ref="C17222">PRODUCT(1-'Sparkling Model'!D$2:D$38^A17222)</f>
        <v>0.9993135379</v>
      </c>
    </row>
    <row r="17223">
      <c r="A17223" s="6">
        <v>17221.0</v>
      </c>
      <c r="B17223" s="17">
        <f t="array" ref="B17223">SUM(1-'Sparkling Model'!D$2:D$38^A17223)</f>
        <v>36.99931371</v>
      </c>
      <c r="C17223" s="8">
        <f t="array" ref="C17223">PRODUCT(1-'Sparkling Model'!D$2:D$38^A17223)</f>
        <v>0.9993138758</v>
      </c>
    </row>
    <row r="17224">
      <c r="A17224" s="6">
        <v>17222.0</v>
      </c>
      <c r="B17224" s="17">
        <f t="array" ref="B17224">SUM(1-'Sparkling Model'!D$2:D$38^A17224)</f>
        <v>36.99931405</v>
      </c>
      <c r="C17224" s="8">
        <f t="array" ref="C17224">PRODUCT(1-'Sparkling Model'!D$2:D$38^A17224)</f>
        <v>0.9993142135</v>
      </c>
    </row>
    <row r="17225">
      <c r="A17225" s="6">
        <v>17223.0</v>
      </c>
      <c r="B17225" s="17">
        <f t="array" ref="B17225">SUM(1-'Sparkling Model'!D$2:D$38^A17225)</f>
        <v>36.99931439</v>
      </c>
      <c r="C17225" s="8">
        <f t="array" ref="C17225">PRODUCT(1-'Sparkling Model'!D$2:D$38^A17225)</f>
        <v>0.999314551</v>
      </c>
    </row>
    <row r="17226">
      <c r="A17226" s="6">
        <v>17224.0</v>
      </c>
      <c r="B17226" s="17">
        <f t="array" ref="B17226">SUM(1-'Sparkling Model'!D$2:D$38^A17226)</f>
        <v>36.99931473</v>
      </c>
      <c r="C17226" s="8">
        <f t="array" ref="C17226">PRODUCT(1-'Sparkling Model'!D$2:D$38^A17226)</f>
        <v>0.9993148883</v>
      </c>
    </row>
    <row r="17227">
      <c r="A17227" s="6">
        <v>17225.0</v>
      </c>
      <c r="B17227" s="17">
        <f t="array" ref="B17227">SUM(1-'Sparkling Model'!D$2:D$38^A17227)</f>
        <v>36.99931507</v>
      </c>
      <c r="C17227" s="8">
        <f t="array" ref="C17227">PRODUCT(1-'Sparkling Model'!D$2:D$38^A17227)</f>
        <v>0.9993152255</v>
      </c>
    </row>
    <row r="17228">
      <c r="A17228" s="6">
        <v>17226.0</v>
      </c>
      <c r="B17228" s="17">
        <f t="array" ref="B17228">SUM(1-'Sparkling Model'!D$2:D$38^A17228)</f>
        <v>36.9993154</v>
      </c>
      <c r="C17228" s="8">
        <f t="array" ref="C17228">PRODUCT(1-'Sparkling Model'!D$2:D$38^A17228)</f>
        <v>0.9993155625</v>
      </c>
    </row>
    <row r="17229">
      <c r="A17229" s="6">
        <v>17227.0</v>
      </c>
      <c r="B17229" s="17">
        <f t="array" ref="B17229">SUM(1-'Sparkling Model'!D$2:D$38^A17229)</f>
        <v>36.99931574</v>
      </c>
      <c r="C17229" s="8">
        <f t="array" ref="C17229">PRODUCT(1-'Sparkling Model'!D$2:D$38^A17229)</f>
        <v>0.9993158994</v>
      </c>
    </row>
    <row r="17230">
      <c r="A17230" s="6">
        <v>17228.0</v>
      </c>
      <c r="B17230" s="17">
        <f t="array" ref="B17230">SUM(1-'Sparkling Model'!D$2:D$38^A17230)</f>
        <v>36.99931608</v>
      </c>
      <c r="C17230" s="8">
        <f t="array" ref="C17230">PRODUCT(1-'Sparkling Model'!D$2:D$38^A17230)</f>
        <v>0.9993162361</v>
      </c>
    </row>
    <row r="17231">
      <c r="A17231" s="6">
        <v>17229.0</v>
      </c>
      <c r="B17231" s="17">
        <f t="array" ref="B17231">SUM(1-'Sparkling Model'!D$2:D$38^A17231)</f>
        <v>36.99931641</v>
      </c>
      <c r="C17231" s="8">
        <f t="array" ref="C17231">PRODUCT(1-'Sparkling Model'!D$2:D$38^A17231)</f>
        <v>0.9993165726</v>
      </c>
    </row>
    <row r="17232">
      <c r="A17232" s="6">
        <v>17230.0</v>
      </c>
      <c r="B17232" s="17">
        <f t="array" ref="B17232">SUM(1-'Sparkling Model'!D$2:D$38^A17232)</f>
        <v>36.99931675</v>
      </c>
      <c r="C17232" s="8">
        <f t="array" ref="C17232">PRODUCT(1-'Sparkling Model'!D$2:D$38^A17232)</f>
        <v>0.999316909</v>
      </c>
    </row>
    <row r="17233">
      <c r="A17233" s="6">
        <v>17231.0</v>
      </c>
      <c r="B17233" s="17">
        <f t="array" ref="B17233">SUM(1-'Sparkling Model'!D$2:D$38^A17233)</f>
        <v>36.99931709</v>
      </c>
      <c r="C17233" s="8">
        <f t="array" ref="C17233">PRODUCT(1-'Sparkling Model'!D$2:D$38^A17233)</f>
        <v>0.9993172451</v>
      </c>
    </row>
    <row r="17234">
      <c r="A17234" s="6">
        <v>17232.0</v>
      </c>
      <c r="B17234" s="17">
        <f t="array" ref="B17234">SUM(1-'Sparkling Model'!D$2:D$38^A17234)</f>
        <v>36.99931742</v>
      </c>
      <c r="C17234" s="8">
        <f t="array" ref="C17234">PRODUCT(1-'Sparkling Model'!D$2:D$38^A17234)</f>
        <v>0.9993175812</v>
      </c>
    </row>
    <row r="17235">
      <c r="A17235" s="6">
        <v>17233.0</v>
      </c>
      <c r="B17235" s="17">
        <f t="array" ref="B17235">SUM(1-'Sparkling Model'!D$2:D$38^A17235)</f>
        <v>36.99931776</v>
      </c>
      <c r="C17235" s="8">
        <f t="array" ref="C17235">PRODUCT(1-'Sparkling Model'!D$2:D$38^A17235)</f>
        <v>0.999317917</v>
      </c>
    </row>
    <row r="17236">
      <c r="A17236" s="6">
        <v>17234.0</v>
      </c>
      <c r="B17236" s="17">
        <f t="array" ref="B17236">SUM(1-'Sparkling Model'!D$2:D$38^A17236)</f>
        <v>36.99931809</v>
      </c>
      <c r="C17236" s="8">
        <f t="array" ref="C17236">PRODUCT(1-'Sparkling Model'!D$2:D$38^A17236)</f>
        <v>0.9993182527</v>
      </c>
    </row>
    <row r="17237">
      <c r="A17237" s="6">
        <v>17235.0</v>
      </c>
      <c r="B17237" s="17">
        <f t="array" ref="B17237">SUM(1-'Sparkling Model'!D$2:D$38^A17237)</f>
        <v>36.99931843</v>
      </c>
      <c r="C17237" s="8">
        <f t="array" ref="C17237">PRODUCT(1-'Sparkling Model'!D$2:D$38^A17237)</f>
        <v>0.9993185882</v>
      </c>
    </row>
    <row r="17238">
      <c r="A17238" s="6">
        <v>17236.0</v>
      </c>
      <c r="B17238" s="17">
        <f t="array" ref="B17238">SUM(1-'Sparkling Model'!D$2:D$38^A17238)</f>
        <v>36.99931876</v>
      </c>
      <c r="C17238" s="8">
        <f t="array" ref="C17238">PRODUCT(1-'Sparkling Model'!D$2:D$38^A17238)</f>
        <v>0.9993189236</v>
      </c>
    </row>
    <row r="17239">
      <c r="A17239" s="6">
        <v>17237.0</v>
      </c>
      <c r="B17239" s="17">
        <f t="array" ref="B17239">SUM(1-'Sparkling Model'!D$2:D$38^A17239)</f>
        <v>36.9993191</v>
      </c>
      <c r="C17239" s="8">
        <f t="array" ref="C17239">PRODUCT(1-'Sparkling Model'!D$2:D$38^A17239)</f>
        <v>0.9993192588</v>
      </c>
    </row>
    <row r="17240">
      <c r="A17240" s="6">
        <v>17238.0</v>
      </c>
      <c r="B17240" s="17">
        <f t="array" ref="B17240">SUM(1-'Sparkling Model'!D$2:D$38^A17240)</f>
        <v>36.99931944</v>
      </c>
      <c r="C17240" s="8">
        <f t="array" ref="C17240">PRODUCT(1-'Sparkling Model'!D$2:D$38^A17240)</f>
        <v>0.9993195938</v>
      </c>
    </row>
    <row r="17241">
      <c r="A17241" s="6">
        <v>17239.0</v>
      </c>
      <c r="B17241" s="17">
        <f t="array" ref="B17241">SUM(1-'Sparkling Model'!D$2:D$38^A17241)</f>
        <v>36.99931977</v>
      </c>
      <c r="C17241" s="8">
        <f t="array" ref="C17241">PRODUCT(1-'Sparkling Model'!D$2:D$38^A17241)</f>
        <v>0.9993199287</v>
      </c>
    </row>
    <row r="17242">
      <c r="A17242" s="6">
        <v>17240.0</v>
      </c>
      <c r="B17242" s="17">
        <f t="array" ref="B17242">SUM(1-'Sparkling Model'!D$2:D$38^A17242)</f>
        <v>36.99932011</v>
      </c>
      <c r="C17242" s="8">
        <f t="array" ref="C17242">PRODUCT(1-'Sparkling Model'!D$2:D$38^A17242)</f>
        <v>0.9993202634</v>
      </c>
    </row>
    <row r="17243">
      <c r="A17243" s="6">
        <v>17241.0</v>
      </c>
      <c r="B17243" s="17">
        <f t="array" ref="B17243">SUM(1-'Sparkling Model'!D$2:D$38^A17243)</f>
        <v>36.99932044</v>
      </c>
      <c r="C17243" s="8">
        <f t="array" ref="C17243">PRODUCT(1-'Sparkling Model'!D$2:D$38^A17243)</f>
        <v>0.9993205979</v>
      </c>
    </row>
    <row r="17244">
      <c r="A17244" s="6">
        <v>17242.0</v>
      </c>
      <c r="B17244" s="17">
        <f t="array" ref="B17244">SUM(1-'Sparkling Model'!D$2:D$38^A17244)</f>
        <v>36.99932077</v>
      </c>
      <c r="C17244" s="8">
        <f t="array" ref="C17244">PRODUCT(1-'Sparkling Model'!D$2:D$38^A17244)</f>
        <v>0.9993209323</v>
      </c>
    </row>
    <row r="17245">
      <c r="A17245" s="6">
        <v>17243.0</v>
      </c>
      <c r="B17245" s="17">
        <f t="array" ref="B17245">SUM(1-'Sparkling Model'!D$2:D$38^A17245)</f>
        <v>36.99932111</v>
      </c>
      <c r="C17245" s="8">
        <f t="array" ref="C17245">PRODUCT(1-'Sparkling Model'!D$2:D$38^A17245)</f>
        <v>0.9993212665</v>
      </c>
    </row>
    <row r="17246">
      <c r="A17246" s="6">
        <v>17244.0</v>
      </c>
      <c r="B17246" s="17">
        <f t="array" ref="B17246">SUM(1-'Sparkling Model'!D$2:D$38^A17246)</f>
        <v>36.99932144</v>
      </c>
      <c r="C17246" s="8">
        <f t="array" ref="C17246">PRODUCT(1-'Sparkling Model'!D$2:D$38^A17246)</f>
        <v>0.9993216006</v>
      </c>
    </row>
    <row r="17247">
      <c r="A17247" s="6">
        <v>17245.0</v>
      </c>
      <c r="B17247" s="17">
        <f t="array" ref="B17247">SUM(1-'Sparkling Model'!D$2:D$38^A17247)</f>
        <v>36.99932178</v>
      </c>
      <c r="C17247" s="8">
        <f t="array" ref="C17247">PRODUCT(1-'Sparkling Model'!D$2:D$38^A17247)</f>
        <v>0.9993219344</v>
      </c>
    </row>
    <row r="17248">
      <c r="A17248" s="6">
        <v>17246.0</v>
      </c>
      <c r="B17248" s="17">
        <f t="array" ref="B17248">SUM(1-'Sparkling Model'!D$2:D$38^A17248)</f>
        <v>36.99932211</v>
      </c>
      <c r="C17248" s="8">
        <f t="array" ref="C17248">PRODUCT(1-'Sparkling Model'!D$2:D$38^A17248)</f>
        <v>0.9993222681</v>
      </c>
    </row>
    <row r="17249">
      <c r="A17249" s="6">
        <v>17247.0</v>
      </c>
      <c r="B17249" s="17">
        <f t="array" ref="B17249">SUM(1-'Sparkling Model'!D$2:D$38^A17249)</f>
        <v>36.99932244</v>
      </c>
      <c r="C17249" s="8">
        <f t="array" ref="C17249">PRODUCT(1-'Sparkling Model'!D$2:D$38^A17249)</f>
        <v>0.9993226017</v>
      </c>
    </row>
    <row r="17250">
      <c r="A17250" s="6">
        <v>17248.0</v>
      </c>
      <c r="B17250" s="17">
        <f t="array" ref="B17250">SUM(1-'Sparkling Model'!D$2:D$38^A17250)</f>
        <v>36.99932278</v>
      </c>
      <c r="C17250" s="8">
        <f t="array" ref="C17250">PRODUCT(1-'Sparkling Model'!D$2:D$38^A17250)</f>
        <v>0.9993229351</v>
      </c>
    </row>
    <row r="17251">
      <c r="A17251" s="6">
        <v>17249.0</v>
      </c>
      <c r="B17251" s="17">
        <f t="array" ref="B17251">SUM(1-'Sparkling Model'!D$2:D$38^A17251)</f>
        <v>36.99932311</v>
      </c>
      <c r="C17251" s="8">
        <f t="array" ref="C17251">PRODUCT(1-'Sparkling Model'!D$2:D$38^A17251)</f>
        <v>0.9993232683</v>
      </c>
    </row>
    <row r="17252">
      <c r="A17252" s="6">
        <v>17250.0</v>
      </c>
      <c r="B17252" s="17">
        <f t="array" ref="B17252">SUM(1-'Sparkling Model'!D$2:D$38^A17252)</f>
        <v>36.99932344</v>
      </c>
      <c r="C17252" s="8">
        <f t="array" ref="C17252">PRODUCT(1-'Sparkling Model'!D$2:D$38^A17252)</f>
        <v>0.9993236013</v>
      </c>
    </row>
    <row r="17253">
      <c r="A17253" s="6">
        <v>17251.0</v>
      </c>
      <c r="B17253" s="17">
        <f t="array" ref="B17253">SUM(1-'Sparkling Model'!D$2:D$38^A17253)</f>
        <v>36.99932378</v>
      </c>
      <c r="C17253" s="8">
        <f t="array" ref="C17253">PRODUCT(1-'Sparkling Model'!D$2:D$38^A17253)</f>
        <v>0.9993239342</v>
      </c>
    </row>
    <row r="17254">
      <c r="A17254" s="6">
        <v>17252.0</v>
      </c>
      <c r="B17254" s="17">
        <f t="array" ref="B17254">SUM(1-'Sparkling Model'!D$2:D$38^A17254)</f>
        <v>36.99932411</v>
      </c>
      <c r="C17254" s="8">
        <f t="array" ref="C17254">PRODUCT(1-'Sparkling Model'!D$2:D$38^A17254)</f>
        <v>0.999324267</v>
      </c>
    </row>
    <row r="17255">
      <c r="A17255" s="6">
        <v>17253.0</v>
      </c>
      <c r="B17255" s="17">
        <f t="array" ref="B17255">SUM(1-'Sparkling Model'!D$2:D$38^A17255)</f>
        <v>36.99932444</v>
      </c>
      <c r="C17255" s="8">
        <f t="array" ref="C17255">PRODUCT(1-'Sparkling Model'!D$2:D$38^A17255)</f>
        <v>0.9993245995</v>
      </c>
    </row>
    <row r="17256">
      <c r="A17256" s="6">
        <v>17254.0</v>
      </c>
      <c r="B17256" s="17">
        <f t="array" ref="B17256">SUM(1-'Sparkling Model'!D$2:D$38^A17256)</f>
        <v>36.99932478</v>
      </c>
      <c r="C17256" s="8">
        <f t="array" ref="C17256">PRODUCT(1-'Sparkling Model'!D$2:D$38^A17256)</f>
        <v>0.9993249319</v>
      </c>
    </row>
    <row r="17257">
      <c r="A17257" s="6">
        <v>17255.0</v>
      </c>
      <c r="B17257" s="17">
        <f t="array" ref="B17257">SUM(1-'Sparkling Model'!D$2:D$38^A17257)</f>
        <v>36.99932511</v>
      </c>
      <c r="C17257" s="8">
        <f t="array" ref="C17257">PRODUCT(1-'Sparkling Model'!D$2:D$38^A17257)</f>
        <v>0.9993252641</v>
      </c>
    </row>
    <row r="17258">
      <c r="A17258" s="6">
        <v>17256.0</v>
      </c>
      <c r="B17258" s="17">
        <f t="array" ref="B17258">SUM(1-'Sparkling Model'!D$2:D$38^A17258)</f>
        <v>36.99932544</v>
      </c>
      <c r="C17258" s="8">
        <f t="array" ref="C17258">PRODUCT(1-'Sparkling Model'!D$2:D$38^A17258)</f>
        <v>0.9993255962</v>
      </c>
    </row>
    <row r="17259">
      <c r="A17259" s="6">
        <v>17257.0</v>
      </c>
      <c r="B17259" s="17">
        <f t="array" ref="B17259">SUM(1-'Sparkling Model'!D$2:D$38^A17259)</f>
        <v>36.99932577</v>
      </c>
      <c r="C17259" s="8">
        <f t="array" ref="C17259">PRODUCT(1-'Sparkling Model'!D$2:D$38^A17259)</f>
        <v>0.9993259281</v>
      </c>
    </row>
    <row r="17260">
      <c r="A17260" s="6">
        <v>17258.0</v>
      </c>
      <c r="B17260" s="17">
        <f t="array" ref="B17260">SUM(1-'Sparkling Model'!D$2:D$38^A17260)</f>
        <v>36.9993261</v>
      </c>
      <c r="C17260" s="8">
        <f t="array" ref="C17260">PRODUCT(1-'Sparkling Model'!D$2:D$38^A17260)</f>
        <v>0.9993262599</v>
      </c>
    </row>
    <row r="17261">
      <c r="A17261" s="6">
        <v>17259.0</v>
      </c>
      <c r="B17261" s="17">
        <f t="array" ref="B17261">SUM(1-'Sparkling Model'!D$2:D$38^A17261)</f>
        <v>36.99932644</v>
      </c>
      <c r="C17261" s="8">
        <f t="array" ref="C17261">PRODUCT(1-'Sparkling Model'!D$2:D$38^A17261)</f>
        <v>0.9993265914</v>
      </c>
    </row>
    <row r="17262">
      <c r="A17262" s="6">
        <v>17260.0</v>
      </c>
      <c r="B17262" s="17">
        <f t="array" ref="B17262">SUM(1-'Sparkling Model'!D$2:D$38^A17262)</f>
        <v>36.99932677</v>
      </c>
      <c r="C17262" s="8">
        <f t="array" ref="C17262">PRODUCT(1-'Sparkling Model'!D$2:D$38^A17262)</f>
        <v>0.9993269229</v>
      </c>
    </row>
    <row r="17263">
      <c r="A17263" s="6">
        <v>17261.0</v>
      </c>
      <c r="B17263" s="17">
        <f t="array" ref="B17263">SUM(1-'Sparkling Model'!D$2:D$38^A17263)</f>
        <v>36.9993271</v>
      </c>
      <c r="C17263" s="8">
        <f t="array" ref="C17263">PRODUCT(1-'Sparkling Model'!D$2:D$38^A17263)</f>
        <v>0.9993272541</v>
      </c>
    </row>
    <row r="17264">
      <c r="A17264" s="6">
        <v>17262.0</v>
      </c>
      <c r="B17264" s="17">
        <f t="array" ref="B17264">SUM(1-'Sparkling Model'!D$2:D$38^A17264)</f>
        <v>36.99932743</v>
      </c>
      <c r="C17264" s="8">
        <f t="array" ref="C17264">PRODUCT(1-'Sparkling Model'!D$2:D$38^A17264)</f>
        <v>0.9993275852</v>
      </c>
    </row>
    <row r="17265">
      <c r="A17265" s="6">
        <v>17263.0</v>
      </c>
      <c r="B17265" s="17">
        <f t="array" ref="B17265">SUM(1-'Sparkling Model'!D$2:D$38^A17265)</f>
        <v>36.99932776</v>
      </c>
      <c r="C17265" s="8">
        <f t="array" ref="C17265">PRODUCT(1-'Sparkling Model'!D$2:D$38^A17265)</f>
        <v>0.9993279161</v>
      </c>
    </row>
    <row r="17266">
      <c r="A17266" s="6">
        <v>17264.0</v>
      </c>
      <c r="B17266" s="17">
        <f t="array" ref="B17266">SUM(1-'Sparkling Model'!D$2:D$38^A17266)</f>
        <v>36.99932809</v>
      </c>
      <c r="C17266" s="8">
        <f t="array" ref="C17266">PRODUCT(1-'Sparkling Model'!D$2:D$38^A17266)</f>
        <v>0.9993282469</v>
      </c>
    </row>
    <row r="17267">
      <c r="A17267" s="6">
        <v>17265.0</v>
      </c>
      <c r="B17267" s="17">
        <f t="array" ref="B17267">SUM(1-'Sparkling Model'!D$2:D$38^A17267)</f>
        <v>36.99932842</v>
      </c>
      <c r="C17267" s="8">
        <f t="array" ref="C17267">PRODUCT(1-'Sparkling Model'!D$2:D$38^A17267)</f>
        <v>0.9993285775</v>
      </c>
    </row>
    <row r="17268">
      <c r="A17268" s="6">
        <v>17266.0</v>
      </c>
      <c r="B17268" s="17">
        <f t="array" ref="B17268">SUM(1-'Sparkling Model'!D$2:D$38^A17268)</f>
        <v>36.99932875</v>
      </c>
      <c r="C17268" s="8">
        <f t="array" ref="C17268">PRODUCT(1-'Sparkling Model'!D$2:D$38^A17268)</f>
        <v>0.9993289079</v>
      </c>
    </row>
    <row r="17269">
      <c r="A17269" s="6">
        <v>17267.0</v>
      </c>
      <c r="B17269" s="17">
        <f t="array" ref="B17269">SUM(1-'Sparkling Model'!D$2:D$38^A17269)</f>
        <v>36.99932908</v>
      </c>
      <c r="C17269" s="8">
        <f t="array" ref="C17269">PRODUCT(1-'Sparkling Model'!D$2:D$38^A17269)</f>
        <v>0.9993292382</v>
      </c>
    </row>
    <row r="17270">
      <c r="A17270" s="6">
        <v>17268.0</v>
      </c>
      <c r="B17270" s="17">
        <f t="array" ref="B17270">SUM(1-'Sparkling Model'!D$2:D$38^A17270)</f>
        <v>36.99932941</v>
      </c>
      <c r="C17270" s="8">
        <f t="array" ref="C17270">PRODUCT(1-'Sparkling Model'!D$2:D$38^A17270)</f>
        <v>0.9993295683</v>
      </c>
    </row>
    <row r="17271">
      <c r="A17271" s="6">
        <v>17269.0</v>
      </c>
      <c r="B17271" s="17">
        <f t="array" ref="B17271">SUM(1-'Sparkling Model'!D$2:D$38^A17271)</f>
        <v>36.99932974</v>
      </c>
      <c r="C17271" s="8">
        <f t="array" ref="C17271">PRODUCT(1-'Sparkling Model'!D$2:D$38^A17271)</f>
        <v>0.9993298982</v>
      </c>
    </row>
    <row r="17272">
      <c r="A17272" s="6">
        <v>17270.0</v>
      </c>
      <c r="B17272" s="17">
        <f t="array" ref="B17272">SUM(1-'Sparkling Model'!D$2:D$38^A17272)</f>
        <v>36.99933007</v>
      </c>
      <c r="C17272" s="8">
        <f t="array" ref="C17272">PRODUCT(1-'Sparkling Model'!D$2:D$38^A17272)</f>
        <v>0.999330228</v>
      </c>
    </row>
    <row r="17273">
      <c r="A17273" s="6">
        <v>17271.0</v>
      </c>
      <c r="B17273" s="17">
        <f t="array" ref="B17273">SUM(1-'Sparkling Model'!D$2:D$38^A17273)</f>
        <v>36.9993304</v>
      </c>
      <c r="C17273" s="8">
        <f t="array" ref="C17273">PRODUCT(1-'Sparkling Model'!D$2:D$38^A17273)</f>
        <v>0.9993305576</v>
      </c>
    </row>
    <row r="17274">
      <c r="A17274" s="6">
        <v>17272.0</v>
      </c>
      <c r="B17274" s="17">
        <f t="array" ref="B17274">SUM(1-'Sparkling Model'!D$2:D$38^A17274)</f>
        <v>36.99933073</v>
      </c>
      <c r="C17274" s="8">
        <f t="array" ref="C17274">PRODUCT(1-'Sparkling Model'!D$2:D$38^A17274)</f>
        <v>0.9993308871</v>
      </c>
    </row>
    <row r="17275">
      <c r="A17275" s="6">
        <v>17273.0</v>
      </c>
      <c r="B17275" s="17">
        <f t="array" ref="B17275">SUM(1-'Sparkling Model'!D$2:D$38^A17275)</f>
        <v>36.99933106</v>
      </c>
      <c r="C17275" s="8">
        <f t="array" ref="C17275">PRODUCT(1-'Sparkling Model'!D$2:D$38^A17275)</f>
        <v>0.9993312164</v>
      </c>
    </row>
    <row r="17276">
      <c r="A17276" s="6">
        <v>17274.0</v>
      </c>
      <c r="B17276" s="17">
        <f t="array" ref="B17276">SUM(1-'Sparkling Model'!D$2:D$38^A17276)</f>
        <v>36.99933139</v>
      </c>
      <c r="C17276" s="8">
        <f t="array" ref="C17276">PRODUCT(1-'Sparkling Model'!D$2:D$38^A17276)</f>
        <v>0.9993315455</v>
      </c>
    </row>
    <row r="17277">
      <c r="A17277" s="6">
        <v>17275.0</v>
      </c>
      <c r="B17277" s="17">
        <f t="array" ref="B17277">SUM(1-'Sparkling Model'!D$2:D$38^A17277)</f>
        <v>36.99933172</v>
      </c>
      <c r="C17277" s="8">
        <f t="array" ref="C17277">PRODUCT(1-'Sparkling Model'!D$2:D$38^A17277)</f>
        <v>0.9993318745</v>
      </c>
    </row>
    <row r="17278">
      <c r="A17278" s="6">
        <v>17276.0</v>
      </c>
      <c r="B17278" s="17">
        <f t="array" ref="B17278">SUM(1-'Sparkling Model'!D$2:D$38^A17278)</f>
        <v>36.99933205</v>
      </c>
      <c r="C17278" s="8">
        <f t="array" ref="C17278">PRODUCT(1-'Sparkling Model'!D$2:D$38^A17278)</f>
        <v>0.9993322033</v>
      </c>
    </row>
    <row r="17279">
      <c r="A17279" s="6">
        <v>17277.0</v>
      </c>
      <c r="B17279" s="17">
        <f t="array" ref="B17279">SUM(1-'Sparkling Model'!D$2:D$38^A17279)</f>
        <v>36.99933238</v>
      </c>
      <c r="C17279" s="8">
        <f t="array" ref="C17279">PRODUCT(1-'Sparkling Model'!D$2:D$38^A17279)</f>
        <v>0.999332532</v>
      </c>
    </row>
    <row r="17280">
      <c r="A17280" s="6">
        <v>17278.0</v>
      </c>
      <c r="B17280" s="17">
        <f t="array" ref="B17280">SUM(1-'Sparkling Model'!D$2:D$38^A17280)</f>
        <v>36.99933271</v>
      </c>
      <c r="C17280" s="8">
        <f t="array" ref="C17280">PRODUCT(1-'Sparkling Model'!D$2:D$38^A17280)</f>
        <v>0.9993328604</v>
      </c>
    </row>
    <row r="17281">
      <c r="A17281" s="6">
        <v>17279.0</v>
      </c>
      <c r="B17281" s="17">
        <f t="array" ref="B17281">SUM(1-'Sparkling Model'!D$2:D$38^A17281)</f>
        <v>36.99933304</v>
      </c>
      <c r="C17281" s="8">
        <f t="array" ref="C17281">PRODUCT(1-'Sparkling Model'!D$2:D$38^A17281)</f>
        <v>0.9993331888</v>
      </c>
    </row>
    <row r="17282">
      <c r="A17282" s="6">
        <v>17280.0</v>
      </c>
      <c r="B17282" s="17">
        <f t="array" ref="B17282">SUM(1-'Sparkling Model'!D$2:D$38^A17282)</f>
        <v>36.99933336</v>
      </c>
      <c r="C17282" s="8">
        <f t="array" ref="C17282">PRODUCT(1-'Sparkling Model'!D$2:D$38^A17282)</f>
        <v>0.9993335169</v>
      </c>
    </row>
    <row r="17283">
      <c r="A17283" s="6">
        <v>17281.0</v>
      </c>
      <c r="B17283" s="17">
        <f t="array" ref="B17283">SUM(1-'Sparkling Model'!D$2:D$38^A17283)</f>
        <v>36.99933369</v>
      </c>
      <c r="C17283" s="8">
        <f t="array" ref="C17283">PRODUCT(1-'Sparkling Model'!D$2:D$38^A17283)</f>
        <v>0.9993338449</v>
      </c>
    </row>
    <row r="17284">
      <c r="A17284" s="6">
        <v>17282.0</v>
      </c>
      <c r="B17284" s="17">
        <f t="array" ref="B17284">SUM(1-'Sparkling Model'!D$2:D$38^A17284)</f>
        <v>36.99933402</v>
      </c>
      <c r="C17284" s="8">
        <f t="array" ref="C17284">PRODUCT(1-'Sparkling Model'!D$2:D$38^A17284)</f>
        <v>0.9993341728</v>
      </c>
    </row>
    <row r="17285">
      <c r="A17285" s="6">
        <v>17283.0</v>
      </c>
      <c r="B17285" s="17">
        <f t="array" ref="B17285">SUM(1-'Sparkling Model'!D$2:D$38^A17285)</f>
        <v>36.99933435</v>
      </c>
      <c r="C17285" s="8">
        <f t="array" ref="C17285">PRODUCT(1-'Sparkling Model'!D$2:D$38^A17285)</f>
        <v>0.9993345004</v>
      </c>
    </row>
    <row r="17286">
      <c r="A17286" s="6">
        <v>17284.0</v>
      </c>
      <c r="B17286" s="17">
        <f t="array" ref="B17286">SUM(1-'Sparkling Model'!D$2:D$38^A17286)</f>
        <v>36.99933468</v>
      </c>
      <c r="C17286" s="8">
        <f t="array" ref="C17286">PRODUCT(1-'Sparkling Model'!D$2:D$38^A17286)</f>
        <v>0.9993348279</v>
      </c>
    </row>
    <row r="17287">
      <c r="A17287" s="6">
        <v>17285.0</v>
      </c>
      <c r="B17287" s="17">
        <f t="array" ref="B17287">SUM(1-'Sparkling Model'!D$2:D$38^A17287)</f>
        <v>36.999335</v>
      </c>
      <c r="C17287" s="8">
        <f t="array" ref="C17287">PRODUCT(1-'Sparkling Model'!D$2:D$38^A17287)</f>
        <v>0.9993351553</v>
      </c>
    </row>
    <row r="17288">
      <c r="A17288" s="6">
        <v>17286.0</v>
      </c>
      <c r="B17288" s="17">
        <f t="array" ref="B17288">SUM(1-'Sparkling Model'!D$2:D$38^A17288)</f>
        <v>36.99933533</v>
      </c>
      <c r="C17288" s="8">
        <f t="array" ref="C17288">PRODUCT(1-'Sparkling Model'!D$2:D$38^A17288)</f>
        <v>0.9993354825</v>
      </c>
    </row>
    <row r="17289">
      <c r="A17289" s="6">
        <v>17287.0</v>
      </c>
      <c r="B17289" s="17">
        <f t="array" ref="B17289">SUM(1-'Sparkling Model'!D$2:D$38^A17289)</f>
        <v>36.99933566</v>
      </c>
      <c r="C17289" s="8">
        <f t="array" ref="C17289">PRODUCT(1-'Sparkling Model'!D$2:D$38^A17289)</f>
        <v>0.9993358095</v>
      </c>
    </row>
    <row r="17290">
      <c r="A17290" s="6">
        <v>17288.0</v>
      </c>
      <c r="B17290" s="17">
        <f t="array" ref="B17290">SUM(1-'Sparkling Model'!D$2:D$38^A17290)</f>
        <v>36.99933599</v>
      </c>
      <c r="C17290" s="8">
        <f t="array" ref="C17290">PRODUCT(1-'Sparkling Model'!D$2:D$38^A17290)</f>
        <v>0.9993361364</v>
      </c>
    </row>
    <row r="17291">
      <c r="A17291" s="6">
        <v>17289.0</v>
      </c>
      <c r="B17291" s="17">
        <f t="array" ref="B17291">SUM(1-'Sparkling Model'!D$2:D$38^A17291)</f>
        <v>36.99933631</v>
      </c>
      <c r="C17291" s="8">
        <f t="array" ref="C17291">PRODUCT(1-'Sparkling Model'!D$2:D$38^A17291)</f>
        <v>0.9993364631</v>
      </c>
    </row>
    <row r="17292">
      <c r="A17292" s="6">
        <v>17290.0</v>
      </c>
      <c r="B17292" s="17">
        <f t="array" ref="B17292">SUM(1-'Sparkling Model'!D$2:D$38^A17292)</f>
        <v>36.99933664</v>
      </c>
      <c r="C17292" s="8">
        <f t="array" ref="C17292">PRODUCT(1-'Sparkling Model'!D$2:D$38^A17292)</f>
        <v>0.9993367896</v>
      </c>
    </row>
    <row r="17293">
      <c r="A17293" s="6">
        <v>17291.0</v>
      </c>
      <c r="B17293" s="17">
        <f t="array" ref="B17293">SUM(1-'Sparkling Model'!D$2:D$38^A17293)</f>
        <v>36.99933697</v>
      </c>
      <c r="C17293" s="8">
        <f t="array" ref="C17293">PRODUCT(1-'Sparkling Model'!D$2:D$38^A17293)</f>
        <v>0.999337116</v>
      </c>
    </row>
    <row r="17294">
      <c r="A17294" s="6">
        <v>17292.0</v>
      </c>
      <c r="B17294" s="17">
        <f t="array" ref="B17294">SUM(1-'Sparkling Model'!D$2:D$38^A17294)</f>
        <v>36.99933729</v>
      </c>
      <c r="C17294" s="8">
        <f t="array" ref="C17294">PRODUCT(1-'Sparkling Model'!D$2:D$38^A17294)</f>
        <v>0.9993374422</v>
      </c>
    </row>
    <row r="17295">
      <c r="A17295" s="6">
        <v>17293.0</v>
      </c>
      <c r="B17295" s="17">
        <f t="array" ref="B17295">SUM(1-'Sparkling Model'!D$2:D$38^A17295)</f>
        <v>36.99933762</v>
      </c>
      <c r="C17295" s="8">
        <f t="array" ref="C17295">PRODUCT(1-'Sparkling Model'!D$2:D$38^A17295)</f>
        <v>0.9993377683</v>
      </c>
    </row>
    <row r="17296">
      <c r="A17296" s="6">
        <v>17294.0</v>
      </c>
      <c r="B17296" s="17">
        <f t="array" ref="B17296">SUM(1-'Sparkling Model'!D$2:D$38^A17296)</f>
        <v>36.99933794</v>
      </c>
      <c r="C17296" s="8">
        <f t="array" ref="C17296">PRODUCT(1-'Sparkling Model'!D$2:D$38^A17296)</f>
        <v>0.9993380942</v>
      </c>
    </row>
    <row r="17297">
      <c r="A17297" s="6">
        <v>17295.0</v>
      </c>
      <c r="B17297" s="17">
        <f t="array" ref="B17297">SUM(1-'Sparkling Model'!D$2:D$38^A17297)</f>
        <v>36.99933827</v>
      </c>
      <c r="C17297" s="8">
        <f t="array" ref="C17297">PRODUCT(1-'Sparkling Model'!D$2:D$38^A17297)</f>
        <v>0.99933842</v>
      </c>
    </row>
    <row r="17298">
      <c r="A17298" s="6">
        <v>17296.0</v>
      </c>
      <c r="B17298" s="17">
        <f t="array" ref="B17298">SUM(1-'Sparkling Model'!D$2:D$38^A17298)</f>
        <v>36.9993386</v>
      </c>
      <c r="C17298" s="8">
        <f t="array" ref="C17298">PRODUCT(1-'Sparkling Model'!D$2:D$38^A17298)</f>
        <v>0.9993387455</v>
      </c>
    </row>
    <row r="17299">
      <c r="A17299" s="6">
        <v>17297.0</v>
      </c>
      <c r="B17299" s="17">
        <f t="array" ref="B17299">SUM(1-'Sparkling Model'!D$2:D$38^A17299)</f>
        <v>36.99933892</v>
      </c>
      <c r="C17299" s="8">
        <f t="array" ref="C17299">PRODUCT(1-'Sparkling Model'!D$2:D$38^A17299)</f>
        <v>0.999339071</v>
      </c>
    </row>
    <row r="17300">
      <c r="A17300" s="6">
        <v>17298.0</v>
      </c>
      <c r="B17300" s="17">
        <f t="array" ref="B17300">SUM(1-'Sparkling Model'!D$2:D$38^A17300)</f>
        <v>36.99933925</v>
      </c>
      <c r="C17300" s="8">
        <f t="array" ref="C17300">PRODUCT(1-'Sparkling Model'!D$2:D$38^A17300)</f>
        <v>0.9993393962</v>
      </c>
    </row>
    <row r="17301">
      <c r="A17301" s="6">
        <v>17299.0</v>
      </c>
      <c r="B17301" s="17">
        <f t="array" ref="B17301">SUM(1-'Sparkling Model'!D$2:D$38^A17301)</f>
        <v>36.99933957</v>
      </c>
      <c r="C17301" s="8">
        <f t="array" ref="C17301">PRODUCT(1-'Sparkling Model'!D$2:D$38^A17301)</f>
        <v>0.9993397213</v>
      </c>
    </row>
    <row r="17302">
      <c r="A17302" s="6">
        <v>17300.0</v>
      </c>
      <c r="B17302" s="17">
        <f t="array" ref="B17302">SUM(1-'Sparkling Model'!D$2:D$38^A17302)</f>
        <v>36.9993399</v>
      </c>
      <c r="C17302" s="8">
        <f t="array" ref="C17302">PRODUCT(1-'Sparkling Model'!D$2:D$38^A17302)</f>
        <v>0.9993400463</v>
      </c>
    </row>
    <row r="17303">
      <c r="A17303" s="6">
        <v>17301.0</v>
      </c>
      <c r="B17303" s="17">
        <f t="array" ref="B17303">SUM(1-'Sparkling Model'!D$2:D$38^A17303)</f>
        <v>36.99934022</v>
      </c>
      <c r="C17303" s="8">
        <f t="array" ref="C17303">PRODUCT(1-'Sparkling Model'!D$2:D$38^A17303)</f>
        <v>0.999340371</v>
      </c>
    </row>
    <row r="17304">
      <c r="A17304" s="6">
        <v>17302.0</v>
      </c>
      <c r="B17304" s="17">
        <f t="array" ref="B17304">SUM(1-'Sparkling Model'!D$2:D$38^A17304)</f>
        <v>36.99934055</v>
      </c>
      <c r="C17304" s="8">
        <f t="array" ref="C17304">PRODUCT(1-'Sparkling Model'!D$2:D$38^A17304)</f>
        <v>0.9993406957</v>
      </c>
    </row>
    <row r="17305">
      <c r="A17305" s="6">
        <v>17303.0</v>
      </c>
      <c r="B17305" s="17">
        <f t="array" ref="B17305">SUM(1-'Sparkling Model'!D$2:D$38^A17305)</f>
        <v>36.99934087</v>
      </c>
      <c r="C17305" s="8">
        <f t="array" ref="C17305">PRODUCT(1-'Sparkling Model'!D$2:D$38^A17305)</f>
        <v>0.9993410201</v>
      </c>
    </row>
    <row r="17306">
      <c r="A17306" s="6">
        <v>17304.0</v>
      </c>
      <c r="B17306" s="17">
        <f t="array" ref="B17306">SUM(1-'Sparkling Model'!D$2:D$38^A17306)</f>
        <v>36.9993412</v>
      </c>
      <c r="C17306" s="8">
        <f t="array" ref="C17306">PRODUCT(1-'Sparkling Model'!D$2:D$38^A17306)</f>
        <v>0.9993413444</v>
      </c>
    </row>
    <row r="17307">
      <c r="A17307" s="6">
        <v>17305.0</v>
      </c>
      <c r="B17307" s="17">
        <f t="array" ref="B17307">SUM(1-'Sparkling Model'!D$2:D$38^A17307)</f>
        <v>36.99934152</v>
      </c>
      <c r="C17307" s="8">
        <f t="array" ref="C17307">PRODUCT(1-'Sparkling Model'!D$2:D$38^A17307)</f>
        <v>0.9993416685</v>
      </c>
    </row>
    <row r="17308">
      <c r="A17308" s="6">
        <v>17306.0</v>
      </c>
      <c r="B17308" s="17">
        <f t="array" ref="B17308">SUM(1-'Sparkling Model'!D$2:D$38^A17308)</f>
        <v>36.99934184</v>
      </c>
      <c r="C17308" s="8">
        <f t="array" ref="C17308">PRODUCT(1-'Sparkling Model'!D$2:D$38^A17308)</f>
        <v>0.9993419925</v>
      </c>
    </row>
    <row r="17309">
      <c r="A17309" s="6">
        <v>17307.0</v>
      </c>
      <c r="B17309" s="17">
        <f t="array" ref="B17309">SUM(1-'Sparkling Model'!D$2:D$38^A17309)</f>
        <v>36.99934217</v>
      </c>
      <c r="C17309" s="8">
        <f t="array" ref="C17309">PRODUCT(1-'Sparkling Model'!D$2:D$38^A17309)</f>
        <v>0.9993423163</v>
      </c>
    </row>
    <row r="17310">
      <c r="A17310" s="6">
        <v>17308.0</v>
      </c>
      <c r="B17310" s="17">
        <f t="array" ref="B17310">SUM(1-'Sparkling Model'!D$2:D$38^A17310)</f>
        <v>36.99934249</v>
      </c>
      <c r="C17310" s="8">
        <f t="array" ref="C17310">PRODUCT(1-'Sparkling Model'!D$2:D$38^A17310)</f>
        <v>0.99934264</v>
      </c>
    </row>
    <row r="17311">
      <c r="A17311" s="6">
        <v>17309.0</v>
      </c>
      <c r="B17311" s="17">
        <f t="array" ref="B17311">SUM(1-'Sparkling Model'!D$2:D$38^A17311)</f>
        <v>36.99934282</v>
      </c>
      <c r="C17311" s="8">
        <f t="array" ref="C17311">PRODUCT(1-'Sparkling Model'!D$2:D$38^A17311)</f>
        <v>0.9993429635</v>
      </c>
    </row>
    <row r="17312">
      <c r="A17312" s="6">
        <v>17310.0</v>
      </c>
      <c r="B17312" s="17">
        <f t="array" ref="B17312">SUM(1-'Sparkling Model'!D$2:D$38^A17312)</f>
        <v>36.99934314</v>
      </c>
      <c r="C17312" s="8">
        <f t="array" ref="C17312">PRODUCT(1-'Sparkling Model'!D$2:D$38^A17312)</f>
        <v>0.9993432868</v>
      </c>
    </row>
    <row r="17313">
      <c r="A17313" s="6">
        <v>17311.0</v>
      </c>
      <c r="B17313" s="17">
        <f t="array" ref="B17313">SUM(1-'Sparkling Model'!D$2:D$38^A17313)</f>
        <v>36.99934346</v>
      </c>
      <c r="C17313" s="8">
        <f t="array" ref="C17313">PRODUCT(1-'Sparkling Model'!D$2:D$38^A17313)</f>
        <v>0.99934361</v>
      </c>
    </row>
    <row r="17314">
      <c r="A17314" s="6">
        <v>17312.0</v>
      </c>
      <c r="B17314" s="17">
        <f t="array" ref="B17314">SUM(1-'Sparkling Model'!D$2:D$38^A17314)</f>
        <v>36.99934379</v>
      </c>
      <c r="C17314" s="8">
        <f t="array" ref="C17314">PRODUCT(1-'Sparkling Model'!D$2:D$38^A17314)</f>
        <v>0.999343933</v>
      </c>
    </row>
    <row r="17315">
      <c r="A17315" s="6">
        <v>17313.0</v>
      </c>
      <c r="B17315" s="17">
        <f t="array" ref="B17315">SUM(1-'Sparkling Model'!D$2:D$38^A17315)</f>
        <v>36.99934411</v>
      </c>
      <c r="C17315" s="8">
        <f t="array" ref="C17315">PRODUCT(1-'Sparkling Model'!D$2:D$38^A17315)</f>
        <v>0.9993442559</v>
      </c>
    </row>
    <row r="17316">
      <c r="A17316" s="6">
        <v>17314.0</v>
      </c>
      <c r="B17316" s="17">
        <f t="array" ref="B17316">SUM(1-'Sparkling Model'!D$2:D$38^A17316)</f>
        <v>36.99934443</v>
      </c>
      <c r="C17316" s="8">
        <f t="array" ref="C17316">PRODUCT(1-'Sparkling Model'!D$2:D$38^A17316)</f>
        <v>0.9993445786</v>
      </c>
    </row>
    <row r="17317">
      <c r="A17317" s="6">
        <v>17315.0</v>
      </c>
      <c r="B17317" s="17">
        <f t="array" ref="B17317">SUM(1-'Sparkling Model'!D$2:D$38^A17317)</f>
        <v>36.99934475</v>
      </c>
      <c r="C17317" s="8">
        <f t="array" ref="C17317">PRODUCT(1-'Sparkling Model'!D$2:D$38^A17317)</f>
        <v>0.9993449011</v>
      </c>
    </row>
    <row r="17318">
      <c r="A17318" s="6">
        <v>17316.0</v>
      </c>
      <c r="B17318" s="17">
        <f t="array" ref="B17318">SUM(1-'Sparkling Model'!D$2:D$38^A17318)</f>
        <v>36.99934508</v>
      </c>
      <c r="C17318" s="8">
        <f t="array" ref="C17318">PRODUCT(1-'Sparkling Model'!D$2:D$38^A17318)</f>
        <v>0.9993452235</v>
      </c>
    </row>
    <row r="17319">
      <c r="A17319" s="6">
        <v>17317.0</v>
      </c>
      <c r="B17319" s="17">
        <f t="array" ref="B17319">SUM(1-'Sparkling Model'!D$2:D$38^A17319)</f>
        <v>36.9993454</v>
      </c>
      <c r="C17319" s="8">
        <f t="array" ref="C17319">PRODUCT(1-'Sparkling Model'!D$2:D$38^A17319)</f>
        <v>0.9993455458</v>
      </c>
    </row>
    <row r="17320">
      <c r="A17320" s="6">
        <v>17318.0</v>
      </c>
      <c r="B17320" s="17">
        <f t="array" ref="B17320">SUM(1-'Sparkling Model'!D$2:D$38^A17320)</f>
        <v>36.99934572</v>
      </c>
      <c r="C17320" s="8">
        <f t="array" ref="C17320">PRODUCT(1-'Sparkling Model'!D$2:D$38^A17320)</f>
        <v>0.9993458678</v>
      </c>
    </row>
    <row r="17321">
      <c r="A17321" s="6">
        <v>17319.0</v>
      </c>
      <c r="B17321" s="17">
        <f t="array" ref="B17321">SUM(1-'Sparkling Model'!D$2:D$38^A17321)</f>
        <v>36.99934604</v>
      </c>
      <c r="C17321" s="8">
        <f t="array" ref="C17321">PRODUCT(1-'Sparkling Model'!D$2:D$38^A17321)</f>
        <v>0.9993461897</v>
      </c>
    </row>
    <row r="17322">
      <c r="A17322" s="6">
        <v>17320.0</v>
      </c>
      <c r="B17322" s="17">
        <f t="array" ref="B17322">SUM(1-'Sparkling Model'!D$2:D$38^A17322)</f>
        <v>36.99934637</v>
      </c>
      <c r="C17322" s="8">
        <f t="array" ref="C17322">PRODUCT(1-'Sparkling Model'!D$2:D$38^A17322)</f>
        <v>0.9993465115</v>
      </c>
    </row>
    <row r="17323">
      <c r="A17323" s="6">
        <v>17321.0</v>
      </c>
      <c r="B17323" s="17">
        <f t="array" ref="B17323">SUM(1-'Sparkling Model'!D$2:D$38^A17323)</f>
        <v>36.99934669</v>
      </c>
      <c r="C17323" s="8">
        <f t="array" ref="C17323">PRODUCT(1-'Sparkling Model'!D$2:D$38^A17323)</f>
        <v>0.9993468331</v>
      </c>
    </row>
    <row r="17324">
      <c r="A17324" s="6">
        <v>17322.0</v>
      </c>
      <c r="B17324" s="17">
        <f t="array" ref="B17324">SUM(1-'Sparkling Model'!D$2:D$38^A17324)</f>
        <v>36.99934701</v>
      </c>
      <c r="C17324" s="8">
        <f t="array" ref="C17324">PRODUCT(1-'Sparkling Model'!D$2:D$38^A17324)</f>
        <v>0.9993471545</v>
      </c>
    </row>
    <row r="17325">
      <c r="A17325" s="6">
        <v>17323.0</v>
      </c>
      <c r="B17325" s="17">
        <f t="array" ref="B17325">SUM(1-'Sparkling Model'!D$2:D$38^A17325)</f>
        <v>36.99934733</v>
      </c>
      <c r="C17325" s="8">
        <f t="array" ref="C17325">PRODUCT(1-'Sparkling Model'!D$2:D$38^A17325)</f>
        <v>0.9993474758</v>
      </c>
    </row>
    <row r="17326">
      <c r="A17326" s="6">
        <v>17324.0</v>
      </c>
      <c r="B17326" s="17">
        <f t="array" ref="B17326">SUM(1-'Sparkling Model'!D$2:D$38^A17326)</f>
        <v>36.99934765</v>
      </c>
      <c r="C17326" s="8">
        <f t="array" ref="C17326">PRODUCT(1-'Sparkling Model'!D$2:D$38^A17326)</f>
        <v>0.9993477969</v>
      </c>
    </row>
    <row r="17327">
      <c r="A17327" s="6">
        <v>17325.0</v>
      </c>
      <c r="B17327" s="17">
        <f t="array" ref="B17327">SUM(1-'Sparkling Model'!D$2:D$38^A17327)</f>
        <v>36.99934797</v>
      </c>
      <c r="C17327" s="8">
        <f t="array" ref="C17327">PRODUCT(1-'Sparkling Model'!D$2:D$38^A17327)</f>
        <v>0.9993481178</v>
      </c>
    </row>
    <row r="17328">
      <c r="A17328" s="6">
        <v>17326.0</v>
      </c>
      <c r="B17328" s="17">
        <f t="array" ref="B17328">SUM(1-'Sparkling Model'!D$2:D$38^A17328)</f>
        <v>36.99934829</v>
      </c>
      <c r="C17328" s="8">
        <f t="array" ref="C17328">PRODUCT(1-'Sparkling Model'!D$2:D$38^A17328)</f>
        <v>0.9993484386</v>
      </c>
    </row>
    <row r="17329">
      <c r="A17329" s="6">
        <v>17327.0</v>
      </c>
      <c r="B17329" s="17">
        <f t="array" ref="B17329">SUM(1-'Sparkling Model'!D$2:D$38^A17329)</f>
        <v>36.99934861</v>
      </c>
      <c r="C17329" s="8">
        <f t="array" ref="C17329">PRODUCT(1-'Sparkling Model'!D$2:D$38^A17329)</f>
        <v>0.9993487593</v>
      </c>
    </row>
    <row r="17330">
      <c r="A17330" s="6">
        <v>17328.0</v>
      </c>
      <c r="B17330" s="17">
        <f t="array" ref="B17330">SUM(1-'Sparkling Model'!D$2:D$38^A17330)</f>
        <v>36.99934893</v>
      </c>
      <c r="C17330" s="8">
        <f t="array" ref="C17330">PRODUCT(1-'Sparkling Model'!D$2:D$38^A17330)</f>
        <v>0.9993490798</v>
      </c>
    </row>
    <row r="17331">
      <c r="A17331" s="6">
        <v>17329.0</v>
      </c>
      <c r="B17331" s="17">
        <f t="array" ref="B17331">SUM(1-'Sparkling Model'!D$2:D$38^A17331)</f>
        <v>36.99934926</v>
      </c>
      <c r="C17331" s="8">
        <f t="array" ref="C17331">PRODUCT(1-'Sparkling Model'!D$2:D$38^A17331)</f>
        <v>0.9993494001</v>
      </c>
    </row>
    <row r="17332">
      <c r="A17332" s="6">
        <v>17330.0</v>
      </c>
      <c r="B17332" s="17">
        <f t="array" ref="B17332">SUM(1-'Sparkling Model'!D$2:D$38^A17332)</f>
        <v>36.99934958</v>
      </c>
      <c r="C17332" s="8">
        <f t="array" ref="C17332">PRODUCT(1-'Sparkling Model'!D$2:D$38^A17332)</f>
        <v>0.9993497203</v>
      </c>
    </row>
    <row r="17333">
      <c r="A17333" s="6">
        <v>17331.0</v>
      </c>
      <c r="B17333" s="17">
        <f t="array" ref="B17333">SUM(1-'Sparkling Model'!D$2:D$38^A17333)</f>
        <v>36.9993499</v>
      </c>
      <c r="C17333" s="8">
        <f t="array" ref="C17333">PRODUCT(1-'Sparkling Model'!D$2:D$38^A17333)</f>
        <v>0.9993500403</v>
      </c>
    </row>
    <row r="17334">
      <c r="A17334" s="6">
        <v>17332.0</v>
      </c>
      <c r="B17334" s="17">
        <f t="array" ref="B17334">SUM(1-'Sparkling Model'!D$2:D$38^A17334)</f>
        <v>36.99935022</v>
      </c>
      <c r="C17334" s="8">
        <f t="array" ref="C17334">PRODUCT(1-'Sparkling Model'!D$2:D$38^A17334)</f>
        <v>0.9993503601</v>
      </c>
    </row>
    <row r="17335">
      <c r="A17335" s="6">
        <v>17333.0</v>
      </c>
      <c r="B17335" s="17">
        <f t="array" ref="B17335">SUM(1-'Sparkling Model'!D$2:D$38^A17335)</f>
        <v>36.99935054</v>
      </c>
      <c r="C17335" s="8">
        <f t="array" ref="C17335">PRODUCT(1-'Sparkling Model'!D$2:D$38^A17335)</f>
        <v>0.9993506798</v>
      </c>
    </row>
    <row r="17336">
      <c r="A17336" s="6">
        <v>17334.0</v>
      </c>
      <c r="B17336" s="17">
        <f t="array" ref="B17336">SUM(1-'Sparkling Model'!D$2:D$38^A17336)</f>
        <v>36.99935086</v>
      </c>
      <c r="C17336" s="8">
        <f t="array" ref="C17336">PRODUCT(1-'Sparkling Model'!D$2:D$38^A17336)</f>
        <v>0.9993509993</v>
      </c>
    </row>
    <row r="17337">
      <c r="A17337" s="6">
        <v>17335.0</v>
      </c>
      <c r="B17337" s="17">
        <f t="array" ref="B17337">SUM(1-'Sparkling Model'!D$2:D$38^A17337)</f>
        <v>36.99935117</v>
      </c>
      <c r="C17337" s="8">
        <f t="array" ref="C17337">PRODUCT(1-'Sparkling Model'!D$2:D$38^A17337)</f>
        <v>0.9993513187</v>
      </c>
    </row>
    <row r="17338">
      <c r="A17338" s="6">
        <v>17336.0</v>
      </c>
      <c r="B17338" s="17">
        <f t="array" ref="B17338">SUM(1-'Sparkling Model'!D$2:D$38^A17338)</f>
        <v>36.99935149</v>
      </c>
      <c r="C17338" s="8">
        <f t="array" ref="C17338">PRODUCT(1-'Sparkling Model'!D$2:D$38^A17338)</f>
        <v>0.9993516379</v>
      </c>
    </row>
    <row r="17339">
      <c r="A17339" s="6">
        <v>17337.0</v>
      </c>
      <c r="B17339" s="17">
        <f t="array" ref="B17339">SUM(1-'Sparkling Model'!D$2:D$38^A17339)</f>
        <v>36.99935181</v>
      </c>
      <c r="C17339" s="8">
        <f t="array" ref="C17339">PRODUCT(1-'Sparkling Model'!D$2:D$38^A17339)</f>
        <v>0.999351957</v>
      </c>
    </row>
    <row r="17340">
      <c r="A17340" s="6">
        <v>17338.0</v>
      </c>
      <c r="B17340" s="17">
        <f t="array" ref="B17340">SUM(1-'Sparkling Model'!D$2:D$38^A17340)</f>
        <v>36.99935213</v>
      </c>
      <c r="C17340" s="8">
        <f t="array" ref="C17340">PRODUCT(1-'Sparkling Model'!D$2:D$38^A17340)</f>
        <v>0.9993522759</v>
      </c>
    </row>
    <row r="17341">
      <c r="A17341" s="6">
        <v>17339.0</v>
      </c>
      <c r="B17341" s="17">
        <f t="array" ref="B17341">SUM(1-'Sparkling Model'!D$2:D$38^A17341)</f>
        <v>36.99935245</v>
      </c>
      <c r="C17341" s="8">
        <f t="array" ref="C17341">PRODUCT(1-'Sparkling Model'!D$2:D$38^A17341)</f>
        <v>0.9993525946</v>
      </c>
    </row>
    <row r="17342">
      <c r="A17342" s="6">
        <v>17340.0</v>
      </c>
      <c r="B17342" s="17">
        <f t="array" ref="B17342">SUM(1-'Sparkling Model'!D$2:D$38^A17342)</f>
        <v>36.99935277</v>
      </c>
      <c r="C17342" s="8">
        <f t="array" ref="C17342">PRODUCT(1-'Sparkling Model'!D$2:D$38^A17342)</f>
        <v>0.9993529132</v>
      </c>
    </row>
    <row r="17343">
      <c r="A17343" s="6">
        <v>17341.0</v>
      </c>
      <c r="B17343" s="17">
        <f t="array" ref="B17343">SUM(1-'Sparkling Model'!D$2:D$38^A17343)</f>
        <v>36.99935309</v>
      </c>
      <c r="C17343" s="8">
        <f t="array" ref="C17343">PRODUCT(1-'Sparkling Model'!D$2:D$38^A17343)</f>
        <v>0.9993532317</v>
      </c>
    </row>
    <row r="17344">
      <c r="A17344" s="6">
        <v>17342.0</v>
      </c>
      <c r="B17344" s="17">
        <f t="array" ref="B17344">SUM(1-'Sparkling Model'!D$2:D$38^A17344)</f>
        <v>36.99935341</v>
      </c>
      <c r="C17344" s="8">
        <f t="array" ref="C17344">PRODUCT(1-'Sparkling Model'!D$2:D$38^A17344)</f>
        <v>0.9993535499</v>
      </c>
    </row>
    <row r="17345">
      <c r="A17345" s="6">
        <v>17343.0</v>
      </c>
      <c r="B17345" s="17">
        <f t="array" ref="B17345">SUM(1-'Sparkling Model'!D$2:D$38^A17345)</f>
        <v>36.99935373</v>
      </c>
      <c r="C17345" s="8">
        <f t="array" ref="C17345">PRODUCT(1-'Sparkling Model'!D$2:D$38^A17345)</f>
        <v>0.9993538681</v>
      </c>
    </row>
    <row r="17346">
      <c r="A17346" s="6">
        <v>17344.0</v>
      </c>
      <c r="B17346" s="17">
        <f t="array" ref="B17346">SUM(1-'Sparkling Model'!D$2:D$38^A17346)</f>
        <v>36.99935404</v>
      </c>
      <c r="C17346" s="8">
        <f t="array" ref="C17346">PRODUCT(1-'Sparkling Model'!D$2:D$38^A17346)</f>
        <v>0.999354186</v>
      </c>
    </row>
    <row r="17347">
      <c r="A17347" s="6">
        <v>17345.0</v>
      </c>
      <c r="B17347" s="17">
        <f t="array" ref="B17347">SUM(1-'Sparkling Model'!D$2:D$38^A17347)</f>
        <v>36.99935436</v>
      </c>
      <c r="C17347" s="8">
        <f t="array" ref="C17347">PRODUCT(1-'Sparkling Model'!D$2:D$38^A17347)</f>
        <v>0.9993545038</v>
      </c>
    </row>
    <row r="17348">
      <c r="A17348" s="6">
        <v>17346.0</v>
      </c>
      <c r="B17348" s="17">
        <f t="array" ref="B17348">SUM(1-'Sparkling Model'!D$2:D$38^A17348)</f>
        <v>36.99935468</v>
      </c>
      <c r="C17348" s="8">
        <f t="array" ref="C17348">PRODUCT(1-'Sparkling Model'!D$2:D$38^A17348)</f>
        <v>0.9993548215</v>
      </c>
    </row>
    <row r="17349">
      <c r="A17349" s="6">
        <v>17347.0</v>
      </c>
      <c r="B17349" s="17">
        <f t="array" ref="B17349">SUM(1-'Sparkling Model'!D$2:D$38^A17349)</f>
        <v>36.999355</v>
      </c>
      <c r="C17349" s="8">
        <f t="array" ref="C17349">PRODUCT(1-'Sparkling Model'!D$2:D$38^A17349)</f>
        <v>0.999355139</v>
      </c>
    </row>
    <row r="17350">
      <c r="A17350" s="6">
        <v>17348.0</v>
      </c>
      <c r="B17350" s="17">
        <f t="array" ref="B17350">SUM(1-'Sparkling Model'!D$2:D$38^A17350)</f>
        <v>36.99935531</v>
      </c>
      <c r="C17350" s="8">
        <f t="array" ref="C17350">PRODUCT(1-'Sparkling Model'!D$2:D$38^A17350)</f>
        <v>0.9993554563</v>
      </c>
    </row>
    <row r="17351">
      <c r="A17351" s="6">
        <v>17349.0</v>
      </c>
      <c r="B17351" s="17">
        <f t="array" ref="B17351">SUM(1-'Sparkling Model'!D$2:D$38^A17351)</f>
        <v>36.99935563</v>
      </c>
      <c r="C17351" s="8">
        <f t="array" ref="C17351">PRODUCT(1-'Sparkling Model'!D$2:D$38^A17351)</f>
        <v>0.9993557735</v>
      </c>
    </row>
    <row r="17352">
      <c r="A17352" s="6">
        <v>17350.0</v>
      </c>
      <c r="B17352" s="17">
        <f t="array" ref="B17352">SUM(1-'Sparkling Model'!D$2:D$38^A17352)</f>
        <v>36.99935595</v>
      </c>
      <c r="C17352" s="8">
        <f t="array" ref="C17352">PRODUCT(1-'Sparkling Model'!D$2:D$38^A17352)</f>
        <v>0.9993560905</v>
      </c>
    </row>
    <row r="17353">
      <c r="A17353" s="6">
        <v>17351.0</v>
      </c>
      <c r="B17353" s="17">
        <f t="array" ref="B17353">SUM(1-'Sparkling Model'!D$2:D$38^A17353)</f>
        <v>36.99935627</v>
      </c>
      <c r="C17353" s="8">
        <f t="array" ref="C17353">PRODUCT(1-'Sparkling Model'!D$2:D$38^A17353)</f>
        <v>0.9993564074</v>
      </c>
    </row>
    <row r="17354">
      <c r="A17354" s="6">
        <v>17352.0</v>
      </c>
      <c r="B17354" s="17">
        <f t="array" ref="B17354">SUM(1-'Sparkling Model'!D$2:D$38^A17354)</f>
        <v>36.99935658</v>
      </c>
      <c r="C17354" s="8">
        <f t="array" ref="C17354">PRODUCT(1-'Sparkling Model'!D$2:D$38^A17354)</f>
        <v>0.9993567241</v>
      </c>
    </row>
    <row r="17355">
      <c r="A17355" s="6">
        <v>17353.0</v>
      </c>
      <c r="B17355" s="17">
        <f t="array" ref="B17355">SUM(1-'Sparkling Model'!D$2:D$38^A17355)</f>
        <v>36.9993569</v>
      </c>
      <c r="C17355" s="8">
        <f t="array" ref="C17355">PRODUCT(1-'Sparkling Model'!D$2:D$38^A17355)</f>
        <v>0.9993570406</v>
      </c>
    </row>
    <row r="17356">
      <c r="A17356" s="6">
        <v>17354.0</v>
      </c>
      <c r="B17356" s="17">
        <f t="array" ref="B17356">SUM(1-'Sparkling Model'!D$2:D$38^A17356)</f>
        <v>36.99935722</v>
      </c>
      <c r="C17356" s="8">
        <f t="array" ref="C17356">PRODUCT(1-'Sparkling Model'!D$2:D$38^A17356)</f>
        <v>0.999357357</v>
      </c>
    </row>
    <row r="17357">
      <c r="A17357" s="6">
        <v>17355.0</v>
      </c>
      <c r="B17357" s="17">
        <f t="array" ref="B17357">SUM(1-'Sparkling Model'!D$2:D$38^A17357)</f>
        <v>36.99935753</v>
      </c>
      <c r="C17357" s="8">
        <f t="array" ref="C17357">PRODUCT(1-'Sparkling Model'!D$2:D$38^A17357)</f>
        <v>0.9993576733</v>
      </c>
    </row>
    <row r="17358">
      <c r="A17358" s="6">
        <v>17356.0</v>
      </c>
      <c r="B17358" s="17">
        <f t="array" ref="B17358">SUM(1-'Sparkling Model'!D$2:D$38^A17358)</f>
        <v>36.99935785</v>
      </c>
      <c r="C17358" s="8">
        <f t="array" ref="C17358">PRODUCT(1-'Sparkling Model'!D$2:D$38^A17358)</f>
        <v>0.9993579894</v>
      </c>
    </row>
    <row r="17359">
      <c r="A17359" s="6">
        <v>17357.0</v>
      </c>
      <c r="B17359" s="17">
        <f t="array" ref="B17359">SUM(1-'Sparkling Model'!D$2:D$38^A17359)</f>
        <v>36.99935816</v>
      </c>
      <c r="C17359" s="8">
        <f t="array" ref="C17359">PRODUCT(1-'Sparkling Model'!D$2:D$38^A17359)</f>
        <v>0.9993583053</v>
      </c>
    </row>
    <row r="17360">
      <c r="A17360" s="6">
        <v>17358.0</v>
      </c>
      <c r="B17360" s="17">
        <f t="array" ref="B17360">SUM(1-'Sparkling Model'!D$2:D$38^A17360)</f>
        <v>36.99935848</v>
      </c>
      <c r="C17360" s="8">
        <f t="array" ref="C17360">PRODUCT(1-'Sparkling Model'!D$2:D$38^A17360)</f>
        <v>0.9993586211</v>
      </c>
    </row>
    <row r="17361">
      <c r="A17361" s="6">
        <v>17359.0</v>
      </c>
      <c r="B17361" s="17">
        <f t="array" ref="B17361">SUM(1-'Sparkling Model'!D$2:D$38^A17361)</f>
        <v>36.9993588</v>
      </c>
      <c r="C17361" s="8">
        <f t="array" ref="C17361">PRODUCT(1-'Sparkling Model'!D$2:D$38^A17361)</f>
        <v>0.9993589367</v>
      </c>
    </row>
    <row r="17362">
      <c r="A17362" s="6">
        <v>17360.0</v>
      </c>
      <c r="B17362" s="17">
        <f t="array" ref="B17362">SUM(1-'Sparkling Model'!D$2:D$38^A17362)</f>
        <v>36.99935911</v>
      </c>
      <c r="C17362" s="8">
        <f t="array" ref="C17362">PRODUCT(1-'Sparkling Model'!D$2:D$38^A17362)</f>
        <v>0.9993592521</v>
      </c>
    </row>
    <row r="17363">
      <c r="A17363" s="6">
        <v>17361.0</v>
      </c>
      <c r="B17363" s="17">
        <f t="array" ref="B17363">SUM(1-'Sparkling Model'!D$2:D$38^A17363)</f>
        <v>36.99935943</v>
      </c>
      <c r="C17363" s="8">
        <f t="array" ref="C17363">PRODUCT(1-'Sparkling Model'!D$2:D$38^A17363)</f>
        <v>0.9993595675</v>
      </c>
    </row>
    <row r="17364">
      <c r="A17364" s="6">
        <v>17362.0</v>
      </c>
      <c r="B17364" s="17">
        <f t="array" ref="B17364">SUM(1-'Sparkling Model'!D$2:D$38^A17364)</f>
        <v>36.99935974</v>
      </c>
      <c r="C17364" s="8">
        <f t="array" ref="C17364">PRODUCT(1-'Sparkling Model'!D$2:D$38^A17364)</f>
        <v>0.9993598826</v>
      </c>
    </row>
    <row r="17365">
      <c r="A17365" s="6">
        <v>17363.0</v>
      </c>
      <c r="B17365" s="17">
        <f t="array" ref="B17365">SUM(1-'Sparkling Model'!D$2:D$38^A17365)</f>
        <v>36.99936006</v>
      </c>
      <c r="C17365" s="8">
        <f t="array" ref="C17365">PRODUCT(1-'Sparkling Model'!D$2:D$38^A17365)</f>
        <v>0.9993601976</v>
      </c>
    </row>
    <row r="17366">
      <c r="A17366" s="6">
        <v>17364.0</v>
      </c>
      <c r="B17366" s="17">
        <f t="array" ref="B17366">SUM(1-'Sparkling Model'!D$2:D$38^A17366)</f>
        <v>36.99936037</v>
      </c>
      <c r="C17366" s="8">
        <f t="array" ref="C17366">PRODUCT(1-'Sparkling Model'!D$2:D$38^A17366)</f>
        <v>0.9993605124</v>
      </c>
    </row>
    <row r="17367">
      <c r="A17367" s="6">
        <v>17365.0</v>
      </c>
      <c r="B17367" s="17">
        <f t="array" ref="B17367">SUM(1-'Sparkling Model'!D$2:D$38^A17367)</f>
        <v>36.99936069</v>
      </c>
      <c r="C17367" s="8">
        <f t="array" ref="C17367">PRODUCT(1-'Sparkling Model'!D$2:D$38^A17367)</f>
        <v>0.9993608271</v>
      </c>
    </row>
    <row r="17368">
      <c r="A17368" s="6">
        <v>17366.0</v>
      </c>
      <c r="B17368" s="17">
        <f t="array" ref="B17368">SUM(1-'Sparkling Model'!D$2:D$38^A17368)</f>
        <v>36.999361</v>
      </c>
      <c r="C17368" s="8">
        <f t="array" ref="C17368">PRODUCT(1-'Sparkling Model'!D$2:D$38^A17368)</f>
        <v>0.9993611417</v>
      </c>
    </row>
    <row r="17369">
      <c r="A17369" s="6">
        <v>17367.0</v>
      </c>
      <c r="B17369" s="17">
        <f t="array" ref="B17369">SUM(1-'Sparkling Model'!D$2:D$38^A17369)</f>
        <v>36.99936132</v>
      </c>
      <c r="C17369" s="8">
        <f t="array" ref="C17369">PRODUCT(1-'Sparkling Model'!D$2:D$38^A17369)</f>
        <v>0.999361456</v>
      </c>
    </row>
    <row r="17370">
      <c r="A17370" s="6">
        <v>17368.0</v>
      </c>
      <c r="B17370" s="17">
        <f t="array" ref="B17370">SUM(1-'Sparkling Model'!D$2:D$38^A17370)</f>
        <v>36.99936163</v>
      </c>
      <c r="C17370" s="8">
        <f t="array" ref="C17370">PRODUCT(1-'Sparkling Model'!D$2:D$38^A17370)</f>
        <v>0.9993617703</v>
      </c>
    </row>
    <row r="17371">
      <c r="A17371" s="6">
        <v>17369.0</v>
      </c>
      <c r="B17371" s="17">
        <f t="array" ref="B17371">SUM(1-'Sparkling Model'!D$2:D$38^A17371)</f>
        <v>36.99936195</v>
      </c>
      <c r="C17371" s="8">
        <f t="array" ref="C17371">PRODUCT(1-'Sparkling Model'!D$2:D$38^A17371)</f>
        <v>0.9993620843</v>
      </c>
    </row>
    <row r="17372">
      <c r="A17372" s="6">
        <v>17370.0</v>
      </c>
      <c r="B17372" s="17">
        <f t="array" ref="B17372">SUM(1-'Sparkling Model'!D$2:D$38^A17372)</f>
        <v>36.99936226</v>
      </c>
      <c r="C17372" s="8">
        <f t="array" ref="C17372">PRODUCT(1-'Sparkling Model'!D$2:D$38^A17372)</f>
        <v>0.9993623982</v>
      </c>
    </row>
    <row r="17373">
      <c r="A17373" s="6">
        <v>17371.0</v>
      </c>
      <c r="B17373" s="17">
        <f t="array" ref="B17373">SUM(1-'Sparkling Model'!D$2:D$38^A17373)</f>
        <v>36.99936257</v>
      </c>
      <c r="C17373" s="8">
        <f t="array" ref="C17373">PRODUCT(1-'Sparkling Model'!D$2:D$38^A17373)</f>
        <v>0.999362712</v>
      </c>
    </row>
    <row r="17374">
      <c r="A17374" s="6">
        <v>17372.0</v>
      </c>
      <c r="B17374" s="17">
        <f t="array" ref="B17374">SUM(1-'Sparkling Model'!D$2:D$38^A17374)</f>
        <v>36.99936289</v>
      </c>
      <c r="C17374" s="8">
        <f t="array" ref="C17374">PRODUCT(1-'Sparkling Model'!D$2:D$38^A17374)</f>
        <v>0.9993630256</v>
      </c>
    </row>
    <row r="17375">
      <c r="A17375" s="6">
        <v>17373.0</v>
      </c>
      <c r="B17375" s="17">
        <f t="array" ref="B17375">SUM(1-'Sparkling Model'!D$2:D$38^A17375)</f>
        <v>36.9993632</v>
      </c>
      <c r="C17375" s="8">
        <f t="array" ref="C17375">PRODUCT(1-'Sparkling Model'!D$2:D$38^A17375)</f>
        <v>0.999363339</v>
      </c>
    </row>
    <row r="17376">
      <c r="A17376" s="6">
        <v>17374.0</v>
      </c>
      <c r="B17376" s="17">
        <f t="array" ref="B17376">SUM(1-'Sparkling Model'!D$2:D$38^A17376)</f>
        <v>36.99936351</v>
      </c>
      <c r="C17376" s="8">
        <f t="array" ref="C17376">PRODUCT(1-'Sparkling Model'!D$2:D$38^A17376)</f>
        <v>0.9993636523</v>
      </c>
    </row>
    <row r="17377">
      <c r="A17377" s="6">
        <v>17375.0</v>
      </c>
      <c r="B17377" s="17">
        <f t="array" ref="B17377">SUM(1-'Sparkling Model'!D$2:D$38^A17377)</f>
        <v>36.99936383</v>
      </c>
      <c r="C17377" s="8">
        <f t="array" ref="C17377">PRODUCT(1-'Sparkling Model'!D$2:D$38^A17377)</f>
        <v>0.9993639655</v>
      </c>
    </row>
    <row r="17378">
      <c r="A17378" s="6">
        <v>17376.0</v>
      </c>
      <c r="B17378" s="17">
        <f t="array" ref="B17378">SUM(1-'Sparkling Model'!D$2:D$38^A17378)</f>
        <v>36.99936414</v>
      </c>
      <c r="C17378" s="8">
        <f t="array" ref="C17378">PRODUCT(1-'Sparkling Model'!D$2:D$38^A17378)</f>
        <v>0.9993642784</v>
      </c>
    </row>
    <row r="17379">
      <c r="A17379" s="6">
        <v>17377.0</v>
      </c>
      <c r="B17379" s="17">
        <f t="array" ref="B17379">SUM(1-'Sparkling Model'!D$2:D$38^A17379)</f>
        <v>36.99936445</v>
      </c>
      <c r="C17379" s="8">
        <f t="array" ref="C17379">PRODUCT(1-'Sparkling Model'!D$2:D$38^A17379)</f>
        <v>0.9993645913</v>
      </c>
    </row>
    <row r="17380">
      <c r="A17380" s="6">
        <v>17378.0</v>
      </c>
      <c r="B17380" s="17">
        <f t="array" ref="B17380">SUM(1-'Sparkling Model'!D$2:D$38^A17380)</f>
        <v>36.99936477</v>
      </c>
      <c r="C17380" s="8">
        <f t="array" ref="C17380">PRODUCT(1-'Sparkling Model'!D$2:D$38^A17380)</f>
        <v>0.9993649039</v>
      </c>
    </row>
    <row r="17381">
      <c r="A17381" s="6">
        <v>17379.0</v>
      </c>
      <c r="B17381" s="17">
        <f t="array" ref="B17381">SUM(1-'Sparkling Model'!D$2:D$38^A17381)</f>
        <v>36.99936508</v>
      </c>
      <c r="C17381" s="8">
        <f t="array" ref="C17381">PRODUCT(1-'Sparkling Model'!D$2:D$38^A17381)</f>
        <v>0.9993652165</v>
      </c>
    </row>
    <row r="17382">
      <c r="A17382" s="6">
        <v>17380.0</v>
      </c>
      <c r="B17382" s="17">
        <f t="array" ref="B17382">SUM(1-'Sparkling Model'!D$2:D$38^A17382)</f>
        <v>36.99936539</v>
      </c>
      <c r="C17382" s="8">
        <f t="array" ref="C17382">PRODUCT(1-'Sparkling Model'!D$2:D$38^A17382)</f>
        <v>0.9993655288</v>
      </c>
    </row>
    <row r="17383">
      <c r="A17383" s="6">
        <v>17381.0</v>
      </c>
      <c r="B17383" s="17">
        <f t="array" ref="B17383">SUM(1-'Sparkling Model'!D$2:D$38^A17383)</f>
        <v>36.9993657</v>
      </c>
      <c r="C17383" s="8">
        <f t="array" ref="C17383">PRODUCT(1-'Sparkling Model'!D$2:D$38^A17383)</f>
        <v>0.999365841</v>
      </c>
    </row>
    <row r="17384">
      <c r="A17384" s="6">
        <v>17382.0</v>
      </c>
      <c r="B17384" s="17">
        <f t="array" ref="B17384">SUM(1-'Sparkling Model'!D$2:D$38^A17384)</f>
        <v>36.99936602</v>
      </c>
      <c r="C17384" s="8">
        <f t="array" ref="C17384">PRODUCT(1-'Sparkling Model'!D$2:D$38^A17384)</f>
        <v>0.9993661531</v>
      </c>
    </row>
    <row r="17385">
      <c r="A17385" s="6">
        <v>17383.0</v>
      </c>
      <c r="B17385" s="17">
        <f t="array" ref="B17385">SUM(1-'Sparkling Model'!D$2:D$38^A17385)</f>
        <v>36.99936633</v>
      </c>
      <c r="C17385" s="8">
        <f t="array" ref="C17385">PRODUCT(1-'Sparkling Model'!D$2:D$38^A17385)</f>
        <v>0.999366465</v>
      </c>
    </row>
    <row r="17386">
      <c r="A17386" s="6">
        <v>17384.0</v>
      </c>
      <c r="B17386" s="17">
        <f t="array" ref="B17386">SUM(1-'Sparkling Model'!D$2:D$38^A17386)</f>
        <v>36.99936664</v>
      </c>
      <c r="C17386" s="8">
        <f t="array" ref="C17386">PRODUCT(1-'Sparkling Model'!D$2:D$38^A17386)</f>
        <v>0.9993667768</v>
      </c>
    </row>
    <row r="17387">
      <c r="A17387" s="6">
        <v>17385.0</v>
      </c>
      <c r="B17387" s="17">
        <f t="array" ref="B17387">SUM(1-'Sparkling Model'!D$2:D$38^A17387)</f>
        <v>36.99936695</v>
      </c>
      <c r="C17387" s="8">
        <f t="array" ref="C17387">PRODUCT(1-'Sparkling Model'!D$2:D$38^A17387)</f>
        <v>0.9993670883</v>
      </c>
    </row>
    <row r="17388">
      <c r="A17388" s="6">
        <v>17386.0</v>
      </c>
      <c r="B17388" s="17">
        <f t="array" ref="B17388">SUM(1-'Sparkling Model'!D$2:D$38^A17388)</f>
        <v>36.99936726</v>
      </c>
      <c r="C17388" s="8">
        <f t="array" ref="C17388">PRODUCT(1-'Sparkling Model'!D$2:D$38^A17388)</f>
        <v>0.9993673998</v>
      </c>
    </row>
    <row r="17389">
      <c r="A17389" s="6">
        <v>17387.0</v>
      </c>
      <c r="B17389" s="17">
        <f t="array" ref="B17389">SUM(1-'Sparkling Model'!D$2:D$38^A17389)</f>
        <v>36.99936757</v>
      </c>
      <c r="C17389" s="8">
        <f t="array" ref="C17389">PRODUCT(1-'Sparkling Model'!D$2:D$38^A17389)</f>
        <v>0.9993677111</v>
      </c>
    </row>
    <row r="17390">
      <c r="A17390" s="6">
        <v>17388.0</v>
      </c>
      <c r="B17390" s="17">
        <f t="array" ref="B17390">SUM(1-'Sparkling Model'!D$2:D$38^A17390)</f>
        <v>36.99936789</v>
      </c>
      <c r="C17390" s="8">
        <f t="array" ref="C17390">PRODUCT(1-'Sparkling Model'!D$2:D$38^A17390)</f>
        <v>0.9993680222</v>
      </c>
    </row>
    <row r="17391">
      <c r="A17391" s="6">
        <v>17389.0</v>
      </c>
      <c r="B17391" s="17">
        <f t="array" ref="B17391">SUM(1-'Sparkling Model'!D$2:D$38^A17391)</f>
        <v>36.9993682</v>
      </c>
      <c r="C17391" s="8">
        <f t="array" ref="C17391">PRODUCT(1-'Sparkling Model'!D$2:D$38^A17391)</f>
        <v>0.9993683332</v>
      </c>
    </row>
    <row r="17392">
      <c r="A17392" s="6">
        <v>17390.0</v>
      </c>
      <c r="B17392" s="17">
        <f t="array" ref="B17392">SUM(1-'Sparkling Model'!D$2:D$38^A17392)</f>
        <v>36.99936851</v>
      </c>
      <c r="C17392" s="8">
        <f t="array" ref="C17392">PRODUCT(1-'Sparkling Model'!D$2:D$38^A17392)</f>
        <v>0.999368644</v>
      </c>
    </row>
    <row r="17393">
      <c r="A17393" s="6">
        <v>17391.0</v>
      </c>
      <c r="B17393" s="17">
        <f t="array" ref="B17393">SUM(1-'Sparkling Model'!D$2:D$38^A17393)</f>
        <v>36.99936882</v>
      </c>
      <c r="C17393" s="8">
        <f t="array" ref="C17393">PRODUCT(1-'Sparkling Model'!D$2:D$38^A17393)</f>
        <v>0.9993689547</v>
      </c>
    </row>
    <row r="17394">
      <c r="A17394" s="6">
        <v>17392.0</v>
      </c>
      <c r="B17394" s="17">
        <f t="array" ref="B17394">SUM(1-'Sparkling Model'!D$2:D$38^A17394)</f>
        <v>36.99936913</v>
      </c>
      <c r="C17394" s="8">
        <f t="array" ref="C17394">PRODUCT(1-'Sparkling Model'!D$2:D$38^A17394)</f>
        <v>0.9993692652</v>
      </c>
    </row>
    <row r="17395">
      <c r="A17395" s="6">
        <v>17393.0</v>
      </c>
      <c r="B17395" s="17">
        <f t="array" ref="B17395">SUM(1-'Sparkling Model'!D$2:D$38^A17395)</f>
        <v>36.99936944</v>
      </c>
      <c r="C17395" s="8">
        <f t="array" ref="C17395">PRODUCT(1-'Sparkling Model'!D$2:D$38^A17395)</f>
        <v>0.9993695756</v>
      </c>
    </row>
    <row r="17396">
      <c r="A17396" s="6">
        <v>17394.0</v>
      </c>
      <c r="B17396" s="17">
        <f t="array" ref="B17396">SUM(1-'Sparkling Model'!D$2:D$38^A17396)</f>
        <v>36.99936975</v>
      </c>
      <c r="C17396" s="8">
        <f t="array" ref="C17396">PRODUCT(1-'Sparkling Model'!D$2:D$38^A17396)</f>
        <v>0.9993698858</v>
      </c>
    </row>
    <row r="17397">
      <c r="A17397" s="6">
        <v>17395.0</v>
      </c>
      <c r="B17397" s="17">
        <f t="array" ref="B17397">SUM(1-'Sparkling Model'!D$2:D$38^A17397)</f>
        <v>36.99937006</v>
      </c>
      <c r="C17397" s="8">
        <f t="array" ref="C17397">PRODUCT(1-'Sparkling Model'!D$2:D$38^A17397)</f>
        <v>0.9993701959</v>
      </c>
    </row>
    <row r="17398">
      <c r="A17398" s="6">
        <v>17396.0</v>
      </c>
      <c r="B17398" s="17">
        <f t="array" ref="B17398">SUM(1-'Sparkling Model'!D$2:D$38^A17398)</f>
        <v>36.99937037</v>
      </c>
      <c r="C17398" s="8">
        <f t="array" ref="C17398">PRODUCT(1-'Sparkling Model'!D$2:D$38^A17398)</f>
        <v>0.9993705058</v>
      </c>
    </row>
    <row r="17399">
      <c r="A17399" s="6">
        <v>17397.0</v>
      </c>
      <c r="B17399" s="17">
        <f t="array" ref="B17399">SUM(1-'Sparkling Model'!D$2:D$38^A17399)</f>
        <v>36.99937068</v>
      </c>
      <c r="C17399" s="8">
        <f t="array" ref="C17399">PRODUCT(1-'Sparkling Model'!D$2:D$38^A17399)</f>
        <v>0.9993708155</v>
      </c>
    </row>
    <row r="17400">
      <c r="A17400" s="6">
        <v>17398.0</v>
      </c>
      <c r="B17400" s="17">
        <f t="array" ref="B17400">SUM(1-'Sparkling Model'!D$2:D$38^A17400)</f>
        <v>36.99937099</v>
      </c>
      <c r="C17400" s="8">
        <f t="array" ref="C17400">PRODUCT(1-'Sparkling Model'!D$2:D$38^A17400)</f>
        <v>0.9993711251</v>
      </c>
    </row>
    <row r="17401">
      <c r="A17401" s="6">
        <v>17399.0</v>
      </c>
      <c r="B17401" s="17">
        <f t="array" ref="B17401">SUM(1-'Sparkling Model'!D$2:D$38^A17401)</f>
        <v>36.9993713</v>
      </c>
      <c r="C17401" s="8">
        <f t="array" ref="C17401">PRODUCT(1-'Sparkling Model'!D$2:D$38^A17401)</f>
        <v>0.9993714346</v>
      </c>
    </row>
    <row r="17402">
      <c r="A17402" s="6">
        <v>17400.0</v>
      </c>
      <c r="B17402" s="17">
        <f t="array" ref="B17402">SUM(1-'Sparkling Model'!D$2:D$38^A17402)</f>
        <v>36.99937161</v>
      </c>
      <c r="C17402" s="8">
        <f t="array" ref="C17402">PRODUCT(1-'Sparkling Model'!D$2:D$38^A17402)</f>
        <v>0.9993717439</v>
      </c>
    </row>
    <row r="17403">
      <c r="A17403" s="6">
        <v>17401.0</v>
      </c>
      <c r="B17403" s="17">
        <f t="array" ref="B17403">SUM(1-'Sparkling Model'!D$2:D$38^A17403)</f>
        <v>36.99937192</v>
      </c>
      <c r="C17403" s="8">
        <f t="array" ref="C17403">PRODUCT(1-'Sparkling Model'!D$2:D$38^A17403)</f>
        <v>0.999372053</v>
      </c>
    </row>
    <row r="17404">
      <c r="A17404" s="6">
        <v>17402.0</v>
      </c>
      <c r="B17404" s="17">
        <f t="array" ref="B17404">SUM(1-'Sparkling Model'!D$2:D$38^A17404)</f>
        <v>36.99937223</v>
      </c>
      <c r="C17404" s="8">
        <f t="array" ref="C17404">PRODUCT(1-'Sparkling Model'!D$2:D$38^A17404)</f>
        <v>0.999372362</v>
      </c>
    </row>
    <row r="17405">
      <c r="A17405" s="6">
        <v>17403.0</v>
      </c>
      <c r="B17405" s="17">
        <f t="array" ref="B17405">SUM(1-'Sparkling Model'!D$2:D$38^A17405)</f>
        <v>36.99937254</v>
      </c>
      <c r="C17405" s="8">
        <f t="array" ref="C17405">PRODUCT(1-'Sparkling Model'!D$2:D$38^A17405)</f>
        <v>0.9993726709</v>
      </c>
    </row>
    <row r="17406">
      <c r="A17406" s="6">
        <v>17404.0</v>
      </c>
      <c r="B17406" s="17">
        <f t="array" ref="B17406">SUM(1-'Sparkling Model'!D$2:D$38^A17406)</f>
        <v>36.99937285</v>
      </c>
      <c r="C17406" s="8">
        <f t="array" ref="C17406">PRODUCT(1-'Sparkling Model'!D$2:D$38^A17406)</f>
        <v>0.9993729796</v>
      </c>
    </row>
    <row r="17407">
      <c r="A17407" s="6">
        <v>17405.0</v>
      </c>
      <c r="B17407" s="17">
        <f t="array" ref="B17407">SUM(1-'Sparkling Model'!D$2:D$38^A17407)</f>
        <v>36.99937315</v>
      </c>
      <c r="C17407" s="8">
        <f t="array" ref="C17407">PRODUCT(1-'Sparkling Model'!D$2:D$38^A17407)</f>
        <v>0.9993732881</v>
      </c>
    </row>
    <row r="17408">
      <c r="A17408" s="6">
        <v>17406.0</v>
      </c>
      <c r="B17408" s="17">
        <f t="array" ref="B17408">SUM(1-'Sparkling Model'!D$2:D$38^A17408)</f>
        <v>36.99937346</v>
      </c>
      <c r="C17408" s="8">
        <f t="array" ref="C17408">PRODUCT(1-'Sparkling Model'!D$2:D$38^A17408)</f>
        <v>0.9993735965</v>
      </c>
    </row>
    <row r="17409">
      <c r="A17409" s="6">
        <v>17407.0</v>
      </c>
      <c r="B17409" s="17">
        <f t="array" ref="B17409">SUM(1-'Sparkling Model'!D$2:D$38^A17409)</f>
        <v>36.99937377</v>
      </c>
      <c r="C17409" s="8">
        <f t="array" ref="C17409">PRODUCT(1-'Sparkling Model'!D$2:D$38^A17409)</f>
        <v>0.9993739047</v>
      </c>
    </row>
    <row r="17410">
      <c r="A17410" s="6">
        <v>17408.0</v>
      </c>
      <c r="B17410" s="17">
        <f t="array" ref="B17410">SUM(1-'Sparkling Model'!D$2:D$38^A17410)</f>
        <v>36.99937408</v>
      </c>
      <c r="C17410" s="8">
        <f t="array" ref="C17410">PRODUCT(1-'Sparkling Model'!D$2:D$38^A17410)</f>
        <v>0.9993742128</v>
      </c>
    </row>
    <row r="17411">
      <c r="A17411" s="6">
        <v>17409.0</v>
      </c>
      <c r="B17411" s="17">
        <f t="array" ref="B17411">SUM(1-'Sparkling Model'!D$2:D$38^A17411)</f>
        <v>36.99937439</v>
      </c>
      <c r="C17411" s="8">
        <f t="array" ref="C17411">PRODUCT(1-'Sparkling Model'!D$2:D$38^A17411)</f>
        <v>0.9993745207</v>
      </c>
    </row>
    <row r="17412">
      <c r="A17412" s="6">
        <v>17410.0</v>
      </c>
      <c r="B17412" s="17">
        <f t="array" ref="B17412">SUM(1-'Sparkling Model'!D$2:D$38^A17412)</f>
        <v>36.99937469</v>
      </c>
      <c r="C17412" s="8">
        <f t="array" ref="C17412">PRODUCT(1-'Sparkling Model'!D$2:D$38^A17412)</f>
        <v>0.9993748285</v>
      </c>
    </row>
    <row r="17413">
      <c r="A17413" s="6">
        <v>17411.0</v>
      </c>
      <c r="B17413" s="17">
        <f t="array" ref="B17413">SUM(1-'Sparkling Model'!D$2:D$38^A17413)</f>
        <v>36.999375</v>
      </c>
      <c r="C17413" s="8">
        <f t="array" ref="C17413">PRODUCT(1-'Sparkling Model'!D$2:D$38^A17413)</f>
        <v>0.9993751361</v>
      </c>
    </row>
    <row r="17414">
      <c r="A17414" s="6">
        <v>17412.0</v>
      </c>
      <c r="B17414" s="17">
        <f t="array" ref="B17414">SUM(1-'Sparkling Model'!D$2:D$38^A17414)</f>
        <v>36.99937531</v>
      </c>
      <c r="C17414" s="8">
        <f t="array" ref="C17414">PRODUCT(1-'Sparkling Model'!D$2:D$38^A17414)</f>
        <v>0.9993754436</v>
      </c>
    </row>
    <row r="17415">
      <c r="A17415" s="6">
        <v>17413.0</v>
      </c>
      <c r="B17415" s="17">
        <f t="array" ref="B17415">SUM(1-'Sparkling Model'!D$2:D$38^A17415)</f>
        <v>36.99937562</v>
      </c>
      <c r="C17415" s="8">
        <f t="array" ref="C17415">PRODUCT(1-'Sparkling Model'!D$2:D$38^A17415)</f>
        <v>0.9993757509</v>
      </c>
    </row>
    <row r="17416">
      <c r="A17416" s="6">
        <v>17414.0</v>
      </c>
      <c r="B17416" s="17">
        <f t="array" ref="B17416">SUM(1-'Sparkling Model'!D$2:D$38^A17416)</f>
        <v>36.99937593</v>
      </c>
      <c r="C17416" s="8">
        <f t="array" ref="C17416">PRODUCT(1-'Sparkling Model'!D$2:D$38^A17416)</f>
        <v>0.9993760581</v>
      </c>
    </row>
    <row r="17417">
      <c r="A17417" s="6">
        <v>17415.0</v>
      </c>
      <c r="B17417" s="17">
        <f t="array" ref="B17417">SUM(1-'Sparkling Model'!D$2:D$38^A17417)</f>
        <v>36.99937623</v>
      </c>
      <c r="C17417" s="8">
        <f t="array" ref="C17417">PRODUCT(1-'Sparkling Model'!D$2:D$38^A17417)</f>
        <v>0.9993763651</v>
      </c>
    </row>
    <row r="17418">
      <c r="A17418" s="6">
        <v>17416.0</v>
      </c>
      <c r="B17418" s="17">
        <f t="array" ref="B17418">SUM(1-'Sparkling Model'!D$2:D$38^A17418)</f>
        <v>36.99937654</v>
      </c>
      <c r="C17418" s="8">
        <f t="array" ref="C17418">PRODUCT(1-'Sparkling Model'!D$2:D$38^A17418)</f>
        <v>0.999376672</v>
      </c>
    </row>
    <row r="17419">
      <c r="A17419" s="6">
        <v>17417.0</v>
      </c>
      <c r="B17419" s="17">
        <f t="array" ref="B17419">SUM(1-'Sparkling Model'!D$2:D$38^A17419)</f>
        <v>36.99937685</v>
      </c>
      <c r="C17419" s="8">
        <f t="array" ref="C17419">PRODUCT(1-'Sparkling Model'!D$2:D$38^A17419)</f>
        <v>0.9993769787</v>
      </c>
    </row>
    <row r="17420">
      <c r="A17420" s="6">
        <v>17418.0</v>
      </c>
      <c r="B17420" s="17">
        <f t="array" ref="B17420">SUM(1-'Sparkling Model'!D$2:D$38^A17420)</f>
        <v>36.99937715</v>
      </c>
      <c r="C17420" s="8">
        <f t="array" ref="C17420">PRODUCT(1-'Sparkling Model'!D$2:D$38^A17420)</f>
        <v>0.9993772853</v>
      </c>
    </row>
    <row r="17421">
      <c r="A17421" s="6">
        <v>17419.0</v>
      </c>
      <c r="B17421" s="17">
        <f t="array" ref="B17421">SUM(1-'Sparkling Model'!D$2:D$38^A17421)</f>
        <v>36.99937746</v>
      </c>
      <c r="C17421" s="8">
        <f t="array" ref="C17421">PRODUCT(1-'Sparkling Model'!D$2:D$38^A17421)</f>
        <v>0.9993775917</v>
      </c>
    </row>
    <row r="17422">
      <c r="A17422" s="6">
        <v>17420.0</v>
      </c>
      <c r="B17422" s="17">
        <f t="array" ref="B17422">SUM(1-'Sparkling Model'!D$2:D$38^A17422)</f>
        <v>36.99937777</v>
      </c>
      <c r="C17422" s="8">
        <f t="array" ref="C17422">PRODUCT(1-'Sparkling Model'!D$2:D$38^A17422)</f>
        <v>0.999377898</v>
      </c>
    </row>
    <row r="17423">
      <c r="A17423" s="6">
        <v>17421.0</v>
      </c>
      <c r="B17423" s="17">
        <f t="array" ref="B17423">SUM(1-'Sparkling Model'!D$2:D$38^A17423)</f>
        <v>36.99937807</v>
      </c>
      <c r="C17423" s="8">
        <f t="array" ref="C17423">PRODUCT(1-'Sparkling Model'!D$2:D$38^A17423)</f>
        <v>0.9993782041</v>
      </c>
    </row>
    <row r="17424">
      <c r="A17424" s="6">
        <v>17422.0</v>
      </c>
      <c r="B17424" s="17">
        <f t="array" ref="B17424">SUM(1-'Sparkling Model'!D$2:D$38^A17424)</f>
        <v>36.99937838</v>
      </c>
      <c r="C17424" s="8">
        <f t="array" ref="C17424">PRODUCT(1-'Sparkling Model'!D$2:D$38^A17424)</f>
        <v>0.99937851</v>
      </c>
    </row>
    <row r="17425">
      <c r="A17425" s="6">
        <v>17423.0</v>
      </c>
      <c r="B17425" s="17">
        <f t="array" ref="B17425">SUM(1-'Sparkling Model'!D$2:D$38^A17425)</f>
        <v>36.99937868</v>
      </c>
      <c r="C17425" s="8">
        <f t="array" ref="C17425">PRODUCT(1-'Sparkling Model'!D$2:D$38^A17425)</f>
        <v>0.9993788158</v>
      </c>
    </row>
    <row r="17426">
      <c r="A17426" s="6">
        <v>17424.0</v>
      </c>
      <c r="B17426" s="17">
        <f t="array" ref="B17426">SUM(1-'Sparkling Model'!D$2:D$38^A17426)</f>
        <v>36.99937899</v>
      </c>
      <c r="C17426" s="8">
        <f t="array" ref="C17426">PRODUCT(1-'Sparkling Model'!D$2:D$38^A17426)</f>
        <v>0.9993791215</v>
      </c>
    </row>
    <row r="17427">
      <c r="A17427" s="6">
        <v>17425.0</v>
      </c>
      <c r="B17427" s="17">
        <f t="array" ref="B17427">SUM(1-'Sparkling Model'!D$2:D$38^A17427)</f>
        <v>36.9993793</v>
      </c>
      <c r="C17427" s="8">
        <f t="array" ref="C17427">PRODUCT(1-'Sparkling Model'!D$2:D$38^A17427)</f>
        <v>0.999379427</v>
      </c>
    </row>
    <row r="17428">
      <c r="A17428" s="6">
        <v>17426.0</v>
      </c>
      <c r="B17428" s="17">
        <f t="array" ref="B17428">SUM(1-'Sparkling Model'!D$2:D$38^A17428)</f>
        <v>36.9993796</v>
      </c>
      <c r="C17428" s="8">
        <f t="array" ref="C17428">PRODUCT(1-'Sparkling Model'!D$2:D$38^A17428)</f>
        <v>0.9993797324</v>
      </c>
    </row>
    <row r="17429">
      <c r="A17429" s="6">
        <v>17427.0</v>
      </c>
      <c r="B17429" s="17">
        <f t="array" ref="B17429">SUM(1-'Sparkling Model'!D$2:D$38^A17429)</f>
        <v>36.99937991</v>
      </c>
      <c r="C17429" s="8">
        <f t="array" ref="C17429">PRODUCT(1-'Sparkling Model'!D$2:D$38^A17429)</f>
        <v>0.9993800376</v>
      </c>
    </row>
    <row r="17430">
      <c r="A17430" s="6">
        <v>17428.0</v>
      </c>
      <c r="B17430" s="17">
        <f t="array" ref="B17430">SUM(1-'Sparkling Model'!D$2:D$38^A17430)</f>
        <v>36.99938021</v>
      </c>
      <c r="C17430" s="8">
        <f t="array" ref="C17430">PRODUCT(1-'Sparkling Model'!D$2:D$38^A17430)</f>
        <v>0.9993803426</v>
      </c>
    </row>
    <row r="17431">
      <c r="A17431" s="6">
        <v>17429.0</v>
      </c>
      <c r="B17431" s="17">
        <f t="array" ref="B17431">SUM(1-'Sparkling Model'!D$2:D$38^A17431)</f>
        <v>36.99938052</v>
      </c>
      <c r="C17431" s="8">
        <f t="array" ref="C17431">PRODUCT(1-'Sparkling Model'!D$2:D$38^A17431)</f>
        <v>0.9993806475</v>
      </c>
    </row>
    <row r="17432">
      <c r="A17432" s="6">
        <v>17430.0</v>
      </c>
      <c r="B17432" s="17">
        <f t="array" ref="B17432">SUM(1-'Sparkling Model'!D$2:D$38^A17432)</f>
        <v>36.99938082</v>
      </c>
      <c r="C17432" s="8">
        <f t="array" ref="C17432">PRODUCT(1-'Sparkling Model'!D$2:D$38^A17432)</f>
        <v>0.9993809523</v>
      </c>
    </row>
    <row r="17433">
      <c r="A17433" s="6">
        <v>17431.0</v>
      </c>
      <c r="B17433" s="17">
        <f t="array" ref="B17433">SUM(1-'Sparkling Model'!D$2:D$38^A17433)</f>
        <v>36.99938113</v>
      </c>
      <c r="C17433" s="8">
        <f t="array" ref="C17433">PRODUCT(1-'Sparkling Model'!D$2:D$38^A17433)</f>
        <v>0.9993812569</v>
      </c>
    </row>
    <row r="17434">
      <c r="A17434" s="6">
        <v>17432.0</v>
      </c>
      <c r="B17434" s="17">
        <f t="array" ref="B17434">SUM(1-'Sparkling Model'!D$2:D$38^A17434)</f>
        <v>36.99938143</v>
      </c>
      <c r="C17434" s="8">
        <f t="array" ref="C17434">PRODUCT(1-'Sparkling Model'!D$2:D$38^A17434)</f>
        <v>0.9993815614</v>
      </c>
    </row>
    <row r="17435">
      <c r="A17435" s="6">
        <v>17433.0</v>
      </c>
      <c r="B17435" s="17">
        <f t="array" ref="B17435">SUM(1-'Sparkling Model'!D$2:D$38^A17435)</f>
        <v>36.99938174</v>
      </c>
      <c r="C17435" s="8">
        <f t="array" ref="C17435">PRODUCT(1-'Sparkling Model'!D$2:D$38^A17435)</f>
        <v>0.9993818657</v>
      </c>
    </row>
    <row r="17436">
      <c r="A17436" s="6">
        <v>17434.0</v>
      </c>
      <c r="B17436" s="17">
        <f t="array" ref="B17436">SUM(1-'Sparkling Model'!D$2:D$38^A17436)</f>
        <v>36.99938204</v>
      </c>
      <c r="C17436" s="8">
        <f t="array" ref="C17436">PRODUCT(1-'Sparkling Model'!D$2:D$38^A17436)</f>
        <v>0.9993821698</v>
      </c>
    </row>
    <row r="17437">
      <c r="A17437" s="6">
        <v>17435.0</v>
      </c>
      <c r="B17437" s="17">
        <f t="array" ref="B17437">SUM(1-'Sparkling Model'!D$2:D$38^A17437)</f>
        <v>36.99938234</v>
      </c>
      <c r="C17437" s="8">
        <f t="array" ref="C17437">PRODUCT(1-'Sparkling Model'!D$2:D$38^A17437)</f>
        <v>0.9993824738</v>
      </c>
    </row>
    <row r="17438">
      <c r="A17438" s="6">
        <v>17436.0</v>
      </c>
      <c r="B17438" s="17">
        <f t="array" ref="B17438">SUM(1-'Sparkling Model'!D$2:D$38^A17438)</f>
        <v>36.99938265</v>
      </c>
      <c r="C17438" s="8">
        <f t="array" ref="C17438">PRODUCT(1-'Sparkling Model'!D$2:D$38^A17438)</f>
        <v>0.9993827777</v>
      </c>
    </row>
    <row r="17439">
      <c r="A17439" s="6">
        <v>17437.0</v>
      </c>
      <c r="B17439" s="17">
        <f t="array" ref="B17439">SUM(1-'Sparkling Model'!D$2:D$38^A17439)</f>
        <v>36.99938295</v>
      </c>
      <c r="C17439" s="8">
        <f t="array" ref="C17439">PRODUCT(1-'Sparkling Model'!D$2:D$38^A17439)</f>
        <v>0.9993830814</v>
      </c>
    </row>
    <row r="17440">
      <c r="A17440" s="6">
        <v>17438.0</v>
      </c>
      <c r="B17440" s="17">
        <f t="array" ref="B17440">SUM(1-'Sparkling Model'!D$2:D$38^A17440)</f>
        <v>36.99938325</v>
      </c>
      <c r="C17440" s="8">
        <f t="array" ref="C17440">PRODUCT(1-'Sparkling Model'!D$2:D$38^A17440)</f>
        <v>0.9993833849</v>
      </c>
    </row>
    <row r="17441">
      <c r="A17441" s="6">
        <v>17439.0</v>
      </c>
      <c r="B17441" s="17">
        <f t="array" ref="B17441">SUM(1-'Sparkling Model'!D$2:D$38^A17441)</f>
        <v>36.99938356</v>
      </c>
      <c r="C17441" s="8">
        <f t="array" ref="C17441">PRODUCT(1-'Sparkling Model'!D$2:D$38^A17441)</f>
        <v>0.9993836883</v>
      </c>
    </row>
    <row r="17442">
      <c r="A17442" s="6">
        <v>17440.0</v>
      </c>
      <c r="B17442" s="17">
        <f t="array" ref="B17442">SUM(1-'Sparkling Model'!D$2:D$38^A17442)</f>
        <v>36.99938386</v>
      </c>
      <c r="C17442" s="8">
        <f t="array" ref="C17442">PRODUCT(1-'Sparkling Model'!D$2:D$38^A17442)</f>
        <v>0.9993839916</v>
      </c>
    </row>
    <row r="17443">
      <c r="A17443" s="6">
        <v>17441.0</v>
      </c>
      <c r="B17443" s="17">
        <f t="array" ref="B17443">SUM(1-'Sparkling Model'!D$2:D$38^A17443)</f>
        <v>36.99938417</v>
      </c>
      <c r="C17443" s="8">
        <f t="array" ref="C17443">PRODUCT(1-'Sparkling Model'!D$2:D$38^A17443)</f>
        <v>0.9993842947</v>
      </c>
    </row>
    <row r="17444">
      <c r="A17444" s="6">
        <v>17442.0</v>
      </c>
      <c r="B17444" s="17">
        <f t="array" ref="B17444">SUM(1-'Sparkling Model'!D$2:D$38^A17444)</f>
        <v>36.99938447</v>
      </c>
      <c r="C17444" s="8">
        <f t="array" ref="C17444">PRODUCT(1-'Sparkling Model'!D$2:D$38^A17444)</f>
        <v>0.9993845977</v>
      </c>
    </row>
    <row r="17445">
      <c r="A17445" s="6">
        <v>17443.0</v>
      </c>
      <c r="B17445" s="17">
        <f t="array" ref="B17445">SUM(1-'Sparkling Model'!D$2:D$38^A17445)</f>
        <v>36.99938477</v>
      </c>
      <c r="C17445" s="8">
        <f t="array" ref="C17445">PRODUCT(1-'Sparkling Model'!D$2:D$38^A17445)</f>
        <v>0.9993849005</v>
      </c>
    </row>
    <row r="17446">
      <c r="A17446" s="6">
        <v>17444.0</v>
      </c>
      <c r="B17446" s="17">
        <f t="array" ref="B17446">SUM(1-'Sparkling Model'!D$2:D$38^A17446)</f>
        <v>36.99938507</v>
      </c>
      <c r="C17446" s="8">
        <f t="array" ref="C17446">PRODUCT(1-'Sparkling Model'!D$2:D$38^A17446)</f>
        <v>0.9993852031</v>
      </c>
    </row>
    <row r="17447">
      <c r="A17447" s="6">
        <v>17445.0</v>
      </c>
      <c r="B17447" s="17">
        <f t="array" ref="B17447">SUM(1-'Sparkling Model'!D$2:D$38^A17447)</f>
        <v>36.99938538</v>
      </c>
      <c r="C17447" s="8">
        <f t="array" ref="C17447">PRODUCT(1-'Sparkling Model'!D$2:D$38^A17447)</f>
        <v>0.9993855056</v>
      </c>
    </row>
    <row r="17448">
      <c r="A17448" s="6">
        <v>17446.0</v>
      </c>
      <c r="B17448" s="17">
        <f t="array" ref="B17448">SUM(1-'Sparkling Model'!D$2:D$38^A17448)</f>
        <v>36.99938568</v>
      </c>
      <c r="C17448" s="8">
        <f t="array" ref="C17448">PRODUCT(1-'Sparkling Model'!D$2:D$38^A17448)</f>
        <v>0.999385808</v>
      </c>
    </row>
    <row r="17449">
      <c r="A17449" s="6">
        <v>17447.0</v>
      </c>
      <c r="B17449" s="17">
        <f t="array" ref="B17449">SUM(1-'Sparkling Model'!D$2:D$38^A17449)</f>
        <v>36.99938598</v>
      </c>
      <c r="C17449" s="8">
        <f t="array" ref="C17449">PRODUCT(1-'Sparkling Model'!D$2:D$38^A17449)</f>
        <v>0.9993861102</v>
      </c>
    </row>
    <row r="17450">
      <c r="A17450" s="6">
        <v>17448.0</v>
      </c>
      <c r="B17450" s="17">
        <f t="array" ref="B17450">SUM(1-'Sparkling Model'!D$2:D$38^A17450)</f>
        <v>36.99938628</v>
      </c>
      <c r="C17450" s="8">
        <f t="array" ref="C17450">PRODUCT(1-'Sparkling Model'!D$2:D$38^A17450)</f>
        <v>0.9993864123</v>
      </c>
    </row>
    <row r="17451">
      <c r="A17451" s="6">
        <v>17449.0</v>
      </c>
      <c r="B17451" s="17">
        <f t="array" ref="B17451">SUM(1-'Sparkling Model'!D$2:D$38^A17451)</f>
        <v>36.99938659</v>
      </c>
      <c r="C17451" s="8">
        <f t="array" ref="C17451">PRODUCT(1-'Sparkling Model'!D$2:D$38^A17451)</f>
        <v>0.9993867142</v>
      </c>
    </row>
    <row r="17452">
      <c r="A17452" s="6">
        <v>17450.0</v>
      </c>
      <c r="B17452" s="17">
        <f t="array" ref="B17452">SUM(1-'Sparkling Model'!D$2:D$38^A17452)</f>
        <v>36.99938689</v>
      </c>
      <c r="C17452" s="8">
        <f t="array" ref="C17452">PRODUCT(1-'Sparkling Model'!D$2:D$38^A17452)</f>
        <v>0.999387016</v>
      </c>
    </row>
    <row r="17453">
      <c r="A17453" s="6">
        <v>17451.0</v>
      </c>
      <c r="B17453" s="17">
        <f t="array" ref="B17453">SUM(1-'Sparkling Model'!D$2:D$38^A17453)</f>
        <v>36.99938719</v>
      </c>
      <c r="C17453" s="8">
        <f t="array" ref="C17453">PRODUCT(1-'Sparkling Model'!D$2:D$38^A17453)</f>
        <v>0.9993873176</v>
      </c>
    </row>
    <row r="17454">
      <c r="A17454" s="6">
        <v>17452.0</v>
      </c>
      <c r="B17454" s="17">
        <f t="array" ref="B17454">SUM(1-'Sparkling Model'!D$2:D$38^A17454)</f>
        <v>36.99938749</v>
      </c>
      <c r="C17454" s="8">
        <f t="array" ref="C17454">PRODUCT(1-'Sparkling Model'!D$2:D$38^A17454)</f>
        <v>0.999387619</v>
      </c>
    </row>
    <row r="17455">
      <c r="A17455" s="6">
        <v>17453.0</v>
      </c>
      <c r="B17455" s="17">
        <f t="array" ref="B17455">SUM(1-'Sparkling Model'!D$2:D$38^A17455)</f>
        <v>36.99938779</v>
      </c>
      <c r="C17455" s="8">
        <f t="array" ref="C17455">PRODUCT(1-'Sparkling Model'!D$2:D$38^A17455)</f>
        <v>0.9993879204</v>
      </c>
    </row>
    <row r="17456">
      <c r="A17456" s="6">
        <v>17454.0</v>
      </c>
      <c r="B17456" s="17">
        <f t="array" ref="B17456">SUM(1-'Sparkling Model'!D$2:D$38^A17456)</f>
        <v>36.99938809</v>
      </c>
      <c r="C17456" s="8">
        <f t="array" ref="C17456">PRODUCT(1-'Sparkling Model'!D$2:D$38^A17456)</f>
        <v>0.9993882215</v>
      </c>
    </row>
    <row r="17457">
      <c r="A17457" s="6">
        <v>17455.0</v>
      </c>
      <c r="B17457" s="17">
        <f t="array" ref="B17457">SUM(1-'Sparkling Model'!D$2:D$38^A17457)</f>
        <v>36.99938839</v>
      </c>
      <c r="C17457" s="8">
        <f t="array" ref="C17457">PRODUCT(1-'Sparkling Model'!D$2:D$38^A17457)</f>
        <v>0.9993885226</v>
      </c>
    </row>
    <row r="17458">
      <c r="A17458" s="6">
        <v>17456.0</v>
      </c>
      <c r="B17458" s="17">
        <f t="array" ref="B17458">SUM(1-'Sparkling Model'!D$2:D$38^A17458)</f>
        <v>36.9993887</v>
      </c>
      <c r="C17458" s="8">
        <f t="array" ref="C17458">PRODUCT(1-'Sparkling Model'!D$2:D$38^A17458)</f>
        <v>0.9993888234</v>
      </c>
    </row>
    <row r="17459">
      <c r="A17459" s="6">
        <v>17457.0</v>
      </c>
      <c r="B17459" s="17">
        <f t="array" ref="B17459">SUM(1-'Sparkling Model'!D$2:D$38^A17459)</f>
        <v>36.999389</v>
      </c>
      <c r="C17459" s="8">
        <f t="array" ref="C17459">PRODUCT(1-'Sparkling Model'!D$2:D$38^A17459)</f>
        <v>0.9993891242</v>
      </c>
    </row>
    <row r="17460">
      <c r="A17460" s="6">
        <v>17458.0</v>
      </c>
      <c r="B17460" s="17">
        <f t="array" ref="B17460">SUM(1-'Sparkling Model'!D$2:D$38^A17460)</f>
        <v>36.9993893</v>
      </c>
      <c r="C17460" s="8">
        <f t="array" ref="C17460">PRODUCT(1-'Sparkling Model'!D$2:D$38^A17460)</f>
        <v>0.9993894247</v>
      </c>
    </row>
    <row r="17461">
      <c r="A17461" s="6">
        <v>17459.0</v>
      </c>
      <c r="B17461" s="17">
        <f t="array" ref="B17461">SUM(1-'Sparkling Model'!D$2:D$38^A17461)</f>
        <v>36.9993896</v>
      </c>
      <c r="C17461" s="8">
        <f t="array" ref="C17461">PRODUCT(1-'Sparkling Model'!D$2:D$38^A17461)</f>
        <v>0.9993897252</v>
      </c>
    </row>
    <row r="17462">
      <c r="A17462" s="6">
        <v>17460.0</v>
      </c>
      <c r="B17462" s="17">
        <f t="array" ref="B17462">SUM(1-'Sparkling Model'!D$2:D$38^A17462)</f>
        <v>36.9993899</v>
      </c>
      <c r="C17462" s="8">
        <f t="array" ref="C17462">PRODUCT(1-'Sparkling Model'!D$2:D$38^A17462)</f>
        <v>0.9993900254</v>
      </c>
    </row>
    <row r="17463">
      <c r="A17463" s="6">
        <v>17461.0</v>
      </c>
      <c r="B17463" s="17">
        <f t="array" ref="B17463">SUM(1-'Sparkling Model'!D$2:D$38^A17463)</f>
        <v>36.9993902</v>
      </c>
      <c r="C17463" s="8">
        <f t="array" ref="C17463">PRODUCT(1-'Sparkling Model'!D$2:D$38^A17463)</f>
        <v>0.9993903256</v>
      </c>
    </row>
    <row r="17464">
      <c r="A17464" s="6">
        <v>17462.0</v>
      </c>
      <c r="B17464" s="17">
        <f t="array" ref="B17464">SUM(1-'Sparkling Model'!D$2:D$38^A17464)</f>
        <v>36.9993905</v>
      </c>
      <c r="C17464" s="8">
        <f t="array" ref="C17464">PRODUCT(1-'Sparkling Model'!D$2:D$38^A17464)</f>
        <v>0.9993906256</v>
      </c>
    </row>
    <row r="17465">
      <c r="A17465" s="6">
        <v>17463.0</v>
      </c>
      <c r="B17465" s="17">
        <f t="array" ref="B17465">SUM(1-'Sparkling Model'!D$2:D$38^A17465)</f>
        <v>36.9993908</v>
      </c>
      <c r="C17465" s="8">
        <f t="array" ref="C17465">PRODUCT(1-'Sparkling Model'!D$2:D$38^A17465)</f>
        <v>0.9993909254</v>
      </c>
    </row>
    <row r="17466">
      <c r="A17466" s="6">
        <v>17464.0</v>
      </c>
      <c r="B17466" s="17">
        <f t="array" ref="B17466">SUM(1-'Sparkling Model'!D$2:D$38^A17466)</f>
        <v>36.9993911</v>
      </c>
      <c r="C17466" s="8">
        <f t="array" ref="C17466">PRODUCT(1-'Sparkling Model'!D$2:D$38^A17466)</f>
        <v>0.9993912251</v>
      </c>
    </row>
    <row r="17467">
      <c r="A17467" s="6">
        <v>17465.0</v>
      </c>
      <c r="B17467" s="17">
        <f t="array" ref="B17467">SUM(1-'Sparkling Model'!D$2:D$38^A17467)</f>
        <v>36.9993914</v>
      </c>
      <c r="C17467" s="8">
        <f t="array" ref="C17467">PRODUCT(1-'Sparkling Model'!D$2:D$38^A17467)</f>
        <v>0.9993915246</v>
      </c>
    </row>
    <row r="17468">
      <c r="A17468" s="6">
        <v>17466.0</v>
      </c>
      <c r="B17468" s="17">
        <f t="array" ref="B17468">SUM(1-'Sparkling Model'!D$2:D$38^A17468)</f>
        <v>36.9993917</v>
      </c>
      <c r="C17468" s="8">
        <f t="array" ref="C17468">PRODUCT(1-'Sparkling Model'!D$2:D$38^A17468)</f>
        <v>0.999391824</v>
      </c>
    </row>
    <row r="17469">
      <c r="A17469" s="6">
        <v>17467.0</v>
      </c>
      <c r="B17469" s="17">
        <f t="array" ref="B17469">SUM(1-'Sparkling Model'!D$2:D$38^A17469)</f>
        <v>36.999392</v>
      </c>
      <c r="C17469" s="8">
        <f t="array" ref="C17469">PRODUCT(1-'Sparkling Model'!D$2:D$38^A17469)</f>
        <v>0.9993921233</v>
      </c>
    </row>
    <row r="17470">
      <c r="A17470" s="6">
        <v>17468.0</v>
      </c>
      <c r="B17470" s="17">
        <f t="array" ref="B17470">SUM(1-'Sparkling Model'!D$2:D$38^A17470)</f>
        <v>36.9993923</v>
      </c>
      <c r="C17470" s="8">
        <f t="array" ref="C17470">PRODUCT(1-'Sparkling Model'!D$2:D$38^A17470)</f>
        <v>0.9993924224</v>
      </c>
    </row>
    <row r="17471">
      <c r="A17471" s="6">
        <v>17469.0</v>
      </c>
      <c r="B17471" s="17">
        <f t="array" ref="B17471">SUM(1-'Sparkling Model'!D$2:D$38^A17471)</f>
        <v>36.9993926</v>
      </c>
      <c r="C17471" s="8">
        <f t="array" ref="C17471">PRODUCT(1-'Sparkling Model'!D$2:D$38^A17471)</f>
        <v>0.9993927213</v>
      </c>
    </row>
    <row r="17472">
      <c r="A17472" s="6">
        <v>17470.0</v>
      </c>
      <c r="B17472" s="17">
        <f t="array" ref="B17472">SUM(1-'Sparkling Model'!D$2:D$38^A17472)</f>
        <v>36.99939289</v>
      </c>
      <c r="C17472" s="8">
        <f t="array" ref="C17472">PRODUCT(1-'Sparkling Model'!D$2:D$38^A17472)</f>
        <v>0.9993930201</v>
      </c>
    </row>
    <row r="17473">
      <c r="A17473" s="6">
        <v>17471.0</v>
      </c>
      <c r="B17473" s="17">
        <f t="array" ref="B17473">SUM(1-'Sparkling Model'!D$2:D$38^A17473)</f>
        <v>36.99939319</v>
      </c>
      <c r="C17473" s="8">
        <f t="array" ref="C17473">PRODUCT(1-'Sparkling Model'!D$2:D$38^A17473)</f>
        <v>0.9993933188</v>
      </c>
    </row>
    <row r="17474">
      <c r="A17474" s="6">
        <v>17472.0</v>
      </c>
      <c r="B17474" s="17">
        <f t="array" ref="B17474">SUM(1-'Sparkling Model'!D$2:D$38^A17474)</f>
        <v>36.99939349</v>
      </c>
      <c r="C17474" s="8">
        <f t="array" ref="C17474">PRODUCT(1-'Sparkling Model'!D$2:D$38^A17474)</f>
        <v>0.9993936173</v>
      </c>
    </row>
    <row r="17475">
      <c r="A17475" s="6">
        <v>17473.0</v>
      </c>
      <c r="B17475" s="17">
        <f t="array" ref="B17475">SUM(1-'Sparkling Model'!D$2:D$38^A17475)</f>
        <v>36.99939379</v>
      </c>
      <c r="C17475" s="8">
        <f t="array" ref="C17475">PRODUCT(1-'Sparkling Model'!D$2:D$38^A17475)</f>
        <v>0.9993939156</v>
      </c>
    </row>
    <row r="17476">
      <c r="A17476" s="6">
        <v>17474.0</v>
      </c>
      <c r="B17476" s="17">
        <f t="array" ref="B17476">SUM(1-'Sparkling Model'!D$2:D$38^A17476)</f>
        <v>36.99939409</v>
      </c>
      <c r="C17476" s="8">
        <f t="array" ref="C17476">PRODUCT(1-'Sparkling Model'!D$2:D$38^A17476)</f>
        <v>0.9993942139</v>
      </c>
    </row>
    <row r="17477">
      <c r="A17477" s="6">
        <v>17475.0</v>
      </c>
      <c r="B17477" s="17">
        <f t="array" ref="B17477">SUM(1-'Sparkling Model'!D$2:D$38^A17477)</f>
        <v>36.99939439</v>
      </c>
      <c r="C17477" s="8">
        <f t="array" ref="C17477">PRODUCT(1-'Sparkling Model'!D$2:D$38^A17477)</f>
        <v>0.9993945119</v>
      </c>
    </row>
    <row r="17478">
      <c r="A17478" s="6">
        <v>17476.0</v>
      </c>
      <c r="B17478" s="17">
        <f t="array" ref="B17478">SUM(1-'Sparkling Model'!D$2:D$38^A17478)</f>
        <v>36.99939468</v>
      </c>
      <c r="C17478" s="8">
        <f t="array" ref="C17478">PRODUCT(1-'Sparkling Model'!D$2:D$38^A17478)</f>
        <v>0.9993948098</v>
      </c>
    </row>
    <row r="17479">
      <c r="A17479" s="6">
        <v>17477.0</v>
      </c>
      <c r="B17479" s="17">
        <f t="array" ref="B17479">SUM(1-'Sparkling Model'!D$2:D$38^A17479)</f>
        <v>36.99939498</v>
      </c>
      <c r="C17479" s="8">
        <f t="array" ref="C17479">PRODUCT(1-'Sparkling Model'!D$2:D$38^A17479)</f>
        <v>0.9993951076</v>
      </c>
    </row>
    <row r="17480">
      <c r="A17480" s="6">
        <v>17478.0</v>
      </c>
      <c r="B17480" s="17">
        <f t="array" ref="B17480">SUM(1-'Sparkling Model'!D$2:D$38^A17480)</f>
        <v>36.99939528</v>
      </c>
      <c r="C17480" s="8">
        <f t="array" ref="C17480">PRODUCT(1-'Sparkling Model'!D$2:D$38^A17480)</f>
        <v>0.9993954052</v>
      </c>
    </row>
    <row r="17481">
      <c r="A17481" s="6">
        <v>17479.0</v>
      </c>
      <c r="B17481" s="17">
        <f t="array" ref="B17481">SUM(1-'Sparkling Model'!D$2:D$38^A17481)</f>
        <v>36.99939558</v>
      </c>
      <c r="C17481" s="8">
        <f t="array" ref="C17481">PRODUCT(1-'Sparkling Model'!D$2:D$38^A17481)</f>
        <v>0.9993957027</v>
      </c>
    </row>
    <row r="17482">
      <c r="A17482" s="6">
        <v>17480.0</v>
      </c>
      <c r="B17482" s="17">
        <f t="array" ref="B17482">SUM(1-'Sparkling Model'!D$2:D$38^A17482)</f>
        <v>36.99939588</v>
      </c>
      <c r="C17482" s="8">
        <f t="array" ref="C17482">PRODUCT(1-'Sparkling Model'!D$2:D$38^A17482)</f>
        <v>0.9993960001</v>
      </c>
    </row>
    <row r="17483">
      <c r="A17483" s="6">
        <v>17481.0</v>
      </c>
      <c r="B17483" s="17">
        <f t="array" ref="B17483">SUM(1-'Sparkling Model'!D$2:D$38^A17483)</f>
        <v>36.99939617</v>
      </c>
      <c r="C17483" s="8">
        <f t="array" ref="C17483">PRODUCT(1-'Sparkling Model'!D$2:D$38^A17483)</f>
        <v>0.9993962972</v>
      </c>
    </row>
    <row r="17484">
      <c r="A17484" s="6">
        <v>17482.0</v>
      </c>
      <c r="B17484" s="17">
        <f t="array" ref="B17484">SUM(1-'Sparkling Model'!D$2:D$38^A17484)</f>
        <v>36.99939647</v>
      </c>
      <c r="C17484" s="8">
        <f t="array" ref="C17484">PRODUCT(1-'Sparkling Model'!D$2:D$38^A17484)</f>
        <v>0.9993965943</v>
      </c>
    </row>
    <row r="17485">
      <c r="A17485" s="6">
        <v>17483.0</v>
      </c>
      <c r="B17485" s="17">
        <f t="array" ref="B17485">SUM(1-'Sparkling Model'!D$2:D$38^A17485)</f>
        <v>36.99939677</v>
      </c>
      <c r="C17485" s="8">
        <f t="array" ref="C17485">PRODUCT(1-'Sparkling Model'!D$2:D$38^A17485)</f>
        <v>0.9993968912</v>
      </c>
    </row>
    <row r="17486">
      <c r="A17486" s="6">
        <v>17484.0</v>
      </c>
      <c r="B17486" s="17">
        <f t="array" ref="B17486">SUM(1-'Sparkling Model'!D$2:D$38^A17486)</f>
        <v>36.99939706</v>
      </c>
      <c r="C17486" s="8">
        <f t="array" ref="C17486">PRODUCT(1-'Sparkling Model'!D$2:D$38^A17486)</f>
        <v>0.9993971879</v>
      </c>
    </row>
    <row r="17487">
      <c r="A17487" s="6">
        <v>17485.0</v>
      </c>
      <c r="B17487" s="17">
        <f t="array" ref="B17487">SUM(1-'Sparkling Model'!D$2:D$38^A17487)</f>
        <v>36.99939736</v>
      </c>
      <c r="C17487" s="8">
        <f t="array" ref="C17487">PRODUCT(1-'Sparkling Model'!D$2:D$38^A17487)</f>
        <v>0.9993974845</v>
      </c>
    </row>
    <row r="17488">
      <c r="A17488" s="6">
        <v>17486.0</v>
      </c>
      <c r="B17488" s="17">
        <f t="array" ref="B17488">SUM(1-'Sparkling Model'!D$2:D$38^A17488)</f>
        <v>36.99939766</v>
      </c>
      <c r="C17488" s="8">
        <f t="array" ref="C17488">PRODUCT(1-'Sparkling Model'!D$2:D$38^A17488)</f>
        <v>0.999397781</v>
      </c>
    </row>
    <row r="17489">
      <c r="A17489" s="6">
        <v>17487.0</v>
      </c>
      <c r="B17489" s="17">
        <f t="array" ref="B17489">SUM(1-'Sparkling Model'!D$2:D$38^A17489)</f>
        <v>36.99939795</v>
      </c>
      <c r="C17489" s="8">
        <f t="array" ref="C17489">PRODUCT(1-'Sparkling Model'!D$2:D$38^A17489)</f>
        <v>0.9993980773</v>
      </c>
    </row>
    <row r="17490">
      <c r="A17490" s="6">
        <v>17488.0</v>
      </c>
      <c r="B17490" s="17">
        <f t="array" ref="B17490">SUM(1-'Sparkling Model'!D$2:D$38^A17490)</f>
        <v>36.99939825</v>
      </c>
      <c r="C17490" s="8">
        <f t="array" ref="C17490">PRODUCT(1-'Sparkling Model'!D$2:D$38^A17490)</f>
        <v>0.9993983734</v>
      </c>
    </row>
    <row r="17491">
      <c r="A17491" s="6">
        <v>17489.0</v>
      </c>
      <c r="B17491" s="17">
        <f t="array" ref="B17491">SUM(1-'Sparkling Model'!D$2:D$38^A17491)</f>
        <v>36.99939855</v>
      </c>
      <c r="C17491" s="8">
        <f t="array" ref="C17491">PRODUCT(1-'Sparkling Model'!D$2:D$38^A17491)</f>
        <v>0.9993986695</v>
      </c>
    </row>
    <row r="17492">
      <c r="A17492" s="6">
        <v>17490.0</v>
      </c>
      <c r="B17492" s="17">
        <f t="array" ref="B17492">SUM(1-'Sparkling Model'!D$2:D$38^A17492)</f>
        <v>36.99939884</v>
      </c>
      <c r="C17492" s="8">
        <f t="array" ref="C17492">PRODUCT(1-'Sparkling Model'!D$2:D$38^A17492)</f>
        <v>0.9993989653</v>
      </c>
    </row>
    <row r="17493">
      <c r="A17493" s="6">
        <v>17491.0</v>
      </c>
      <c r="B17493" s="17">
        <f t="array" ref="B17493">SUM(1-'Sparkling Model'!D$2:D$38^A17493)</f>
        <v>36.99939914</v>
      </c>
      <c r="C17493" s="8">
        <f t="array" ref="C17493">PRODUCT(1-'Sparkling Model'!D$2:D$38^A17493)</f>
        <v>0.9993992611</v>
      </c>
    </row>
    <row r="17494">
      <c r="A17494" s="6">
        <v>17492.0</v>
      </c>
      <c r="B17494" s="17">
        <f t="array" ref="B17494">SUM(1-'Sparkling Model'!D$2:D$38^A17494)</f>
        <v>36.99939943</v>
      </c>
      <c r="C17494" s="8">
        <f t="array" ref="C17494">PRODUCT(1-'Sparkling Model'!D$2:D$38^A17494)</f>
        <v>0.9993995566</v>
      </c>
    </row>
    <row r="17495">
      <c r="A17495" s="6">
        <v>17493.0</v>
      </c>
      <c r="B17495" s="17">
        <f t="array" ref="B17495">SUM(1-'Sparkling Model'!D$2:D$38^A17495)</f>
        <v>36.99939973</v>
      </c>
      <c r="C17495" s="8">
        <f t="array" ref="C17495">PRODUCT(1-'Sparkling Model'!D$2:D$38^A17495)</f>
        <v>0.9993998521</v>
      </c>
    </row>
    <row r="17496">
      <c r="A17496" s="6">
        <v>17494.0</v>
      </c>
      <c r="B17496" s="17">
        <f t="array" ref="B17496">SUM(1-'Sparkling Model'!D$2:D$38^A17496)</f>
        <v>36.99940002</v>
      </c>
      <c r="C17496" s="8">
        <f t="array" ref="C17496">PRODUCT(1-'Sparkling Model'!D$2:D$38^A17496)</f>
        <v>0.9994001474</v>
      </c>
    </row>
    <row r="17497">
      <c r="A17497" s="6">
        <v>17495.0</v>
      </c>
      <c r="B17497" s="17">
        <f t="array" ref="B17497">SUM(1-'Sparkling Model'!D$2:D$38^A17497)</f>
        <v>36.99940032</v>
      </c>
      <c r="C17497" s="8">
        <f t="array" ref="C17497">PRODUCT(1-'Sparkling Model'!D$2:D$38^A17497)</f>
        <v>0.9994004425</v>
      </c>
    </row>
    <row r="17498">
      <c r="A17498" s="6">
        <v>17496.0</v>
      </c>
      <c r="B17498" s="17">
        <f t="array" ref="B17498">SUM(1-'Sparkling Model'!D$2:D$38^A17498)</f>
        <v>36.99940061</v>
      </c>
      <c r="C17498" s="8">
        <f t="array" ref="C17498">PRODUCT(1-'Sparkling Model'!D$2:D$38^A17498)</f>
        <v>0.9994007375</v>
      </c>
    </row>
    <row r="17499">
      <c r="A17499" s="6">
        <v>17497.0</v>
      </c>
      <c r="B17499" s="17">
        <f t="array" ref="B17499">SUM(1-'Sparkling Model'!D$2:D$38^A17499)</f>
        <v>36.99940091</v>
      </c>
      <c r="C17499" s="8">
        <f t="array" ref="C17499">PRODUCT(1-'Sparkling Model'!D$2:D$38^A17499)</f>
        <v>0.9994010323</v>
      </c>
    </row>
    <row r="17500">
      <c r="A17500" s="6">
        <v>17498.0</v>
      </c>
      <c r="B17500" s="17">
        <f t="array" ref="B17500">SUM(1-'Sparkling Model'!D$2:D$38^A17500)</f>
        <v>36.9994012</v>
      </c>
      <c r="C17500" s="8">
        <f t="array" ref="C17500">PRODUCT(1-'Sparkling Model'!D$2:D$38^A17500)</f>
        <v>0.999401327</v>
      </c>
    </row>
    <row r="17501">
      <c r="A17501" s="6">
        <v>17499.0</v>
      </c>
      <c r="B17501" s="17">
        <f t="array" ref="B17501">SUM(1-'Sparkling Model'!D$2:D$38^A17501)</f>
        <v>36.9994015</v>
      </c>
      <c r="C17501" s="8">
        <f t="array" ref="C17501">PRODUCT(1-'Sparkling Model'!D$2:D$38^A17501)</f>
        <v>0.9994016216</v>
      </c>
    </row>
    <row r="17502">
      <c r="A17502" s="6">
        <v>17500.0</v>
      </c>
      <c r="B17502" s="17">
        <f t="array" ref="B17502">SUM(1-'Sparkling Model'!D$2:D$38^A17502)</f>
        <v>36.99940179</v>
      </c>
      <c r="C17502" s="8">
        <f t="array" ref="C17502">PRODUCT(1-'Sparkling Model'!D$2:D$38^A17502)</f>
        <v>0.999401916</v>
      </c>
    </row>
    <row r="17503">
      <c r="A17503" s="6">
        <v>17501.0</v>
      </c>
      <c r="B17503" s="17">
        <f t="array" ref="B17503">SUM(1-'Sparkling Model'!D$2:D$38^A17503)</f>
        <v>36.99940209</v>
      </c>
      <c r="C17503" s="8">
        <f t="array" ref="C17503">PRODUCT(1-'Sparkling Model'!D$2:D$38^A17503)</f>
        <v>0.9994022103</v>
      </c>
    </row>
    <row r="17504">
      <c r="A17504" s="6">
        <v>17502.0</v>
      </c>
      <c r="B17504" s="17">
        <f t="array" ref="B17504">SUM(1-'Sparkling Model'!D$2:D$38^A17504)</f>
        <v>36.99940238</v>
      </c>
      <c r="C17504" s="8">
        <f t="array" ref="C17504">PRODUCT(1-'Sparkling Model'!D$2:D$38^A17504)</f>
        <v>0.9994025044</v>
      </c>
    </row>
    <row r="17505">
      <c r="A17505" s="6">
        <v>17503.0</v>
      </c>
      <c r="B17505" s="17">
        <f t="array" ref="B17505">SUM(1-'Sparkling Model'!D$2:D$38^A17505)</f>
        <v>36.99940268</v>
      </c>
      <c r="C17505" s="8">
        <f t="array" ref="C17505">PRODUCT(1-'Sparkling Model'!D$2:D$38^A17505)</f>
        <v>0.9994027984</v>
      </c>
    </row>
    <row r="17506">
      <c r="A17506" s="6">
        <v>17504.0</v>
      </c>
      <c r="B17506" s="17">
        <f t="array" ref="B17506">SUM(1-'Sparkling Model'!D$2:D$38^A17506)</f>
        <v>36.99940297</v>
      </c>
      <c r="C17506" s="8">
        <f t="array" ref="C17506">PRODUCT(1-'Sparkling Model'!D$2:D$38^A17506)</f>
        <v>0.9994030922</v>
      </c>
    </row>
    <row r="17507">
      <c r="A17507" s="6">
        <v>17505.0</v>
      </c>
      <c r="B17507" s="17">
        <f t="array" ref="B17507">SUM(1-'Sparkling Model'!D$2:D$38^A17507)</f>
        <v>36.99940326</v>
      </c>
      <c r="C17507" s="8">
        <f t="array" ref="C17507">PRODUCT(1-'Sparkling Model'!D$2:D$38^A17507)</f>
        <v>0.9994033859</v>
      </c>
    </row>
    <row r="17508">
      <c r="A17508" s="6">
        <v>17506.0</v>
      </c>
      <c r="B17508" s="17">
        <f t="array" ref="B17508">SUM(1-'Sparkling Model'!D$2:D$38^A17508)</f>
        <v>36.99940356</v>
      </c>
      <c r="C17508" s="8">
        <f t="array" ref="C17508">PRODUCT(1-'Sparkling Model'!D$2:D$38^A17508)</f>
        <v>0.9994036795</v>
      </c>
    </row>
    <row r="17509">
      <c r="A17509" s="6">
        <v>17507.0</v>
      </c>
      <c r="B17509" s="17">
        <f t="array" ref="B17509">SUM(1-'Sparkling Model'!D$2:D$38^A17509)</f>
        <v>36.99940385</v>
      </c>
      <c r="C17509" s="8">
        <f t="array" ref="C17509">PRODUCT(1-'Sparkling Model'!D$2:D$38^A17509)</f>
        <v>0.9994039729</v>
      </c>
    </row>
    <row r="17510">
      <c r="A17510" s="6">
        <v>17508.0</v>
      </c>
      <c r="B17510" s="17">
        <f t="array" ref="B17510">SUM(1-'Sparkling Model'!D$2:D$38^A17510)</f>
        <v>36.99940414</v>
      </c>
      <c r="C17510" s="8">
        <f t="array" ref="C17510">PRODUCT(1-'Sparkling Model'!D$2:D$38^A17510)</f>
        <v>0.9994042661</v>
      </c>
    </row>
    <row r="17511">
      <c r="A17511" s="6">
        <v>17509.0</v>
      </c>
      <c r="B17511" s="17">
        <f t="array" ref="B17511">SUM(1-'Sparkling Model'!D$2:D$38^A17511)</f>
        <v>36.99940444</v>
      </c>
      <c r="C17511" s="8">
        <f t="array" ref="C17511">PRODUCT(1-'Sparkling Model'!D$2:D$38^A17511)</f>
        <v>0.9994045592</v>
      </c>
    </row>
    <row r="17512">
      <c r="A17512" s="6">
        <v>17510.0</v>
      </c>
      <c r="B17512" s="17">
        <f t="array" ref="B17512">SUM(1-'Sparkling Model'!D$2:D$38^A17512)</f>
        <v>36.99940473</v>
      </c>
      <c r="C17512" s="8">
        <f t="array" ref="C17512">PRODUCT(1-'Sparkling Model'!D$2:D$38^A17512)</f>
        <v>0.9994048522</v>
      </c>
    </row>
    <row r="17513">
      <c r="A17513" s="6">
        <v>17511.0</v>
      </c>
      <c r="B17513" s="17">
        <f t="array" ref="B17513">SUM(1-'Sparkling Model'!D$2:D$38^A17513)</f>
        <v>36.99940502</v>
      </c>
      <c r="C17513" s="8">
        <f t="array" ref="C17513">PRODUCT(1-'Sparkling Model'!D$2:D$38^A17513)</f>
        <v>0.999405145</v>
      </c>
    </row>
    <row r="17514">
      <c r="A17514" s="6">
        <v>17512.0</v>
      </c>
      <c r="B17514" s="17">
        <f t="array" ref="B17514">SUM(1-'Sparkling Model'!D$2:D$38^A17514)</f>
        <v>36.99940532</v>
      </c>
      <c r="C17514" s="8">
        <f t="array" ref="C17514">PRODUCT(1-'Sparkling Model'!D$2:D$38^A17514)</f>
        <v>0.9994054377</v>
      </c>
    </row>
    <row r="17515">
      <c r="A17515" s="6">
        <v>17513.0</v>
      </c>
      <c r="B17515" s="17">
        <f t="array" ref="B17515">SUM(1-'Sparkling Model'!D$2:D$38^A17515)</f>
        <v>36.99940561</v>
      </c>
      <c r="C17515" s="8">
        <f t="array" ref="C17515">PRODUCT(1-'Sparkling Model'!D$2:D$38^A17515)</f>
        <v>0.9994057302</v>
      </c>
    </row>
    <row r="17516">
      <c r="A17516" s="6">
        <v>17514.0</v>
      </c>
      <c r="B17516" s="17">
        <f t="array" ref="B17516">SUM(1-'Sparkling Model'!D$2:D$38^A17516)</f>
        <v>36.9994059</v>
      </c>
      <c r="C17516" s="8">
        <f t="array" ref="C17516">PRODUCT(1-'Sparkling Model'!D$2:D$38^A17516)</f>
        <v>0.9994060226</v>
      </c>
    </row>
    <row r="17517">
      <c r="A17517" s="6">
        <v>17515.0</v>
      </c>
      <c r="B17517" s="17">
        <f t="array" ref="B17517">SUM(1-'Sparkling Model'!D$2:D$38^A17517)</f>
        <v>36.99940619</v>
      </c>
      <c r="C17517" s="8">
        <f t="array" ref="C17517">PRODUCT(1-'Sparkling Model'!D$2:D$38^A17517)</f>
        <v>0.9994063149</v>
      </c>
    </row>
    <row r="17518">
      <c r="A17518" s="6">
        <v>17516.0</v>
      </c>
      <c r="B17518" s="17">
        <f t="array" ref="B17518">SUM(1-'Sparkling Model'!D$2:D$38^A17518)</f>
        <v>36.99940649</v>
      </c>
      <c r="C17518" s="8">
        <f t="array" ref="C17518">PRODUCT(1-'Sparkling Model'!D$2:D$38^A17518)</f>
        <v>0.999406607</v>
      </c>
    </row>
    <row r="17519">
      <c r="A17519" s="6">
        <v>17517.0</v>
      </c>
      <c r="B17519" s="17">
        <f t="array" ref="B17519">SUM(1-'Sparkling Model'!D$2:D$38^A17519)</f>
        <v>36.99940678</v>
      </c>
      <c r="C17519" s="8">
        <f t="array" ref="C17519">PRODUCT(1-'Sparkling Model'!D$2:D$38^A17519)</f>
        <v>0.9994068989</v>
      </c>
    </row>
    <row r="17520">
      <c r="A17520" s="6">
        <v>17518.0</v>
      </c>
      <c r="B17520" s="17">
        <f t="array" ref="B17520">SUM(1-'Sparkling Model'!D$2:D$38^A17520)</f>
        <v>36.99940707</v>
      </c>
      <c r="C17520" s="8">
        <f t="array" ref="C17520">PRODUCT(1-'Sparkling Model'!D$2:D$38^A17520)</f>
        <v>0.9994071907</v>
      </c>
    </row>
    <row r="17521">
      <c r="A17521" s="6">
        <v>17519.0</v>
      </c>
      <c r="B17521" s="17">
        <f t="array" ref="B17521">SUM(1-'Sparkling Model'!D$2:D$38^A17521)</f>
        <v>36.99940736</v>
      </c>
      <c r="C17521" s="8">
        <f t="array" ref="C17521">PRODUCT(1-'Sparkling Model'!D$2:D$38^A17521)</f>
        <v>0.9994074824</v>
      </c>
    </row>
    <row r="17522">
      <c r="A17522" s="6">
        <v>17520.0</v>
      </c>
      <c r="B17522" s="17">
        <f t="array" ref="B17522">SUM(1-'Sparkling Model'!D$2:D$38^A17522)</f>
        <v>36.99940765</v>
      </c>
      <c r="C17522" s="8">
        <f t="array" ref="C17522">PRODUCT(1-'Sparkling Model'!D$2:D$38^A17522)</f>
        <v>0.9994077739</v>
      </c>
    </row>
    <row r="17523">
      <c r="A17523" s="6">
        <v>17521.0</v>
      </c>
      <c r="B17523" s="17">
        <f t="array" ref="B17523">SUM(1-'Sparkling Model'!D$2:D$38^A17523)</f>
        <v>36.99940795</v>
      </c>
      <c r="C17523" s="8">
        <f t="array" ref="C17523">PRODUCT(1-'Sparkling Model'!D$2:D$38^A17523)</f>
        <v>0.9994080653</v>
      </c>
    </row>
    <row r="17524">
      <c r="A17524" s="6">
        <v>17522.0</v>
      </c>
      <c r="B17524" s="17">
        <f t="array" ref="B17524">SUM(1-'Sparkling Model'!D$2:D$38^A17524)</f>
        <v>36.99940824</v>
      </c>
      <c r="C17524" s="8">
        <f t="array" ref="C17524">PRODUCT(1-'Sparkling Model'!D$2:D$38^A17524)</f>
        <v>0.9994083565</v>
      </c>
    </row>
    <row r="17525">
      <c r="A17525" s="6">
        <v>17523.0</v>
      </c>
      <c r="B17525" s="17">
        <f t="array" ref="B17525">SUM(1-'Sparkling Model'!D$2:D$38^A17525)</f>
        <v>36.99940853</v>
      </c>
      <c r="C17525" s="8">
        <f t="array" ref="C17525">PRODUCT(1-'Sparkling Model'!D$2:D$38^A17525)</f>
        <v>0.9994086476</v>
      </c>
    </row>
    <row r="17526">
      <c r="A17526" s="6">
        <v>17524.0</v>
      </c>
      <c r="B17526" s="17">
        <f t="array" ref="B17526">SUM(1-'Sparkling Model'!D$2:D$38^A17526)</f>
        <v>36.99940882</v>
      </c>
      <c r="C17526" s="8">
        <f t="array" ref="C17526">PRODUCT(1-'Sparkling Model'!D$2:D$38^A17526)</f>
        <v>0.9994089386</v>
      </c>
    </row>
    <row r="17527">
      <c r="A17527" s="6">
        <v>17525.0</v>
      </c>
      <c r="B17527" s="17">
        <f t="array" ref="B17527">SUM(1-'Sparkling Model'!D$2:D$38^A17527)</f>
        <v>36.99940911</v>
      </c>
      <c r="C17527" s="8">
        <f t="array" ref="C17527">PRODUCT(1-'Sparkling Model'!D$2:D$38^A17527)</f>
        <v>0.9994092294</v>
      </c>
    </row>
    <row r="17528">
      <c r="A17528" s="6">
        <v>17526.0</v>
      </c>
      <c r="B17528" s="17">
        <f t="array" ref="B17528">SUM(1-'Sparkling Model'!D$2:D$38^A17528)</f>
        <v>36.9994094</v>
      </c>
      <c r="C17528" s="8">
        <f t="array" ref="C17528">PRODUCT(1-'Sparkling Model'!D$2:D$38^A17528)</f>
        <v>0.9994095201</v>
      </c>
    </row>
    <row r="17529">
      <c r="A17529" s="6">
        <v>17527.0</v>
      </c>
      <c r="B17529" s="17">
        <f t="array" ref="B17529">SUM(1-'Sparkling Model'!D$2:D$38^A17529)</f>
        <v>36.99940969</v>
      </c>
      <c r="C17529" s="8">
        <f t="array" ref="C17529">PRODUCT(1-'Sparkling Model'!D$2:D$38^A17529)</f>
        <v>0.9994098106</v>
      </c>
    </row>
    <row r="17530">
      <c r="A17530" s="6">
        <v>17528.0</v>
      </c>
      <c r="B17530" s="17">
        <f t="array" ref="B17530">SUM(1-'Sparkling Model'!D$2:D$38^A17530)</f>
        <v>36.99940998</v>
      </c>
      <c r="C17530" s="8">
        <f t="array" ref="C17530">PRODUCT(1-'Sparkling Model'!D$2:D$38^A17530)</f>
        <v>0.999410101</v>
      </c>
    </row>
    <row r="17531">
      <c r="A17531" s="6">
        <v>17529.0</v>
      </c>
      <c r="B17531" s="17">
        <f t="array" ref="B17531">SUM(1-'Sparkling Model'!D$2:D$38^A17531)</f>
        <v>36.99941027</v>
      </c>
      <c r="C17531" s="8">
        <f t="array" ref="C17531">PRODUCT(1-'Sparkling Model'!D$2:D$38^A17531)</f>
        <v>0.9994103912</v>
      </c>
    </row>
    <row r="17532">
      <c r="A17532" s="6">
        <v>17530.0</v>
      </c>
      <c r="B17532" s="17">
        <f t="array" ref="B17532">SUM(1-'Sparkling Model'!D$2:D$38^A17532)</f>
        <v>36.99941056</v>
      </c>
      <c r="C17532" s="8">
        <f t="array" ref="C17532">PRODUCT(1-'Sparkling Model'!D$2:D$38^A17532)</f>
        <v>0.9994106813</v>
      </c>
    </row>
    <row r="17533">
      <c r="A17533" s="6">
        <v>17531.0</v>
      </c>
      <c r="B17533" s="17">
        <f t="array" ref="B17533">SUM(1-'Sparkling Model'!D$2:D$38^A17533)</f>
        <v>36.99941085</v>
      </c>
      <c r="C17533" s="8">
        <f t="array" ref="C17533">PRODUCT(1-'Sparkling Model'!D$2:D$38^A17533)</f>
        <v>0.9994109712</v>
      </c>
    </row>
    <row r="17534">
      <c r="A17534" s="6">
        <v>17532.0</v>
      </c>
      <c r="B17534" s="17">
        <f t="array" ref="B17534">SUM(1-'Sparkling Model'!D$2:D$38^A17534)</f>
        <v>36.99941114</v>
      </c>
      <c r="C17534" s="8">
        <f t="array" ref="C17534">PRODUCT(1-'Sparkling Model'!D$2:D$38^A17534)</f>
        <v>0.999411261</v>
      </c>
    </row>
    <row r="17535">
      <c r="A17535" s="6">
        <v>17533.0</v>
      </c>
      <c r="B17535" s="17">
        <f t="array" ref="B17535">SUM(1-'Sparkling Model'!D$2:D$38^A17535)</f>
        <v>36.99941143</v>
      </c>
      <c r="C17535" s="8">
        <f t="array" ref="C17535">PRODUCT(1-'Sparkling Model'!D$2:D$38^A17535)</f>
        <v>0.9994115507</v>
      </c>
    </row>
    <row r="17536">
      <c r="A17536" s="6">
        <v>17534.0</v>
      </c>
      <c r="B17536" s="17">
        <f t="array" ref="B17536">SUM(1-'Sparkling Model'!D$2:D$38^A17536)</f>
        <v>36.99941172</v>
      </c>
      <c r="C17536" s="8">
        <f t="array" ref="C17536">PRODUCT(1-'Sparkling Model'!D$2:D$38^A17536)</f>
        <v>0.9994118402</v>
      </c>
    </row>
    <row r="17537">
      <c r="A17537" s="6">
        <v>17535.0</v>
      </c>
      <c r="B17537" s="17">
        <f t="array" ref="B17537">SUM(1-'Sparkling Model'!D$2:D$38^A17537)</f>
        <v>36.99941201</v>
      </c>
      <c r="C17537" s="8">
        <f t="array" ref="C17537">PRODUCT(1-'Sparkling Model'!D$2:D$38^A17537)</f>
        <v>0.9994121296</v>
      </c>
    </row>
    <row r="17538">
      <c r="A17538" s="6">
        <v>17536.0</v>
      </c>
      <c r="B17538" s="17">
        <f t="array" ref="B17538">SUM(1-'Sparkling Model'!D$2:D$38^A17538)</f>
        <v>36.9994123</v>
      </c>
      <c r="C17538" s="8">
        <f t="array" ref="C17538">PRODUCT(1-'Sparkling Model'!D$2:D$38^A17538)</f>
        <v>0.9994124188</v>
      </c>
    </row>
    <row r="17539">
      <c r="A17539" s="6">
        <v>17537.0</v>
      </c>
      <c r="B17539" s="17">
        <f t="array" ref="B17539">SUM(1-'Sparkling Model'!D$2:D$38^A17539)</f>
        <v>36.99941259</v>
      </c>
      <c r="C17539" s="8">
        <f t="array" ref="C17539">PRODUCT(1-'Sparkling Model'!D$2:D$38^A17539)</f>
        <v>0.9994127079</v>
      </c>
    </row>
    <row r="17540">
      <c r="A17540" s="6">
        <v>17538.0</v>
      </c>
      <c r="B17540" s="17">
        <f t="array" ref="B17540">SUM(1-'Sparkling Model'!D$2:D$38^A17540)</f>
        <v>36.99941288</v>
      </c>
      <c r="C17540" s="8">
        <f t="array" ref="C17540">PRODUCT(1-'Sparkling Model'!D$2:D$38^A17540)</f>
        <v>0.9994129969</v>
      </c>
    </row>
    <row r="17541">
      <c r="A17541" s="6">
        <v>17539.0</v>
      </c>
      <c r="B17541" s="17">
        <f t="array" ref="B17541">SUM(1-'Sparkling Model'!D$2:D$38^A17541)</f>
        <v>36.99941317</v>
      </c>
      <c r="C17541" s="8">
        <f t="array" ref="C17541">PRODUCT(1-'Sparkling Model'!D$2:D$38^A17541)</f>
        <v>0.9994132857</v>
      </c>
    </row>
    <row r="17542">
      <c r="A17542" s="6">
        <v>17540.0</v>
      </c>
      <c r="B17542" s="17">
        <f t="array" ref="B17542">SUM(1-'Sparkling Model'!D$2:D$38^A17542)</f>
        <v>36.99941346</v>
      </c>
      <c r="C17542" s="8">
        <f t="array" ref="C17542">PRODUCT(1-'Sparkling Model'!D$2:D$38^A17542)</f>
        <v>0.9994135743</v>
      </c>
    </row>
    <row r="17543">
      <c r="A17543" s="6">
        <v>17541.0</v>
      </c>
      <c r="B17543" s="17">
        <f t="array" ref="B17543">SUM(1-'Sparkling Model'!D$2:D$38^A17543)</f>
        <v>36.99941375</v>
      </c>
      <c r="C17543" s="8">
        <f t="array" ref="C17543">PRODUCT(1-'Sparkling Model'!D$2:D$38^A17543)</f>
        <v>0.9994138629</v>
      </c>
    </row>
    <row r="17544">
      <c r="A17544" s="6">
        <v>17542.0</v>
      </c>
      <c r="B17544" s="17">
        <f t="array" ref="B17544">SUM(1-'Sparkling Model'!D$2:D$38^A17544)</f>
        <v>36.99941403</v>
      </c>
      <c r="C17544" s="8">
        <f t="array" ref="C17544">PRODUCT(1-'Sparkling Model'!D$2:D$38^A17544)</f>
        <v>0.9994141512</v>
      </c>
    </row>
    <row r="17545">
      <c r="A17545" s="6">
        <v>17543.0</v>
      </c>
      <c r="B17545" s="17">
        <f t="array" ref="B17545">SUM(1-'Sparkling Model'!D$2:D$38^A17545)</f>
        <v>36.99941432</v>
      </c>
      <c r="C17545" s="8">
        <f t="array" ref="C17545">PRODUCT(1-'Sparkling Model'!D$2:D$38^A17545)</f>
        <v>0.9994144395</v>
      </c>
    </row>
    <row r="17546">
      <c r="A17546" s="6">
        <v>17544.0</v>
      </c>
      <c r="B17546" s="17">
        <f t="array" ref="B17546">SUM(1-'Sparkling Model'!D$2:D$38^A17546)</f>
        <v>36.99941461</v>
      </c>
      <c r="C17546" s="8">
        <f t="array" ref="C17546">PRODUCT(1-'Sparkling Model'!D$2:D$38^A17546)</f>
        <v>0.9994147276</v>
      </c>
    </row>
    <row r="17547">
      <c r="A17547" s="6">
        <v>17545.0</v>
      </c>
      <c r="B17547" s="17">
        <f t="array" ref="B17547">SUM(1-'Sparkling Model'!D$2:D$38^A17547)</f>
        <v>36.9994149</v>
      </c>
      <c r="C17547" s="8">
        <f t="array" ref="C17547">PRODUCT(1-'Sparkling Model'!D$2:D$38^A17547)</f>
        <v>0.9994150155</v>
      </c>
    </row>
    <row r="17548">
      <c r="A17548" s="6">
        <v>17546.0</v>
      </c>
      <c r="B17548" s="17">
        <f t="array" ref="B17548">SUM(1-'Sparkling Model'!D$2:D$38^A17548)</f>
        <v>36.99941519</v>
      </c>
      <c r="C17548" s="8">
        <f t="array" ref="C17548">PRODUCT(1-'Sparkling Model'!D$2:D$38^A17548)</f>
        <v>0.9994153033</v>
      </c>
    </row>
    <row r="17549">
      <c r="A17549" s="6">
        <v>17547.0</v>
      </c>
      <c r="B17549" s="17">
        <f t="array" ref="B17549">SUM(1-'Sparkling Model'!D$2:D$38^A17549)</f>
        <v>36.99941547</v>
      </c>
      <c r="C17549" s="8">
        <f t="array" ref="C17549">PRODUCT(1-'Sparkling Model'!D$2:D$38^A17549)</f>
        <v>0.999415591</v>
      </c>
    </row>
    <row r="17550">
      <c r="A17550" s="6">
        <v>17548.0</v>
      </c>
      <c r="B17550" s="17">
        <f t="array" ref="B17550">SUM(1-'Sparkling Model'!D$2:D$38^A17550)</f>
        <v>36.99941576</v>
      </c>
      <c r="C17550" s="8">
        <f t="array" ref="C17550">PRODUCT(1-'Sparkling Model'!D$2:D$38^A17550)</f>
        <v>0.9994158785</v>
      </c>
    </row>
    <row r="17551">
      <c r="A17551" s="6">
        <v>17549.0</v>
      </c>
      <c r="B17551" s="17">
        <f t="array" ref="B17551">SUM(1-'Sparkling Model'!D$2:D$38^A17551)</f>
        <v>36.99941605</v>
      </c>
      <c r="C17551" s="8">
        <f t="array" ref="C17551">PRODUCT(1-'Sparkling Model'!D$2:D$38^A17551)</f>
        <v>0.9994161659</v>
      </c>
    </row>
    <row r="17552">
      <c r="A17552" s="6">
        <v>17550.0</v>
      </c>
      <c r="B17552" s="17">
        <f t="array" ref="B17552">SUM(1-'Sparkling Model'!D$2:D$38^A17552)</f>
        <v>36.99941634</v>
      </c>
      <c r="C17552" s="8">
        <f t="array" ref="C17552">PRODUCT(1-'Sparkling Model'!D$2:D$38^A17552)</f>
        <v>0.9994164532</v>
      </c>
    </row>
    <row r="17553">
      <c r="A17553" s="6">
        <v>17551.0</v>
      </c>
      <c r="B17553" s="17">
        <f t="array" ref="B17553">SUM(1-'Sparkling Model'!D$2:D$38^A17553)</f>
        <v>36.99941662</v>
      </c>
      <c r="C17553" s="8">
        <f t="array" ref="C17553">PRODUCT(1-'Sparkling Model'!D$2:D$38^A17553)</f>
        <v>0.9994167403</v>
      </c>
    </row>
    <row r="17554">
      <c r="A17554" s="6">
        <v>17552.0</v>
      </c>
      <c r="B17554" s="17">
        <f t="array" ref="B17554">SUM(1-'Sparkling Model'!D$2:D$38^A17554)</f>
        <v>36.99941691</v>
      </c>
      <c r="C17554" s="8">
        <f t="array" ref="C17554">PRODUCT(1-'Sparkling Model'!D$2:D$38^A17554)</f>
        <v>0.9994170272</v>
      </c>
    </row>
    <row r="17555">
      <c r="A17555" s="6">
        <v>17553.0</v>
      </c>
      <c r="B17555" s="17">
        <f t="array" ref="B17555">SUM(1-'Sparkling Model'!D$2:D$38^A17555)</f>
        <v>36.9994172</v>
      </c>
      <c r="C17555" s="8">
        <f t="array" ref="C17555">PRODUCT(1-'Sparkling Model'!D$2:D$38^A17555)</f>
        <v>0.999417314</v>
      </c>
    </row>
    <row r="17556">
      <c r="A17556" s="6">
        <v>17554.0</v>
      </c>
      <c r="B17556" s="17">
        <f t="array" ref="B17556">SUM(1-'Sparkling Model'!D$2:D$38^A17556)</f>
        <v>36.99941748</v>
      </c>
      <c r="C17556" s="8">
        <f t="array" ref="C17556">PRODUCT(1-'Sparkling Model'!D$2:D$38^A17556)</f>
        <v>0.9994176007</v>
      </c>
    </row>
    <row r="17557">
      <c r="A17557" s="6">
        <v>17555.0</v>
      </c>
      <c r="B17557" s="17">
        <f t="array" ref="B17557">SUM(1-'Sparkling Model'!D$2:D$38^A17557)</f>
        <v>36.99941777</v>
      </c>
      <c r="C17557" s="8">
        <f t="array" ref="C17557">PRODUCT(1-'Sparkling Model'!D$2:D$38^A17557)</f>
        <v>0.9994178873</v>
      </c>
    </row>
    <row r="17558">
      <c r="A17558" s="6">
        <v>17556.0</v>
      </c>
      <c r="B17558" s="17">
        <f t="array" ref="B17558">SUM(1-'Sparkling Model'!D$2:D$38^A17558)</f>
        <v>36.99941806</v>
      </c>
      <c r="C17558" s="8">
        <f t="array" ref="C17558">PRODUCT(1-'Sparkling Model'!D$2:D$38^A17558)</f>
        <v>0.9994181736</v>
      </c>
    </row>
    <row r="17559">
      <c r="A17559" s="6">
        <v>17557.0</v>
      </c>
      <c r="B17559" s="17">
        <f t="array" ref="B17559">SUM(1-'Sparkling Model'!D$2:D$38^A17559)</f>
        <v>36.99941834</v>
      </c>
      <c r="C17559" s="8">
        <f t="array" ref="C17559">PRODUCT(1-'Sparkling Model'!D$2:D$38^A17559)</f>
        <v>0.9994184599</v>
      </c>
    </row>
    <row r="17560">
      <c r="A17560" s="6">
        <v>17558.0</v>
      </c>
      <c r="B17560" s="17">
        <f t="array" ref="B17560">SUM(1-'Sparkling Model'!D$2:D$38^A17560)</f>
        <v>36.99941863</v>
      </c>
      <c r="C17560" s="8">
        <f t="array" ref="C17560">PRODUCT(1-'Sparkling Model'!D$2:D$38^A17560)</f>
        <v>0.999418746</v>
      </c>
    </row>
    <row r="17561">
      <c r="A17561" s="6">
        <v>17559.0</v>
      </c>
      <c r="B17561" s="17">
        <f t="array" ref="B17561">SUM(1-'Sparkling Model'!D$2:D$38^A17561)</f>
        <v>36.99941892</v>
      </c>
      <c r="C17561" s="8">
        <f t="array" ref="C17561">PRODUCT(1-'Sparkling Model'!D$2:D$38^A17561)</f>
        <v>0.999419032</v>
      </c>
    </row>
    <row r="17562">
      <c r="A17562" s="6">
        <v>17560.0</v>
      </c>
      <c r="B17562" s="17">
        <f t="array" ref="B17562">SUM(1-'Sparkling Model'!D$2:D$38^A17562)</f>
        <v>36.9994192</v>
      </c>
      <c r="C17562" s="8">
        <f t="array" ref="C17562">PRODUCT(1-'Sparkling Model'!D$2:D$38^A17562)</f>
        <v>0.9994193178</v>
      </c>
    </row>
    <row r="17563">
      <c r="A17563" s="6">
        <v>17561.0</v>
      </c>
      <c r="B17563" s="17">
        <f t="array" ref="B17563">SUM(1-'Sparkling Model'!D$2:D$38^A17563)</f>
        <v>36.99941949</v>
      </c>
      <c r="C17563" s="8">
        <f t="array" ref="C17563">PRODUCT(1-'Sparkling Model'!D$2:D$38^A17563)</f>
        <v>0.9994196035</v>
      </c>
    </row>
    <row r="17564">
      <c r="A17564" s="6">
        <v>17562.0</v>
      </c>
      <c r="B17564" s="17">
        <f t="array" ref="B17564">SUM(1-'Sparkling Model'!D$2:D$38^A17564)</f>
        <v>36.99941977</v>
      </c>
      <c r="C17564" s="8">
        <f t="array" ref="C17564">PRODUCT(1-'Sparkling Model'!D$2:D$38^A17564)</f>
        <v>0.9994198891</v>
      </c>
    </row>
    <row r="17565">
      <c r="A17565" s="6">
        <v>17563.0</v>
      </c>
      <c r="B17565" s="17">
        <f t="array" ref="B17565">SUM(1-'Sparkling Model'!D$2:D$38^A17565)</f>
        <v>36.99942006</v>
      </c>
      <c r="C17565" s="8">
        <f t="array" ref="C17565">PRODUCT(1-'Sparkling Model'!D$2:D$38^A17565)</f>
        <v>0.9994201745</v>
      </c>
    </row>
    <row r="17566">
      <c r="A17566" s="6">
        <v>17564.0</v>
      </c>
      <c r="B17566" s="17">
        <f t="array" ref="B17566">SUM(1-'Sparkling Model'!D$2:D$38^A17566)</f>
        <v>36.99942034</v>
      </c>
      <c r="C17566" s="8">
        <f t="array" ref="C17566">PRODUCT(1-'Sparkling Model'!D$2:D$38^A17566)</f>
        <v>0.9994204597</v>
      </c>
    </row>
    <row r="17567">
      <c r="A17567" s="6">
        <v>17565.0</v>
      </c>
      <c r="B17567" s="17">
        <f t="array" ref="B17567">SUM(1-'Sparkling Model'!D$2:D$38^A17567)</f>
        <v>36.99942063</v>
      </c>
      <c r="C17567" s="8">
        <f t="array" ref="C17567">PRODUCT(1-'Sparkling Model'!D$2:D$38^A17567)</f>
        <v>0.9994207449</v>
      </c>
    </row>
    <row r="17568">
      <c r="A17568" s="6">
        <v>17566.0</v>
      </c>
      <c r="B17568" s="17">
        <f t="array" ref="B17568">SUM(1-'Sparkling Model'!D$2:D$38^A17568)</f>
        <v>36.99942092</v>
      </c>
      <c r="C17568" s="8">
        <f t="array" ref="C17568">PRODUCT(1-'Sparkling Model'!D$2:D$38^A17568)</f>
        <v>0.9994210298</v>
      </c>
    </row>
    <row r="17569">
      <c r="A17569" s="6">
        <v>17567.0</v>
      </c>
      <c r="B17569" s="17">
        <f t="array" ref="B17569">SUM(1-'Sparkling Model'!D$2:D$38^A17569)</f>
        <v>36.9994212</v>
      </c>
      <c r="C17569" s="8">
        <f t="array" ref="C17569">PRODUCT(1-'Sparkling Model'!D$2:D$38^A17569)</f>
        <v>0.9994213147</v>
      </c>
    </row>
    <row r="17570">
      <c r="A17570" s="6">
        <v>17568.0</v>
      </c>
      <c r="B17570" s="17">
        <f t="array" ref="B17570">SUM(1-'Sparkling Model'!D$2:D$38^A17570)</f>
        <v>36.99942149</v>
      </c>
      <c r="C17570" s="8">
        <f t="array" ref="C17570">PRODUCT(1-'Sparkling Model'!D$2:D$38^A17570)</f>
        <v>0.9994215994</v>
      </c>
    </row>
    <row r="17571">
      <c r="A17571" s="6">
        <v>17569.0</v>
      </c>
      <c r="B17571" s="17">
        <f t="array" ref="B17571">SUM(1-'Sparkling Model'!D$2:D$38^A17571)</f>
        <v>36.99942177</v>
      </c>
      <c r="C17571" s="8">
        <f t="array" ref="C17571">PRODUCT(1-'Sparkling Model'!D$2:D$38^A17571)</f>
        <v>0.999421884</v>
      </c>
    </row>
    <row r="17572">
      <c r="A17572" s="6">
        <v>17570.0</v>
      </c>
      <c r="B17572" s="17">
        <f t="array" ref="B17572">SUM(1-'Sparkling Model'!D$2:D$38^A17572)</f>
        <v>36.99942205</v>
      </c>
      <c r="C17572" s="8">
        <f t="array" ref="C17572">PRODUCT(1-'Sparkling Model'!D$2:D$38^A17572)</f>
        <v>0.9994221684</v>
      </c>
    </row>
    <row r="17573">
      <c r="A17573" s="6">
        <v>17571.0</v>
      </c>
      <c r="B17573" s="17">
        <f t="array" ref="B17573">SUM(1-'Sparkling Model'!D$2:D$38^A17573)</f>
        <v>36.99942234</v>
      </c>
      <c r="C17573" s="8">
        <f t="array" ref="C17573">PRODUCT(1-'Sparkling Model'!D$2:D$38^A17573)</f>
        <v>0.9994224527</v>
      </c>
    </row>
    <row r="17574">
      <c r="A17574" s="6">
        <v>17572.0</v>
      </c>
      <c r="B17574" s="17">
        <f t="array" ref="B17574">SUM(1-'Sparkling Model'!D$2:D$38^A17574)</f>
        <v>36.99942262</v>
      </c>
      <c r="C17574" s="8">
        <f t="array" ref="C17574">PRODUCT(1-'Sparkling Model'!D$2:D$38^A17574)</f>
        <v>0.9994227368</v>
      </c>
    </row>
    <row r="17575">
      <c r="A17575" s="6">
        <v>17573.0</v>
      </c>
      <c r="B17575" s="17">
        <f t="array" ref="B17575">SUM(1-'Sparkling Model'!D$2:D$38^A17575)</f>
        <v>36.99942291</v>
      </c>
      <c r="C17575" s="8">
        <f t="array" ref="C17575">PRODUCT(1-'Sparkling Model'!D$2:D$38^A17575)</f>
        <v>0.9994230208</v>
      </c>
    </row>
    <row r="17576">
      <c r="A17576" s="6">
        <v>17574.0</v>
      </c>
      <c r="B17576" s="17">
        <f t="array" ref="B17576">SUM(1-'Sparkling Model'!D$2:D$38^A17576)</f>
        <v>36.99942319</v>
      </c>
      <c r="C17576" s="8">
        <f t="array" ref="C17576">PRODUCT(1-'Sparkling Model'!D$2:D$38^A17576)</f>
        <v>0.9994233047</v>
      </c>
    </row>
    <row r="17577">
      <c r="A17577" s="6">
        <v>17575.0</v>
      </c>
      <c r="B17577" s="17">
        <f t="array" ref="B17577">SUM(1-'Sparkling Model'!D$2:D$38^A17577)</f>
        <v>36.99942347</v>
      </c>
      <c r="C17577" s="8">
        <f t="array" ref="C17577">PRODUCT(1-'Sparkling Model'!D$2:D$38^A17577)</f>
        <v>0.9994235884</v>
      </c>
    </row>
    <row r="17578">
      <c r="A17578" s="6">
        <v>17576.0</v>
      </c>
      <c r="B17578" s="17">
        <f t="array" ref="B17578">SUM(1-'Sparkling Model'!D$2:D$38^A17578)</f>
        <v>36.99942376</v>
      </c>
      <c r="C17578" s="8">
        <f t="array" ref="C17578">PRODUCT(1-'Sparkling Model'!D$2:D$38^A17578)</f>
        <v>0.999423872</v>
      </c>
    </row>
    <row r="17579">
      <c r="A17579" s="6">
        <v>17577.0</v>
      </c>
      <c r="B17579" s="17">
        <f t="array" ref="B17579">SUM(1-'Sparkling Model'!D$2:D$38^A17579)</f>
        <v>36.99942404</v>
      </c>
      <c r="C17579" s="8">
        <f t="array" ref="C17579">PRODUCT(1-'Sparkling Model'!D$2:D$38^A17579)</f>
        <v>0.9994241554</v>
      </c>
    </row>
    <row r="17580">
      <c r="A17580" s="6">
        <v>17578.0</v>
      </c>
      <c r="B17580" s="17">
        <f t="array" ref="B17580">SUM(1-'Sparkling Model'!D$2:D$38^A17580)</f>
        <v>36.99942433</v>
      </c>
      <c r="C17580" s="8">
        <f t="array" ref="C17580">PRODUCT(1-'Sparkling Model'!D$2:D$38^A17580)</f>
        <v>0.9994244387</v>
      </c>
    </row>
    <row r="17581">
      <c r="A17581" s="6">
        <v>17579.0</v>
      </c>
      <c r="B17581" s="17">
        <f t="array" ref="B17581">SUM(1-'Sparkling Model'!D$2:D$38^A17581)</f>
        <v>36.99942461</v>
      </c>
      <c r="C17581" s="8">
        <f t="array" ref="C17581">PRODUCT(1-'Sparkling Model'!D$2:D$38^A17581)</f>
        <v>0.9994247219</v>
      </c>
    </row>
    <row r="17582">
      <c r="A17582" s="6">
        <v>17580.0</v>
      </c>
      <c r="B17582" s="17">
        <f t="array" ref="B17582">SUM(1-'Sparkling Model'!D$2:D$38^A17582)</f>
        <v>36.99942489</v>
      </c>
      <c r="C17582" s="8">
        <f t="array" ref="C17582">PRODUCT(1-'Sparkling Model'!D$2:D$38^A17582)</f>
        <v>0.9994250049</v>
      </c>
    </row>
    <row r="17583">
      <c r="A17583" s="6">
        <v>17581.0</v>
      </c>
      <c r="B17583" s="17">
        <f t="array" ref="B17583">SUM(1-'Sparkling Model'!D$2:D$38^A17583)</f>
        <v>36.99942517</v>
      </c>
      <c r="C17583" s="8">
        <f t="array" ref="C17583">PRODUCT(1-'Sparkling Model'!D$2:D$38^A17583)</f>
        <v>0.9994252878</v>
      </c>
    </row>
    <row r="17584">
      <c r="A17584" s="6">
        <v>17582.0</v>
      </c>
      <c r="B17584" s="17">
        <f t="array" ref="B17584">SUM(1-'Sparkling Model'!D$2:D$38^A17584)</f>
        <v>36.99942546</v>
      </c>
      <c r="C17584" s="8">
        <f t="array" ref="C17584">PRODUCT(1-'Sparkling Model'!D$2:D$38^A17584)</f>
        <v>0.9994255706</v>
      </c>
    </row>
    <row r="17585">
      <c r="A17585" s="6">
        <v>17583.0</v>
      </c>
      <c r="B17585" s="17">
        <f t="array" ref="B17585">SUM(1-'Sparkling Model'!D$2:D$38^A17585)</f>
        <v>36.99942574</v>
      </c>
      <c r="C17585" s="8">
        <f t="array" ref="C17585">PRODUCT(1-'Sparkling Model'!D$2:D$38^A17585)</f>
        <v>0.9994258532</v>
      </c>
    </row>
    <row r="17586">
      <c r="A17586" s="6">
        <v>17584.0</v>
      </c>
      <c r="B17586" s="17">
        <f t="array" ref="B17586">SUM(1-'Sparkling Model'!D$2:D$38^A17586)</f>
        <v>36.99942602</v>
      </c>
      <c r="C17586" s="8">
        <f t="array" ref="C17586">PRODUCT(1-'Sparkling Model'!D$2:D$38^A17586)</f>
        <v>0.9994261356</v>
      </c>
    </row>
    <row r="17587">
      <c r="A17587" s="6">
        <v>17585.0</v>
      </c>
      <c r="B17587" s="17">
        <f t="array" ref="B17587">SUM(1-'Sparkling Model'!D$2:D$38^A17587)</f>
        <v>36.99942631</v>
      </c>
      <c r="C17587" s="8">
        <f t="array" ref="C17587">PRODUCT(1-'Sparkling Model'!D$2:D$38^A17587)</f>
        <v>0.999426418</v>
      </c>
    </row>
    <row r="17588">
      <c r="A17588" s="6">
        <v>17586.0</v>
      </c>
      <c r="B17588" s="17">
        <f t="array" ref="B17588">SUM(1-'Sparkling Model'!D$2:D$38^A17588)</f>
        <v>36.99942659</v>
      </c>
      <c r="C17588" s="8">
        <f t="array" ref="C17588">PRODUCT(1-'Sparkling Model'!D$2:D$38^A17588)</f>
        <v>0.9994267002</v>
      </c>
    </row>
    <row r="17589">
      <c r="A17589" s="6">
        <v>17587.0</v>
      </c>
      <c r="B17589" s="17">
        <f t="array" ref="B17589">SUM(1-'Sparkling Model'!D$2:D$38^A17589)</f>
        <v>36.99942687</v>
      </c>
      <c r="C17589" s="8">
        <f t="array" ref="C17589">PRODUCT(1-'Sparkling Model'!D$2:D$38^A17589)</f>
        <v>0.9994269822</v>
      </c>
    </row>
    <row r="17590">
      <c r="A17590" s="6">
        <v>17588.0</v>
      </c>
      <c r="B17590" s="17">
        <f t="array" ref="B17590">SUM(1-'Sparkling Model'!D$2:D$38^A17590)</f>
        <v>36.99942715</v>
      </c>
      <c r="C17590" s="8">
        <f t="array" ref="C17590">PRODUCT(1-'Sparkling Model'!D$2:D$38^A17590)</f>
        <v>0.9994272641</v>
      </c>
    </row>
    <row r="17591">
      <c r="A17591" s="6">
        <v>17589.0</v>
      </c>
      <c r="B17591" s="17">
        <f t="array" ref="B17591">SUM(1-'Sparkling Model'!D$2:D$38^A17591)</f>
        <v>36.99942743</v>
      </c>
      <c r="C17591" s="8">
        <f t="array" ref="C17591">PRODUCT(1-'Sparkling Model'!D$2:D$38^A17591)</f>
        <v>0.9994275459</v>
      </c>
    </row>
    <row r="17592">
      <c r="A17592" s="6">
        <v>17590.0</v>
      </c>
      <c r="B17592" s="17">
        <f t="array" ref="B17592">SUM(1-'Sparkling Model'!D$2:D$38^A17592)</f>
        <v>36.99942772</v>
      </c>
      <c r="C17592" s="8">
        <f t="array" ref="C17592">PRODUCT(1-'Sparkling Model'!D$2:D$38^A17592)</f>
        <v>0.9994278275</v>
      </c>
    </row>
    <row r="17593">
      <c r="A17593" s="6">
        <v>17591.0</v>
      </c>
      <c r="B17593" s="17">
        <f t="array" ref="B17593">SUM(1-'Sparkling Model'!D$2:D$38^A17593)</f>
        <v>36.999428</v>
      </c>
      <c r="C17593" s="8">
        <f t="array" ref="C17593">PRODUCT(1-'Sparkling Model'!D$2:D$38^A17593)</f>
        <v>0.999428109</v>
      </c>
    </row>
    <row r="17594">
      <c r="A17594" s="6">
        <v>17592.0</v>
      </c>
      <c r="B17594" s="17">
        <f t="array" ref="B17594">SUM(1-'Sparkling Model'!D$2:D$38^A17594)</f>
        <v>36.99942828</v>
      </c>
      <c r="C17594" s="8">
        <f t="array" ref="C17594">PRODUCT(1-'Sparkling Model'!D$2:D$38^A17594)</f>
        <v>0.9994283904</v>
      </c>
    </row>
    <row r="17595">
      <c r="A17595" s="6">
        <v>17593.0</v>
      </c>
      <c r="B17595" s="17">
        <f t="array" ref="B17595">SUM(1-'Sparkling Model'!D$2:D$38^A17595)</f>
        <v>36.99942856</v>
      </c>
      <c r="C17595" s="8">
        <f t="array" ref="C17595">PRODUCT(1-'Sparkling Model'!D$2:D$38^A17595)</f>
        <v>0.9994286716</v>
      </c>
    </row>
    <row r="17596">
      <c r="A17596" s="6">
        <v>17594.0</v>
      </c>
      <c r="B17596" s="17">
        <f t="array" ref="B17596">SUM(1-'Sparkling Model'!D$2:D$38^A17596)</f>
        <v>36.99942884</v>
      </c>
      <c r="C17596" s="8">
        <f t="array" ref="C17596">PRODUCT(1-'Sparkling Model'!D$2:D$38^A17596)</f>
        <v>0.9994289527</v>
      </c>
    </row>
    <row r="17597">
      <c r="A17597" s="6">
        <v>17595.0</v>
      </c>
      <c r="B17597" s="17">
        <f t="array" ref="B17597">SUM(1-'Sparkling Model'!D$2:D$38^A17597)</f>
        <v>36.99942912</v>
      </c>
      <c r="C17597" s="8">
        <f t="array" ref="C17597">PRODUCT(1-'Sparkling Model'!D$2:D$38^A17597)</f>
        <v>0.9994292336</v>
      </c>
    </row>
    <row r="17598">
      <c r="A17598" s="6">
        <v>17596.0</v>
      </c>
      <c r="B17598" s="17">
        <f t="array" ref="B17598">SUM(1-'Sparkling Model'!D$2:D$38^A17598)</f>
        <v>36.9994294</v>
      </c>
      <c r="C17598" s="8">
        <f t="array" ref="C17598">PRODUCT(1-'Sparkling Model'!D$2:D$38^A17598)</f>
        <v>0.9994295144</v>
      </c>
    </row>
    <row r="17599">
      <c r="A17599" s="6">
        <v>17597.0</v>
      </c>
      <c r="B17599" s="17">
        <f t="array" ref="B17599">SUM(1-'Sparkling Model'!D$2:D$38^A17599)</f>
        <v>36.99942968</v>
      </c>
      <c r="C17599" s="8">
        <f t="array" ref="C17599">PRODUCT(1-'Sparkling Model'!D$2:D$38^A17599)</f>
        <v>0.9994297951</v>
      </c>
    </row>
    <row r="17600">
      <c r="A17600" s="6">
        <v>17598.0</v>
      </c>
      <c r="B17600" s="17">
        <f t="array" ref="B17600">SUM(1-'Sparkling Model'!D$2:D$38^A17600)</f>
        <v>36.99942996</v>
      </c>
      <c r="C17600" s="8">
        <f t="array" ref="C17600">PRODUCT(1-'Sparkling Model'!D$2:D$38^A17600)</f>
        <v>0.9994300756</v>
      </c>
    </row>
    <row r="17601">
      <c r="A17601" s="6">
        <v>17599.0</v>
      </c>
      <c r="B17601" s="17">
        <f t="array" ref="B17601">SUM(1-'Sparkling Model'!D$2:D$38^A17601)</f>
        <v>36.99943025</v>
      </c>
      <c r="C17601" s="8">
        <f t="array" ref="C17601">PRODUCT(1-'Sparkling Model'!D$2:D$38^A17601)</f>
        <v>0.999430356</v>
      </c>
    </row>
    <row r="17602">
      <c r="A17602" s="6">
        <v>17600.0</v>
      </c>
      <c r="B17602" s="17">
        <f t="array" ref="B17602">SUM(1-'Sparkling Model'!D$2:D$38^A17602)</f>
        <v>36.99943053</v>
      </c>
      <c r="C17602" s="8">
        <f t="array" ref="C17602">PRODUCT(1-'Sparkling Model'!D$2:D$38^A17602)</f>
        <v>0.9994306362</v>
      </c>
    </row>
    <row r="17603">
      <c r="A17603" s="6">
        <v>17601.0</v>
      </c>
      <c r="B17603" s="17">
        <f t="array" ref="B17603">SUM(1-'Sparkling Model'!D$2:D$38^A17603)</f>
        <v>36.99943081</v>
      </c>
      <c r="C17603" s="8">
        <f t="array" ref="C17603">PRODUCT(1-'Sparkling Model'!D$2:D$38^A17603)</f>
        <v>0.9994309163</v>
      </c>
    </row>
    <row r="17604">
      <c r="A17604" s="6">
        <v>17602.0</v>
      </c>
      <c r="B17604" s="17">
        <f t="array" ref="B17604">SUM(1-'Sparkling Model'!D$2:D$38^A17604)</f>
        <v>36.99943109</v>
      </c>
      <c r="C17604" s="8">
        <f t="array" ref="C17604">PRODUCT(1-'Sparkling Model'!D$2:D$38^A17604)</f>
        <v>0.9994311963</v>
      </c>
    </row>
    <row r="17605">
      <c r="A17605" s="6">
        <v>17603.0</v>
      </c>
      <c r="B17605" s="17">
        <f t="array" ref="B17605">SUM(1-'Sparkling Model'!D$2:D$38^A17605)</f>
        <v>36.99943137</v>
      </c>
      <c r="C17605" s="8">
        <f t="array" ref="C17605">PRODUCT(1-'Sparkling Model'!D$2:D$38^A17605)</f>
        <v>0.9994314761</v>
      </c>
    </row>
    <row r="17606">
      <c r="A17606" s="6">
        <v>17604.0</v>
      </c>
      <c r="B17606" s="17">
        <f t="array" ref="B17606">SUM(1-'Sparkling Model'!D$2:D$38^A17606)</f>
        <v>36.99943165</v>
      </c>
      <c r="C17606" s="8">
        <f t="array" ref="C17606">PRODUCT(1-'Sparkling Model'!D$2:D$38^A17606)</f>
        <v>0.9994317558</v>
      </c>
    </row>
    <row r="17607">
      <c r="A17607" s="6">
        <v>17605.0</v>
      </c>
      <c r="B17607" s="17">
        <f t="array" ref="B17607">SUM(1-'Sparkling Model'!D$2:D$38^A17607)</f>
        <v>36.99943193</v>
      </c>
      <c r="C17607" s="8">
        <f t="array" ref="C17607">PRODUCT(1-'Sparkling Model'!D$2:D$38^A17607)</f>
        <v>0.9994320354</v>
      </c>
    </row>
    <row r="17608">
      <c r="A17608" s="6">
        <v>17606.0</v>
      </c>
      <c r="B17608" s="17">
        <f t="array" ref="B17608">SUM(1-'Sparkling Model'!D$2:D$38^A17608)</f>
        <v>36.9994322</v>
      </c>
      <c r="C17608" s="8">
        <f t="array" ref="C17608">PRODUCT(1-'Sparkling Model'!D$2:D$38^A17608)</f>
        <v>0.9994323148</v>
      </c>
    </row>
    <row r="17609">
      <c r="A17609" s="6">
        <v>17607.0</v>
      </c>
      <c r="B17609" s="17">
        <f t="array" ref="B17609">SUM(1-'Sparkling Model'!D$2:D$38^A17609)</f>
        <v>36.99943248</v>
      </c>
      <c r="C17609" s="8">
        <f t="array" ref="C17609">PRODUCT(1-'Sparkling Model'!D$2:D$38^A17609)</f>
        <v>0.9994325941</v>
      </c>
    </row>
    <row r="17610">
      <c r="A17610" s="6">
        <v>17608.0</v>
      </c>
      <c r="B17610" s="17">
        <f t="array" ref="B17610">SUM(1-'Sparkling Model'!D$2:D$38^A17610)</f>
        <v>36.99943276</v>
      </c>
      <c r="C17610" s="8">
        <f t="array" ref="C17610">PRODUCT(1-'Sparkling Model'!D$2:D$38^A17610)</f>
        <v>0.9994328732</v>
      </c>
    </row>
    <row r="17611">
      <c r="A17611" s="6">
        <v>17609.0</v>
      </c>
      <c r="B17611" s="17">
        <f t="array" ref="B17611">SUM(1-'Sparkling Model'!D$2:D$38^A17611)</f>
        <v>36.99943304</v>
      </c>
      <c r="C17611" s="8">
        <f t="array" ref="C17611">PRODUCT(1-'Sparkling Model'!D$2:D$38^A17611)</f>
        <v>0.9994331523</v>
      </c>
    </row>
    <row r="17612">
      <c r="A17612" s="6">
        <v>17610.0</v>
      </c>
      <c r="B17612" s="17">
        <f t="array" ref="B17612">SUM(1-'Sparkling Model'!D$2:D$38^A17612)</f>
        <v>36.99943332</v>
      </c>
      <c r="C17612" s="8">
        <f t="array" ref="C17612">PRODUCT(1-'Sparkling Model'!D$2:D$38^A17612)</f>
        <v>0.9994334311</v>
      </c>
    </row>
    <row r="17613">
      <c r="A17613" s="6">
        <v>17611.0</v>
      </c>
      <c r="B17613" s="17">
        <f t="array" ref="B17613">SUM(1-'Sparkling Model'!D$2:D$38^A17613)</f>
        <v>36.9994336</v>
      </c>
      <c r="C17613" s="8">
        <f t="array" ref="C17613">PRODUCT(1-'Sparkling Model'!D$2:D$38^A17613)</f>
        <v>0.9994337099</v>
      </c>
    </row>
    <row r="17614">
      <c r="A17614" s="6">
        <v>17612.0</v>
      </c>
      <c r="B17614" s="17">
        <f t="array" ref="B17614">SUM(1-'Sparkling Model'!D$2:D$38^A17614)</f>
        <v>36.99943388</v>
      </c>
      <c r="C17614" s="8">
        <f t="array" ref="C17614">PRODUCT(1-'Sparkling Model'!D$2:D$38^A17614)</f>
        <v>0.9994339884</v>
      </c>
    </row>
    <row r="17615">
      <c r="A17615" s="6">
        <v>17613.0</v>
      </c>
      <c r="B17615" s="17">
        <f t="array" ref="B17615">SUM(1-'Sparkling Model'!D$2:D$38^A17615)</f>
        <v>36.99943416</v>
      </c>
      <c r="C17615" s="8">
        <f t="array" ref="C17615">PRODUCT(1-'Sparkling Model'!D$2:D$38^A17615)</f>
        <v>0.9994342669</v>
      </c>
    </row>
    <row r="17616">
      <c r="A17616" s="6">
        <v>17614.0</v>
      </c>
      <c r="B17616" s="17">
        <f t="array" ref="B17616">SUM(1-'Sparkling Model'!D$2:D$38^A17616)</f>
        <v>36.99943444</v>
      </c>
      <c r="C17616" s="8">
        <f t="array" ref="C17616">PRODUCT(1-'Sparkling Model'!D$2:D$38^A17616)</f>
        <v>0.9994345452</v>
      </c>
    </row>
    <row r="17617">
      <c r="A17617" s="6">
        <v>17615.0</v>
      </c>
      <c r="B17617" s="17">
        <f t="array" ref="B17617">SUM(1-'Sparkling Model'!D$2:D$38^A17617)</f>
        <v>36.99943471</v>
      </c>
      <c r="C17617" s="8">
        <f t="array" ref="C17617">PRODUCT(1-'Sparkling Model'!D$2:D$38^A17617)</f>
        <v>0.9994348234</v>
      </c>
    </row>
    <row r="17618">
      <c r="A17618" s="6">
        <v>17616.0</v>
      </c>
      <c r="B17618" s="17">
        <f t="array" ref="B17618">SUM(1-'Sparkling Model'!D$2:D$38^A17618)</f>
        <v>36.99943499</v>
      </c>
      <c r="C17618" s="8">
        <f t="array" ref="C17618">PRODUCT(1-'Sparkling Model'!D$2:D$38^A17618)</f>
        <v>0.9994351015</v>
      </c>
    </row>
    <row r="17619">
      <c r="A17619" s="6">
        <v>17617.0</v>
      </c>
      <c r="B17619" s="17">
        <f t="array" ref="B17619">SUM(1-'Sparkling Model'!D$2:D$38^A17619)</f>
        <v>36.99943527</v>
      </c>
      <c r="C17619" s="8">
        <f t="array" ref="C17619">PRODUCT(1-'Sparkling Model'!D$2:D$38^A17619)</f>
        <v>0.9994353794</v>
      </c>
    </row>
    <row r="17620">
      <c r="A17620" s="6">
        <v>17618.0</v>
      </c>
      <c r="B17620" s="17">
        <f t="array" ref="B17620">SUM(1-'Sparkling Model'!D$2:D$38^A17620)</f>
        <v>36.99943555</v>
      </c>
      <c r="C17620" s="8">
        <f t="array" ref="C17620">PRODUCT(1-'Sparkling Model'!D$2:D$38^A17620)</f>
        <v>0.9994356571</v>
      </c>
    </row>
    <row r="17621">
      <c r="A17621" s="6">
        <v>17619.0</v>
      </c>
      <c r="B17621" s="17">
        <f t="array" ref="B17621">SUM(1-'Sparkling Model'!D$2:D$38^A17621)</f>
        <v>36.99943583</v>
      </c>
      <c r="C17621" s="8">
        <f t="array" ref="C17621">PRODUCT(1-'Sparkling Model'!D$2:D$38^A17621)</f>
        <v>0.9994359348</v>
      </c>
    </row>
    <row r="17622">
      <c r="A17622" s="6">
        <v>17620.0</v>
      </c>
      <c r="B17622" s="17">
        <f t="array" ref="B17622">SUM(1-'Sparkling Model'!D$2:D$38^A17622)</f>
        <v>36.9994361</v>
      </c>
      <c r="C17622" s="8">
        <f t="array" ref="C17622">PRODUCT(1-'Sparkling Model'!D$2:D$38^A17622)</f>
        <v>0.9994362123</v>
      </c>
    </row>
    <row r="17623">
      <c r="A17623" s="6">
        <v>17621.0</v>
      </c>
      <c r="B17623" s="17">
        <f t="array" ref="B17623">SUM(1-'Sparkling Model'!D$2:D$38^A17623)</f>
        <v>36.99943638</v>
      </c>
      <c r="C17623" s="8">
        <f t="array" ref="C17623">PRODUCT(1-'Sparkling Model'!D$2:D$38^A17623)</f>
        <v>0.9994364896</v>
      </c>
    </row>
    <row r="17624">
      <c r="A17624" s="6">
        <v>17622.0</v>
      </c>
      <c r="B17624" s="17">
        <f t="array" ref="B17624">SUM(1-'Sparkling Model'!D$2:D$38^A17624)</f>
        <v>36.99943666</v>
      </c>
      <c r="C17624" s="8">
        <f t="array" ref="C17624">PRODUCT(1-'Sparkling Model'!D$2:D$38^A17624)</f>
        <v>0.9994367669</v>
      </c>
    </row>
    <row r="17625">
      <c r="A17625" s="6">
        <v>17623.0</v>
      </c>
      <c r="B17625" s="17">
        <f t="array" ref="B17625">SUM(1-'Sparkling Model'!D$2:D$38^A17625)</f>
        <v>36.99943694</v>
      </c>
      <c r="C17625" s="8">
        <f t="array" ref="C17625">PRODUCT(1-'Sparkling Model'!D$2:D$38^A17625)</f>
        <v>0.9994370439</v>
      </c>
    </row>
    <row r="17626">
      <c r="A17626" s="6">
        <v>17624.0</v>
      </c>
      <c r="B17626" s="17">
        <f t="array" ref="B17626">SUM(1-'Sparkling Model'!D$2:D$38^A17626)</f>
        <v>36.99943721</v>
      </c>
      <c r="C17626" s="8">
        <f t="array" ref="C17626">PRODUCT(1-'Sparkling Model'!D$2:D$38^A17626)</f>
        <v>0.9994373209</v>
      </c>
    </row>
    <row r="17627">
      <c r="A17627" s="6">
        <v>17625.0</v>
      </c>
      <c r="B17627" s="17">
        <f t="array" ref="B17627">SUM(1-'Sparkling Model'!D$2:D$38^A17627)</f>
        <v>36.99943749</v>
      </c>
      <c r="C17627" s="8">
        <f t="array" ref="C17627">PRODUCT(1-'Sparkling Model'!D$2:D$38^A17627)</f>
        <v>0.9994375977</v>
      </c>
    </row>
    <row r="17628">
      <c r="A17628" s="6">
        <v>17626.0</v>
      </c>
      <c r="B17628" s="17">
        <f t="array" ref="B17628">SUM(1-'Sparkling Model'!D$2:D$38^A17628)</f>
        <v>36.99943777</v>
      </c>
      <c r="C17628" s="8">
        <f t="array" ref="C17628">PRODUCT(1-'Sparkling Model'!D$2:D$38^A17628)</f>
        <v>0.9994378744</v>
      </c>
    </row>
    <row r="17629">
      <c r="A17629" s="6">
        <v>17627.0</v>
      </c>
      <c r="B17629" s="17">
        <f t="array" ref="B17629">SUM(1-'Sparkling Model'!D$2:D$38^A17629)</f>
        <v>36.99943804</v>
      </c>
      <c r="C17629" s="8">
        <f t="array" ref="C17629">PRODUCT(1-'Sparkling Model'!D$2:D$38^A17629)</f>
        <v>0.9994381509</v>
      </c>
    </row>
    <row r="17630">
      <c r="A17630" s="6">
        <v>17628.0</v>
      </c>
      <c r="B17630" s="17">
        <f t="array" ref="B17630">SUM(1-'Sparkling Model'!D$2:D$38^A17630)</f>
        <v>36.99943832</v>
      </c>
      <c r="C17630" s="8">
        <f t="array" ref="C17630">PRODUCT(1-'Sparkling Model'!D$2:D$38^A17630)</f>
        <v>0.9994384273</v>
      </c>
    </row>
    <row r="17631">
      <c r="A17631" s="6">
        <v>17629.0</v>
      </c>
      <c r="B17631" s="17">
        <f t="array" ref="B17631">SUM(1-'Sparkling Model'!D$2:D$38^A17631)</f>
        <v>36.9994386</v>
      </c>
      <c r="C17631" s="8">
        <f t="array" ref="C17631">PRODUCT(1-'Sparkling Model'!D$2:D$38^A17631)</f>
        <v>0.9994387036</v>
      </c>
    </row>
    <row r="17632">
      <c r="A17632" s="6">
        <v>17630.0</v>
      </c>
      <c r="B17632" s="17">
        <f t="array" ref="B17632">SUM(1-'Sparkling Model'!D$2:D$38^A17632)</f>
        <v>36.99943887</v>
      </c>
      <c r="C17632" s="8">
        <f t="array" ref="C17632">PRODUCT(1-'Sparkling Model'!D$2:D$38^A17632)</f>
        <v>0.9994389797</v>
      </c>
    </row>
    <row r="17633">
      <c r="A17633" s="6">
        <v>17631.0</v>
      </c>
      <c r="B17633" s="17">
        <f t="array" ref="B17633">SUM(1-'Sparkling Model'!D$2:D$38^A17633)</f>
        <v>36.99943915</v>
      </c>
      <c r="C17633" s="8">
        <f t="array" ref="C17633">PRODUCT(1-'Sparkling Model'!D$2:D$38^A17633)</f>
        <v>0.9994392557</v>
      </c>
    </row>
    <row r="17634">
      <c r="A17634" s="6">
        <v>17632.0</v>
      </c>
      <c r="B17634" s="17">
        <f t="array" ref="B17634">SUM(1-'Sparkling Model'!D$2:D$38^A17634)</f>
        <v>36.99943942</v>
      </c>
      <c r="C17634" s="8">
        <f t="array" ref="C17634">PRODUCT(1-'Sparkling Model'!D$2:D$38^A17634)</f>
        <v>0.9994395316</v>
      </c>
    </row>
    <row r="17635">
      <c r="A17635" s="6">
        <v>17633.0</v>
      </c>
      <c r="B17635" s="17">
        <f t="array" ref="B17635">SUM(1-'Sparkling Model'!D$2:D$38^A17635)</f>
        <v>36.9994397</v>
      </c>
      <c r="C17635" s="8">
        <f t="array" ref="C17635">PRODUCT(1-'Sparkling Model'!D$2:D$38^A17635)</f>
        <v>0.9994398073</v>
      </c>
    </row>
    <row r="17636">
      <c r="A17636" s="6">
        <v>17634.0</v>
      </c>
      <c r="B17636" s="17">
        <f t="array" ref="B17636">SUM(1-'Sparkling Model'!D$2:D$38^A17636)</f>
        <v>36.99943998</v>
      </c>
      <c r="C17636" s="8">
        <f t="array" ref="C17636">PRODUCT(1-'Sparkling Model'!D$2:D$38^A17636)</f>
        <v>0.9994400829</v>
      </c>
    </row>
    <row r="17637">
      <c r="A17637" s="6">
        <v>17635.0</v>
      </c>
      <c r="B17637" s="17">
        <f t="array" ref="B17637">SUM(1-'Sparkling Model'!D$2:D$38^A17637)</f>
        <v>36.99944025</v>
      </c>
      <c r="C17637" s="8">
        <f t="array" ref="C17637">PRODUCT(1-'Sparkling Model'!D$2:D$38^A17637)</f>
        <v>0.9994403584</v>
      </c>
    </row>
    <row r="17638">
      <c r="A17638" s="6">
        <v>17636.0</v>
      </c>
      <c r="B17638" s="17">
        <f t="array" ref="B17638">SUM(1-'Sparkling Model'!D$2:D$38^A17638)</f>
        <v>36.99944053</v>
      </c>
      <c r="C17638" s="8">
        <f t="array" ref="C17638">PRODUCT(1-'Sparkling Model'!D$2:D$38^A17638)</f>
        <v>0.9994406337</v>
      </c>
    </row>
    <row r="17639">
      <c r="A17639" s="6">
        <v>17637.0</v>
      </c>
      <c r="B17639" s="17">
        <f t="array" ref="B17639">SUM(1-'Sparkling Model'!D$2:D$38^A17639)</f>
        <v>36.9994408</v>
      </c>
      <c r="C17639" s="8">
        <f t="array" ref="C17639">PRODUCT(1-'Sparkling Model'!D$2:D$38^A17639)</f>
        <v>0.9994409089</v>
      </c>
    </row>
    <row r="17640">
      <c r="A17640" s="6">
        <v>17638.0</v>
      </c>
      <c r="B17640" s="17">
        <f t="array" ref="B17640">SUM(1-'Sparkling Model'!D$2:D$38^A17640)</f>
        <v>36.99944108</v>
      </c>
      <c r="C17640" s="8">
        <f t="array" ref="C17640">PRODUCT(1-'Sparkling Model'!D$2:D$38^A17640)</f>
        <v>0.9994411839</v>
      </c>
    </row>
    <row r="17641">
      <c r="A17641" s="6">
        <v>17639.0</v>
      </c>
      <c r="B17641" s="17">
        <f t="array" ref="B17641">SUM(1-'Sparkling Model'!D$2:D$38^A17641)</f>
        <v>36.99944135</v>
      </c>
      <c r="C17641" s="8">
        <f t="array" ref="C17641">PRODUCT(1-'Sparkling Model'!D$2:D$38^A17641)</f>
        <v>0.9994414588</v>
      </c>
    </row>
    <row r="17642">
      <c r="A17642" s="6">
        <v>17640.0</v>
      </c>
      <c r="B17642" s="17">
        <f t="array" ref="B17642">SUM(1-'Sparkling Model'!D$2:D$38^A17642)</f>
        <v>36.99944163</v>
      </c>
      <c r="C17642" s="8">
        <f t="array" ref="C17642">PRODUCT(1-'Sparkling Model'!D$2:D$38^A17642)</f>
        <v>0.9994417336</v>
      </c>
    </row>
    <row r="17643">
      <c r="A17643" s="6">
        <v>17641.0</v>
      </c>
      <c r="B17643" s="17">
        <f t="array" ref="B17643">SUM(1-'Sparkling Model'!D$2:D$38^A17643)</f>
        <v>36.9994419</v>
      </c>
      <c r="C17643" s="8">
        <f t="array" ref="C17643">PRODUCT(1-'Sparkling Model'!D$2:D$38^A17643)</f>
        <v>0.9994420082</v>
      </c>
    </row>
    <row r="17644">
      <c r="A17644" s="6">
        <v>17642.0</v>
      </c>
      <c r="B17644" s="17">
        <f t="array" ref="B17644">SUM(1-'Sparkling Model'!D$2:D$38^A17644)</f>
        <v>36.99944218</v>
      </c>
      <c r="C17644" s="8">
        <f t="array" ref="C17644">PRODUCT(1-'Sparkling Model'!D$2:D$38^A17644)</f>
        <v>0.9994422827</v>
      </c>
    </row>
    <row r="17645">
      <c r="A17645" s="6">
        <v>17643.0</v>
      </c>
      <c r="B17645" s="17">
        <f t="array" ref="B17645">SUM(1-'Sparkling Model'!D$2:D$38^A17645)</f>
        <v>36.99944245</v>
      </c>
      <c r="C17645" s="8">
        <f t="array" ref="C17645">PRODUCT(1-'Sparkling Model'!D$2:D$38^A17645)</f>
        <v>0.9994425571</v>
      </c>
    </row>
    <row r="17646">
      <c r="A17646" s="6">
        <v>17644.0</v>
      </c>
      <c r="B17646" s="17">
        <f t="array" ref="B17646">SUM(1-'Sparkling Model'!D$2:D$38^A17646)</f>
        <v>36.99944273</v>
      </c>
      <c r="C17646" s="8">
        <f t="array" ref="C17646">PRODUCT(1-'Sparkling Model'!D$2:D$38^A17646)</f>
        <v>0.9994428313</v>
      </c>
    </row>
    <row r="17647">
      <c r="A17647" s="6">
        <v>17645.0</v>
      </c>
      <c r="B17647" s="17">
        <f t="array" ref="B17647">SUM(1-'Sparkling Model'!D$2:D$38^A17647)</f>
        <v>36.999443</v>
      </c>
      <c r="C17647" s="8">
        <f t="array" ref="C17647">PRODUCT(1-'Sparkling Model'!D$2:D$38^A17647)</f>
        <v>0.9994431054</v>
      </c>
    </row>
    <row r="17648">
      <c r="A17648" s="6">
        <v>17646.0</v>
      </c>
      <c r="B17648" s="17">
        <f t="array" ref="B17648">SUM(1-'Sparkling Model'!D$2:D$38^A17648)</f>
        <v>36.99944327</v>
      </c>
      <c r="C17648" s="8">
        <f t="array" ref="C17648">PRODUCT(1-'Sparkling Model'!D$2:D$38^A17648)</f>
        <v>0.9994433794</v>
      </c>
    </row>
    <row r="17649">
      <c r="A17649" s="6">
        <v>17647.0</v>
      </c>
      <c r="B17649" s="17">
        <f t="array" ref="B17649">SUM(1-'Sparkling Model'!D$2:D$38^A17649)</f>
        <v>36.99944355</v>
      </c>
      <c r="C17649" s="8">
        <f t="array" ref="C17649">PRODUCT(1-'Sparkling Model'!D$2:D$38^A17649)</f>
        <v>0.9994436532</v>
      </c>
    </row>
    <row r="17650">
      <c r="A17650" s="6">
        <v>17648.0</v>
      </c>
      <c r="B17650" s="17">
        <f t="array" ref="B17650">SUM(1-'Sparkling Model'!D$2:D$38^A17650)</f>
        <v>36.99944382</v>
      </c>
      <c r="C17650" s="8">
        <f t="array" ref="C17650">PRODUCT(1-'Sparkling Model'!D$2:D$38^A17650)</f>
        <v>0.9994439269</v>
      </c>
    </row>
    <row r="17651">
      <c r="A17651" s="6">
        <v>17649.0</v>
      </c>
      <c r="B17651" s="17">
        <f t="array" ref="B17651">SUM(1-'Sparkling Model'!D$2:D$38^A17651)</f>
        <v>36.99944409</v>
      </c>
      <c r="C17651" s="8">
        <f t="array" ref="C17651">PRODUCT(1-'Sparkling Model'!D$2:D$38^A17651)</f>
        <v>0.9994442005</v>
      </c>
    </row>
    <row r="17652">
      <c r="A17652" s="6">
        <v>17650.0</v>
      </c>
      <c r="B17652" s="17">
        <f t="array" ref="B17652">SUM(1-'Sparkling Model'!D$2:D$38^A17652)</f>
        <v>36.99944437</v>
      </c>
      <c r="C17652" s="8">
        <f t="array" ref="C17652">PRODUCT(1-'Sparkling Model'!D$2:D$38^A17652)</f>
        <v>0.9994444739</v>
      </c>
    </row>
    <row r="17653">
      <c r="A17653" s="6">
        <v>17651.0</v>
      </c>
      <c r="B17653" s="17">
        <f t="array" ref="B17653">SUM(1-'Sparkling Model'!D$2:D$38^A17653)</f>
        <v>36.99944464</v>
      </c>
      <c r="C17653" s="8">
        <f t="array" ref="C17653">PRODUCT(1-'Sparkling Model'!D$2:D$38^A17653)</f>
        <v>0.9994447472</v>
      </c>
    </row>
    <row r="17654">
      <c r="A17654" s="6">
        <v>17652.0</v>
      </c>
      <c r="B17654" s="17">
        <f t="array" ref="B17654">SUM(1-'Sparkling Model'!D$2:D$38^A17654)</f>
        <v>36.99944492</v>
      </c>
      <c r="C17654" s="8">
        <f t="array" ref="C17654">PRODUCT(1-'Sparkling Model'!D$2:D$38^A17654)</f>
        <v>0.9994450203</v>
      </c>
    </row>
    <row r="17655">
      <c r="A17655" s="6">
        <v>17653.0</v>
      </c>
      <c r="B17655" s="17">
        <f t="array" ref="B17655">SUM(1-'Sparkling Model'!D$2:D$38^A17655)</f>
        <v>36.99944519</v>
      </c>
      <c r="C17655" s="8">
        <f t="array" ref="C17655">PRODUCT(1-'Sparkling Model'!D$2:D$38^A17655)</f>
        <v>0.9994452933</v>
      </c>
    </row>
    <row r="17656">
      <c r="A17656" s="6">
        <v>17654.0</v>
      </c>
      <c r="B17656" s="17">
        <f t="array" ref="B17656">SUM(1-'Sparkling Model'!D$2:D$38^A17656)</f>
        <v>36.99944546</v>
      </c>
      <c r="C17656" s="8">
        <f t="array" ref="C17656">PRODUCT(1-'Sparkling Model'!D$2:D$38^A17656)</f>
        <v>0.9994455662</v>
      </c>
    </row>
    <row r="17657">
      <c r="A17657" s="6">
        <v>17655.0</v>
      </c>
      <c r="B17657" s="17">
        <f t="array" ref="B17657">SUM(1-'Sparkling Model'!D$2:D$38^A17657)</f>
        <v>36.99944573</v>
      </c>
      <c r="C17657" s="8">
        <f t="array" ref="C17657">PRODUCT(1-'Sparkling Model'!D$2:D$38^A17657)</f>
        <v>0.999445839</v>
      </c>
    </row>
    <row r="17658">
      <c r="A17658" s="6">
        <v>17656.0</v>
      </c>
      <c r="B17658" s="17">
        <f t="array" ref="B17658">SUM(1-'Sparkling Model'!D$2:D$38^A17658)</f>
        <v>36.99944601</v>
      </c>
      <c r="C17658" s="8">
        <f t="array" ref="C17658">PRODUCT(1-'Sparkling Model'!D$2:D$38^A17658)</f>
        <v>0.9994461116</v>
      </c>
    </row>
    <row r="17659">
      <c r="A17659" s="6">
        <v>17657.0</v>
      </c>
      <c r="B17659" s="17">
        <f t="array" ref="B17659">SUM(1-'Sparkling Model'!D$2:D$38^A17659)</f>
        <v>36.99944628</v>
      </c>
      <c r="C17659" s="8">
        <f t="array" ref="C17659">PRODUCT(1-'Sparkling Model'!D$2:D$38^A17659)</f>
        <v>0.9994463841</v>
      </c>
    </row>
    <row r="17660">
      <c r="A17660" s="6">
        <v>17658.0</v>
      </c>
      <c r="B17660" s="17">
        <f t="array" ref="B17660">SUM(1-'Sparkling Model'!D$2:D$38^A17660)</f>
        <v>36.99944655</v>
      </c>
      <c r="C17660" s="8">
        <f t="array" ref="C17660">PRODUCT(1-'Sparkling Model'!D$2:D$38^A17660)</f>
        <v>0.9994466564</v>
      </c>
    </row>
    <row r="17661">
      <c r="A17661" s="6">
        <v>17659.0</v>
      </c>
      <c r="B17661" s="17">
        <f t="array" ref="B17661">SUM(1-'Sparkling Model'!D$2:D$38^A17661)</f>
        <v>36.99944682</v>
      </c>
      <c r="C17661" s="8">
        <f t="array" ref="C17661">PRODUCT(1-'Sparkling Model'!D$2:D$38^A17661)</f>
        <v>0.9994469286</v>
      </c>
    </row>
    <row r="17662">
      <c r="A17662" s="6">
        <v>17660.0</v>
      </c>
      <c r="B17662" s="17">
        <f t="array" ref="B17662">SUM(1-'Sparkling Model'!D$2:D$38^A17662)</f>
        <v>36.9994471</v>
      </c>
      <c r="C17662" s="8">
        <f t="array" ref="C17662">PRODUCT(1-'Sparkling Model'!D$2:D$38^A17662)</f>
        <v>0.9994472007</v>
      </c>
    </row>
    <row r="17663">
      <c r="A17663" s="6">
        <v>17661.0</v>
      </c>
      <c r="B17663" s="17">
        <f t="array" ref="B17663">SUM(1-'Sparkling Model'!D$2:D$38^A17663)</f>
        <v>36.99944737</v>
      </c>
      <c r="C17663" s="8">
        <f t="array" ref="C17663">PRODUCT(1-'Sparkling Model'!D$2:D$38^A17663)</f>
        <v>0.9994474727</v>
      </c>
    </row>
    <row r="17664">
      <c r="A17664" s="6">
        <v>17662.0</v>
      </c>
      <c r="B17664" s="17">
        <f t="array" ref="B17664">SUM(1-'Sparkling Model'!D$2:D$38^A17664)</f>
        <v>36.99944764</v>
      </c>
      <c r="C17664" s="8">
        <f t="array" ref="C17664">PRODUCT(1-'Sparkling Model'!D$2:D$38^A17664)</f>
        <v>0.9994477445</v>
      </c>
    </row>
    <row r="17665">
      <c r="A17665" s="6">
        <v>17663.0</v>
      </c>
      <c r="B17665" s="17">
        <f t="array" ref="B17665">SUM(1-'Sparkling Model'!D$2:D$38^A17665)</f>
        <v>36.99944791</v>
      </c>
      <c r="C17665" s="8">
        <f t="array" ref="C17665">PRODUCT(1-'Sparkling Model'!D$2:D$38^A17665)</f>
        <v>0.9994480161</v>
      </c>
    </row>
    <row r="17666">
      <c r="A17666" s="6">
        <v>17664.0</v>
      </c>
      <c r="B17666" s="17">
        <f t="array" ref="B17666">SUM(1-'Sparkling Model'!D$2:D$38^A17666)</f>
        <v>36.99944818</v>
      </c>
      <c r="C17666" s="8">
        <f t="array" ref="C17666">PRODUCT(1-'Sparkling Model'!D$2:D$38^A17666)</f>
        <v>0.9994482877</v>
      </c>
    </row>
    <row r="17667">
      <c r="A17667" s="6">
        <v>17665.0</v>
      </c>
      <c r="B17667" s="17">
        <f t="array" ref="B17667">SUM(1-'Sparkling Model'!D$2:D$38^A17667)</f>
        <v>36.99944846</v>
      </c>
      <c r="C17667" s="8">
        <f t="array" ref="C17667">PRODUCT(1-'Sparkling Model'!D$2:D$38^A17667)</f>
        <v>0.9994485591</v>
      </c>
    </row>
    <row r="17668">
      <c r="A17668" s="6">
        <v>17666.0</v>
      </c>
      <c r="B17668" s="17">
        <f t="array" ref="B17668">SUM(1-'Sparkling Model'!D$2:D$38^A17668)</f>
        <v>36.99944873</v>
      </c>
      <c r="C17668" s="8">
        <f t="array" ref="C17668">PRODUCT(1-'Sparkling Model'!D$2:D$38^A17668)</f>
        <v>0.9994488304</v>
      </c>
    </row>
    <row r="17669">
      <c r="A17669" s="6">
        <v>17667.0</v>
      </c>
      <c r="B17669" s="17">
        <f t="array" ref="B17669">SUM(1-'Sparkling Model'!D$2:D$38^A17669)</f>
        <v>36.999449</v>
      </c>
      <c r="C17669" s="8">
        <f t="array" ref="C17669">PRODUCT(1-'Sparkling Model'!D$2:D$38^A17669)</f>
        <v>0.9994491015</v>
      </c>
    </row>
    <row r="17670">
      <c r="A17670" s="6">
        <v>17668.0</v>
      </c>
      <c r="B17670" s="17">
        <f t="array" ref="B17670">SUM(1-'Sparkling Model'!D$2:D$38^A17670)</f>
        <v>36.99944927</v>
      </c>
      <c r="C17670" s="8">
        <f t="array" ref="C17670">PRODUCT(1-'Sparkling Model'!D$2:D$38^A17670)</f>
        <v>0.9994493725</v>
      </c>
    </row>
    <row r="17671">
      <c r="A17671" s="6">
        <v>17669.0</v>
      </c>
      <c r="B17671" s="17">
        <f t="array" ref="B17671">SUM(1-'Sparkling Model'!D$2:D$38^A17671)</f>
        <v>36.99944954</v>
      </c>
      <c r="C17671" s="8">
        <f t="array" ref="C17671">PRODUCT(1-'Sparkling Model'!D$2:D$38^A17671)</f>
        <v>0.9994496434</v>
      </c>
    </row>
    <row r="17672">
      <c r="A17672" s="6">
        <v>17670.0</v>
      </c>
      <c r="B17672" s="17">
        <f t="array" ref="B17672">SUM(1-'Sparkling Model'!D$2:D$38^A17672)</f>
        <v>36.99944981</v>
      </c>
      <c r="C17672" s="8">
        <f t="array" ref="C17672">PRODUCT(1-'Sparkling Model'!D$2:D$38^A17672)</f>
        <v>0.9994499141</v>
      </c>
    </row>
    <row r="17673">
      <c r="A17673" s="6">
        <v>17671.0</v>
      </c>
      <c r="B17673" s="17">
        <f t="array" ref="B17673">SUM(1-'Sparkling Model'!D$2:D$38^A17673)</f>
        <v>36.99945008</v>
      </c>
      <c r="C17673" s="8">
        <f t="array" ref="C17673">PRODUCT(1-'Sparkling Model'!D$2:D$38^A17673)</f>
        <v>0.9994501847</v>
      </c>
    </row>
    <row r="17674">
      <c r="A17674" s="6">
        <v>17672.0</v>
      </c>
      <c r="B17674" s="17">
        <f t="array" ref="B17674">SUM(1-'Sparkling Model'!D$2:D$38^A17674)</f>
        <v>36.99945035</v>
      </c>
      <c r="C17674" s="8">
        <f t="array" ref="C17674">PRODUCT(1-'Sparkling Model'!D$2:D$38^A17674)</f>
        <v>0.9994504552</v>
      </c>
    </row>
    <row r="17675">
      <c r="A17675" s="6">
        <v>17673.0</v>
      </c>
      <c r="B17675" s="17">
        <f t="array" ref="B17675">SUM(1-'Sparkling Model'!D$2:D$38^A17675)</f>
        <v>36.99945062</v>
      </c>
      <c r="C17675" s="8">
        <f t="array" ref="C17675">PRODUCT(1-'Sparkling Model'!D$2:D$38^A17675)</f>
        <v>0.9994507256</v>
      </c>
    </row>
    <row r="17676">
      <c r="A17676" s="6">
        <v>17674.0</v>
      </c>
      <c r="B17676" s="17">
        <f t="array" ref="B17676">SUM(1-'Sparkling Model'!D$2:D$38^A17676)</f>
        <v>36.99945089</v>
      </c>
      <c r="C17676" s="8">
        <f t="array" ref="C17676">PRODUCT(1-'Sparkling Model'!D$2:D$38^A17676)</f>
        <v>0.9994509958</v>
      </c>
    </row>
    <row r="17677">
      <c r="A17677" s="6">
        <v>17675.0</v>
      </c>
      <c r="B17677" s="17">
        <f t="array" ref="B17677">SUM(1-'Sparkling Model'!D$2:D$38^A17677)</f>
        <v>36.99945116</v>
      </c>
      <c r="C17677" s="8">
        <f t="array" ref="C17677">PRODUCT(1-'Sparkling Model'!D$2:D$38^A17677)</f>
        <v>0.9994512658</v>
      </c>
    </row>
    <row r="17678">
      <c r="A17678" s="6">
        <v>17676.0</v>
      </c>
      <c r="B17678" s="17">
        <f t="array" ref="B17678">SUM(1-'Sparkling Model'!D$2:D$38^A17678)</f>
        <v>36.99945143</v>
      </c>
      <c r="C17678" s="8">
        <f t="array" ref="C17678">PRODUCT(1-'Sparkling Model'!D$2:D$38^A17678)</f>
        <v>0.9994515358</v>
      </c>
    </row>
    <row r="17679">
      <c r="A17679" s="6">
        <v>17677.0</v>
      </c>
      <c r="B17679" s="17">
        <f t="array" ref="B17679">SUM(1-'Sparkling Model'!D$2:D$38^A17679)</f>
        <v>36.9994517</v>
      </c>
      <c r="C17679" s="8">
        <f t="array" ref="C17679">PRODUCT(1-'Sparkling Model'!D$2:D$38^A17679)</f>
        <v>0.9994518056</v>
      </c>
    </row>
    <row r="17680">
      <c r="A17680" s="6">
        <v>17678.0</v>
      </c>
      <c r="B17680" s="17">
        <f t="array" ref="B17680">SUM(1-'Sparkling Model'!D$2:D$38^A17680)</f>
        <v>36.99945197</v>
      </c>
      <c r="C17680" s="8">
        <f t="array" ref="C17680">PRODUCT(1-'Sparkling Model'!D$2:D$38^A17680)</f>
        <v>0.9994520753</v>
      </c>
    </row>
    <row r="17681">
      <c r="A17681" s="6">
        <v>17679.0</v>
      </c>
      <c r="B17681" s="17">
        <f t="array" ref="B17681">SUM(1-'Sparkling Model'!D$2:D$38^A17681)</f>
        <v>36.99945224</v>
      </c>
      <c r="C17681" s="8">
        <f t="array" ref="C17681">PRODUCT(1-'Sparkling Model'!D$2:D$38^A17681)</f>
        <v>0.9994523448</v>
      </c>
    </row>
    <row r="17682">
      <c r="A17682" s="6">
        <v>17680.0</v>
      </c>
      <c r="B17682" s="17">
        <f t="array" ref="B17682">SUM(1-'Sparkling Model'!D$2:D$38^A17682)</f>
        <v>36.99945251</v>
      </c>
      <c r="C17682" s="8">
        <f t="array" ref="C17682">PRODUCT(1-'Sparkling Model'!D$2:D$38^A17682)</f>
        <v>0.9994526142</v>
      </c>
    </row>
    <row r="17683">
      <c r="A17683" s="6">
        <v>17681.0</v>
      </c>
      <c r="B17683" s="17">
        <f t="array" ref="B17683">SUM(1-'Sparkling Model'!D$2:D$38^A17683)</f>
        <v>36.99945278</v>
      </c>
      <c r="C17683" s="8">
        <f t="array" ref="C17683">PRODUCT(1-'Sparkling Model'!D$2:D$38^A17683)</f>
        <v>0.9994528835</v>
      </c>
    </row>
    <row r="17684">
      <c r="A17684" s="6">
        <v>17682.0</v>
      </c>
      <c r="B17684" s="17">
        <f t="array" ref="B17684">SUM(1-'Sparkling Model'!D$2:D$38^A17684)</f>
        <v>36.99945305</v>
      </c>
      <c r="C17684" s="8">
        <f t="array" ref="C17684">PRODUCT(1-'Sparkling Model'!D$2:D$38^A17684)</f>
        <v>0.9994531526</v>
      </c>
    </row>
    <row r="17685">
      <c r="A17685" s="6">
        <v>17683.0</v>
      </c>
      <c r="B17685" s="17">
        <f t="array" ref="B17685">SUM(1-'Sparkling Model'!D$2:D$38^A17685)</f>
        <v>36.99945332</v>
      </c>
      <c r="C17685" s="8">
        <f t="array" ref="C17685">PRODUCT(1-'Sparkling Model'!D$2:D$38^A17685)</f>
        <v>0.9994534216</v>
      </c>
    </row>
    <row r="17686">
      <c r="A17686" s="6">
        <v>17684.0</v>
      </c>
      <c r="B17686" s="17">
        <f t="array" ref="B17686">SUM(1-'Sparkling Model'!D$2:D$38^A17686)</f>
        <v>36.99945359</v>
      </c>
      <c r="C17686" s="8">
        <f t="array" ref="C17686">PRODUCT(1-'Sparkling Model'!D$2:D$38^A17686)</f>
        <v>0.9994536905</v>
      </c>
    </row>
    <row r="17687">
      <c r="A17687" s="6">
        <v>17685.0</v>
      </c>
      <c r="B17687" s="17">
        <f t="array" ref="B17687">SUM(1-'Sparkling Model'!D$2:D$38^A17687)</f>
        <v>36.99945386</v>
      </c>
      <c r="C17687" s="8">
        <f t="array" ref="C17687">PRODUCT(1-'Sparkling Model'!D$2:D$38^A17687)</f>
        <v>0.9994539593</v>
      </c>
    </row>
    <row r="17688">
      <c r="A17688" s="6">
        <v>17686.0</v>
      </c>
      <c r="B17688" s="17">
        <f t="array" ref="B17688">SUM(1-'Sparkling Model'!D$2:D$38^A17688)</f>
        <v>36.99945413</v>
      </c>
      <c r="C17688" s="8">
        <f t="array" ref="C17688">PRODUCT(1-'Sparkling Model'!D$2:D$38^A17688)</f>
        <v>0.9994542279</v>
      </c>
    </row>
    <row r="17689">
      <c r="A17689" s="6">
        <v>17687.0</v>
      </c>
      <c r="B17689" s="17">
        <f t="array" ref="B17689">SUM(1-'Sparkling Model'!D$2:D$38^A17689)</f>
        <v>36.99945439</v>
      </c>
      <c r="C17689" s="8">
        <f t="array" ref="C17689">PRODUCT(1-'Sparkling Model'!D$2:D$38^A17689)</f>
        <v>0.9994544963</v>
      </c>
    </row>
    <row r="17690">
      <c r="A17690" s="6">
        <v>17688.0</v>
      </c>
      <c r="B17690" s="17">
        <f t="array" ref="B17690">SUM(1-'Sparkling Model'!D$2:D$38^A17690)</f>
        <v>36.99945466</v>
      </c>
      <c r="C17690" s="8">
        <f t="array" ref="C17690">PRODUCT(1-'Sparkling Model'!D$2:D$38^A17690)</f>
        <v>0.9994547647</v>
      </c>
    </row>
    <row r="17691">
      <c r="A17691" s="6">
        <v>17689.0</v>
      </c>
      <c r="B17691" s="17">
        <f t="array" ref="B17691">SUM(1-'Sparkling Model'!D$2:D$38^A17691)</f>
        <v>36.99945493</v>
      </c>
      <c r="C17691" s="8">
        <f t="array" ref="C17691">PRODUCT(1-'Sparkling Model'!D$2:D$38^A17691)</f>
        <v>0.9994550329</v>
      </c>
    </row>
    <row r="17692">
      <c r="A17692" s="6">
        <v>17690.0</v>
      </c>
      <c r="B17692" s="17">
        <f t="array" ref="B17692">SUM(1-'Sparkling Model'!D$2:D$38^A17692)</f>
        <v>36.9994552</v>
      </c>
      <c r="C17692" s="8">
        <f t="array" ref="C17692">PRODUCT(1-'Sparkling Model'!D$2:D$38^A17692)</f>
        <v>0.999455301</v>
      </c>
    </row>
    <row r="17693">
      <c r="A17693" s="6">
        <v>17691.0</v>
      </c>
      <c r="B17693" s="17">
        <f t="array" ref="B17693">SUM(1-'Sparkling Model'!D$2:D$38^A17693)</f>
        <v>36.99945547</v>
      </c>
      <c r="C17693" s="8">
        <f t="array" ref="C17693">PRODUCT(1-'Sparkling Model'!D$2:D$38^A17693)</f>
        <v>0.9994555689</v>
      </c>
    </row>
    <row r="17694">
      <c r="A17694" s="6">
        <v>17692.0</v>
      </c>
      <c r="B17694" s="17">
        <f t="array" ref="B17694">SUM(1-'Sparkling Model'!D$2:D$38^A17694)</f>
        <v>36.99945574</v>
      </c>
      <c r="C17694" s="8">
        <f t="array" ref="C17694">PRODUCT(1-'Sparkling Model'!D$2:D$38^A17694)</f>
        <v>0.9994558368</v>
      </c>
    </row>
    <row r="17695">
      <c r="A17695" s="6">
        <v>17693.0</v>
      </c>
      <c r="B17695" s="17">
        <f t="array" ref="B17695">SUM(1-'Sparkling Model'!D$2:D$38^A17695)</f>
        <v>36.999456</v>
      </c>
      <c r="C17695" s="8">
        <f t="array" ref="C17695">PRODUCT(1-'Sparkling Model'!D$2:D$38^A17695)</f>
        <v>0.9994561044</v>
      </c>
    </row>
    <row r="17696">
      <c r="A17696" s="6">
        <v>17694.0</v>
      </c>
      <c r="B17696" s="17">
        <f t="array" ref="B17696">SUM(1-'Sparkling Model'!D$2:D$38^A17696)</f>
        <v>36.99945627</v>
      </c>
      <c r="C17696" s="8">
        <f t="array" ref="C17696">PRODUCT(1-'Sparkling Model'!D$2:D$38^A17696)</f>
        <v>0.999456372</v>
      </c>
    </row>
    <row r="17697">
      <c r="A17697" s="6">
        <v>17695.0</v>
      </c>
      <c r="B17697" s="17">
        <f t="array" ref="B17697">SUM(1-'Sparkling Model'!D$2:D$38^A17697)</f>
        <v>36.99945654</v>
      </c>
      <c r="C17697" s="8">
        <f t="array" ref="C17697">PRODUCT(1-'Sparkling Model'!D$2:D$38^A17697)</f>
        <v>0.9994566394</v>
      </c>
    </row>
    <row r="17698">
      <c r="A17698" s="6">
        <v>17696.0</v>
      </c>
      <c r="B17698" s="17">
        <f t="array" ref="B17698">SUM(1-'Sparkling Model'!D$2:D$38^A17698)</f>
        <v>36.99945681</v>
      </c>
      <c r="C17698" s="8">
        <f t="array" ref="C17698">PRODUCT(1-'Sparkling Model'!D$2:D$38^A17698)</f>
        <v>0.9994569067</v>
      </c>
    </row>
    <row r="17699">
      <c r="A17699" s="6">
        <v>17697.0</v>
      </c>
      <c r="B17699" s="17">
        <f t="array" ref="B17699">SUM(1-'Sparkling Model'!D$2:D$38^A17699)</f>
        <v>36.99945707</v>
      </c>
      <c r="C17699" s="8">
        <f t="array" ref="C17699">PRODUCT(1-'Sparkling Model'!D$2:D$38^A17699)</f>
        <v>0.9994571739</v>
      </c>
    </row>
    <row r="17700">
      <c r="A17700" s="6">
        <v>17698.0</v>
      </c>
      <c r="B17700" s="17">
        <f t="array" ref="B17700">SUM(1-'Sparkling Model'!D$2:D$38^A17700)</f>
        <v>36.99945734</v>
      </c>
      <c r="C17700" s="8">
        <f t="array" ref="C17700">PRODUCT(1-'Sparkling Model'!D$2:D$38^A17700)</f>
        <v>0.9994574409</v>
      </c>
    </row>
    <row r="17701">
      <c r="A17701" s="6">
        <v>17699.0</v>
      </c>
      <c r="B17701" s="17">
        <f t="array" ref="B17701">SUM(1-'Sparkling Model'!D$2:D$38^A17701)</f>
        <v>36.99945761</v>
      </c>
      <c r="C17701" s="8">
        <f t="array" ref="C17701">PRODUCT(1-'Sparkling Model'!D$2:D$38^A17701)</f>
        <v>0.9994577078</v>
      </c>
    </row>
    <row r="17702">
      <c r="A17702" s="6">
        <v>17700.0</v>
      </c>
      <c r="B17702" s="17">
        <f t="array" ref="B17702">SUM(1-'Sparkling Model'!D$2:D$38^A17702)</f>
        <v>36.99945787</v>
      </c>
      <c r="C17702" s="8">
        <f t="array" ref="C17702">PRODUCT(1-'Sparkling Model'!D$2:D$38^A17702)</f>
        <v>0.9994579746</v>
      </c>
    </row>
    <row r="17703">
      <c r="A17703" s="6">
        <v>17701.0</v>
      </c>
      <c r="B17703" s="17">
        <f t="array" ref="B17703">SUM(1-'Sparkling Model'!D$2:D$38^A17703)</f>
        <v>36.99945814</v>
      </c>
      <c r="C17703" s="8">
        <f t="array" ref="C17703">PRODUCT(1-'Sparkling Model'!D$2:D$38^A17703)</f>
        <v>0.9994582412</v>
      </c>
    </row>
    <row r="17704">
      <c r="A17704" s="6">
        <v>17702.0</v>
      </c>
      <c r="B17704" s="17">
        <f t="array" ref="B17704">SUM(1-'Sparkling Model'!D$2:D$38^A17704)</f>
        <v>36.99945841</v>
      </c>
      <c r="C17704" s="8">
        <f t="array" ref="C17704">PRODUCT(1-'Sparkling Model'!D$2:D$38^A17704)</f>
        <v>0.9994585077</v>
      </c>
    </row>
    <row r="17705">
      <c r="A17705" s="6">
        <v>17703.0</v>
      </c>
      <c r="B17705" s="17">
        <f t="array" ref="B17705">SUM(1-'Sparkling Model'!D$2:D$38^A17705)</f>
        <v>36.99945867</v>
      </c>
      <c r="C17705" s="8">
        <f t="array" ref="C17705">PRODUCT(1-'Sparkling Model'!D$2:D$38^A17705)</f>
        <v>0.9994587741</v>
      </c>
    </row>
    <row r="17706">
      <c r="A17706" s="6">
        <v>17704.0</v>
      </c>
      <c r="B17706" s="17">
        <f t="array" ref="B17706">SUM(1-'Sparkling Model'!D$2:D$38^A17706)</f>
        <v>36.99945894</v>
      </c>
      <c r="C17706" s="8">
        <f t="array" ref="C17706">PRODUCT(1-'Sparkling Model'!D$2:D$38^A17706)</f>
        <v>0.9994590403</v>
      </c>
    </row>
    <row r="17707">
      <c r="A17707" s="6">
        <v>17705.0</v>
      </c>
      <c r="B17707" s="17">
        <f t="array" ref="B17707">SUM(1-'Sparkling Model'!D$2:D$38^A17707)</f>
        <v>36.99945921</v>
      </c>
      <c r="C17707" s="8">
        <f t="array" ref="C17707">PRODUCT(1-'Sparkling Model'!D$2:D$38^A17707)</f>
        <v>0.9994593064</v>
      </c>
    </row>
    <row r="17708">
      <c r="A17708" s="6">
        <v>17706.0</v>
      </c>
      <c r="B17708" s="17">
        <f t="array" ref="B17708">SUM(1-'Sparkling Model'!D$2:D$38^A17708)</f>
        <v>36.99945947</v>
      </c>
      <c r="C17708" s="8">
        <f t="array" ref="C17708">PRODUCT(1-'Sparkling Model'!D$2:D$38^A17708)</f>
        <v>0.9994595724</v>
      </c>
    </row>
    <row r="17709">
      <c r="A17709" s="6">
        <v>17707.0</v>
      </c>
      <c r="B17709" s="17">
        <f t="array" ref="B17709">SUM(1-'Sparkling Model'!D$2:D$38^A17709)</f>
        <v>36.99945974</v>
      </c>
      <c r="C17709" s="8">
        <f t="array" ref="C17709">PRODUCT(1-'Sparkling Model'!D$2:D$38^A17709)</f>
        <v>0.9994598382</v>
      </c>
    </row>
    <row r="17710">
      <c r="A17710" s="6">
        <v>17708.0</v>
      </c>
      <c r="B17710" s="17">
        <f t="array" ref="B17710">SUM(1-'Sparkling Model'!D$2:D$38^A17710)</f>
        <v>36.99946</v>
      </c>
      <c r="C17710" s="8">
        <f t="array" ref="C17710">PRODUCT(1-'Sparkling Model'!D$2:D$38^A17710)</f>
        <v>0.999460104</v>
      </c>
    </row>
    <row r="17711">
      <c r="A17711" s="6">
        <v>17709.0</v>
      </c>
      <c r="B17711" s="17">
        <f t="array" ref="B17711">SUM(1-'Sparkling Model'!D$2:D$38^A17711)</f>
        <v>36.99946027</v>
      </c>
      <c r="C17711" s="8">
        <f t="array" ref="C17711">PRODUCT(1-'Sparkling Model'!D$2:D$38^A17711)</f>
        <v>0.9994603695</v>
      </c>
    </row>
    <row r="17712">
      <c r="A17712" s="6">
        <v>17710.0</v>
      </c>
      <c r="B17712" s="17">
        <f t="array" ref="B17712">SUM(1-'Sparkling Model'!D$2:D$38^A17712)</f>
        <v>36.99946054</v>
      </c>
      <c r="C17712" s="8">
        <f t="array" ref="C17712">PRODUCT(1-'Sparkling Model'!D$2:D$38^A17712)</f>
        <v>0.999460635</v>
      </c>
    </row>
    <row r="17713">
      <c r="A17713" s="6">
        <v>17711.0</v>
      </c>
      <c r="B17713" s="17">
        <f t="array" ref="B17713">SUM(1-'Sparkling Model'!D$2:D$38^A17713)</f>
        <v>36.9994608</v>
      </c>
      <c r="C17713" s="8">
        <f t="array" ref="C17713">PRODUCT(1-'Sparkling Model'!D$2:D$38^A17713)</f>
        <v>0.9994609003</v>
      </c>
    </row>
    <row r="17714">
      <c r="A17714" s="6">
        <v>17712.0</v>
      </c>
      <c r="B17714" s="17">
        <f t="array" ref="B17714">SUM(1-'Sparkling Model'!D$2:D$38^A17714)</f>
        <v>36.99946107</v>
      </c>
      <c r="C17714" s="8">
        <f t="array" ref="C17714">PRODUCT(1-'Sparkling Model'!D$2:D$38^A17714)</f>
        <v>0.9994611655</v>
      </c>
    </row>
    <row r="17715">
      <c r="A17715" s="6">
        <v>17713.0</v>
      </c>
      <c r="B17715" s="17">
        <f t="array" ref="B17715">SUM(1-'Sparkling Model'!D$2:D$38^A17715)</f>
        <v>36.99946133</v>
      </c>
      <c r="C17715" s="8">
        <f t="array" ref="C17715">PRODUCT(1-'Sparkling Model'!D$2:D$38^A17715)</f>
        <v>0.9994614306</v>
      </c>
    </row>
    <row r="17716">
      <c r="A17716" s="6">
        <v>17714.0</v>
      </c>
      <c r="B17716" s="17">
        <f t="array" ref="B17716">SUM(1-'Sparkling Model'!D$2:D$38^A17716)</f>
        <v>36.9994616</v>
      </c>
      <c r="C17716" s="8">
        <f t="array" ref="C17716">PRODUCT(1-'Sparkling Model'!D$2:D$38^A17716)</f>
        <v>0.9994616955</v>
      </c>
    </row>
    <row r="17717">
      <c r="A17717" s="6">
        <v>17715.0</v>
      </c>
      <c r="B17717" s="17">
        <f t="array" ref="B17717">SUM(1-'Sparkling Model'!D$2:D$38^A17717)</f>
        <v>36.99946186</v>
      </c>
      <c r="C17717" s="8">
        <f t="array" ref="C17717">PRODUCT(1-'Sparkling Model'!D$2:D$38^A17717)</f>
        <v>0.9994619603</v>
      </c>
    </row>
    <row r="17718">
      <c r="A17718" s="6">
        <v>17716.0</v>
      </c>
      <c r="B17718" s="17">
        <f t="array" ref="B17718">SUM(1-'Sparkling Model'!D$2:D$38^A17718)</f>
        <v>36.99946213</v>
      </c>
      <c r="C17718" s="8">
        <f t="array" ref="C17718">PRODUCT(1-'Sparkling Model'!D$2:D$38^A17718)</f>
        <v>0.999462225</v>
      </c>
    </row>
    <row r="17719">
      <c r="A17719" s="6">
        <v>17717.0</v>
      </c>
      <c r="B17719" s="17">
        <f t="array" ref="B17719">SUM(1-'Sparkling Model'!D$2:D$38^A17719)</f>
        <v>36.99946239</v>
      </c>
      <c r="C17719" s="8">
        <f t="array" ref="C17719">PRODUCT(1-'Sparkling Model'!D$2:D$38^A17719)</f>
        <v>0.9994624895</v>
      </c>
    </row>
    <row r="17720">
      <c r="A17720" s="6">
        <v>17718.0</v>
      </c>
      <c r="B17720" s="17">
        <f t="array" ref="B17720">SUM(1-'Sparkling Model'!D$2:D$38^A17720)</f>
        <v>36.99946266</v>
      </c>
      <c r="C17720" s="8">
        <f t="array" ref="C17720">PRODUCT(1-'Sparkling Model'!D$2:D$38^A17720)</f>
        <v>0.9994627539</v>
      </c>
    </row>
    <row r="17721">
      <c r="A17721" s="6">
        <v>17719.0</v>
      </c>
      <c r="B17721" s="17">
        <f t="array" ref="B17721">SUM(1-'Sparkling Model'!D$2:D$38^A17721)</f>
        <v>36.99946292</v>
      </c>
      <c r="C17721" s="8">
        <f t="array" ref="C17721">PRODUCT(1-'Sparkling Model'!D$2:D$38^A17721)</f>
        <v>0.9994630182</v>
      </c>
    </row>
    <row r="17722">
      <c r="A17722" s="6">
        <v>17720.0</v>
      </c>
      <c r="B17722" s="17">
        <f t="array" ref="B17722">SUM(1-'Sparkling Model'!D$2:D$38^A17722)</f>
        <v>36.99946318</v>
      </c>
      <c r="C17722" s="8">
        <f t="array" ref="C17722">PRODUCT(1-'Sparkling Model'!D$2:D$38^A17722)</f>
        <v>0.9994632823</v>
      </c>
    </row>
    <row r="17723">
      <c r="A17723" s="6">
        <v>17721.0</v>
      </c>
      <c r="B17723" s="17">
        <f t="array" ref="B17723">SUM(1-'Sparkling Model'!D$2:D$38^A17723)</f>
        <v>36.99946345</v>
      </c>
      <c r="C17723" s="8">
        <f t="array" ref="C17723">PRODUCT(1-'Sparkling Model'!D$2:D$38^A17723)</f>
        <v>0.9994635463</v>
      </c>
    </row>
    <row r="17724">
      <c r="A17724" s="6">
        <v>17722.0</v>
      </c>
      <c r="B17724" s="17">
        <f t="array" ref="B17724">SUM(1-'Sparkling Model'!D$2:D$38^A17724)</f>
        <v>36.99946371</v>
      </c>
      <c r="C17724" s="8">
        <f t="array" ref="C17724">PRODUCT(1-'Sparkling Model'!D$2:D$38^A17724)</f>
        <v>0.9994638102</v>
      </c>
    </row>
    <row r="17725">
      <c r="A17725" s="6">
        <v>17723.0</v>
      </c>
      <c r="B17725" s="17">
        <f t="array" ref="B17725">SUM(1-'Sparkling Model'!D$2:D$38^A17725)</f>
        <v>36.99946398</v>
      </c>
      <c r="C17725" s="8">
        <f t="array" ref="C17725">PRODUCT(1-'Sparkling Model'!D$2:D$38^A17725)</f>
        <v>0.999464074</v>
      </c>
    </row>
    <row r="17726">
      <c r="A17726" s="6">
        <v>17724.0</v>
      </c>
      <c r="B17726" s="17">
        <f t="array" ref="B17726">SUM(1-'Sparkling Model'!D$2:D$38^A17726)</f>
        <v>36.99946424</v>
      </c>
      <c r="C17726" s="8">
        <f t="array" ref="C17726">PRODUCT(1-'Sparkling Model'!D$2:D$38^A17726)</f>
        <v>0.9994643376</v>
      </c>
    </row>
    <row r="17727">
      <c r="A17727" s="6">
        <v>17725.0</v>
      </c>
      <c r="B17727" s="17">
        <f t="array" ref="B17727">SUM(1-'Sparkling Model'!D$2:D$38^A17727)</f>
        <v>36.9994645</v>
      </c>
      <c r="C17727" s="8">
        <f t="array" ref="C17727">PRODUCT(1-'Sparkling Model'!D$2:D$38^A17727)</f>
        <v>0.9994646011</v>
      </c>
    </row>
    <row r="17728">
      <c r="A17728" s="6">
        <v>17726.0</v>
      </c>
      <c r="B17728" s="17">
        <f t="array" ref="B17728">SUM(1-'Sparkling Model'!D$2:D$38^A17728)</f>
        <v>36.99946477</v>
      </c>
      <c r="C17728" s="8">
        <f t="array" ref="C17728">PRODUCT(1-'Sparkling Model'!D$2:D$38^A17728)</f>
        <v>0.9994648645</v>
      </c>
    </row>
    <row r="17729">
      <c r="A17729" s="6">
        <v>17727.0</v>
      </c>
      <c r="B17729" s="17">
        <f t="array" ref="B17729">SUM(1-'Sparkling Model'!D$2:D$38^A17729)</f>
        <v>36.99946503</v>
      </c>
      <c r="C17729" s="8">
        <f t="array" ref="C17729">PRODUCT(1-'Sparkling Model'!D$2:D$38^A17729)</f>
        <v>0.9994651277</v>
      </c>
    </row>
    <row r="17730">
      <c r="A17730" s="6">
        <v>17728.0</v>
      </c>
      <c r="B17730" s="17">
        <f t="array" ref="B17730">SUM(1-'Sparkling Model'!D$2:D$38^A17730)</f>
        <v>36.99946529</v>
      </c>
      <c r="C17730" s="8">
        <f t="array" ref="C17730">PRODUCT(1-'Sparkling Model'!D$2:D$38^A17730)</f>
        <v>0.9994653908</v>
      </c>
    </row>
    <row r="17731">
      <c r="A17731" s="6">
        <v>17729.0</v>
      </c>
      <c r="B17731" s="17">
        <f t="array" ref="B17731">SUM(1-'Sparkling Model'!D$2:D$38^A17731)</f>
        <v>36.99946556</v>
      </c>
      <c r="C17731" s="8">
        <f t="array" ref="C17731">PRODUCT(1-'Sparkling Model'!D$2:D$38^A17731)</f>
        <v>0.9994656538</v>
      </c>
    </row>
    <row r="17732">
      <c r="A17732" s="6">
        <v>17730.0</v>
      </c>
      <c r="B17732" s="17">
        <f t="array" ref="B17732">SUM(1-'Sparkling Model'!D$2:D$38^A17732)</f>
        <v>36.99946582</v>
      </c>
      <c r="C17732" s="8">
        <f t="array" ref="C17732">PRODUCT(1-'Sparkling Model'!D$2:D$38^A17732)</f>
        <v>0.9994659166</v>
      </c>
    </row>
    <row r="17733">
      <c r="A17733" s="6">
        <v>17731.0</v>
      </c>
      <c r="B17733" s="17">
        <f t="array" ref="B17733">SUM(1-'Sparkling Model'!D$2:D$38^A17733)</f>
        <v>36.99946608</v>
      </c>
      <c r="C17733" s="8">
        <f t="array" ref="C17733">PRODUCT(1-'Sparkling Model'!D$2:D$38^A17733)</f>
        <v>0.9994661794</v>
      </c>
    </row>
    <row r="17734">
      <c r="A17734" s="6">
        <v>17732.0</v>
      </c>
      <c r="B17734" s="17">
        <f t="array" ref="B17734">SUM(1-'Sparkling Model'!D$2:D$38^A17734)</f>
        <v>36.99946634</v>
      </c>
      <c r="C17734" s="8">
        <f t="array" ref="C17734">PRODUCT(1-'Sparkling Model'!D$2:D$38^A17734)</f>
        <v>0.999466442</v>
      </c>
    </row>
    <row r="17735">
      <c r="A17735" s="6">
        <v>17733.0</v>
      </c>
      <c r="B17735" s="17">
        <f t="array" ref="B17735">SUM(1-'Sparkling Model'!D$2:D$38^A17735)</f>
        <v>36.99946661</v>
      </c>
      <c r="C17735" s="8">
        <f t="array" ref="C17735">PRODUCT(1-'Sparkling Model'!D$2:D$38^A17735)</f>
        <v>0.9994667044</v>
      </c>
    </row>
    <row r="17736">
      <c r="A17736" s="6">
        <v>17734.0</v>
      </c>
      <c r="B17736" s="17">
        <f t="array" ref="B17736">SUM(1-'Sparkling Model'!D$2:D$38^A17736)</f>
        <v>36.99946687</v>
      </c>
      <c r="C17736" s="8">
        <f t="array" ref="C17736">PRODUCT(1-'Sparkling Model'!D$2:D$38^A17736)</f>
        <v>0.9994669667</v>
      </c>
    </row>
    <row r="17737">
      <c r="A17737" s="6">
        <v>17735.0</v>
      </c>
      <c r="B17737" s="17">
        <f t="array" ref="B17737">SUM(1-'Sparkling Model'!D$2:D$38^A17737)</f>
        <v>36.99946713</v>
      </c>
      <c r="C17737" s="8">
        <f t="array" ref="C17737">PRODUCT(1-'Sparkling Model'!D$2:D$38^A17737)</f>
        <v>0.9994672289</v>
      </c>
    </row>
    <row r="17738">
      <c r="A17738" s="6">
        <v>17736.0</v>
      </c>
      <c r="B17738" s="17">
        <f t="array" ref="B17738">SUM(1-'Sparkling Model'!D$2:D$38^A17738)</f>
        <v>36.99946739</v>
      </c>
      <c r="C17738" s="8">
        <f t="array" ref="C17738">PRODUCT(1-'Sparkling Model'!D$2:D$38^A17738)</f>
        <v>0.999467491</v>
      </c>
    </row>
    <row r="17739">
      <c r="A17739" s="6">
        <v>17737.0</v>
      </c>
      <c r="B17739" s="17">
        <f t="array" ref="B17739">SUM(1-'Sparkling Model'!D$2:D$38^A17739)</f>
        <v>36.99946766</v>
      </c>
      <c r="C17739" s="8">
        <f t="array" ref="C17739">PRODUCT(1-'Sparkling Model'!D$2:D$38^A17739)</f>
        <v>0.999467753</v>
      </c>
    </row>
    <row r="17740">
      <c r="A17740" s="6">
        <v>17738.0</v>
      </c>
      <c r="B17740" s="17">
        <f t="array" ref="B17740">SUM(1-'Sparkling Model'!D$2:D$38^A17740)</f>
        <v>36.99946792</v>
      </c>
      <c r="C17740" s="8">
        <f t="array" ref="C17740">PRODUCT(1-'Sparkling Model'!D$2:D$38^A17740)</f>
        <v>0.9994680148</v>
      </c>
    </row>
    <row r="17741">
      <c r="A17741" s="6">
        <v>17739.0</v>
      </c>
      <c r="B17741" s="17">
        <f t="array" ref="B17741">SUM(1-'Sparkling Model'!D$2:D$38^A17741)</f>
        <v>36.99946818</v>
      </c>
      <c r="C17741" s="8">
        <f t="array" ref="C17741">PRODUCT(1-'Sparkling Model'!D$2:D$38^A17741)</f>
        <v>0.9994682765</v>
      </c>
    </row>
    <row r="17742">
      <c r="A17742" s="6">
        <v>17740.0</v>
      </c>
      <c r="B17742" s="17">
        <f t="array" ref="B17742">SUM(1-'Sparkling Model'!D$2:D$38^A17742)</f>
        <v>36.99946844</v>
      </c>
      <c r="C17742" s="8">
        <f t="array" ref="C17742">PRODUCT(1-'Sparkling Model'!D$2:D$38^A17742)</f>
        <v>0.999468538</v>
      </c>
    </row>
    <row r="17743">
      <c r="A17743" s="6">
        <v>17741.0</v>
      </c>
      <c r="B17743" s="17">
        <f t="array" ref="B17743">SUM(1-'Sparkling Model'!D$2:D$38^A17743)</f>
        <v>36.9994687</v>
      </c>
      <c r="C17743" s="8">
        <f t="array" ref="C17743">PRODUCT(1-'Sparkling Model'!D$2:D$38^A17743)</f>
        <v>0.9994687994</v>
      </c>
    </row>
    <row r="17744">
      <c r="A17744" s="6">
        <v>17742.0</v>
      </c>
      <c r="B17744" s="17">
        <f t="array" ref="B17744">SUM(1-'Sparkling Model'!D$2:D$38^A17744)</f>
        <v>36.99946896</v>
      </c>
      <c r="C17744" s="8">
        <f t="array" ref="C17744">PRODUCT(1-'Sparkling Model'!D$2:D$38^A17744)</f>
        <v>0.9994690607</v>
      </c>
    </row>
    <row r="17745">
      <c r="A17745" s="6">
        <v>17743.0</v>
      </c>
      <c r="B17745" s="17">
        <f t="array" ref="B17745">SUM(1-'Sparkling Model'!D$2:D$38^A17745)</f>
        <v>36.99946923</v>
      </c>
      <c r="C17745" s="8">
        <f t="array" ref="C17745">PRODUCT(1-'Sparkling Model'!D$2:D$38^A17745)</f>
        <v>0.9994693219</v>
      </c>
    </row>
    <row r="17746">
      <c r="A17746" s="6">
        <v>17744.0</v>
      </c>
      <c r="B17746" s="17">
        <f t="array" ref="B17746">SUM(1-'Sparkling Model'!D$2:D$38^A17746)</f>
        <v>36.99946949</v>
      </c>
      <c r="C17746" s="8">
        <f t="array" ref="C17746">PRODUCT(1-'Sparkling Model'!D$2:D$38^A17746)</f>
        <v>0.9994695829</v>
      </c>
    </row>
    <row r="17747">
      <c r="A17747" s="6">
        <v>17745.0</v>
      </c>
      <c r="B17747" s="17">
        <f t="array" ref="B17747">SUM(1-'Sparkling Model'!D$2:D$38^A17747)</f>
        <v>36.99946975</v>
      </c>
      <c r="C17747" s="8">
        <f t="array" ref="C17747">PRODUCT(1-'Sparkling Model'!D$2:D$38^A17747)</f>
        <v>0.9994698439</v>
      </c>
    </row>
    <row r="17748">
      <c r="A17748" s="6">
        <v>17746.0</v>
      </c>
      <c r="B17748" s="17">
        <f t="array" ref="B17748">SUM(1-'Sparkling Model'!D$2:D$38^A17748)</f>
        <v>36.99947001</v>
      </c>
      <c r="C17748" s="8">
        <f t="array" ref="C17748">PRODUCT(1-'Sparkling Model'!D$2:D$38^A17748)</f>
        <v>0.9994701046</v>
      </c>
    </row>
    <row r="17749">
      <c r="A17749" s="6">
        <v>17747.0</v>
      </c>
      <c r="B17749" s="17">
        <f t="array" ref="B17749">SUM(1-'Sparkling Model'!D$2:D$38^A17749)</f>
        <v>36.99947027</v>
      </c>
      <c r="C17749" s="8">
        <f t="array" ref="C17749">PRODUCT(1-'Sparkling Model'!D$2:D$38^A17749)</f>
        <v>0.9994703653</v>
      </c>
    </row>
    <row r="17750">
      <c r="A17750" s="6">
        <v>17748.0</v>
      </c>
      <c r="B17750" s="17">
        <f t="array" ref="B17750">SUM(1-'Sparkling Model'!D$2:D$38^A17750)</f>
        <v>36.99947053</v>
      </c>
      <c r="C17750" s="8">
        <f t="array" ref="C17750">PRODUCT(1-'Sparkling Model'!D$2:D$38^A17750)</f>
        <v>0.9994706258</v>
      </c>
    </row>
    <row r="17751">
      <c r="A17751" s="6">
        <v>17749.0</v>
      </c>
      <c r="B17751" s="17">
        <f t="array" ref="B17751">SUM(1-'Sparkling Model'!D$2:D$38^A17751)</f>
        <v>36.99947079</v>
      </c>
      <c r="C17751" s="8">
        <f t="array" ref="C17751">PRODUCT(1-'Sparkling Model'!D$2:D$38^A17751)</f>
        <v>0.9994708862</v>
      </c>
    </row>
    <row r="17752">
      <c r="A17752" s="6">
        <v>17750.0</v>
      </c>
      <c r="B17752" s="17">
        <f t="array" ref="B17752">SUM(1-'Sparkling Model'!D$2:D$38^A17752)</f>
        <v>36.99947105</v>
      </c>
      <c r="C17752" s="8">
        <f t="array" ref="C17752">PRODUCT(1-'Sparkling Model'!D$2:D$38^A17752)</f>
        <v>0.9994711465</v>
      </c>
    </row>
    <row r="17753">
      <c r="A17753" s="6">
        <v>17751.0</v>
      </c>
      <c r="B17753" s="17">
        <f t="array" ref="B17753">SUM(1-'Sparkling Model'!D$2:D$38^A17753)</f>
        <v>36.99947131</v>
      </c>
      <c r="C17753" s="8">
        <f t="array" ref="C17753">PRODUCT(1-'Sparkling Model'!D$2:D$38^A17753)</f>
        <v>0.9994714066</v>
      </c>
    </row>
    <row r="17754">
      <c r="A17754" s="6">
        <v>17752.0</v>
      </c>
      <c r="B17754" s="17">
        <f t="array" ref="B17754">SUM(1-'Sparkling Model'!D$2:D$38^A17754)</f>
        <v>36.99947157</v>
      </c>
      <c r="C17754" s="8">
        <f t="array" ref="C17754">PRODUCT(1-'Sparkling Model'!D$2:D$38^A17754)</f>
        <v>0.9994716666</v>
      </c>
    </row>
    <row r="17755">
      <c r="A17755" s="6">
        <v>17753.0</v>
      </c>
      <c r="B17755" s="17">
        <f t="array" ref="B17755">SUM(1-'Sparkling Model'!D$2:D$38^A17755)</f>
        <v>36.99947183</v>
      </c>
      <c r="C17755" s="8">
        <f t="array" ref="C17755">PRODUCT(1-'Sparkling Model'!D$2:D$38^A17755)</f>
        <v>0.9994719265</v>
      </c>
    </row>
    <row r="17756">
      <c r="A17756" s="6">
        <v>17754.0</v>
      </c>
      <c r="B17756" s="17">
        <f t="array" ref="B17756">SUM(1-'Sparkling Model'!D$2:D$38^A17756)</f>
        <v>36.99947209</v>
      </c>
      <c r="C17756" s="8">
        <f t="array" ref="C17756">PRODUCT(1-'Sparkling Model'!D$2:D$38^A17756)</f>
        <v>0.9994721863</v>
      </c>
    </row>
    <row r="17757">
      <c r="A17757" s="6">
        <v>17755.0</v>
      </c>
      <c r="B17757" s="17">
        <f t="array" ref="B17757">SUM(1-'Sparkling Model'!D$2:D$38^A17757)</f>
        <v>36.99947235</v>
      </c>
      <c r="C17757" s="8">
        <f t="array" ref="C17757">PRODUCT(1-'Sparkling Model'!D$2:D$38^A17757)</f>
        <v>0.9994724459</v>
      </c>
    </row>
    <row r="17758">
      <c r="A17758" s="6">
        <v>17756.0</v>
      </c>
      <c r="B17758" s="17">
        <f t="array" ref="B17758">SUM(1-'Sparkling Model'!D$2:D$38^A17758)</f>
        <v>36.99947261</v>
      </c>
      <c r="C17758" s="8">
        <f t="array" ref="C17758">PRODUCT(1-'Sparkling Model'!D$2:D$38^A17758)</f>
        <v>0.9994727054</v>
      </c>
    </row>
    <row r="17759">
      <c r="A17759" s="6">
        <v>17757.0</v>
      </c>
      <c r="B17759" s="17">
        <f t="array" ref="B17759">SUM(1-'Sparkling Model'!D$2:D$38^A17759)</f>
        <v>36.99947287</v>
      </c>
      <c r="C17759" s="8">
        <f t="array" ref="C17759">PRODUCT(1-'Sparkling Model'!D$2:D$38^A17759)</f>
        <v>0.9994729648</v>
      </c>
    </row>
    <row r="17760">
      <c r="A17760" s="6">
        <v>17758.0</v>
      </c>
      <c r="B17760" s="17">
        <f t="array" ref="B17760">SUM(1-'Sparkling Model'!D$2:D$38^A17760)</f>
        <v>36.99947313</v>
      </c>
      <c r="C17760" s="8">
        <f t="array" ref="C17760">PRODUCT(1-'Sparkling Model'!D$2:D$38^A17760)</f>
        <v>0.999473224</v>
      </c>
    </row>
    <row r="17761">
      <c r="A17761" s="6">
        <v>17759.0</v>
      </c>
      <c r="B17761" s="17">
        <f t="array" ref="B17761">SUM(1-'Sparkling Model'!D$2:D$38^A17761)</f>
        <v>36.99947339</v>
      </c>
      <c r="C17761" s="8">
        <f t="array" ref="C17761">PRODUCT(1-'Sparkling Model'!D$2:D$38^A17761)</f>
        <v>0.9994734831</v>
      </c>
    </row>
    <row r="17762">
      <c r="A17762" s="6">
        <v>17760.0</v>
      </c>
      <c r="B17762" s="17">
        <f t="array" ref="B17762">SUM(1-'Sparkling Model'!D$2:D$38^A17762)</f>
        <v>36.99947365</v>
      </c>
      <c r="C17762" s="8">
        <f t="array" ref="C17762">PRODUCT(1-'Sparkling Model'!D$2:D$38^A17762)</f>
        <v>0.9994737421</v>
      </c>
    </row>
    <row r="17763">
      <c r="A17763" s="6">
        <v>17761.0</v>
      </c>
      <c r="B17763" s="17">
        <f t="array" ref="B17763">SUM(1-'Sparkling Model'!D$2:D$38^A17763)</f>
        <v>36.99947391</v>
      </c>
      <c r="C17763" s="8">
        <f t="array" ref="C17763">PRODUCT(1-'Sparkling Model'!D$2:D$38^A17763)</f>
        <v>0.999474001</v>
      </c>
    </row>
    <row r="17764">
      <c r="A17764" s="6">
        <v>17762.0</v>
      </c>
      <c r="B17764" s="17">
        <f t="array" ref="B17764">SUM(1-'Sparkling Model'!D$2:D$38^A17764)</f>
        <v>36.99947417</v>
      </c>
      <c r="C17764" s="8">
        <f t="array" ref="C17764">PRODUCT(1-'Sparkling Model'!D$2:D$38^A17764)</f>
        <v>0.9994742597</v>
      </c>
    </row>
    <row r="17765">
      <c r="A17765" s="6">
        <v>17763.0</v>
      </c>
      <c r="B17765" s="17">
        <f t="array" ref="B17765">SUM(1-'Sparkling Model'!D$2:D$38^A17765)</f>
        <v>36.99947442</v>
      </c>
      <c r="C17765" s="8">
        <f t="array" ref="C17765">PRODUCT(1-'Sparkling Model'!D$2:D$38^A17765)</f>
        <v>0.9994745183</v>
      </c>
    </row>
    <row r="17766">
      <c r="A17766" s="6">
        <v>17764.0</v>
      </c>
      <c r="B17766" s="17">
        <f t="array" ref="B17766">SUM(1-'Sparkling Model'!D$2:D$38^A17766)</f>
        <v>36.99947468</v>
      </c>
      <c r="C17766" s="8">
        <f t="array" ref="C17766">PRODUCT(1-'Sparkling Model'!D$2:D$38^A17766)</f>
        <v>0.9994747768</v>
      </c>
    </row>
    <row r="17767">
      <c r="A17767" s="6">
        <v>17765.0</v>
      </c>
      <c r="B17767" s="17">
        <f t="array" ref="B17767">SUM(1-'Sparkling Model'!D$2:D$38^A17767)</f>
        <v>36.99947494</v>
      </c>
      <c r="C17767" s="8">
        <f t="array" ref="C17767">PRODUCT(1-'Sparkling Model'!D$2:D$38^A17767)</f>
        <v>0.9994750352</v>
      </c>
    </row>
    <row r="17768">
      <c r="A17768" s="6">
        <v>17766.0</v>
      </c>
      <c r="B17768" s="17">
        <f t="array" ref="B17768">SUM(1-'Sparkling Model'!D$2:D$38^A17768)</f>
        <v>36.9994752</v>
      </c>
      <c r="C17768" s="8">
        <f t="array" ref="C17768">PRODUCT(1-'Sparkling Model'!D$2:D$38^A17768)</f>
        <v>0.9994752934</v>
      </c>
    </row>
    <row r="17769">
      <c r="A17769" s="6">
        <v>17767.0</v>
      </c>
      <c r="B17769" s="17">
        <f t="array" ref="B17769">SUM(1-'Sparkling Model'!D$2:D$38^A17769)</f>
        <v>36.99947546</v>
      </c>
      <c r="C17769" s="8">
        <f t="array" ref="C17769">PRODUCT(1-'Sparkling Model'!D$2:D$38^A17769)</f>
        <v>0.9994755515</v>
      </c>
    </row>
    <row r="17770">
      <c r="A17770" s="6">
        <v>17768.0</v>
      </c>
      <c r="B17770" s="17">
        <f t="array" ref="B17770">SUM(1-'Sparkling Model'!D$2:D$38^A17770)</f>
        <v>36.99947572</v>
      </c>
      <c r="C17770" s="8">
        <f t="array" ref="C17770">PRODUCT(1-'Sparkling Model'!D$2:D$38^A17770)</f>
        <v>0.9994758094</v>
      </c>
    </row>
    <row r="17771">
      <c r="A17771" s="6">
        <v>17769.0</v>
      </c>
      <c r="B17771" s="17">
        <f t="array" ref="B17771">SUM(1-'Sparkling Model'!D$2:D$38^A17771)</f>
        <v>36.99947597</v>
      </c>
      <c r="C17771" s="8">
        <f t="array" ref="C17771">PRODUCT(1-'Sparkling Model'!D$2:D$38^A17771)</f>
        <v>0.9994760673</v>
      </c>
    </row>
    <row r="17772">
      <c r="A17772" s="6">
        <v>17770.0</v>
      </c>
      <c r="B17772" s="17">
        <f t="array" ref="B17772">SUM(1-'Sparkling Model'!D$2:D$38^A17772)</f>
        <v>36.99947623</v>
      </c>
      <c r="C17772" s="8">
        <f t="array" ref="C17772">PRODUCT(1-'Sparkling Model'!D$2:D$38^A17772)</f>
        <v>0.999476325</v>
      </c>
    </row>
    <row r="17773">
      <c r="A17773" s="6">
        <v>17771.0</v>
      </c>
      <c r="B17773" s="17">
        <f t="array" ref="B17773">SUM(1-'Sparkling Model'!D$2:D$38^A17773)</f>
        <v>36.99947649</v>
      </c>
      <c r="C17773" s="8">
        <f t="array" ref="C17773">PRODUCT(1-'Sparkling Model'!D$2:D$38^A17773)</f>
        <v>0.9994765826</v>
      </c>
    </row>
    <row r="17774">
      <c r="A17774" s="6">
        <v>17772.0</v>
      </c>
      <c r="B17774" s="17">
        <f t="array" ref="B17774">SUM(1-'Sparkling Model'!D$2:D$38^A17774)</f>
        <v>36.99947675</v>
      </c>
      <c r="C17774" s="8">
        <f t="array" ref="C17774">PRODUCT(1-'Sparkling Model'!D$2:D$38^A17774)</f>
        <v>0.9994768401</v>
      </c>
    </row>
    <row r="17775">
      <c r="A17775" s="6">
        <v>17773.0</v>
      </c>
      <c r="B17775" s="17">
        <f t="array" ref="B17775">SUM(1-'Sparkling Model'!D$2:D$38^A17775)</f>
        <v>36.999477</v>
      </c>
      <c r="C17775" s="8">
        <f t="array" ref="C17775">PRODUCT(1-'Sparkling Model'!D$2:D$38^A17775)</f>
        <v>0.9994770974</v>
      </c>
    </row>
    <row r="17776">
      <c r="A17776" s="6">
        <v>17774.0</v>
      </c>
      <c r="B17776" s="17">
        <f t="array" ref="B17776">SUM(1-'Sparkling Model'!D$2:D$38^A17776)</f>
        <v>36.99947726</v>
      </c>
      <c r="C17776" s="8">
        <f t="array" ref="C17776">PRODUCT(1-'Sparkling Model'!D$2:D$38^A17776)</f>
        <v>0.9994773546</v>
      </c>
    </row>
    <row r="17777">
      <c r="A17777" s="6">
        <v>17775.0</v>
      </c>
      <c r="B17777" s="17">
        <f t="array" ref="B17777">SUM(1-'Sparkling Model'!D$2:D$38^A17777)</f>
        <v>36.99947752</v>
      </c>
      <c r="C17777" s="8">
        <f t="array" ref="C17777">PRODUCT(1-'Sparkling Model'!D$2:D$38^A17777)</f>
        <v>0.9994776117</v>
      </c>
    </row>
    <row r="17778">
      <c r="A17778" s="6">
        <v>17776.0</v>
      </c>
      <c r="B17778" s="17">
        <f t="array" ref="B17778">SUM(1-'Sparkling Model'!D$2:D$38^A17778)</f>
        <v>36.99947778</v>
      </c>
      <c r="C17778" s="8">
        <f t="array" ref="C17778">PRODUCT(1-'Sparkling Model'!D$2:D$38^A17778)</f>
        <v>0.9994778686</v>
      </c>
    </row>
    <row r="17779">
      <c r="A17779" s="6">
        <v>17777.0</v>
      </c>
      <c r="B17779" s="17">
        <f t="array" ref="B17779">SUM(1-'Sparkling Model'!D$2:D$38^A17779)</f>
        <v>36.99947803</v>
      </c>
      <c r="C17779" s="8">
        <f t="array" ref="C17779">PRODUCT(1-'Sparkling Model'!D$2:D$38^A17779)</f>
        <v>0.9994781255</v>
      </c>
    </row>
    <row r="17780">
      <c r="A17780" s="6">
        <v>17778.0</v>
      </c>
      <c r="B17780" s="17">
        <f t="array" ref="B17780">SUM(1-'Sparkling Model'!D$2:D$38^A17780)</f>
        <v>36.99947829</v>
      </c>
      <c r="C17780" s="8">
        <f t="array" ref="C17780">PRODUCT(1-'Sparkling Model'!D$2:D$38^A17780)</f>
        <v>0.9994783822</v>
      </c>
    </row>
    <row r="17781">
      <c r="A17781" s="6">
        <v>17779.0</v>
      </c>
      <c r="B17781" s="17">
        <f t="array" ref="B17781">SUM(1-'Sparkling Model'!D$2:D$38^A17781)</f>
        <v>36.99947855</v>
      </c>
      <c r="C17781" s="8">
        <f t="array" ref="C17781">PRODUCT(1-'Sparkling Model'!D$2:D$38^A17781)</f>
        <v>0.9994786387</v>
      </c>
    </row>
    <row r="17782">
      <c r="A17782" s="6">
        <v>17780.0</v>
      </c>
      <c r="B17782" s="17">
        <f t="array" ref="B17782">SUM(1-'Sparkling Model'!D$2:D$38^A17782)</f>
        <v>36.9994788</v>
      </c>
      <c r="C17782" s="8">
        <f t="array" ref="C17782">PRODUCT(1-'Sparkling Model'!D$2:D$38^A17782)</f>
        <v>0.9994788952</v>
      </c>
    </row>
    <row r="17783">
      <c r="A17783" s="6">
        <v>17781.0</v>
      </c>
      <c r="B17783" s="17">
        <f t="array" ref="B17783">SUM(1-'Sparkling Model'!D$2:D$38^A17783)</f>
        <v>36.99947906</v>
      </c>
      <c r="C17783" s="8">
        <f t="array" ref="C17783">PRODUCT(1-'Sparkling Model'!D$2:D$38^A17783)</f>
        <v>0.9994791515</v>
      </c>
    </row>
    <row r="17784">
      <c r="A17784" s="6">
        <v>17782.0</v>
      </c>
      <c r="B17784" s="17">
        <f t="array" ref="B17784">SUM(1-'Sparkling Model'!D$2:D$38^A17784)</f>
        <v>36.99947932</v>
      </c>
      <c r="C17784" s="8">
        <f t="array" ref="C17784">PRODUCT(1-'Sparkling Model'!D$2:D$38^A17784)</f>
        <v>0.9994794077</v>
      </c>
    </row>
    <row r="17785">
      <c r="A17785" s="6">
        <v>17783.0</v>
      </c>
      <c r="B17785" s="17">
        <f t="array" ref="B17785">SUM(1-'Sparkling Model'!D$2:D$38^A17785)</f>
        <v>36.99947957</v>
      </c>
      <c r="C17785" s="8">
        <f t="array" ref="C17785">PRODUCT(1-'Sparkling Model'!D$2:D$38^A17785)</f>
        <v>0.9994796638</v>
      </c>
    </row>
    <row r="17786">
      <c r="A17786" s="6">
        <v>17784.0</v>
      </c>
      <c r="B17786" s="17">
        <f t="array" ref="B17786">SUM(1-'Sparkling Model'!D$2:D$38^A17786)</f>
        <v>36.99947983</v>
      </c>
      <c r="C17786" s="8">
        <f t="array" ref="C17786">PRODUCT(1-'Sparkling Model'!D$2:D$38^A17786)</f>
        <v>0.9994799197</v>
      </c>
    </row>
    <row r="17787">
      <c r="A17787" s="6">
        <v>17785.0</v>
      </c>
      <c r="B17787" s="17">
        <f t="array" ref="B17787">SUM(1-'Sparkling Model'!D$2:D$38^A17787)</f>
        <v>36.99948008</v>
      </c>
      <c r="C17787" s="8">
        <f t="array" ref="C17787">PRODUCT(1-'Sparkling Model'!D$2:D$38^A17787)</f>
        <v>0.9994801755</v>
      </c>
    </row>
    <row r="17788">
      <c r="A17788" s="6">
        <v>17786.0</v>
      </c>
      <c r="B17788" s="17">
        <f t="array" ref="B17788">SUM(1-'Sparkling Model'!D$2:D$38^A17788)</f>
        <v>36.99948034</v>
      </c>
      <c r="C17788" s="8">
        <f t="array" ref="C17788">PRODUCT(1-'Sparkling Model'!D$2:D$38^A17788)</f>
        <v>0.9994804312</v>
      </c>
    </row>
    <row r="17789">
      <c r="A17789" s="6">
        <v>17787.0</v>
      </c>
      <c r="B17789" s="17">
        <f t="array" ref="B17789">SUM(1-'Sparkling Model'!D$2:D$38^A17789)</f>
        <v>36.99948059</v>
      </c>
      <c r="C17789" s="8">
        <f t="array" ref="C17789">PRODUCT(1-'Sparkling Model'!D$2:D$38^A17789)</f>
        <v>0.9994806868</v>
      </c>
    </row>
    <row r="17790">
      <c r="A17790" s="6">
        <v>17788.0</v>
      </c>
      <c r="B17790" s="17">
        <f t="array" ref="B17790">SUM(1-'Sparkling Model'!D$2:D$38^A17790)</f>
        <v>36.99948085</v>
      </c>
      <c r="C17790" s="8">
        <f t="array" ref="C17790">PRODUCT(1-'Sparkling Model'!D$2:D$38^A17790)</f>
        <v>0.9994809422</v>
      </c>
    </row>
    <row r="17791">
      <c r="A17791" s="6">
        <v>17789.0</v>
      </c>
      <c r="B17791" s="17">
        <f t="array" ref="B17791">SUM(1-'Sparkling Model'!D$2:D$38^A17791)</f>
        <v>36.99948111</v>
      </c>
      <c r="C17791" s="8">
        <f t="array" ref="C17791">PRODUCT(1-'Sparkling Model'!D$2:D$38^A17791)</f>
        <v>0.9994811975</v>
      </c>
    </row>
    <row r="17792">
      <c r="A17792" s="6">
        <v>17790.0</v>
      </c>
      <c r="B17792" s="17">
        <f t="array" ref="B17792">SUM(1-'Sparkling Model'!D$2:D$38^A17792)</f>
        <v>36.99948136</v>
      </c>
      <c r="C17792" s="8">
        <f t="array" ref="C17792">PRODUCT(1-'Sparkling Model'!D$2:D$38^A17792)</f>
        <v>0.9994814527</v>
      </c>
    </row>
    <row r="17793">
      <c r="A17793" s="6">
        <v>17791.0</v>
      </c>
      <c r="B17793" s="17">
        <f t="array" ref="B17793">SUM(1-'Sparkling Model'!D$2:D$38^A17793)</f>
        <v>36.99948162</v>
      </c>
      <c r="C17793" s="8">
        <f t="array" ref="C17793">PRODUCT(1-'Sparkling Model'!D$2:D$38^A17793)</f>
        <v>0.9994817078</v>
      </c>
    </row>
    <row r="17794">
      <c r="A17794" s="6">
        <v>17792.0</v>
      </c>
      <c r="B17794" s="17">
        <f t="array" ref="B17794">SUM(1-'Sparkling Model'!D$2:D$38^A17794)</f>
        <v>36.99948187</v>
      </c>
      <c r="C17794" s="8">
        <f t="array" ref="C17794">PRODUCT(1-'Sparkling Model'!D$2:D$38^A17794)</f>
        <v>0.9994819627</v>
      </c>
    </row>
    <row r="17795">
      <c r="A17795" s="6">
        <v>17793.0</v>
      </c>
      <c r="B17795" s="17">
        <f t="array" ref="B17795">SUM(1-'Sparkling Model'!D$2:D$38^A17795)</f>
        <v>36.99948213</v>
      </c>
      <c r="C17795" s="8">
        <f t="array" ref="C17795">PRODUCT(1-'Sparkling Model'!D$2:D$38^A17795)</f>
        <v>0.9994822175</v>
      </c>
    </row>
    <row r="17796">
      <c r="A17796" s="6">
        <v>17794.0</v>
      </c>
      <c r="B17796" s="17">
        <f t="array" ref="B17796">SUM(1-'Sparkling Model'!D$2:D$38^A17796)</f>
        <v>36.99948238</v>
      </c>
      <c r="C17796" s="8">
        <f t="array" ref="C17796">PRODUCT(1-'Sparkling Model'!D$2:D$38^A17796)</f>
        <v>0.9994824722</v>
      </c>
    </row>
    <row r="17797">
      <c r="A17797" s="6">
        <v>17795.0</v>
      </c>
      <c r="B17797" s="17">
        <f t="array" ref="B17797">SUM(1-'Sparkling Model'!D$2:D$38^A17797)</f>
        <v>36.99948264</v>
      </c>
      <c r="C17797" s="8">
        <f t="array" ref="C17797">PRODUCT(1-'Sparkling Model'!D$2:D$38^A17797)</f>
        <v>0.9994827268</v>
      </c>
    </row>
    <row r="17798">
      <c r="A17798" s="6">
        <v>17796.0</v>
      </c>
      <c r="B17798" s="17">
        <f t="array" ref="B17798">SUM(1-'Sparkling Model'!D$2:D$38^A17798)</f>
        <v>36.99948289</v>
      </c>
      <c r="C17798" s="8">
        <f t="array" ref="C17798">PRODUCT(1-'Sparkling Model'!D$2:D$38^A17798)</f>
        <v>0.9994829812</v>
      </c>
    </row>
    <row r="17799">
      <c r="A17799" s="6">
        <v>17797.0</v>
      </c>
      <c r="B17799" s="17">
        <f t="array" ref="B17799">SUM(1-'Sparkling Model'!D$2:D$38^A17799)</f>
        <v>36.99948314</v>
      </c>
      <c r="C17799" s="8">
        <f t="array" ref="C17799">PRODUCT(1-'Sparkling Model'!D$2:D$38^A17799)</f>
        <v>0.9994832355</v>
      </c>
    </row>
    <row r="17800">
      <c r="A17800" s="6">
        <v>17798.0</v>
      </c>
      <c r="B17800" s="17">
        <f t="array" ref="B17800">SUM(1-'Sparkling Model'!D$2:D$38^A17800)</f>
        <v>36.9994834</v>
      </c>
      <c r="C17800" s="8">
        <f t="array" ref="C17800">PRODUCT(1-'Sparkling Model'!D$2:D$38^A17800)</f>
        <v>0.9994834897</v>
      </c>
    </row>
    <row r="17801">
      <c r="A17801" s="6">
        <v>17799.0</v>
      </c>
      <c r="B17801" s="17">
        <f t="array" ref="B17801">SUM(1-'Sparkling Model'!D$2:D$38^A17801)</f>
        <v>36.99948365</v>
      </c>
      <c r="C17801" s="8">
        <f t="array" ref="C17801">PRODUCT(1-'Sparkling Model'!D$2:D$38^A17801)</f>
        <v>0.9994837437</v>
      </c>
    </row>
    <row r="17802">
      <c r="A17802" s="6">
        <v>17800.0</v>
      </c>
      <c r="B17802" s="17">
        <f t="array" ref="B17802">SUM(1-'Sparkling Model'!D$2:D$38^A17802)</f>
        <v>36.99948391</v>
      </c>
      <c r="C17802" s="8">
        <f t="array" ref="C17802">PRODUCT(1-'Sparkling Model'!D$2:D$38^A17802)</f>
        <v>0.9994839977</v>
      </c>
    </row>
    <row r="17803">
      <c r="A17803" s="6">
        <v>17801.0</v>
      </c>
      <c r="B17803" s="17">
        <f t="array" ref="B17803">SUM(1-'Sparkling Model'!D$2:D$38^A17803)</f>
        <v>36.99948416</v>
      </c>
      <c r="C17803" s="8">
        <f t="array" ref="C17803">PRODUCT(1-'Sparkling Model'!D$2:D$38^A17803)</f>
        <v>0.9994842515</v>
      </c>
    </row>
    <row r="17804">
      <c r="A17804" s="6">
        <v>17802.0</v>
      </c>
      <c r="B17804" s="17">
        <f t="array" ref="B17804">SUM(1-'Sparkling Model'!D$2:D$38^A17804)</f>
        <v>36.99948441</v>
      </c>
      <c r="C17804" s="8">
        <f t="array" ref="C17804">PRODUCT(1-'Sparkling Model'!D$2:D$38^A17804)</f>
        <v>0.9994845052</v>
      </c>
    </row>
    <row r="17805">
      <c r="A17805" s="6">
        <v>17803.0</v>
      </c>
      <c r="B17805" s="17">
        <f t="array" ref="B17805">SUM(1-'Sparkling Model'!D$2:D$38^A17805)</f>
        <v>36.99948467</v>
      </c>
      <c r="C17805" s="8">
        <f t="array" ref="C17805">PRODUCT(1-'Sparkling Model'!D$2:D$38^A17805)</f>
        <v>0.9994847587</v>
      </c>
    </row>
    <row r="17806">
      <c r="A17806" s="6">
        <v>17804.0</v>
      </c>
      <c r="B17806" s="17">
        <f t="array" ref="B17806">SUM(1-'Sparkling Model'!D$2:D$38^A17806)</f>
        <v>36.99948492</v>
      </c>
      <c r="C17806" s="8">
        <f t="array" ref="C17806">PRODUCT(1-'Sparkling Model'!D$2:D$38^A17806)</f>
        <v>0.9994850121</v>
      </c>
    </row>
    <row r="17807">
      <c r="A17807" s="6">
        <v>17805.0</v>
      </c>
      <c r="B17807" s="17">
        <f t="array" ref="B17807">SUM(1-'Sparkling Model'!D$2:D$38^A17807)</f>
        <v>36.99948517</v>
      </c>
      <c r="C17807" s="8">
        <f t="array" ref="C17807">PRODUCT(1-'Sparkling Model'!D$2:D$38^A17807)</f>
        <v>0.9994852655</v>
      </c>
    </row>
    <row r="17808">
      <c r="A17808" s="6">
        <v>17806.0</v>
      </c>
      <c r="B17808" s="17">
        <f t="array" ref="B17808">SUM(1-'Sparkling Model'!D$2:D$38^A17808)</f>
        <v>36.99948543</v>
      </c>
      <c r="C17808" s="8">
        <f t="array" ref="C17808">PRODUCT(1-'Sparkling Model'!D$2:D$38^A17808)</f>
        <v>0.9994855186</v>
      </c>
    </row>
    <row r="17809">
      <c r="A17809" s="6">
        <v>17807.0</v>
      </c>
      <c r="B17809" s="17">
        <f t="array" ref="B17809">SUM(1-'Sparkling Model'!D$2:D$38^A17809)</f>
        <v>36.99948568</v>
      </c>
      <c r="C17809" s="8">
        <f t="array" ref="C17809">PRODUCT(1-'Sparkling Model'!D$2:D$38^A17809)</f>
        <v>0.9994857717</v>
      </c>
    </row>
    <row r="17810">
      <c r="A17810" s="6">
        <v>17808.0</v>
      </c>
      <c r="B17810" s="17">
        <f t="array" ref="B17810">SUM(1-'Sparkling Model'!D$2:D$38^A17810)</f>
        <v>36.99948593</v>
      </c>
      <c r="C17810" s="8">
        <f t="array" ref="C17810">PRODUCT(1-'Sparkling Model'!D$2:D$38^A17810)</f>
        <v>0.9994860246</v>
      </c>
    </row>
    <row r="17811">
      <c r="A17811" s="6">
        <v>17809.0</v>
      </c>
      <c r="B17811" s="17">
        <f t="array" ref="B17811">SUM(1-'Sparkling Model'!D$2:D$38^A17811)</f>
        <v>36.99948619</v>
      </c>
      <c r="C17811" s="8">
        <f t="array" ref="C17811">PRODUCT(1-'Sparkling Model'!D$2:D$38^A17811)</f>
        <v>0.9994862774</v>
      </c>
    </row>
    <row r="17812">
      <c r="A17812" s="6">
        <v>17810.0</v>
      </c>
      <c r="B17812" s="17">
        <f t="array" ref="B17812">SUM(1-'Sparkling Model'!D$2:D$38^A17812)</f>
        <v>36.99948644</v>
      </c>
      <c r="C17812" s="8">
        <f t="array" ref="C17812">PRODUCT(1-'Sparkling Model'!D$2:D$38^A17812)</f>
        <v>0.9994865301</v>
      </c>
    </row>
    <row r="17813">
      <c r="A17813" s="6">
        <v>17811.0</v>
      </c>
      <c r="B17813" s="17">
        <f t="array" ref="B17813">SUM(1-'Sparkling Model'!D$2:D$38^A17813)</f>
        <v>36.99948669</v>
      </c>
      <c r="C17813" s="8">
        <f t="array" ref="C17813">PRODUCT(1-'Sparkling Model'!D$2:D$38^A17813)</f>
        <v>0.9994867827</v>
      </c>
    </row>
    <row r="17814">
      <c r="A17814" s="6">
        <v>17812.0</v>
      </c>
      <c r="B17814" s="17">
        <f t="array" ref="B17814">SUM(1-'Sparkling Model'!D$2:D$38^A17814)</f>
        <v>36.99948695</v>
      </c>
      <c r="C17814" s="8">
        <f t="array" ref="C17814">PRODUCT(1-'Sparkling Model'!D$2:D$38^A17814)</f>
        <v>0.9994870351</v>
      </c>
    </row>
    <row r="17815">
      <c r="A17815" s="6">
        <v>17813.0</v>
      </c>
      <c r="B17815" s="17">
        <f t="array" ref="B17815">SUM(1-'Sparkling Model'!D$2:D$38^A17815)</f>
        <v>36.9994872</v>
      </c>
      <c r="C17815" s="8">
        <f t="array" ref="C17815">PRODUCT(1-'Sparkling Model'!D$2:D$38^A17815)</f>
        <v>0.9994872874</v>
      </c>
    </row>
    <row r="17816">
      <c r="A17816" s="6">
        <v>17814.0</v>
      </c>
      <c r="B17816" s="17">
        <f t="array" ref="B17816">SUM(1-'Sparkling Model'!D$2:D$38^A17816)</f>
        <v>36.99948745</v>
      </c>
      <c r="C17816" s="8">
        <f t="array" ref="C17816">PRODUCT(1-'Sparkling Model'!D$2:D$38^A17816)</f>
        <v>0.9994875396</v>
      </c>
    </row>
    <row r="17817">
      <c r="A17817" s="6">
        <v>17815.0</v>
      </c>
      <c r="B17817" s="17">
        <f t="array" ref="B17817">SUM(1-'Sparkling Model'!D$2:D$38^A17817)</f>
        <v>36.9994877</v>
      </c>
      <c r="C17817" s="8">
        <f t="array" ref="C17817">PRODUCT(1-'Sparkling Model'!D$2:D$38^A17817)</f>
        <v>0.9994877917</v>
      </c>
    </row>
    <row r="17818">
      <c r="A17818" s="6">
        <v>17816.0</v>
      </c>
      <c r="B17818" s="17">
        <f t="array" ref="B17818">SUM(1-'Sparkling Model'!D$2:D$38^A17818)</f>
        <v>36.99948795</v>
      </c>
      <c r="C17818" s="8">
        <f t="array" ref="C17818">PRODUCT(1-'Sparkling Model'!D$2:D$38^A17818)</f>
        <v>0.9994880436</v>
      </c>
    </row>
    <row r="17819">
      <c r="A17819" s="6">
        <v>17817.0</v>
      </c>
      <c r="B17819" s="17">
        <f t="array" ref="B17819">SUM(1-'Sparkling Model'!D$2:D$38^A17819)</f>
        <v>36.99948821</v>
      </c>
      <c r="C17819" s="8">
        <f t="array" ref="C17819">PRODUCT(1-'Sparkling Model'!D$2:D$38^A17819)</f>
        <v>0.9994882954</v>
      </c>
    </row>
    <row r="17820">
      <c r="A17820" s="6">
        <v>17818.0</v>
      </c>
      <c r="B17820" s="17">
        <f t="array" ref="B17820">SUM(1-'Sparkling Model'!D$2:D$38^A17820)</f>
        <v>36.99948846</v>
      </c>
      <c r="C17820" s="8">
        <f t="array" ref="C17820">PRODUCT(1-'Sparkling Model'!D$2:D$38^A17820)</f>
        <v>0.9994885471</v>
      </c>
    </row>
    <row r="17821">
      <c r="A17821" s="6">
        <v>17819.0</v>
      </c>
      <c r="B17821" s="17">
        <f t="array" ref="B17821">SUM(1-'Sparkling Model'!D$2:D$38^A17821)</f>
        <v>36.99948871</v>
      </c>
      <c r="C17821" s="8">
        <f t="array" ref="C17821">PRODUCT(1-'Sparkling Model'!D$2:D$38^A17821)</f>
        <v>0.9994887987</v>
      </c>
    </row>
    <row r="17822">
      <c r="A17822" s="6">
        <v>17820.0</v>
      </c>
      <c r="B17822" s="17">
        <f t="array" ref="B17822">SUM(1-'Sparkling Model'!D$2:D$38^A17822)</f>
        <v>36.99948896</v>
      </c>
      <c r="C17822" s="8">
        <f t="array" ref="C17822">PRODUCT(1-'Sparkling Model'!D$2:D$38^A17822)</f>
        <v>0.9994890501</v>
      </c>
    </row>
    <row r="17823">
      <c r="A17823" s="6">
        <v>17821.0</v>
      </c>
      <c r="B17823" s="17">
        <f t="array" ref="B17823">SUM(1-'Sparkling Model'!D$2:D$38^A17823)</f>
        <v>36.99948921</v>
      </c>
      <c r="C17823" s="8">
        <f t="array" ref="C17823">PRODUCT(1-'Sparkling Model'!D$2:D$38^A17823)</f>
        <v>0.9994893014</v>
      </c>
    </row>
    <row r="17824">
      <c r="A17824" s="6">
        <v>17822.0</v>
      </c>
      <c r="B17824" s="17">
        <f t="array" ref="B17824">SUM(1-'Sparkling Model'!D$2:D$38^A17824)</f>
        <v>36.99948946</v>
      </c>
      <c r="C17824" s="8">
        <f t="array" ref="C17824">PRODUCT(1-'Sparkling Model'!D$2:D$38^A17824)</f>
        <v>0.9994895526</v>
      </c>
    </row>
    <row r="17825">
      <c r="A17825" s="6">
        <v>17823.0</v>
      </c>
      <c r="B17825" s="17">
        <f t="array" ref="B17825">SUM(1-'Sparkling Model'!D$2:D$38^A17825)</f>
        <v>36.99948971</v>
      </c>
      <c r="C17825" s="8">
        <f t="array" ref="C17825">PRODUCT(1-'Sparkling Model'!D$2:D$38^A17825)</f>
        <v>0.9994898037</v>
      </c>
    </row>
    <row r="17826">
      <c r="A17826" s="6">
        <v>17824.0</v>
      </c>
      <c r="B17826" s="17">
        <f t="array" ref="B17826">SUM(1-'Sparkling Model'!D$2:D$38^A17826)</f>
        <v>36.99948997</v>
      </c>
      <c r="C17826" s="8">
        <f t="array" ref="C17826">PRODUCT(1-'Sparkling Model'!D$2:D$38^A17826)</f>
        <v>0.9994900546</v>
      </c>
    </row>
    <row r="17827">
      <c r="A17827" s="6">
        <v>17825.0</v>
      </c>
      <c r="B17827" s="17">
        <f t="array" ref="B17827">SUM(1-'Sparkling Model'!D$2:D$38^A17827)</f>
        <v>36.99949022</v>
      </c>
      <c r="C17827" s="8">
        <f t="array" ref="C17827">PRODUCT(1-'Sparkling Model'!D$2:D$38^A17827)</f>
        <v>0.9994903054</v>
      </c>
    </row>
    <row r="17828">
      <c r="A17828" s="6">
        <v>17826.0</v>
      </c>
      <c r="B17828" s="17">
        <f t="array" ref="B17828">SUM(1-'Sparkling Model'!D$2:D$38^A17828)</f>
        <v>36.99949047</v>
      </c>
      <c r="C17828" s="8">
        <f t="array" ref="C17828">PRODUCT(1-'Sparkling Model'!D$2:D$38^A17828)</f>
        <v>0.9994905561</v>
      </c>
    </row>
    <row r="17829">
      <c r="A17829" s="6">
        <v>17827.0</v>
      </c>
      <c r="B17829" s="17">
        <f t="array" ref="B17829">SUM(1-'Sparkling Model'!D$2:D$38^A17829)</f>
        <v>36.99949072</v>
      </c>
      <c r="C17829" s="8">
        <f t="array" ref="C17829">PRODUCT(1-'Sparkling Model'!D$2:D$38^A17829)</f>
        <v>0.9994908067</v>
      </c>
    </row>
    <row r="17830">
      <c r="A17830" s="6">
        <v>17828.0</v>
      </c>
      <c r="B17830" s="17">
        <f t="array" ref="B17830">SUM(1-'Sparkling Model'!D$2:D$38^A17830)</f>
        <v>36.99949097</v>
      </c>
      <c r="C17830" s="8">
        <f t="array" ref="C17830">PRODUCT(1-'Sparkling Model'!D$2:D$38^A17830)</f>
        <v>0.9994910572</v>
      </c>
    </row>
    <row r="17831">
      <c r="A17831" s="6">
        <v>17829.0</v>
      </c>
      <c r="B17831" s="17">
        <f t="array" ref="B17831">SUM(1-'Sparkling Model'!D$2:D$38^A17831)</f>
        <v>36.99949122</v>
      </c>
      <c r="C17831" s="8">
        <f t="array" ref="C17831">PRODUCT(1-'Sparkling Model'!D$2:D$38^A17831)</f>
        <v>0.9994913075</v>
      </c>
    </row>
    <row r="17832">
      <c r="A17832" s="6">
        <v>17830.0</v>
      </c>
      <c r="B17832" s="17">
        <f t="array" ref="B17832">SUM(1-'Sparkling Model'!D$2:D$38^A17832)</f>
        <v>36.99949147</v>
      </c>
      <c r="C17832" s="8">
        <f t="array" ref="C17832">PRODUCT(1-'Sparkling Model'!D$2:D$38^A17832)</f>
        <v>0.9994915577</v>
      </c>
    </row>
    <row r="17833">
      <c r="A17833" s="6">
        <v>17831.0</v>
      </c>
      <c r="B17833" s="17">
        <f t="array" ref="B17833">SUM(1-'Sparkling Model'!D$2:D$38^A17833)</f>
        <v>36.99949172</v>
      </c>
      <c r="C17833" s="8">
        <f t="array" ref="C17833">PRODUCT(1-'Sparkling Model'!D$2:D$38^A17833)</f>
        <v>0.9994918078</v>
      </c>
    </row>
    <row r="17834">
      <c r="A17834" s="6">
        <v>17832.0</v>
      </c>
      <c r="B17834" s="17">
        <f t="array" ref="B17834">SUM(1-'Sparkling Model'!D$2:D$38^A17834)</f>
        <v>36.99949197</v>
      </c>
      <c r="C17834" s="8">
        <f t="array" ref="C17834">PRODUCT(1-'Sparkling Model'!D$2:D$38^A17834)</f>
        <v>0.9994920577</v>
      </c>
    </row>
    <row r="17835">
      <c r="A17835" s="6">
        <v>17833.0</v>
      </c>
      <c r="B17835" s="17">
        <f t="array" ref="B17835">SUM(1-'Sparkling Model'!D$2:D$38^A17835)</f>
        <v>36.99949222</v>
      </c>
      <c r="C17835" s="8">
        <f t="array" ref="C17835">PRODUCT(1-'Sparkling Model'!D$2:D$38^A17835)</f>
        <v>0.9994923076</v>
      </c>
    </row>
    <row r="17836">
      <c r="A17836" s="6">
        <v>17834.0</v>
      </c>
      <c r="B17836" s="17">
        <f t="array" ref="B17836">SUM(1-'Sparkling Model'!D$2:D$38^A17836)</f>
        <v>36.99949247</v>
      </c>
      <c r="C17836" s="8">
        <f t="array" ref="C17836">PRODUCT(1-'Sparkling Model'!D$2:D$38^A17836)</f>
        <v>0.9994925573</v>
      </c>
    </row>
    <row r="17837">
      <c r="A17837" s="6">
        <v>17835.0</v>
      </c>
      <c r="B17837" s="17">
        <f t="array" ref="B17837">SUM(1-'Sparkling Model'!D$2:D$38^A17837)</f>
        <v>36.99949272</v>
      </c>
      <c r="C17837" s="8">
        <f t="array" ref="C17837">PRODUCT(1-'Sparkling Model'!D$2:D$38^A17837)</f>
        <v>0.9994928069</v>
      </c>
    </row>
    <row r="17838">
      <c r="A17838" s="6">
        <v>17836.0</v>
      </c>
      <c r="B17838" s="17">
        <f t="array" ref="B17838">SUM(1-'Sparkling Model'!D$2:D$38^A17838)</f>
        <v>36.99949297</v>
      </c>
      <c r="C17838" s="8">
        <f t="array" ref="C17838">PRODUCT(1-'Sparkling Model'!D$2:D$38^A17838)</f>
        <v>0.9994930563</v>
      </c>
    </row>
    <row r="17839">
      <c r="A17839" s="6">
        <v>17837.0</v>
      </c>
      <c r="B17839" s="17">
        <f t="array" ref="B17839">SUM(1-'Sparkling Model'!D$2:D$38^A17839)</f>
        <v>36.99949322</v>
      </c>
      <c r="C17839" s="8">
        <f t="array" ref="C17839">PRODUCT(1-'Sparkling Model'!D$2:D$38^A17839)</f>
        <v>0.9994933057</v>
      </c>
    </row>
    <row r="17840">
      <c r="A17840" s="6">
        <v>17838.0</v>
      </c>
      <c r="B17840" s="17">
        <f t="array" ref="B17840">SUM(1-'Sparkling Model'!D$2:D$38^A17840)</f>
        <v>36.99949347</v>
      </c>
      <c r="C17840" s="8">
        <f t="array" ref="C17840">PRODUCT(1-'Sparkling Model'!D$2:D$38^A17840)</f>
        <v>0.9994935549</v>
      </c>
    </row>
    <row r="17841">
      <c r="A17841" s="6">
        <v>17839.0</v>
      </c>
      <c r="B17841" s="17">
        <f t="array" ref="B17841">SUM(1-'Sparkling Model'!D$2:D$38^A17841)</f>
        <v>36.99949372</v>
      </c>
      <c r="C17841" s="8">
        <f t="array" ref="C17841">PRODUCT(1-'Sparkling Model'!D$2:D$38^A17841)</f>
        <v>0.999493804</v>
      </c>
    </row>
    <row r="17842">
      <c r="A17842" s="6">
        <v>17840.0</v>
      </c>
      <c r="B17842" s="17">
        <f t="array" ref="B17842">SUM(1-'Sparkling Model'!D$2:D$38^A17842)</f>
        <v>36.99949397</v>
      </c>
      <c r="C17842" s="8">
        <f t="array" ref="C17842">PRODUCT(1-'Sparkling Model'!D$2:D$38^A17842)</f>
        <v>0.999494053</v>
      </c>
    </row>
    <row r="17843">
      <c r="A17843" s="6">
        <v>17841.0</v>
      </c>
      <c r="B17843" s="17">
        <f t="array" ref="B17843">SUM(1-'Sparkling Model'!D$2:D$38^A17843)</f>
        <v>36.99949421</v>
      </c>
      <c r="C17843" s="8">
        <f t="array" ref="C17843">PRODUCT(1-'Sparkling Model'!D$2:D$38^A17843)</f>
        <v>0.9994943018</v>
      </c>
    </row>
    <row r="17844">
      <c r="A17844" s="6">
        <v>17842.0</v>
      </c>
      <c r="B17844" s="17">
        <f t="array" ref="B17844">SUM(1-'Sparkling Model'!D$2:D$38^A17844)</f>
        <v>36.99949446</v>
      </c>
      <c r="C17844" s="8">
        <f t="array" ref="C17844">PRODUCT(1-'Sparkling Model'!D$2:D$38^A17844)</f>
        <v>0.9994945505</v>
      </c>
    </row>
    <row r="17845">
      <c r="A17845" s="6">
        <v>17843.0</v>
      </c>
      <c r="B17845" s="17">
        <f t="array" ref="B17845">SUM(1-'Sparkling Model'!D$2:D$38^A17845)</f>
        <v>36.99949471</v>
      </c>
      <c r="C17845" s="8">
        <f t="array" ref="C17845">PRODUCT(1-'Sparkling Model'!D$2:D$38^A17845)</f>
        <v>0.9994947991</v>
      </c>
    </row>
    <row r="17846">
      <c r="A17846" s="6">
        <v>17844.0</v>
      </c>
      <c r="B17846" s="17">
        <f t="array" ref="B17846">SUM(1-'Sparkling Model'!D$2:D$38^A17846)</f>
        <v>36.99949496</v>
      </c>
      <c r="C17846" s="8">
        <f t="array" ref="C17846">PRODUCT(1-'Sparkling Model'!D$2:D$38^A17846)</f>
        <v>0.9994950476</v>
      </c>
    </row>
    <row r="17847">
      <c r="A17847" s="6">
        <v>17845.0</v>
      </c>
      <c r="B17847" s="17">
        <f t="array" ref="B17847">SUM(1-'Sparkling Model'!D$2:D$38^A17847)</f>
        <v>36.99949521</v>
      </c>
      <c r="C17847" s="8">
        <f t="array" ref="C17847">PRODUCT(1-'Sparkling Model'!D$2:D$38^A17847)</f>
        <v>0.999495296</v>
      </c>
    </row>
    <row r="17848">
      <c r="A17848" s="6">
        <v>17846.0</v>
      </c>
      <c r="B17848" s="17">
        <f t="array" ref="B17848">SUM(1-'Sparkling Model'!D$2:D$38^A17848)</f>
        <v>36.99949546</v>
      </c>
      <c r="C17848" s="8">
        <f t="array" ref="C17848">PRODUCT(1-'Sparkling Model'!D$2:D$38^A17848)</f>
        <v>0.9994955442</v>
      </c>
    </row>
    <row r="17849">
      <c r="A17849" s="6">
        <v>17847.0</v>
      </c>
      <c r="B17849" s="17">
        <f t="array" ref="B17849">SUM(1-'Sparkling Model'!D$2:D$38^A17849)</f>
        <v>36.99949571</v>
      </c>
      <c r="C17849" s="8">
        <f t="array" ref="C17849">PRODUCT(1-'Sparkling Model'!D$2:D$38^A17849)</f>
        <v>0.9994957923</v>
      </c>
    </row>
    <row r="17850">
      <c r="A17850" s="6">
        <v>17848.0</v>
      </c>
      <c r="B17850" s="17">
        <f t="array" ref="B17850">SUM(1-'Sparkling Model'!D$2:D$38^A17850)</f>
        <v>36.99949595</v>
      </c>
      <c r="C17850" s="8">
        <f t="array" ref="C17850">PRODUCT(1-'Sparkling Model'!D$2:D$38^A17850)</f>
        <v>0.9994960403</v>
      </c>
    </row>
    <row r="17851">
      <c r="A17851" s="6">
        <v>17849.0</v>
      </c>
      <c r="B17851" s="17">
        <f t="array" ref="B17851">SUM(1-'Sparkling Model'!D$2:D$38^A17851)</f>
        <v>36.9994962</v>
      </c>
      <c r="C17851" s="8">
        <f t="array" ref="C17851">PRODUCT(1-'Sparkling Model'!D$2:D$38^A17851)</f>
        <v>0.9994962882</v>
      </c>
    </row>
    <row r="17852">
      <c r="A17852" s="6">
        <v>17850.0</v>
      </c>
      <c r="B17852" s="17">
        <f t="array" ref="B17852">SUM(1-'Sparkling Model'!D$2:D$38^A17852)</f>
        <v>36.99949645</v>
      </c>
      <c r="C17852" s="8">
        <f t="array" ref="C17852">PRODUCT(1-'Sparkling Model'!D$2:D$38^A17852)</f>
        <v>0.999496536</v>
      </c>
    </row>
    <row r="17853">
      <c r="A17853" s="6">
        <v>17851.0</v>
      </c>
      <c r="B17853" s="17">
        <f t="array" ref="B17853">SUM(1-'Sparkling Model'!D$2:D$38^A17853)</f>
        <v>36.9994967</v>
      </c>
      <c r="C17853" s="8">
        <f t="array" ref="C17853">PRODUCT(1-'Sparkling Model'!D$2:D$38^A17853)</f>
        <v>0.9994967836</v>
      </c>
    </row>
    <row r="17854">
      <c r="A17854" s="6">
        <v>17852.0</v>
      </c>
      <c r="B17854" s="17">
        <f t="array" ref="B17854">SUM(1-'Sparkling Model'!D$2:D$38^A17854)</f>
        <v>36.99949694</v>
      </c>
      <c r="C17854" s="8">
        <f t="array" ref="C17854">PRODUCT(1-'Sparkling Model'!D$2:D$38^A17854)</f>
        <v>0.9994970311</v>
      </c>
    </row>
    <row r="17855">
      <c r="A17855" s="6">
        <v>17853.0</v>
      </c>
      <c r="B17855" s="17">
        <f t="array" ref="B17855">SUM(1-'Sparkling Model'!D$2:D$38^A17855)</f>
        <v>36.99949719</v>
      </c>
      <c r="C17855" s="8">
        <f t="array" ref="C17855">PRODUCT(1-'Sparkling Model'!D$2:D$38^A17855)</f>
        <v>0.9994972785</v>
      </c>
    </row>
    <row r="17856">
      <c r="A17856" s="6">
        <v>17854.0</v>
      </c>
      <c r="B17856" s="17">
        <f t="array" ref="B17856">SUM(1-'Sparkling Model'!D$2:D$38^A17856)</f>
        <v>36.99949744</v>
      </c>
      <c r="C17856" s="8">
        <f t="array" ref="C17856">PRODUCT(1-'Sparkling Model'!D$2:D$38^A17856)</f>
        <v>0.9994975257</v>
      </c>
    </row>
    <row r="17857">
      <c r="A17857" s="6">
        <v>17855.0</v>
      </c>
      <c r="B17857" s="17">
        <f t="array" ref="B17857">SUM(1-'Sparkling Model'!D$2:D$38^A17857)</f>
        <v>36.99949769</v>
      </c>
      <c r="C17857" s="8">
        <f t="array" ref="C17857">PRODUCT(1-'Sparkling Model'!D$2:D$38^A17857)</f>
        <v>0.9994977729</v>
      </c>
    </row>
    <row r="17858">
      <c r="A17858" s="6">
        <v>17856.0</v>
      </c>
      <c r="B17858" s="17">
        <f t="array" ref="B17858">SUM(1-'Sparkling Model'!D$2:D$38^A17858)</f>
        <v>36.99949793</v>
      </c>
      <c r="C17858" s="8">
        <f t="array" ref="C17858">PRODUCT(1-'Sparkling Model'!D$2:D$38^A17858)</f>
        <v>0.9994980199</v>
      </c>
    </row>
    <row r="17859">
      <c r="A17859" s="6">
        <v>17857.0</v>
      </c>
      <c r="B17859" s="17">
        <f t="array" ref="B17859">SUM(1-'Sparkling Model'!D$2:D$38^A17859)</f>
        <v>36.99949818</v>
      </c>
      <c r="C17859" s="8">
        <f t="array" ref="C17859">PRODUCT(1-'Sparkling Model'!D$2:D$38^A17859)</f>
        <v>0.9994982668</v>
      </c>
    </row>
    <row r="17860">
      <c r="A17860" s="6">
        <v>17858.0</v>
      </c>
      <c r="B17860" s="17">
        <f t="array" ref="B17860">SUM(1-'Sparkling Model'!D$2:D$38^A17860)</f>
        <v>36.99949843</v>
      </c>
      <c r="C17860" s="8">
        <f t="array" ref="C17860">PRODUCT(1-'Sparkling Model'!D$2:D$38^A17860)</f>
        <v>0.9994985136</v>
      </c>
    </row>
    <row r="17861">
      <c r="A17861" s="6">
        <v>17859.0</v>
      </c>
      <c r="B17861" s="17">
        <f t="array" ref="B17861">SUM(1-'Sparkling Model'!D$2:D$38^A17861)</f>
        <v>36.99949867</v>
      </c>
      <c r="C17861" s="8">
        <f t="array" ref="C17861">PRODUCT(1-'Sparkling Model'!D$2:D$38^A17861)</f>
        <v>0.9994987602</v>
      </c>
    </row>
    <row r="17862">
      <c r="A17862" s="6">
        <v>17860.0</v>
      </c>
      <c r="B17862" s="17">
        <f t="array" ref="B17862">SUM(1-'Sparkling Model'!D$2:D$38^A17862)</f>
        <v>36.99949892</v>
      </c>
      <c r="C17862" s="8">
        <f t="array" ref="C17862">PRODUCT(1-'Sparkling Model'!D$2:D$38^A17862)</f>
        <v>0.9994990067</v>
      </c>
    </row>
    <row r="17863">
      <c r="A17863" s="6">
        <v>17861.0</v>
      </c>
      <c r="B17863" s="17">
        <f t="array" ref="B17863">SUM(1-'Sparkling Model'!D$2:D$38^A17863)</f>
        <v>36.99949917</v>
      </c>
      <c r="C17863" s="8">
        <f t="array" ref="C17863">PRODUCT(1-'Sparkling Model'!D$2:D$38^A17863)</f>
        <v>0.9994992532</v>
      </c>
    </row>
    <row r="17864">
      <c r="A17864" s="6">
        <v>17862.0</v>
      </c>
      <c r="B17864" s="17">
        <f t="array" ref="B17864">SUM(1-'Sparkling Model'!D$2:D$38^A17864)</f>
        <v>36.99949941</v>
      </c>
      <c r="C17864" s="8">
        <f t="array" ref="C17864">PRODUCT(1-'Sparkling Model'!D$2:D$38^A17864)</f>
        <v>0.9994994994</v>
      </c>
    </row>
    <row r="17865">
      <c r="A17865" s="6">
        <v>17863.0</v>
      </c>
      <c r="B17865" s="17">
        <f t="array" ref="B17865">SUM(1-'Sparkling Model'!D$2:D$38^A17865)</f>
        <v>36.99949966</v>
      </c>
      <c r="C17865" s="8">
        <f t="array" ref="C17865">PRODUCT(1-'Sparkling Model'!D$2:D$38^A17865)</f>
        <v>0.9994997456</v>
      </c>
    </row>
    <row r="17866">
      <c r="A17866" s="6">
        <v>17864.0</v>
      </c>
      <c r="B17866" s="17">
        <f t="array" ref="B17866">SUM(1-'Sparkling Model'!D$2:D$38^A17866)</f>
        <v>36.99949991</v>
      </c>
      <c r="C17866" s="8">
        <f t="array" ref="C17866">PRODUCT(1-'Sparkling Model'!D$2:D$38^A17866)</f>
        <v>0.9994999916</v>
      </c>
    </row>
    <row r="17867">
      <c r="A17867" s="6">
        <v>17865.0</v>
      </c>
      <c r="B17867" s="17">
        <f t="array" ref="B17867">SUM(1-'Sparkling Model'!D$2:D$38^A17867)</f>
        <v>36.99950015</v>
      </c>
      <c r="C17867" s="8">
        <f t="array" ref="C17867">PRODUCT(1-'Sparkling Model'!D$2:D$38^A17867)</f>
        <v>0.9995002376</v>
      </c>
    </row>
    <row r="17868">
      <c r="A17868" s="6">
        <v>17866.0</v>
      </c>
      <c r="B17868" s="17">
        <f t="array" ref="B17868">SUM(1-'Sparkling Model'!D$2:D$38^A17868)</f>
        <v>36.9995004</v>
      </c>
      <c r="C17868" s="8">
        <f t="array" ref="C17868">PRODUCT(1-'Sparkling Model'!D$2:D$38^A17868)</f>
        <v>0.9995004834</v>
      </c>
    </row>
    <row r="17869">
      <c r="A17869" s="6">
        <v>17867.0</v>
      </c>
      <c r="B17869" s="17">
        <f t="array" ref="B17869">SUM(1-'Sparkling Model'!D$2:D$38^A17869)</f>
        <v>36.99950064</v>
      </c>
      <c r="C17869" s="8">
        <f t="array" ref="C17869">PRODUCT(1-'Sparkling Model'!D$2:D$38^A17869)</f>
        <v>0.9995007291</v>
      </c>
    </row>
    <row r="17870">
      <c r="A17870" s="6">
        <v>17868.0</v>
      </c>
      <c r="B17870" s="17">
        <f t="array" ref="B17870">SUM(1-'Sparkling Model'!D$2:D$38^A17870)</f>
        <v>36.99950089</v>
      </c>
      <c r="C17870" s="8">
        <f t="array" ref="C17870">PRODUCT(1-'Sparkling Model'!D$2:D$38^A17870)</f>
        <v>0.9995009746</v>
      </c>
    </row>
    <row r="17871">
      <c r="A17871" s="6">
        <v>17869.0</v>
      </c>
      <c r="B17871" s="17">
        <f t="array" ref="B17871">SUM(1-'Sparkling Model'!D$2:D$38^A17871)</f>
        <v>36.99950114</v>
      </c>
      <c r="C17871" s="8">
        <f t="array" ref="C17871">PRODUCT(1-'Sparkling Model'!D$2:D$38^A17871)</f>
        <v>0.9995012201</v>
      </c>
    </row>
    <row r="17872">
      <c r="A17872" s="6">
        <v>17870.0</v>
      </c>
      <c r="B17872" s="17">
        <f t="array" ref="B17872">SUM(1-'Sparkling Model'!D$2:D$38^A17872)</f>
        <v>36.99950138</v>
      </c>
      <c r="C17872" s="8">
        <f t="array" ref="C17872">PRODUCT(1-'Sparkling Model'!D$2:D$38^A17872)</f>
        <v>0.9995014654</v>
      </c>
    </row>
    <row r="17873">
      <c r="A17873" s="6">
        <v>17871.0</v>
      </c>
      <c r="B17873" s="17">
        <f t="array" ref="B17873">SUM(1-'Sparkling Model'!D$2:D$38^A17873)</f>
        <v>36.99950163</v>
      </c>
      <c r="C17873" s="8">
        <f t="array" ref="C17873">PRODUCT(1-'Sparkling Model'!D$2:D$38^A17873)</f>
        <v>0.9995017106</v>
      </c>
    </row>
    <row r="17874">
      <c r="A17874" s="6">
        <v>17872.0</v>
      </c>
      <c r="B17874" s="17">
        <f t="array" ref="B17874">SUM(1-'Sparkling Model'!D$2:D$38^A17874)</f>
        <v>36.99950187</v>
      </c>
      <c r="C17874" s="8">
        <f t="array" ref="C17874">PRODUCT(1-'Sparkling Model'!D$2:D$38^A17874)</f>
        <v>0.9995019556</v>
      </c>
    </row>
    <row r="17875">
      <c r="A17875" s="6">
        <v>17873.0</v>
      </c>
      <c r="B17875" s="17">
        <f t="array" ref="B17875">SUM(1-'Sparkling Model'!D$2:D$38^A17875)</f>
        <v>36.99950212</v>
      </c>
      <c r="C17875" s="8">
        <f t="array" ref="C17875">PRODUCT(1-'Sparkling Model'!D$2:D$38^A17875)</f>
        <v>0.9995022006</v>
      </c>
    </row>
    <row r="17876">
      <c r="A17876" s="6">
        <v>17874.0</v>
      </c>
      <c r="B17876" s="17">
        <f t="array" ref="B17876">SUM(1-'Sparkling Model'!D$2:D$38^A17876)</f>
        <v>36.99950236</v>
      </c>
      <c r="C17876" s="8">
        <f t="array" ref="C17876">PRODUCT(1-'Sparkling Model'!D$2:D$38^A17876)</f>
        <v>0.9995024454</v>
      </c>
    </row>
    <row r="17877">
      <c r="A17877" s="6">
        <v>17875.0</v>
      </c>
      <c r="B17877" s="17">
        <f t="array" ref="B17877">SUM(1-'Sparkling Model'!D$2:D$38^A17877)</f>
        <v>36.99950261</v>
      </c>
      <c r="C17877" s="8">
        <f t="array" ref="C17877">PRODUCT(1-'Sparkling Model'!D$2:D$38^A17877)</f>
        <v>0.9995026902</v>
      </c>
    </row>
    <row r="17878">
      <c r="A17878" s="6">
        <v>17876.0</v>
      </c>
      <c r="B17878" s="17">
        <f t="array" ref="B17878">SUM(1-'Sparkling Model'!D$2:D$38^A17878)</f>
        <v>36.99950285</v>
      </c>
      <c r="C17878" s="8">
        <f t="array" ref="C17878">PRODUCT(1-'Sparkling Model'!D$2:D$38^A17878)</f>
        <v>0.9995029347</v>
      </c>
    </row>
    <row r="17879">
      <c r="A17879" s="6">
        <v>17877.0</v>
      </c>
      <c r="B17879" s="17">
        <f t="array" ref="B17879">SUM(1-'Sparkling Model'!D$2:D$38^A17879)</f>
        <v>36.99950309</v>
      </c>
      <c r="C17879" s="8">
        <f t="array" ref="C17879">PRODUCT(1-'Sparkling Model'!D$2:D$38^A17879)</f>
        <v>0.9995031792</v>
      </c>
    </row>
    <row r="17880">
      <c r="A17880" s="6">
        <v>17878.0</v>
      </c>
      <c r="B17880" s="17">
        <f t="array" ref="B17880">SUM(1-'Sparkling Model'!D$2:D$38^A17880)</f>
        <v>36.99950334</v>
      </c>
      <c r="C17880" s="8">
        <f t="array" ref="C17880">PRODUCT(1-'Sparkling Model'!D$2:D$38^A17880)</f>
        <v>0.9995034236</v>
      </c>
    </row>
    <row r="17881">
      <c r="A17881" s="6">
        <v>17879.0</v>
      </c>
      <c r="B17881" s="17">
        <f t="array" ref="B17881">SUM(1-'Sparkling Model'!D$2:D$38^A17881)</f>
        <v>36.99950358</v>
      </c>
      <c r="C17881" s="8">
        <f t="array" ref="C17881">PRODUCT(1-'Sparkling Model'!D$2:D$38^A17881)</f>
        <v>0.9995036678</v>
      </c>
    </row>
    <row r="17882">
      <c r="A17882" s="6">
        <v>17880.0</v>
      </c>
      <c r="B17882" s="17">
        <f t="array" ref="B17882">SUM(1-'Sparkling Model'!D$2:D$38^A17882)</f>
        <v>36.99950383</v>
      </c>
      <c r="C17882" s="8">
        <f t="array" ref="C17882">PRODUCT(1-'Sparkling Model'!D$2:D$38^A17882)</f>
        <v>0.9995039119</v>
      </c>
    </row>
    <row r="17883">
      <c r="A17883" s="6">
        <v>17881.0</v>
      </c>
      <c r="B17883" s="17">
        <f t="array" ref="B17883">SUM(1-'Sparkling Model'!D$2:D$38^A17883)</f>
        <v>36.99950407</v>
      </c>
      <c r="C17883" s="8">
        <f t="array" ref="C17883">PRODUCT(1-'Sparkling Model'!D$2:D$38^A17883)</f>
        <v>0.9995041559</v>
      </c>
    </row>
    <row r="17884">
      <c r="A17884" s="6">
        <v>17882.0</v>
      </c>
      <c r="B17884" s="17">
        <f t="array" ref="B17884">SUM(1-'Sparkling Model'!D$2:D$38^A17884)</f>
        <v>36.99950432</v>
      </c>
      <c r="C17884" s="8">
        <f t="array" ref="C17884">PRODUCT(1-'Sparkling Model'!D$2:D$38^A17884)</f>
        <v>0.9995043998</v>
      </c>
    </row>
    <row r="17885">
      <c r="A17885" s="6">
        <v>17883.0</v>
      </c>
      <c r="B17885" s="17">
        <f t="array" ref="B17885">SUM(1-'Sparkling Model'!D$2:D$38^A17885)</f>
        <v>36.99950456</v>
      </c>
      <c r="C17885" s="8">
        <f t="array" ref="C17885">PRODUCT(1-'Sparkling Model'!D$2:D$38^A17885)</f>
        <v>0.9995046435</v>
      </c>
    </row>
    <row r="17886">
      <c r="A17886" s="6">
        <v>17884.0</v>
      </c>
      <c r="B17886" s="17">
        <f t="array" ref="B17886">SUM(1-'Sparkling Model'!D$2:D$38^A17886)</f>
        <v>36.9995048</v>
      </c>
      <c r="C17886" s="8">
        <f t="array" ref="C17886">PRODUCT(1-'Sparkling Model'!D$2:D$38^A17886)</f>
        <v>0.9995048872</v>
      </c>
    </row>
    <row r="17887">
      <c r="A17887" s="6">
        <v>17885.0</v>
      </c>
      <c r="B17887" s="17">
        <f t="array" ref="B17887">SUM(1-'Sparkling Model'!D$2:D$38^A17887)</f>
        <v>36.99950505</v>
      </c>
      <c r="C17887" s="8">
        <f t="array" ref="C17887">PRODUCT(1-'Sparkling Model'!D$2:D$38^A17887)</f>
        <v>0.9995051307</v>
      </c>
    </row>
    <row r="17888">
      <c r="A17888" s="6">
        <v>17886.0</v>
      </c>
      <c r="B17888" s="17">
        <f t="array" ref="B17888">SUM(1-'Sparkling Model'!D$2:D$38^A17888)</f>
        <v>36.99950529</v>
      </c>
      <c r="C17888" s="8">
        <f t="array" ref="C17888">PRODUCT(1-'Sparkling Model'!D$2:D$38^A17888)</f>
        <v>0.9995053741</v>
      </c>
    </row>
    <row r="17889">
      <c r="A17889" s="6">
        <v>17887.0</v>
      </c>
      <c r="B17889" s="17">
        <f t="array" ref="B17889">SUM(1-'Sparkling Model'!D$2:D$38^A17889)</f>
        <v>36.99950553</v>
      </c>
      <c r="C17889" s="8">
        <f t="array" ref="C17889">PRODUCT(1-'Sparkling Model'!D$2:D$38^A17889)</f>
        <v>0.9995056173</v>
      </c>
    </row>
    <row r="17890">
      <c r="A17890" s="6">
        <v>17888.0</v>
      </c>
      <c r="B17890" s="17">
        <f t="array" ref="B17890">SUM(1-'Sparkling Model'!D$2:D$38^A17890)</f>
        <v>36.99950578</v>
      </c>
      <c r="C17890" s="8">
        <f t="array" ref="C17890">PRODUCT(1-'Sparkling Model'!D$2:D$38^A17890)</f>
        <v>0.9995058605</v>
      </c>
    </row>
    <row r="17891">
      <c r="A17891" s="6">
        <v>17889.0</v>
      </c>
      <c r="B17891" s="17">
        <f t="array" ref="B17891">SUM(1-'Sparkling Model'!D$2:D$38^A17891)</f>
        <v>36.99950602</v>
      </c>
      <c r="C17891" s="8">
        <f t="array" ref="C17891">PRODUCT(1-'Sparkling Model'!D$2:D$38^A17891)</f>
        <v>0.9995061035</v>
      </c>
    </row>
    <row r="17892">
      <c r="A17892" s="6">
        <v>17890.0</v>
      </c>
      <c r="B17892" s="17">
        <f t="array" ref="B17892">SUM(1-'Sparkling Model'!D$2:D$38^A17892)</f>
        <v>36.99950626</v>
      </c>
      <c r="C17892" s="8">
        <f t="array" ref="C17892">PRODUCT(1-'Sparkling Model'!D$2:D$38^A17892)</f>
        <v>0.9995063464</v>
      </c>
    </row>
    <row r="17893">
      <c r="A17893" s="6">
        <v>17891.0</v>
      </c>
      <c r="B17893" s="17">
        <f t="array" ref="B17893">SUM(1-'Sparkling Model'!D$2:D$38^A17893)</f>
        <v>36.99950651</v>
      </c>
      <c r="C17893" s="8">
        <f t="array" ref="C17893">PRODUCT(1-'Sparkling Model'!D$2:D$38^A17893)</f>
        <v>0.9995065892</v>
      </c>
    </row>
    <row r="17894">
      <c r="A17894" s="6">
        <v>17892.0</v>
      </c>
      <c r="B17894" s="17">
        <f t="array" ref="B17894">SUM(1-'Sparkling Model'!D$2:D$38^A17894)</f>
        <v>36.99950675</v>
      </c>
      <c r="C17894" s="8">
        <f t="array" ref="C17894">PRODUCT(1-'Sparkling Model'!D$2:D$38^A17894)</f>
        <v>0.9995068319</v>
      </c>
    </row>
    <row r="17895">
      <c r="A17895" s="6">
        <v>17893.0</v>
      </c>
      <c r="B17895" s="17">
        <f t="array" ref="B17895">SUM(1-'Sparkling Model'!D$2:D$38^A17895)</f>
        <v>36.99950699</v>
      </c>
      <c r="C17895" s="8">
        <f t="array" ref="C17895">PRODUCT(1-'Sparkling Model'!D$2:D$38^A17895)</f>
        <v>0.9995070745</v>
      </c>
    </row>
    <row r="17896">
      <c r="A17896" s="6">
        <v>17894.0</v>
      </c>
      <c r="B17896" s="17">
        <f t="array" ref="B17896">SUM(1-'Sparkling Model'!D$2:D$38^A17896)</f>
        <v>36.99950723</v>
      </c>
      <c r="C17896" s="8">
        <f t="array" ref="C17896">PRODUCT(1-'Sparkling Model'!D$2:D$38^A17896)</f>
        <v>0.9995073169</v>
      </c>
    </row>
    <row r="17897">
      <c r="A17897" s="6">
        <v>17895.0</v>
      </c>
      <c r="B17897" s="17">
        <f t="array" ref="B17897">SUM(1-'Sparkling Model'!D$2:D$38^A17897)</f>
        <v>36.99950748</v>
      </c>
      <c r="C17897" s="8">
        <f t="array" ref="C17897">PRODUCT(1-'Sparkling Model'!D$2:D$38^A17897)</f>
        <v>0.9995075592</v>
      </c>
    </row>
    <row r="17898">
      <c r="A17898" s="6">
        <v>17896.0</v>
      </c>
      <c r="B17898" s="17">
        <f t="array" ref="B17898">SUM(1-'Sparkling Model'!D$2:D$38^A17898)</f>
        <v>36.99950772</v>
      </c>
      <c r="C17898" s="8">
        <f t="array" ref="C17898">PRODUCT(1-'Sparkling Model'!D$2:D$38^A17898)</f>
        <v>0.9995078014</v>
      </c>
    </row>
    <row r="17899">
      <c r="A17899" s="6">
        <v>17897.0</v>
      </c>
      <c r="B17899" s="17">
        <f t="array" ref="B17899">SUM(1-'Sparkling Model'!D$2:D$38^A17899)</f>
        <v>36.99950796</v>
      </c>
      <c r="C17899" s="8">
        <f t="array" ref="C17899">PRODUCT(1-'Sparkling Model'!D$2:D$38^A17899)</f>
        <v>0.9995080435</v>
      </c>
    </row>
    <row r="17900">
      <c r="A17900" s="6">
        <v>17898.0</v>
      </c>
      <c r="B17900" s="17">
        <f t="array" ref="B17900">SUM(1-'Sparkling Model'!D$2:D$38^A17900)</f>
        <v>36.9995082</v>
      </c>
      <c r="C17900" s="8">
        <f t="array" ref="C17900">PRODUCT(1-'Sparkling Model'!D$2:D$38^A17900)</f>
        <v>0.9995082854</v>
      </c>
    </row>
    <row r="17901">
      <c r="A17901" s="6">
        <v>17899.0</v>
      </c>
      <c r="B17901" s="17">
        <f t="array" ref="B17901">SUM(1-'Sparkling Model'!D$2:D$38^A17901)</f>
        <v>36.99950844</v>
      </c>
      <c r="C17901" s="8">
        <f t="array" ref="C17901">PRODUCT(1-'Sparkling Model'!D$2:D$38^A17901)</f>
        <v>0.9995085273</v>
      </c>
    </row>
    <row r="17902">
      <c r="A17902" s="6">
        <v>17900.0</v>
      </c>
      <c r="B17902" s="17">
        <f t="array" ref="B17902">SUM(1-'Sparkling Model'!D$2:D$38^A17902)</f>
        <v>36.99950869</v>
      </c>
      <c r="C17902" s="8">
        <f t="array" ref="C17902">PRODUCT(1-'Sparkling Model'!D$2:D$38^A17902)</f>
        <v>0.999508769</v>
      </c>
    </row>
    <row r="17903">
      <c r="A17903" s="6">
        <v>17901.0</v>
      </c>
      <c r="B17903" s="17">
        <f t="array" ref="B17903">SUM(1-'Sparkling Model'!D$2:D$38^A17903)</f>
        <v>36.99950893</v>
      </c>
      <c r="C17903" s="8">
        <f t="array" ref="C17903">PRODUCT(1-'Sparkling Model'!D$2:D$38^A17903)</f>
        <v>0.9995090106</v>
      </c>
    </row>
    <row r="17904">
      <c r="A17904" s="6">
        <v>17902.0</v>
      </c>
      <c r="B17904" s="17">
        <f t="array" ref="B17904">SUM(1-'Sparkling Model'!D$2:D$38^A17904)</f>
        <v>36.99950917</v>
      </c>
      <c r="C17904" s="8">
        <f t="array" ref="C17904">PRODUCT(1-'Sparkling Model'!D$2:D$38^A17904)</f>
        <v>0.9995092521</v>
      </c>
    </row>
    <row r="17905">
      <c r="A17905" s="6">
        <v>17903.0</v>
      </c>
      <c r="B17905" s="17">
        <f t="array" ref="B17905">SUM(1-'Sparkling Model'!D$2:D$38^A17905)</f>
        <v>36.99950941</v>
      </c>
      <c r="C17905" s="8">
        <f t="array" ref="C17905">PRODUCT(1-'Sparkling Model'!D$2:D$38^A17905)</f>
        <v>0.9995094934</v>
      </c>
    </row>
    <row r="17906">
      <c r="A17906" s="6">
        <v>17904.0</v>
      </c>
      <c r="B17906" s="17">
        <f t="array" ref="B17906">SUM(1-'Sparkling Model'!D$2:D$38^A17906)</f>
        <v>36.99950965</v>
      </c>
      <c r="C17906" s="8">
        <f t="array" ref="C17906">PRODUCT(1-'Sparkling Model'!D$2:D$38^A17906)</f>
        <v>0.9995097347</v>
      </c>
    </row>
    <row r="17907">
      <c r="A17907" s="6">
        <v>17905.0</v>
      </c>
      <c r="B17907" s="17">
        <f t="array" ref="B17907">SUM(1-'Sparkling Model'!D$2:D$38^A17907)</f>
        <v>36.99950989</v>
      </c>
      <c r="C17907" s="8">
        <f t="array" ref="C17907">PRODUCT(1-'Sparkling Model'!D$2:D$38^A17907)</f>
        <v>0.9995099758</v>
      </c>
    </row>
    <row r="17908">
      <c r="A17908" s="6">
        <v>17906.0</v>
      </c>
      <c r="B17908" s="17">
        <f t="array" ref="B17908">SUM(1-'Sparkling Model'!D$2:D$38^A17908)</f>
        <v>36.99951013</v>
      </c>
      <c r="C17908" s="8">
        <f t="array" ref="C17908">PRODUCT(1-'Sparkling Model'!D$2:D$38^A17908)</f>
        <v>0.9995102168</v>
      </c>
    </row>
    <row r="17909">
      <c r="A17909" s="6">
        <v>17907.0</v>
      </c>
      <c r="B17909" s="17">
        <f t="array" ref="B17909">SUM(1-'Sparkling Model'!D$2:D$38^A17909)</f>
        <v>36.99951038</v>
      </c>
      <c r="C17909" s="8">
        <f t="array" ref="C17909">PRODUCT(1-'Sparkling Model'!D$2:D$38^A17909)</f>
        <v>0.9995104577</v>
      </c>
    </row>
    <row r="17910">
      <c r="A17910" s="6">
        <v>17908.0</v>
      </c>
      <c r="B17910" s="17">
        <f t="array" ref="B17910">SUM(1-'Sparkling Model'!D$2:D$38^A17910)</f>
        <v>36.99951062</v>
      </c>
      <c r="C17910" s="8">
        <f t="array" ref="C17910">PRODUCT(1-'Sparkling Model'!D$2:D$38^A17910)</f>
        <v>0.9995106984</v>
      </c>
    </row>
    <row r="17911">
      <c r="A17911" s="6">
        <v>17909.0</v>
      </c>
      <c r="B17911" s="17">
        <f t="array" ref="B17911">SUM(1-'Sparkling Model'!D$2:D$38^A17911)</f>
        <v>36.99951086</v>
      </c>
      <c r="C17911" s="8">
        <f t="array" ref="C17911">PRODUCT(1-'Sparkling Model'!D$2:D$38^A17911)</f>
        <v>0.9995109391</v>
      </c>
    </row>
    <row r="17912">
      <c r="A17912" s="6">
        <v>17910.0</v>
      </c>
      <c r="B17912" s="17">
        <f t="array" ref="B17912">SUM(1-'Sparkling Model'!D$2:D$38^A17912)</f>
        <v>36.9995111</v>
      </c>
      <c r="C17912" s="8">
        <f t="array" ref="C17912">PRODUCT(1-'Sparkling Model'!D$2:D$38^A17912)</f>
        <v>0.9995111796</v>
      </c>
    </row>
    <row r="17913">
      <c r="A17913" s="6">
        <v>17911.0</v>
      </c>
      <c r="B17913" s="17">
        <f t="array" ref="B17913">SUM(1-'Sparkling Model'!D$2:D$38^A17913)</f>
        <v>36.99951134</v>
      </c>
      <c r="C17913" s="8">
        <f t="array" ref="C17913">PRODUCT(1-'Sparkling Model'!D$2:D$38^A17913)</f>
        <v>0.99951142</v>
      </c>
    </row>
    <row r="17914">
      <c r="A17914" s="6">
        <v>17912.0</v>
      </c>
      <c r="B17914" s="17">
        <f t="array" ref="B17914">SUM(1-'Sparkling Model'!D$2:D$38^A17914)</f>
        <v>36.99951158</v>
      </c>
      <c r="C17914" s="8">
        <f t="array" ref="C17914">PRODUCT(1-'Sparkling Model'!D$2:D$38^A17914)</f>
        <v>0.9995116603</v>
      </c>
    </row>
    <row r="17915">
      <c r="A17915" s="6">
        <v>17913.0</v>
      </c>
      <c r="B17915" s="17">
        <f t="array" ref="B17915">SUM(1-'Sparkling Model'!D$2:D$38^A17915)</f>
        <v>36.99951182</v>
      </c>
      <c r="C17915" s="8">
        <f t="array" ref="C17915">PRODUCT(1-'Sparkling Model'!D$2:D$38^A17915)</f>
        <v>0.9995119005</v>
      </c>
    </row>
    <row r="17916">
      <c r="A17916" s="6">
        <v>17914.0</v>
      </c>
      <c r="B17916" s="17">
        <f t="array" ref="B17916">SUM(1-'Sparkling Model'!D$2:D$38^A17916)</f>
        <v>36.99951206</v>
      </c>
      <c r="C17916" s="8">
        <f t="array" ref="C17916">PRODUCT(1-'Sparkling Model'!D$2:D$38^A17916)</f>
        <v>0.9995121405</v>
      </c>
    </row>
    <row r="17917">
      <c r="A17917" s="6">
        <v>17915.0</v>
      </c>
      <c r="B17917" s="17">
        <f t="array" ref="B17917">SUM(1-'Sparkling Model'!D$2:D$38^A17917)</f>
        <v>36.9995123</v>
      </c>
      <c r="C17917" s="8">
        <f t="array" ref="C17917">PRODUCT(1-'Sparkling Model'!D$2:D$38^A17917)</f>
        <v>0.9995123805</v>
      </c>
    </row>
    <row r="17918">
      <c r="A17918" s="6">
        <v>17916.0</v>
      </c>
      <c r="B17918" s="17">
        <f t="array" ref="B17918">SUM(1-'Sparkling Model'!D$2:D$38^A17918)</f>
        <v>36.99951254</v>
      </c>
      <c r="C17918" s="8">
        <f t="array" ref="C17918">PRODUCT(1-'Sparkling Model'!D$2:D$38^A17918)</f>
        <v>0.9995126203</v>
      </c>
    </row>
    <row r="17919">
      <c r="A17919" s="6">
        <v>17917.0</v>
      </c>
      <c r="B17919" s="17">
        <f t="array" ref="B17919">SUM(1-'Sparkling Model'!D$2:D$38^A17919)</f>
        <v>36.99951278</v>
      </c>
      <c r="C17919" s="8">
        <f t="array" ref="C17919">PRODUCT(1-'Sparkling Model'!D$2:D$38^A17919)</f>
        <v>0.99951286</v>
      </c>
    </row>
    <row r="17920">
      <c r="A17920" s="6">
        <v>17918.0</v>
      </c>
      <c r="B17920" s="17">
        <f t="array" ref="B17920">SUM(1-'Sparkling Model'!D$2:D$38^A17920)</f>
        <v>36.99951302</v>
      </c>
      <c r="C17920" s="8">
        <f t="array" ref="C17920">PRODUCT(1-'Sparkling Model'!D$2:D$38^A17920)</f>
        <v>0.9995130996</v>
      </c>
    </row>
    <row r="17921">
      <c r="A17921" s="6">
        <v>17919.0</v>
      </c>
      <c r="B17921" s="17">
        <f t="array" ref="B17921">SUM(1-'Sparkling Model'!D$2:D$38^A17921)</f>
        <v>36.99951326</v>
      </c>
      <c r="C17921" s="8">
        <f t="array" ref="C17921">PRODUCT(1-'Sparkling Model'!D$2:D$38^A17921)</f>
        <v>0.999513339</v>
      </c>
    </row>
    <row r="17922">
      <c r="A17922" s="6">
        <v>17920.0</v>
      </c>
      <c r="B17922" s="17">
        <f t="array" ref="B17922">SUM(1-'Sparkling Model'!D$2:D$38^A17922)</f>
        <v>36.9995135</v>
      </c>
      <c r="C17922" s="8">
        <f t="array" ref="C17922">PRODUCT(1-'Sparkling Model'!D$2:D$38^A17922)</f>
        <v>0.9995135784</v>
      </c>
    </row>
    <row r="17923">
      <c r="A17923" s="6">
        <v>17921.0</v>
      </c>
      <c r="B17923" s="17">
        <f t="array" ref="B17923">SUM(1-'Sparkling Model'!D$2:D$38^A17923)</f>
        <v>36.99951374</v>
      </c>
      <c r="C17923" s="8">
        <f t="array" ref="C17923">PRODUCT(1-'Sparkling Model'!D$2:D$38^A17923)</f>
        <v>0.9995138176</v>
      </c>
    </row>
    <row r="17924">
      <c r="A17924" s="6">
        <v>17922.0</v>
      </c>
      <c r="B17924" s="17">
        <f t="array" ref="B17924">SUM(1-'Sparkling Model'!D$2:D$38^A17924)</f>
        <v>36.99951398</v>
      </c>
      <c r="C17924" s="8">
        <f t="array" ref="C17924">PRODUCT(1-'Sparkling Model'!D$2:D$38^A17924)</f>
        <v>0.9995140567</v>
      </c>
    </row>
    <row r="17925">
      <c r="A17925" s="6">
        <v>17923.0</v>
      </c>
      <c r="B17925" s="17">
        <f t="array" ref="B17925">SUM(1-'Sparkling Model'!D$2:D$38^A17925)</f>
        <v>36.99951422</v>
      </c>
      <c r="C17925" s="8">
        <f t="array" ref="C17925">PRODUCT(1-'Sparkling Model'!D$2:D$38^A17925)</f>
        <v>0.9995142957</v>
      </c>
    </row>
    <row r="17926">
      <c r="A17926" s="6">
        <v>17924.0</v>
      </c>
      <c r="B17926" s="17">
        <f t="array" ref="B17926">SUM(1-'Sparkling Model'!D$2:D$38^A17926)</f>
        <v>36.99951445</v>
      </c>
      <c r="C17926" s="8">
        <f t="array" ref="C17926">PRODUCT(1-'Sparkling Model'!D$2:D$38^A17926)</f>
        <v>0.9995145346</v>
      </c>
    </row>
    <row r="17927">
      <c r="A17927" s="6">
        <v>17925.0</v>
      </c>
      <c r="B17927" s="17">
        <f t="array" ref="B17927">SUM(1-'Sparkling Model'!D$2:D$38^A17927)</f>
        <v>36.99951469</v>
      </c>
      <c r="C17927" s="8">
        <f t="array" ref="C17927">PRODUCT(1-'Sparkling Model'!D$2:D$38^A17927)</f>
        <v>0.9995147733</v>
      </c>
    </row>
    <row r="17928">
      <c r="A17928" s="6">
        <v>17926.0</v>
      </c>
      <c r="B17928" s="17">
        <f t="array" ref="B17928">SUM(1-'Sparkling Model'!D$2:D$38^A17928)</f>
        <v>36.99951493</v>
      </c>
      <c r="C17928" s="8">
        <f t="array" ref="C17928">PRODUCT(1-'Sparkling Model'!D$2:D$38^A17928)</f>
        <v>0.999515012</v>
      </c>
    </row>
    <row r="17929">
      <c r="A17929" s="6">
        <v>17927.0</v>
      </c>
      <c r="B17929" s="17">
        <f t="array" ref="B17929">SUM(1-'Sparkling Model'!D$2:D$38^A17929)</f>
        <v>36.99951517</v>
      </c>
      <c r="C17929" s="8">
        <f t="array" ref="C17929">PRODUCT(1-'Sparkling Model'!D$2:D$38^A17929)</f>
        <v>0.9995152505</v>
      </c>
    </row>
    <row r="17930">
      <c r="A17930" s="6">
        <v>17928.0</v>
      </c>
      <c r="B17930" s="17">
        <f t="array" ref="B17930">SUM(1-'Sparkling Model'!D$2:D$38^A17930)</f>
        <v>36.99951541</v>
      </c>
      <c r="C17930" s="8">
        <f t="array" ref="C17930">PRODUCT(1-'Sparkling Model'!D$2:D$38^A17930)</f>
        <v>0.9995154889</v>
      </c>
    </row>
    <row r="17931">
      <c r="A17931" s="6">
        <v>17929.0</v>
      </c>
      <c r="B17931" s="17">
        <f t="array" ref="B17931">SUM(1-'Sparkling Model'!D$2:D$38^A17931)</f>
        <v>36.99951565</v>
      </c>
      <c r="C17931" s="8">
        <f t="array" ref="C17931">PRODUCT(1-'Sparkling Model'!D$2:D$38^A17931)</f>
        <v>0.9995157272</v>
      </c>
    </row>
    <row r="17932">
      <c r="A17932" s="6">
        <v>17930.0</v>
      </c>
      <c r="B17932" s="17">
        <f t="array" ref="B17932">SUM(1-'Sparkling Model'!D$2:D$38^A17932)</f>
        <v>36.99951589</v>
      </c>
      <c r="C17932" s="8">
        <f t="array" ref="C17932">PRODUCT(1-'Sparkling Model'!D$2:D$38^A17932)</f>
        <v>0.9995159654</v>
      </c>
    </row>
    <row r="17933">
      <c r="A17933" s="6">
        <v>17931.0</v>
      </c>
      <c r="B17933" s="17">
        <f t="array" ref="B17933">SUM(1-'Sparkling Model'!D$2:D$38^A17933)</f>
        <v>36.99951612</v>
      </c>
      <c r="C17933" s="8">
        <f t="array" ref="C17933">PRODUCT(1-'Sparkling Model'!D$2:D$38^A17933)</f>
        <v>0.9995162034</v>
      </c>
    </row>
    <row r="17934">
      <c r="A17934" s="6">
        <v>17932.0</v>
      </c>
      <c r="B17934" s="17">
        <f t="array" ref="B17934">SUM(1-'Sparkling Model'!D$2:D$38^A17934)</f>
        <v>36.99951636</v>
      </c>
      <c r="C17934" s="8">
        <f t="array" ref="C17934">PRODUCT(1-'Sparkling Model'!D$2:D$38^A17934)</f>
        <v>0.9995164414</v>
      </c>
    </row>
    <row r="17935">
      <c r="A17935" s="6">
        <v>17933.0</v>
      </c>
      <c r="B17935" s="17">
        <f t="array" ref="B17935">SUM(1-'Sparkling Model'!D$2:D$38^A17935)</f>
        <v>36.9995166</v>
      </c>
      <c r="C17935" s="8">
        <f t="array" ref="C17935">PRODUCT(1-'Sparkling Model'!D$2:D$38^A17935)</f>
        <v>0.9995166792</v>
      </c>
    </row>
    <row r="17936">
      <c r="A17936" s="6">
        <v>17934.0</v>
      </c>
      <c r="B17936" s="17">
        <f t="array" ref="B17936">SUM(1-'Sparkling Model'!D$2:D$38^A17936)</f>
        <v>36.99951684</v>
      </c>
      <c r="C17936" s="8">
        <f t="array" ref="C17936">PRODUCT(1-'Sparkling Model'!D$2:D$38^A17936)</f>
        <v>0.9995169169</v>
      </c>
    </row>
    <row r="17937">
      <c r="A17937" s="6">
        <v>17935.0</v>
      </c>
      <c r="B17937" s="17">
        <f t="array" ref="B17937">SUM(1-'Sparkling Model'!D$2:D$38^A17937)</f>
        <v>36.99951707</v>
      </c>
      <c r="C17937" s="8">
        <f t="array" ref="C17937">PRODUCT(1-'Sparkling Model'!D$2:D$38^A17937)</f>
        <v>0.9995171545</v>
      </c>
    </row>
    <row r="17938">
      <c r="A17938" s="6">
        <v>17936.0</v>
      </c>
      <c r="B17938" s="17">
        <f t="array" ref="B17938">SUM(1-'Sparkling Model'!D$2:D$38^A17938)</f>
        <v>36.99951731</v>
      </c>
      <c r="C17938" s="8">
        <f t="array" ref="C17938">PRODUCT(1-'Sparkling Model'!D$2:D$38^A17938)</f>
        <v>0.9995173919</v>
      </c>
    </row>
    <row r="17939">
      <c r="A17939" s="6">
        <v>17937.0</v>
      </c>
      <c r="B17939" s="17">
        <f t="array" ref="B17939">SUM(1-'Sparkling Model'!D$2:D$38^A17939)</f>
        <v>36.99951755</v>
      </c>
      <c r="C17939" s="8">
        <f t="array" ref="C17939">PRODUCT(1-'Sparkling Model'!D$2:D$38^A17939)</f>
        <v>0.9995176293</v>
      </c>
    </row>
    <row r="17940">
      <c r="A17940" s="6">
        <v>17938.0</v>
      </c>
      <c r="B17940" s="17">
        <f t="array" ref="B17940">SUM(1-'Sparkling Model'!D$2:D$38^A17940)</f>
        <v>36.99951779</v>
      </c>
      <c r="C17940" s="8">
        <f t="array" ref="C17940">PRODUCT(1-'Sparkling Model'!D$2:D$38^A17940)</f>
        <v>0.9995178665</v>
      </c>
    </row>
    <row r="17941">
      <c r="A17941" s="6">
        <v>17939.0</v>
      </c>
      <c r="B17941" s="17">
        <f t="array" ref="B17941">SUM(1-'Sparkling Model'!D$2:D$38^A17941)</f>
        <v>36.99951802</v>
      </c>
      <c r="C17941" s="8">
        <f t="array" ref="C17941">PRODUCT(1-'Sparkling Model'!D$2:D$38^A17941)</f>
        <v>0.9995181036</v>
      </c>
    </row>
    <row r="17942">
      <c r="A17942" s="6">
        <v>17940.0</v>
      </c>
      <c r="B17942" s="17">
        <f t="array" ref="B17942">SUM(1-'Sparkling Model'!D$2:D$38^A17942)</f>
        <v>36.99951826</v>
      </c>
      <c r="C17942" s="8">
        <f t="array" ref="C17942">PRODUCT(1-'Sparkling Model'!D$2:D$38^A17942)</f>
        <v>0.9995183406</v>
      </c>
    </row>
    <row r="17943">
      <c r="A17943" s="6">
        <v>17941.0</v>
      </c>
      <c r="B17943" s="17">
        <f t="array" ref="B17943">SUM(1-'Sparkling Model'!D$2:D$38^A17943)</f>
        <v>36.9995185</v>
      </c>
      <c r="C17943" s="8">
        <f t="array" ref="C17943">PRODUCT(1-'Sparkling Model'!D$2:D$38^A17943)</f>
        <v>0.9995185775</v>
      </c>
    </row>
    <row r="17944">
      <c r="A17944" s="6">
        <v>17942.0</v>
      </c>
      <c r="B17944" s="17">
        <f t="array" ref="B17944">SUM(1-'Sparkling Model'!D$2:D$38^A17944)</f>
        <v>36.99951874</v>
      </c>
      <c r="C17944" s="8">
        <f t="array" ref="C17944">PRODUCT(1-'Sparkling Model'!D$2:D$38^A17944)</f>
        <v>0.9995188143</v>
      </c>
    </row>
    <row r="17945">
      <c r="A17945" s="6">
        <v>17943.0</v>
      </c>
      <c r="B17945" s="17">
        <f t="array" ref="B17945">SUM(1-'Sparkling Model'!D$2:D$38^A17945)</f>
        <v>36.99951897</v>
      </c>
      <c r="C17945" s="8">
        <f t="array" ref="C17945">PRODUCT(1-'Sparkling Model'!D$2:D$38^A17945)</f>
        <v>0.9995190509</v>
      </c>
    </row>
    <row r="17946">
      <c r="A17946" s="6">
        <v>17944.0</v>
      </c>
      <c r="B17946" s="17">
        <f t="array" ref="B17946">SUM(1-'Sparkling Model'!D$2:D$38^A17946)</f>
        <v>36.99951921</v>
      </c>
      <c r="C17946" s="8">
        <f t="array" ref="C17946">PRODUCT(1-'Sparkling Model'!D$2:D$38^A17946)</f>
        <v>0.9995192874</v>
      </c>
    </row>
    <row r="17947">
      <c r="A17947" s="6">
        <v>17945.0</v>
      </c>
      <c r="B17947" s="17">
        <f t="array" ref="B17947">SUM(1-'Sparkling Model'!D$2:D$38^A17947)</f>
        <v>36.99951945</v>
      </c>
      <c r="C17947" s="8">
        <f t="array" ref="C17947">PRODUCT(1-'Sparkling Model'!D$2:D$38^A17947)</f>
        <v>0.9995195239</v>
      </c>
    </row>
    <row r="17948">
      <c r="A17948" s="6">
        <v>17946.0</v>
      </c>
      <c r="B17948" s="17">
        <f t="array" ref="B17948">SUM(1-'Sparkling Model'!D$2:D$38^A17948)</f>
        <v>36.99951968</v>
      </c>
      <c r="C17948" s="8">
        <f t="array" ref="C17948">PRODUCT(1-'Sparkling Model'!D$2:D$38^A17948)</f>
        <v>0.9995197602</v>
      </c>
    </row>
    <row r="17949">
      <c r="A17949" s="6">
        <v>17947.0</v>
      </c>
      <c r="B17949" s="17">
        <f t="array" ref="B17949">SUM(1-'Sparkling Model'!D$2:D$38^A17949)</f>
        <v>36.99951992</v>
      </c>
      <c r="C17949" s="8">
        <f t="array" ref="C17949">PRODUCT(1-'Sparkling Model'!D$2:D$38^A17949)</f>
        <v>0.9995199963</v>
      </c>
    </row>
    <row r="17950">
      <c r="A17950" s="6">
        <v>17948.0</v>
      </c>
      <c r="B17950" s="17">
        <f t="array" ref="B17950">SUM(1-'Sparkling Model'!D$2:D$38^A17950)</f>
        <v>36.99952015</v>
      </c>
      <c r="C17950" s="8">
        <f t="array" ref="C17950">PRODUCT(1-'Sparkling Model'!D$2:D$38^A17950)</f>
        <v>0.9995202324</v>
      </c>
    </row>
    <row r="17951">
      <c r="A17951" s="6">
        <v>17949.0</v>
      </c>
      <c r="B17951" s="17">
        <f t="array" ref="B17951">SUM(1-'Sparkling Model'!D$2:D$38^A17951)</f>
        <v>36.99952039</v>
      </c>
      <c r="C17951" s="8">
        <f t="array" ref="C17951">PRODUCT(1-'Sparkling Model'!D$2:D$38^A17951)</f>
        <v>0.9995204684</v>
      </c>
    </row>
    <row r="17952">
      <c r="A17952" s="6">
        <v>17950.0</v>
      </c>
      <c r="B17952" s="17">
        <f t="array" ref="B17952">SUM(1-'Sparkling Model'!D$2:D$38^A17952)</f>
        <v>36.99952063</v>
      </c>
      <c r="C17952" s="8">
        <f t="array" ref="C17952">PRODUCT(1-'Sparkling Model'!D$2:D$38^A17952)</f>
        <v>0.9995207042</v>
      </c>
    </row>
    <row r="17953">
      <c r="A17953" s="6">
        <v>17951.0</v>
      </c>
      <c r="B17953" s="17">
        <f t="array" ref="B17953">SUM(1-'Sparkling Model'!D$2:D$38^A17953)</f>
        <v>36.99952086</v>
      </c>
      <c r="C17953" s="8">
        <f t="array" ref="C17953">PRODUCT(1-'Sparkling Model'!D$2:D$38^A17953)</f>
        <v>0.9995209399</v>
      </c>
    </row>
    <row r="17954">
      <c r="A17954" s="6">
        <v>17952.0</v>
      </c>
      <c r="B17954" s="17">
        <f t="array" ref="B17954">SUM(1-'Sparkling Model'!D$2:D$38^A17954)</f>
        <v>36.9995211</v>
      </c>
      <c r="C17954" s="8">
        <f t="array" ref="C17954">PRODUCT(1-'Sparkling Model'!D$2:D$38^A17954)</f>
        <v>0.9995211755</v>
      </c>
    </row>
    <row r="17955">
      <c r="A17955" s="6">
        <v>17953.0</v>
      </c>
      <c r="B17955" s="17">
        <f t="array" ref="B17955">SUM(1-'Sparkling Model'!D$2:D$38^A17955)</f>
        <v>36.99952133</v>
      </c>
      <c r="C17955" s="8">
        <f t="array" ref="C17955">PRODUCT(1-'Sparkling Model'!D$2:D$38^A17955)</f>
        <v>0.999521411</v>
      </c>
    </row>
    <row r="17956">
      <c r="A17956" s="6">
        <v>17954.0</v>
      </c>
      <c r="B17956" s="17">
        <f t="array" ref="B17956">SUM(1-'Sparkling Model'!D$2:D$38^A17956)</f>
        <v>36.99952157</v>
      </c>
      <c r="C17956" s="8">
        <f t="array" ref="C17956">PRODUCT(1-'Sparkling Model'!D$2:D$38^A17956)</f>
        <v>0.9995216464</v>
      </c>
    </row>
    <row r="17957">
      <c r="A17957" s="6">
        <v>17955.0</v>
      </c>
      <c r="B17957" s="17">
        <f t="array" ref="B17957">SUM(1-'Sparkling Model'!D$2:D$38^A17957)</f>
        <v>36.9995218</v>
      </c>
      <c r="C17957" s="8">
        <f t="array" ref="C17957">PRODUCT(1-'Sparkling Model'!D$2:D$38^A17957)</f>
        <v>0.9995218816</v>
      </c>
    </row>
    <row r="17958">
      <c r="A17958" s="6">
        <v>17956.0</v>
      </c>
      <c r="B17958" s="17">
        <f t="array" ref="B17958">SUM(1-'Sparkling Model'!D$2:D$38^A17958)</f>
        <v>36.99952204</v>
      </c>
      <c r="C17958" s="8">
        <f t="array" ref="C17958">PRODUCT(1-'Sparkling Model'!D$2:D$38^A17958)</f>
        <v>0.9995221167</v>
      </c>
    </row>
    <row r="17959">
      <c r="A17959" s="6">
        <v>17957.0</v>
      </c>
      <c r="B17959" s="17">
        <f t="array" ref="B17959">SUM(1-'Sparkling Model'!D$2:D$38^A17959)</f>
        <v>36.99952227</v>
      </c>
      <c r="C17959" s="8">
        <f t="array" ref="C17959">PRODUCT(1-'Sparkling Model'!D$2:D$38^A17959)</f>
        <v>0.9995223518</v>
      </c>
    </row>
    <row r="17960">
      <c r="A17960" s="6">
        <v>17958.0</v>
      </c>
      <c r="B17960" s="17">
        <f t="array" ref="B17960">SUM(1-'Sparkling Model'!D$2:D$38^A17960)</f>
        <v>36.99952251</v>
      </c>
      <c r="C17960" s="8">
        <f t="array" ref="C17960">PRODUCT(1-'Sparkling Model'!D$2:D$38^A17960)</f>
        <v>0.9995225867</v>
      </c>
    </row>
    <row r="17961">
      <c r="A17961" s="6">
        <v>17959.0</v>
      </c>
      <c r="B17961" s="17">
        <f t="array" ref="B17961">SUM(1-'Sparkling Model'!D$2:D$38^A17961)</f>
        <v>36.99952274</v>
      </c>
      <c r="C17961" s="8">
        <f t="array" ref="C17961">PRODUCT(1-'Sparkling Model'!D$2:D$38^A17961)</f>
        <v>0.9995228215</v>
      </c>
    </row>
    <row r="17962">
      <c r="A17962" s="6">
        <v>17960.0</v>
      </c>
      <c r="B17962" s="17">
        <f t="array" ref="B17962">SUM(1-'Sparkling Model'!D$2:D$38^A17962)</f>
        <v>36.99952298</v>
      </c>
      <c r="C17962" s="8">
        <f t="array" ref="C17962">PRODUCT(1-'Sparkling Model'!D$2:D$38^A17962)</f>
        <v>0.9995230561</v>
      </c>
    </row>
    <row r="17963">
      <c r="A17963" s="6">
        <v>17961.0</v>
      </c>
      <c r="B17963" s="17">
        <f t="array" ref="B17963">SUM(1-'Sparkling Model'!D$2:D$38^A17963)</f>
        <v>36.99952321</v>
      </c>
      <c r="C17963" s="8">
        <f t="array" ref="C17963">PRODUCT(1-'Sparkling Model'!D$2:D$38^A17963)</f>
        <v>0.9995232907</v>
      </c>
    </row>
    <row r="17964">
      <c r="A17964" s="6">
        <v>17962.0</v>
      </c>
      <c r="B17964" s="17">
        <f t="array" ref="B17964">SUM(1-'Sparkling Model'!D$2:D$38^A17964)</f>
        <v>36.99952345</v>
      </c>
      <c r="C17964" s="8">
        <f t="array" ref="C17964">PRODUCT(1-'Sparkling Model'!D$2:D$38^A17964)</f>
        <v>0.9995235251</v>
      </c>
    </row>
    <row r="17965">
      <c r="A17965" s="6">
        <v>17963.0</v>
      </c>
      <c r="B17965" s="17">
        <f t="array" ref="B17965">SUM(1-'Sparkling Model'!D$2:D$38^A17965)</f>
        <v>36.99952368</v>
      </c>
      <c r="C17965" s="8">
        <f t="array" ref="C17965">PRODUCT(1-'Sparkling Model'!D$2:D$38^A17965)</f>
        <v>0.9995237595</v>
      </c>
    </row>
    <row r="17966">
      <c r="A17966" s="6">
        <v>17964.0</v>
      </c>
      <c r="B17966" s="17">
        <f t="array" ref="B17966">SUM(1-'Sparkling Model'!D$2:D$38^A17966)</f>
        <v>36.99952392</v>
      </c>
      <c r="C17966" s="8">
        <f t="array" ref="C17966">PRODUCT(1-'Sparkling Model'!D$2:D$38^A17966)</f>
        <v>0.9995239937</v>
      </c>
    </row>
    <row r="17967">
      <c r="A17967" s="6">
        <v>17965.0</v>
      </c>
      <c r="B17967" s="17">
        <f t="array" ref="B17967">SUM(1-'Sparkling Model'!D$2:D$38^A17967)</f>
        <v>36.99952415</v>
      </c>
      <c r="C17967" s="8">
        <f t="array" ref="C17967">PRODUCT(1-'Sparkling Model'!D$2:D$38^A17967)</f>
        <v>0.9995242278</v>
      </c>
    </row>
    <row r="17968">
      <c r="A17968" s="6">
        <v>17966.0</v>
      </c>
      <c r="B17968" s="17">
        <f t="array" ref="B17968">SUM(1-'Sparkling Model'!D$2:D$38^A17968)</f>
        <v>36.99952438</v>
      </c>
      <c r="C17968" s="8">
        <f t="array" ref="C17968">PRODUCT(1-'Sparkling Model'!D$2:D$38^A17968)</f>
        <v>0.9995244617</v>
      </c>
    </row>
    <row r="17969">
      <c r="A17969" s="6">
        <v>17967.0</v>
      </c>
      <c r="B17969" s="17">
        <f t="array" ref="B17969">SUM(1-'Sparkling Model'!D$2:D$38^A17969)</f>
        <v>36.99952462</v>
      </c>
      <c r="C17969" s="8">
        <f t="array" ref="C17969">PRODUCT(1-'Sparkling Model'!D$2:D$38^A17969)</f>
        <v>0.9995246956</v>
      </c>
    </row>
    <row r="17970">
      <c r="A17970" s="6">
        <v>17968.0</v>
      </c>
      <c r="B17970" s="17">
        <f t="array" ref="B17970">SUM(1-'Sparkling Model'!D$2:D$38^A17970)</f>
        <v>36.99952485</v>
      </c>
      <c r="C17970" s="8">
        <f t="array" ref="C17970">PRODUCT(1-'Sparkling Model'!D$2:D$38^A17970)</f>
        <v>0.9995249294</v>
      </c>
    </row>
    <row r="17971">
      <c r="A17971" s="6">
        <v>17969.0</v>
      </c>
      <c r="B17971" s="17">
        <f t="array" ref="B17971">SUM(1-'Sparkling Model'!D$2:D$38^A17971)</f>
        <v>36.99952509</v>
      </c>
      <c r="C17971" s="8">
        <f t="array" ref="C17971">PRODUCT(1-'Sparkling Model'!D$2:D$38^A17971)</f>
        <v>0.999525163</v>
      </c>
    </row>
    <row r="17972">
      <c r="A17972" s="6">
        <v>17970.0</v>
      </c>
      <c r="B17972" s="17">
        <f t="array" ref="B17972">SUM(1-'Sparkling Model'!D$2:D$38^A17972)</f>
        <v>36.99952532</v>
      </c>
      <c r="C17972" s="8">
        <f t="array" ref="C17972">PRODUCT(1-'Sparkling Model'!D$2:D$38^A17972)</f>
        <v>0.9995253965</v>
      </c>
    </row>
    <row r="17973">
      <c r="A17973" s="6">
        <v>17971.0</v>
      </c>
      <c r="B17973" s="17">
        <f t="array" ref="B17973">SUM(1-'Sparkling Model'!D$2:D$38^A17973)</f>
        <v>36.99952555</v>
      </c>
      <c r="C17973" s="8">
        <f t="array" ref="C17973">PRODUCT(1-'Sparkling Model'!D$2:D$38^A17973)</f>
        <v>0.9995256299</v>
      </c>
    </row>
    <row r="17974">
      <c r="A17974" s="6">
        <v>17972.0</v>
      </c>
      <c r="B17974" s="17">
        <f t="array" ref="B17974">SUM(1-'Sparkling Model'!D$2:D$38^A17974)</f>
        <v>36.99952579</v>
      </c>
      <c r="C17974" s="8">
        <f t="array" ref="C17974">PRODUCT(1-'Sparkling Model'!D$2:D$38^A17974)</f>
        <v>0.9995258632</v>
      </c>
    </row>
    <row r="17975">
      <c r="A17975" s="6">
        <v>17973.0</v>
      </c>
      <c r="B17975" s="17">
        <f t="array" ref="B17975">SUM(1-'Sparkling Model'!D$2:D$38^A17975)</f>
        <v>36.99952602</v>
      </c>
      <c r="C17975" s="8">
        <f t="array" ref="C17975">PRODUCT(1-'Sparkling Model'!D$2:D$38^A17975)</f>
        <v>0.9995260964</v>
      </c>
    </row>
    <row r="17976">
      <c r="A17976" s="6">
        <v>17974.0</v>
      </c>
      <c r="B17976" s="17">
        <f t="array" ref="B17976">SUM(1-'Sparkling Model'!D$2:D$38^A17976)</f>
        <v>36.99952625</v>
      </c>
      <c r="C17976" s="8">
        <f t="array" ref="C17976">PRODUCT(1-'Sparkling Model'!D$2:D$38^A17976)</f>
        <v>0.9995263294</v>
      </c>
    </row>
    <row r="17977">
      <c r="A17977" s="6">
        <v>17975.0</v>
      </c>
      <c r="B17977" s="17">
        <f t="array" ref="B17977">SUM(1-'Sparkling Model'!D$2:D$38^A17977)</f>
        <v>36.99952649</v>
      </c>
      <c r="C17977" s="8">
        <f t="array" ref="C17977">PRODUCT(1-'Sparkling Model'!D$2:D$38^A17977)</f>
        <v>0.9995265624</v>
      </c>
    </row>
    <row r="17978">
      <c r="A17978" s="6">
        <v>17976.0</v>
      </c>
      <c r="B17978" s="17">
        <f t="array" ref="B17978">SUM(1-'Sparkling Model'!D$2:D$38^A17978)</f>
        <v>36.99952672</v>
      </c>
      <c r="C17978" s="8">
        <f t="array" ref="C17978">PRODUCT(1-'Sparkling Model'!D$2:D$38^A17978)</f>
        <v>0.9995267952</v>
      </c>
    </row>
    <row r="17979">
      <c r="A17979" s="6">
        <v>17977.0</v>
      </c>
      <c r="B17979" s="17">
        <f t="array" ref="B17979">SUM(1-'Sparkling Model'!D$2:D$38^A17979)</f>
        <v>36.99952695</v>
      </c>
      <c r="C17979" s="8">
        <f t="array" ref="C17979">PRODUCT(1-'Sparkling Model'!D$2:D$38^A17979)</f>
        <v>0.9995270279</v>
      </c>
    </row>
    <row r="17980">
      <c r="A17980" s="6">
        <v>17978.0</v>
      </c>
      <c r="B17980" s="17">
        <f t="array" ref="B17980">SUM(1-'Sparkling Model'!D$2:D$38^A17980)</f>
        <v>36.99952718</v>
      </c>
      <c r="C17980" s="8">
        <f t="array" ref="C17980">PRODUCT(1-'Sparkling Model'!D$2:D$38^A17980)</f>
        <v>0.9995272605</v>
      </c>
    </row>
    <row r="17981">
      <c r="A17981" s="6">
        <v>17979.0</v>
      </c>
      <c r="B17981" s="17">
        <f t="array" ref="B17981">SUM(1-'Sparkling Model'!D$2:D$38^A17981)</f>
        <v>36.99952742</v>
      </c>
      <c r="C17981" s="8">
        <f t="array" ref="C17981">PRODUCT(1-'Sparkling Model'!D$2:D$38^A17981)</f>
        <v>0.999527493</v>
      </c>
    </row>
    <row r="17982">
      <c r="A17982" s="6">
        <v>17980.0</v>
      </c>
      <c r="B17982" s="17">
        <f t="array" ref="B17982">SUM(1-'Sparkling Model'!D$2:D$38^A17982)</f>
        <v>36.99952765</v>
      </c>
      <c r="C17982" s="8">
        <f t="array" ref="C17982">PRODUCT(1-'Sparkling Model'!D$2:D$38^A17982)</f>
        <v>0.9995277254</v>
      </c>
    </row>
    <row r="17983">
      <c r="A17983" s="6">
        <v>17981.0</v>
      </c>
      <c r="B17983" s="17">
        <f t="array" ref="B17983">SUM(1-'Sparkling Model'!D$2:D$38^A17983)</f>
        <v>36.99952788</v>
      </c>
      <c r="C17983" s="8">
        <f t="array" ref="C17983">PRODUCT(1-'Sparkling Model'!D$2:D$38^A17983)</f>
        <v>0.9995279576</v>
      </c>
    </row>
    <row r="17984">
      <c r="A17984" s="6">
        <v>17982.0</v>
      </c>
      <c r="B17984" s="17">
        <f t="array" ref="B17984">SUM(1-'Sparkling Model'!D$2:D$38^A17984)</f>
        <v>36.99952811</v>
      </c>
      <c r="C17984" s="8">
        <f t="array" ref="C17984">PRODUCT(1-'Sparkling Model'!D$2:D$38^A17984)</f>
        <v>0.9995281898</v>
      </c>
    </row>
    <row r="17985">
      <c r="A17985" s="6">
        <v>17983.0</v>
      </c>
      <c r="B17985" s="17">
        <f t="array" ref="B17985">SUM(1-'Sparkling Model'!D$2:D$38^A17985)</f>
        <v>36.99952835</v>
      </c>
      <c r="C17985" s="8">
        <f t="array" ref="C17985">PRODUCT(1-'Sparkling Model'!D$2:D$38^A17985)</f>
        <v>0.9995284218</v>
      </c>
    </row>
    <row r="17986">
      <c r="A17986" s="6">
        <v>17984.0</v>
      </c>
      <c r="B17986" s="17">
        <f t="array" ref="B17986">SUM(1-'Sparkling Model'!D$2:D$38^A17986)</f>
        <v>36.99952858</v>
      </c>
      <c r="C17986" s="8">
        <f t="array" ref="C17986">PRODUCT(1-'Sparkling Model'!D$2:D$38^A17986)</f>
        <v>0.9995286537</v>
      </c>
    </row>
    <row r="17987">
      <c r="A17987" s="6">
        <v>17985.0</v>
      </c>
      <c r="B17987" s="17">
        <f t="array" ref="B17987">SUM(1-'Sparkling Model'!D$2:D$38^A17987)</f>
        <v>36.99952881</v>
      </c>
      <c r="C17987" s="8">
        <f t="array" ref="C17987">PRODUCT(1-'Sparkling Model'!D$2:D$38^A17987)</f>
        <v>0.9995288855</v>
      </c>
    </row>
    <row r="17988">
      <c r="A17988" s="6">
        <v>17986.0</v>
      </c>
      <c r="B17988" s="17">
        <f t="array" ref="B17988">SUM(1-'Sparkling Model'!D$2:D$38^A17988)</f>
        <v>36.99952904</v>
      </c>
      <c r="C17988" s="8">
        <f t="array" ref="C17988">PRODUCT(1-'Sparkling Model'!D$2:D$38^A17988)</f>
        <v>0.9995291172</v>
      </c>
    </row>
    <row r="17989">
      <c r="A17989" s="6">
        <v>17987.0</v>
      </c>
      <c r="B17989" s="17">
        <f t="array" ref="B17989">SUM(1-'Sparkling Model'!D$2:D$38^A17989)</f>
        <v>36.99952927</v>
      </c>
      <c r="C17989" s="8">
        <f t="array" ref="C17989">PRODUCT(1-'Sparkling Model'!D$2:D$38^A17989)</f>
        <v>0.9995293488</v>
      </c>
    </row>
    <row r="17990">
      <c r="A17990" s="6">
        <v>17988.0</v>
      </c>
      <c r="B17990" s="17">
        <f t="array" ref="B17990">SUM(1-'Sparkling Model'!D$2:D$38^A17990)</f>
        <v>36.9995295</v>
      </c>
      <c r="C17990" s="8">
        <f t="array" ref="C17990">PRODUCT(1-'Sparkling Model'!D$2:D$38^A17990)</f>
        <v>0.9995295802</v>
      </c>
    </row>
    <row r="17991">
      <c r="A17991" s="6">
        <v>17989.0</v>
      </c>
      <c r="B17991" s="17">
        <f t="array" ref="B17991">SUM(1-'Sparkling Model'!D$2:D$38^A17991)</f>
        <v>36.99952974</v>
      </c>
      <c r="C17991" s="8">
        <f t="array" ref="C17991">PRODUCT(1-'Sparkling Model'!D$2:D$38^A17991)</f>
        <v>0.9995298116</v>
      </c>
    </row>
    <row r="17992">
      <c r="A17992" s="6">
        <v>17990.0</v>
      </c>
      <c r="B17992" s="17">
        <f t="array" ref="B17992">SUM(1-'Sparkling Model'!D$2:D$38^A17992)</f>
        <v>36.99952997</v>
      </c>
      <c r="C17992" s="8">
        <f t="array" ref="C17992">PRODUCT(1-'Sparkling Model'!D$2:D$38^A17992)</f>
        <v>0.9995300428</v>
      </c>
    </row>
    <row r="17993">
      <c r="A17993" s="6">
        <v>17991.0</v>
      </c>
      <c r="B17993" s="17">
        <f t="array" ref="B17993">SUM(1-'Sparkling Model'!D$2:D$38^A17993)</f>
        <v>36.9995302</v>
      </c>
      <c r="C17993" s="8">
        <f t="array" ref="C17993">PRODUCT(1-'Sparkling Model'!D$2:D$38^A17993)</f>
        <v>0.9995302739</v>
      </c>
    </row>
    <row r="17994">
      <c r="A17994" s="6">
        <v>17992.0</v>
      </c>
      <c r="B17994" s="17">
        <f t="array" ref="B17994">SUM(1-'Sparkling Model'!D$2:D$38^A17994)</f>
        <v>36.99953043</v>
      </c>
      <c r="C17994" s="8">
        <f t="array" ref="C17994">PRODUCT(1-'Sparkling Model'!D$2:D$38^A17994)</f>
        <v>0.9995305049</v>
      </c>
    </row>
    <row r="17995">
      <c r="A17995" s="6">
        <v>17993.0</v>
      </c>
      <c r="B17995" s="17">
        <f t="array" ref="B17995">SUM(1-'Sparkling Model'!D$2:D$38^A17995)</f>
        <v>36.99953066</v>
      </c>
      <c r="C17995" s="8">
        <f t="array" ref="C17995">PRODUCT(1-'Sparkling Model'!D$2:D$38^A17995)</f>
        <v>0.9995307358</v>
      </c>
    </row>
    <row r="17996">
      <c r="A17996" s="6">
        <v>17994.0</v>
      </c>
      <c r="B17996" s="17">
        <f t="array" ref="B17996">SUM(1-'Sparkling Model'!D$2:D$38^A17996)</f>
        <v>36.99953089</v>
      </c>
      <c r="C17996" s="8">
        <f t="array" ref="C17996">PRODUCT(1-'Sparkling Model'!D$2:D$38^A17996)</f>
        <v>0.9995309666</v>
      </c>
    </row>
    <row r="17997">
      <c r="A17997" s="6">
        <v>17995.0</v>
      </c>
      <c r="B17997" s="17">
        <f t="array" ref="B17997">SUM(1-'Sparkling Model'!D$2:D$38^A17997)</f>
        <v>36.99953112</v>
      </c>
      <c r="C17997" s="8">
        <f t="array" ref="C17997">PRODUCT(1-'Sparkling Model'!D$2:D$38^A17997)</f>
        <v>0.9995311973</v>
      </c>
    </row>
    <row r="17998">
      <c r="A17998" s="6">
        <v>17996.0</v>
      </c>
      <c r="B17998" s="17">
        <f t="array" ref="B17998">SUM(1-'Sparkling Model'!D$2:D$38^A17998)</f>
        <v>36.99953135</v>
      </c>
      <c r="C17998" s="8">
        <f t="array" ref="C17998">PRODUCT(1-'Sparkling Model'!D$2:D$38^A17998)</f>
        <v>0.9995314278</v>
      </c>
    </row>
    <row r="17999">
      <c r="A17999" s="6">
        <v>17997.0</v>
      </c>
      <c r="B17999" s="17">
        <f t="array" ref="B17999">SUM(1-'Sparkling Model'!D$2:D$38^A17999)</f>
        <v>36.99953158</v>
      </c>
      <c r="C17999" s="8">
        <f t="array" ref="C17999">PRODUCT(1-'Sparkling Model'!D$2:D$38^A17999)</f>
        <v>0.9995316582</v>
      </c>
    </row>
    <row r="18000">
      <c r="A18000" s="6">
        <v>17998.0</v>
      </c>
      <c r="B18000" s="17">
        <f t="array" ref="B18000">SUM(1-'Sparkling Model'!D$2:D$38^A18000)</f>
        <v>36.99953181</v>
      </c>
      <c r="C18000" s="8">
        <f t="array" ref="C18000">PRODUCT(1-'Sparkling Model'!D$2:D$38^A18000)</f>
        <v>0.9995318885</v>
      </c>
    </row>
    <row r="18001">
      <c r="A18001" s="6">
        <v>17999.0</v>
      </c>
      <c r="B18001" s="17">
        <f t="array" ref="B18001">SUM(1-'Sparkling Model'!D$2:D$38^A18001)</f>
        <v>36.99953204</v>
      </c>
      <c r="C18001" s="8">
        <f t="array" ref="C18001">PRODUCT(1-'Sparkling Model'!D$2:D$38^A18001)</f>
        <v>0.9995321188</v>
      </c>
    </row>
    <row r="18002">
      <c r="A18002" s="6">
        <v>18000.0</v>
      </c>
      <c r="B18002" s="17">
        <f t="array" ref="B18002">SUM(1-'Sparkling Model'!D$2:D$38^A18002)</f>
        <v>36.99953227</v>
      </c>
      <c r="C18002" s="8">
        <f t="array" ref="C18002">PRODUCT(1-'Sparkling Model'!D$2:D$38^A18002)</f>
        <v>0.9995323488</v>
      </c>
    </row>
    <row r="18003">
      <c r="A18003" s="6">
        <v>18001.0</v>
      </c>
      <c r="B18003" s="17">
        <f t="array" ref="B18003">SUM(1-'Sparkling Model'!D$2:D$38^A18003)</f>
        <v>36.9995325</v>
      </c>
      <c r="C18003" s="8">
        <f t="array" ref="C18003">PRODUCT(1-'Sparkling Model'!D$2:D$38^A18003)</f>
        <v>0.9995325788</v>
      </c>
    </row>
    <row r="18004">
      <c r="A18004" s="6">
        <v>18002.0</v>
      </c>
      <c r="B18004" s="17">
        <f t="array" ref="B18004">SUM(1-'Sparkling Model'!D$2:D$38^A18004)</f>
        <v>36.99953273</v>
      </c>
      <c r="C18004" s="8">
        <f t="array" ref="C18004">PRODUCT(1-'Sparkling Model'!D$2:D$38^A18004)</f>
        <v>0.9995328087</v>
      </c>
    </row>
    <row r="18005">
      <c r="A18005" s="6">
        <v>18003.0</v>
      </c>
      <c r="B18005" s="17">
        <f t="array" ref="B18005">SUM(1-'Sparkling Model'!D$2:D$38^A18005)</f>
        <v>36.99953296</v>
      </c>
      <c r="C18005" s="8">
        <f t="array" ref="C18005">PRODUCT(1-'Sparkling Model'!D$2:D$38^A18005)</f>
        <v>0.9995330384</v>
      </c>
    </row>
    <row r="18006">
      <c r="A18006" s="6">
        <v>18004.0</v>
      </c>
      <c r="B18006" s="17">
        <f t="array" ref="B18006">SUM(1-'Sparkling Model'!D$2:D$38^A18006)</f>
        <v>36.99953319</v>
      </c>
      <c r="C18006" s="8">
        <f t="array" ref="C18006">PRODUCT(1-'Sparkling Model'!D$2:D$38^A18006)</f>
        <v>0.9995332681</v>
      </c>
    </row>
    <row r="18007">
      <c r="A18007" s="6">
        <v>18005.0</v>
      </c>
      <c r="B18007" s="17">
        <f t="array" ref="B18007">SUM(1-'Sparkling Model'!D$2:D$38^A18007)</f>
        <v>36.99953342</v>
      </c>
      <c r="C18007" s="8">
        <f t="array" ref="C18007">PRODUCT(1-'Sparkling Model'!D$2:D$38^A18007)</f>
        <v>0.9995334976</v>
      </c>
    </row>
    <row r="18008">
      <c r="A18008" s="6">
        <v>18006.0</v>
      </c>
      <c r="B18008" s="17">
        <f t="array" ref="B18008">SUM(1-'Sparkling Model'!D$2:D$38^A18008)</f>
        <v>36.99953365</v>
      </c>
      <c r="C18008" s="8">
        <f t="array" ref="C18008">PRODUCT(1-'Sparkling Model'!D$2:D$38^A18008)</f>
        <v>0.999533727</v>
      </c>
    </row>
    <row r="18009">
      <c r="A18009" s="6">
        <v>18007.0</v>
      </c>
      <c r="B18009" s="17">
        <f t="array" ref="B18009">SUM(1-'Sparkling Model'!D$2:D$38^A18009)</f>
        <v>36.99953388</v>
      </c>
      <c r="C18009" s="8">
        <f t="array" ref="C18009">PRODUCT(1-'Sparkling Model'!D$2:D$38^A18009)</f>
        <v>0.9995339563</v>
      </c>
    </row>
    <row r="18010">
      <c r="A18010" s="6">
        <v>18008.0</v>
      </c>
      <c r="B18010" s="17">
        <f t="array" ref="B18010">SUM(1-'Sparkling Model'!D$2:D$38^A18010)</f>
        <v>36.99953411</v>
      </c>
      <c r="C18010" s="8">
        <f t="array" ref="C18010">PRODUCT(1-'Sparkling Model'!D$2:D$38^A18010)</f>
        <v>0.9995341855</v>
      </c>
    </row>
    <row r="18011">
      <c r="A18011" s="6">
        <v>18009.0</v>
      </c>
      <c r="B18011" s="17">
        <f t="array" ref="B18011">SUM(1-'Sparkling Model'!D$2:D$38^A18011)</f>
        <v>36.99953434</v>
      </c>
      <c r="C18011" s="8">
        <f t="array" ref="C18011">PRODUCT(1-'Sparkling Model'!D$2:D$38^A18011)</f>
        <v>0.9995344146</v>
      </c>
    </row>
    <row r="18012">
      <c r="A18012" s="6">
        <v>18010.0</v>
      </c>
      <c r="B18012" s="17">
        <f t="array" ref="B18012">SUM(1-'Sparkling Model'!D$2:D$38^A18012)</f>
        <v>36.99953457</v>
      </c>
      <c r="C18012" s="8">
        <f t="array" ref="C18012">PRODUCT(1-'Sparkling Model'!D$2:D$38^A18012)</f>
        <v>0.9995346435</v>
      </c>
    </row>
    <row r="18013">
      <c r="A18013" s="6">
        <v>18011.0</v>
      </c>
      <c r="B18013" s="17">
        <f t="array" ref="B18013">SUM(1-'Sparkling Model'!D$2:D$38^A18013)</f>
        <v>36.9995348</v>
      </c>
      <c r="C18013" s="8">
        <f t="array" ref="C18013">PRODUCT(1-'Sparkling Model'!D$2:D$38^A18013)</f>
        <v>0.9995348724</v>
      </c>
    </row>
    <row r="18014">
      <c r="A18014" s="6">
        <v>18012.0</v>
      </c>
      <c r="B18014" s="17">
        <f t="array" ref="B18014">SUM(1-'Sparkling Model'!D$2:D$38^A18014)</f>
        <v>36.99953503</v>
      </c>
      <c r="C18014" s="8">
        <f t="array" ref="C18014">PRODUCT(1-'Sparkling Model'!D$2:D$38^A18014)</f>
        <v>0.9995351011</v>
      </c>
    </row>
    <row r="18015">
      <c r="A18015" s="6">
        <v>18013.0</v>
      </c>
      <c r="B18015" s="17">
        <f t="array" ref="B18015">SUM(1-'Sparkling Model'!D$2:D$38^A18015)</f>
        <v>36.99953526</v>
      </c>
      <c r="C18015" s="8">
        <f t="array" ref="C18015">PRODUCT(1-'Sparkling Model'!D$2:D$38^A18015)</f>
        <v>0.9995353297</v>
      </c>
    </row>
    <row r="18016">
      <c r="A18016" s="6">
        <v>18014.0</v>
      </c>
      <c r="B18016" s="17">
        <f t="array" ref="B18016">SUM(1-'Sparkling Model'!D$2:D$38^A18016)</f>
        <v>36.99953548</v>
      </c>
      <c r="C18016" s="8">
        <f t="array" ref="C18016">PRODUCT(1-'Sparkling Model'!D$2:D$38^A18016)</f>
        <v>0.9995355583</v>
      </c>
    </row>
    <row r="18017">
      <c r="A18017" s="6">
        <v>18015.0</v>
      </c>
      <c r="B18017" s="17">
        <f t="array" ref="B18017">SUM(1-'Sparkling Model'!D$2:D$38^A18017)</f>
        <v>36.99953571</v>
      </c>
      <c r="C18017" s="8">
        <f t="array" ref="C18017">PRODUCT(1-'Sparkling Model'!D$2:D$38^A18017)</f>
        <v>0.9995357867</v>
      </c>
    </row>
    <row r="18018">
      <c r="A18018" s="6">
        <v>18016.0</v>
      </c>
      <c r="B18018" s="17">
        <f t="array" ref="B18018">SUM(1-'Sparkling Model'!D$2:D$38^A18018)</f>
        <v>36.99953594</v>
      </c>
      <c r="C18018" s="8">
        <f t="array" ref="C18018">PRODUCT(1-'Sparkling Model'!D$2:D$38^A18018)</f>
        <v>0.9995360149</v>
      </c>
    </row>
    <row r="18019">
      <c r="A18019" s="6">
        <v>18017.0</v>
      </c>
      <c r="B18019" s="17">
        <f t="array" ref="B18019">SUM(1-'Sparkling Model'!D$2:D$38^A18019)</f>
        <v>36.99953617</v>
      </c>
      <c r="C18019" s="8">
        <f t="array" ref="C18019">PRODUCT(1-'Sparkling Model'!D$2:D$38^A18019)</f>
        <v>0.9995362431</v>
      </c>
    </row>
    <row r="18020">
      <c r="A18020" s="6">
        <v>18018.0</v>
      </c>
      <c r="B18020" s="17">
        <f t="array" ref="B18020">SUM(1-'Sparkling Model'!D$2:D$38^A18020)</f>
        <v>36.9995364</v>
      </c>
      <c r="C18020" s="8">
        <f t="array" ref="C18020">PRODUCT(1-'Sparkling Model'!D$2:D$38^A18020)</f>
        <v>0.9995364712</v>
      </c>
    </row>
    <row r="18021">
      <c r="A18021" s="6">
        <v>18019.0</v>
      </c>
      <c r="B18021" s="17">
        <f t="array" ref="B18021">SUM(1-'Sparkling Model'!D$2:D$38^A18021)</f>
        <v>36.99953663</v>
      </c>
      <c r="C18021" s="8">
        <f t="array" ref="C18021">PRODUCT(1-'Sparkling Model'!D$2:D$38^A18021)</f>
        <v>0.9995366991</v>
      </c>
    </row>
    <row r="18022">
      <c r="A18022" s="6">
        <v>18020.0</v>
      </c>
      <c r="B18022" s="17">
        <f t="array" ref="B18022">SUM(1-'Sparkling Model'!D$2:D$38^A18022)</f>
        <v>36.99953685</v>
      </c>
      <c r="C18022" s="8">
        <f t="array" ref="C18022">PRODUCT(1-'Sparkling Model'!D$2:D$38^A18022)</f>
        <v>0.999536927</v>
      </c>
    </row>
    <row r="18023">
      <c r="A18023" s="6">
        <v>18021.0</v>
      </c>
      <c r="B18023" s="17">
        <f t="array" ref="B18023">SUM(1-'Sparkling Model'!D$2:D$38^A18023)</f>
        <v>36.99953708</v>
      </c>
      <c r="C18023" s="8">
        <f t="array" ref="C18023">PRODUCT(1-'Sparkling Model'!D$2:D$38^A18023)</f>
        <v>0.9995371547</v>
      </c>
    </row>
    <row r="18024">
      <c r="A18024" s="6">
        <v>18022.0</v>
      </c>
      <c r="B18024" s="17">
        <f t="array" ref="B18024">SUM(1-'Sparkling Model'!D$2:D$38^A18024)</f>
        <v>36.99953731</v>
      </c>
      <c r="C18024" s="8">
        <f t="array" ref="C18024">PRODUCT(1-'Sparkling Model'!D$2:D$38^A18024)</f>
        <v>0.9995373823</v>
      </c>
    </row>
    <row r="18025">
      <c r="A18025" s="6">
        <v>18023.0</v>
      </c>
      <c r="B18025" s="17">
        <f t="array" ref="B18025">SUM(1-'Sparkling Model'!D$2:D$38^A18025)</f>
        <v>36.99953754</v>
      </c>
      <c r="C18025" s="8">
        <f t="array" ref="C18025">PRODUCT(1-'Sparkling Model'!D$2:D$38^A18025)</f>
        <v>0.9995376098</v>
      </c>
    </row>
    <row r="18026">
      <c r="A18026" s="6">
        <v>18024.0</v>
      </c>
      <c r="B18026" s="17">
        <f t="array" ref="B18026">SUM(1-'Sparkling Model'!D$2:D$38^A18026)</f>
        <v>36.99953776</v>
      </c>
      <c r="C18026" s="8">
        <f t="array" ref="C18026">PRODUCT(1-'Sparkling Model'!D$2:D$38^A18026)</f>
        <v>0.9995378372</v>
      </c>
    </row>
    <row r="18027">
      <c r="A18027" s="6">
        <v>18025.0</v>
      </c>
      <c r="B18027" s="17">
        <f t="array" ref="B18027">SUM(1-'Sparkling Model'!D$2:D$38^A18027)</f>
        <v>36.99953799</v>
      </c>
      <c r="C18027" s="8">
        <f t="array" ref="C18027">PRODUCT(1-'Sparkling Model'!D$2:D$38^A18027)</f>
        <v>0.9995380644</v>
      </c>
    </row>
    <row r="18028">
      <c r="A18028" s="6">
        <v>18026.0</v>
      </c>
      <c r="B18028" s="17">
        <f t="array" ref="B18028">SUM(1-'Sparkling Model'!D$2:D$38^A18028)</f>
        <v>36.99953822</v>
      </c>
      <c r="C18028" s="8">
        <f t="array" ref="C18028">PRODUCT(1-'Sparkling Model'!D$2:D$38^A18028)</f>
        <v>0.9995382916</v>
      </c>
    </row>
    <row r="18029">
      <c r="A18029" s="6">
        <v>18027.0</v>
      </c>
      <c r="B18029" s="17">
        <f t="array" ref="B18029">SUM(1-'Sparkling Model'!D$2:D$38^A18029)</f>
        <v>36.99953845</v>
      </c>
      <c r="C18029" s="8">
        <f t="array" ref="C18029">PRODUCT(1-'Sparkling Model'!D$2:D$38^A18029)</f>
        <v>0.9995385187</v>
      </c>
    </row>
    <row r="18030">
      <c r="A18030" s="6">
        <v>18028.0</v>
      </c>
      <c r="B18030" s="17">
        <f t="array" ref="B18030">SUM(1-'Sparkling Model'!D$2:D$38^A18030)</f>
        <v>36.99953867</v>
      </c>
      <c r="C18030" s="8">
        <f t="array" ref="C18030">PRODUCT(1-'Sparkling Model'!D$2:D$38^A18030)</f>
        <v>0.9995387456</v>
      </c>
    </row>
    <row r="18031">
      <c r="A18031" s="6">
        <v>18029.0</v>
      </c>
      <c r="B18031" s="17">
        <f t="array" ref="B18031">SUM(1-'Sparkling Model'!D$2:D$38^A18031)</f>
        <v>36.9995389</v>
      </c>
      <c r="C18031" s="8">
        <f t="array" ref="C18031">PRODUCT(1-'Sparkling Model'!D$2:D$38^A18031)</f>
        <v>0.9995389724</v>
      </c>
    </row>
    <row r="18032">
      <c r="A18032" s="6">
        <v>18030.0</v>
      </c>
      <c r="B18032" s="17">
        <f t="array" ref="B18032">SUM(1-'Sparkling Model'!D$2:D$38^A18032)</f>
        <v>36.99953913</v>
      </c>
      <c r="C18032" s="8">
        <f t="array" ref="C18032">PRODUCT(1-'Sparkling Model'!D$2:D$38^A18032)</f>
        <v>0.9995391991</v>
      </c>
    </row>
    <row r="18033">
      <c r="A18033" s="6">
        <v>18031.0</v>
      </c>
      <c r="B18033" s="17">
        <f t="array" ref="B18033">SUM(1-'Sparkling Model'!D$2:D$38^A18033)</f>
        <v>36.99953935</v>
      </c>
      <c r="C18033" s="8">
        <f t="array" ref="C18033">PRODUCT(1-'Sparkling Model'!D$2:D$38^A18033)</f>
        <v>0.9995394257</v>
      </c>
    </row>
    <row r="18034">
      <c r="A18034" s="6">
        <v>18032.0</v>
      </c>
      <c r="B18034" s="17">
        <f t="array" ref="B18034">SUM(1-'Sparkling Model'!D$2:D$38^A18034)</f>
        <v>36.99953958</v>
      </c>
      <c r="C18034" s="8">
        <f t="array" ref="C18034">PRODUCT(1-'Sparkling Model'!D$2:D$38^A18034)</f>
        <v>0.9995396522</v>
      </c>
    </row>
    <row r="18035">
      <c r="A18035" s="6">
        <v>18033.0</v>
      </c>
      <c r="B18035" s="17">
        <f t="array" ref="B18035">SUM(1-'Sparkling Model'!D$2:D$38^A18035)</f>
        <v>36.99953981</v>
      </c>
      <c r="C18035" s="8">
        <f t="array" ref="C18035">PRODUCT(1-'Sparkling Model'!D$2:D$38^A18035)</f>
        <v>0.9995398786</v>
      </c>
    </row>
    <row r="18036">
      <c r="A18036" s="6">
        <v>18034.0</v>
      </c>
      <c r="B18036" s="17">
        <f t="array" ref="B18036">SUM(1-'Sparkling Model'!D$2:D$38^A18036)</f>
        <v>36.99954003</v>
      </c>
      <c r="C18036" s="8">
        <f t="array" ref="C18036">PRODUCT(1-'Sparkling Model'!D$2:D$38^A18036)</f>
        <v>0.9995401049</v>
      </c>
    </row>
    <row r="18037">
      <c r="A18037" s="6">
        <v>18035.0</v>
      </c>
      <c r="B18037" s="17">
        <f t="array" ref="B18037">SUM(1-'Sparkling Model'!D$2:D$38^A18037)</f>
        <v>36.99954026</v>
      </c>
      <c r="C18037" s="8">
        <f t="array" ref="C18037">PRODUCT(1-'Sparkling Model'!D$2:D$38^A18037)</f>
        <v>0.999540331</v>
      </c>
    </row>
    <row r="18038">
      <c r="A18038" s="6">
        <v>18036.0</v>
      </c>
      <c r="B18038" s="17">
        <f t="array" ref="B18038">SUM(1-'Sparkling Model'!D$2:D$38^A18038)</f>
        <v>36.99954049</v>
      </c>
      <c r="C18038" s="8">
        <f t="array" ref="C18038">PRODUCT(1-'Sparkling Model'!D$2:D$38^A18038)</f>
        <v>0.9995405571</v>
      </c>
    </row>
    <row r="18039">
      <c r="A18039" s="6">
        <v>18037.0</v>
      </c>
      <c r="B18039" s="17">
        <f t="array" ref="B18039">SUM(1-'Sparkling Model'!D$2:D$38^A18039)</f>
        <v>36.99954071</v>
      </c>
      <c r="C18039" s="8">
        <f t="array" ref="C18039">PRODUCT(1-'Sparkling Model'!D$2:D$38^A18039)</f>
        <v>0.999540783</v>
      </c>
    </row>
    <row r="18040">
      <c r="A18040" s="6">
        <v>18038.0</v>
      </c>
      <c r="B18040" s="17">
        <f t="array" ref="B18040">SUM(1-'Sparkling Model'!D$2:D$38^A18040)</f>
        <v>36.99954094</v>
      </c>
      <c r="C18040" s="8">
        <f t="array" ref="C18040">PRODUCT(1-'Sparkling Model'!D$2:D$38^A18040)</f>
        <v>0.9995410088</v>
      </c>
    </row>
    <row r="18041">
      <c r="A18041" s="6">
        <v>18039.0</v>
      </c>
      <c r="B18041" s="17">
        <f t="array" ref="B18041">SUM(1-'Sparkling Model'!D$2:D$38^A18041)</f>
        <v>36.99954116</v>
      </c>
      <c r="C18041" s="8">
        <f t="array" ref="C18041">PRODUCT(1-'Sparkling Model'!D$2:D$38^A18041)</f>
        <v>0.9995412346</v>
      </c>
    </row>
    <row r="18042">
      <c r="A18042" s="6">
        <v>18040.0</v>
      </c>
      <c r="B18042" s="17">
        <f t="array" ref="B18042">SUM(1-'Sparkling Model'!D$2:D$38^A18042)</f>
        <v>36.99954139</v>
      </c>
      <c r="C18042" s="8">
        <f t="array" ref="C18042">PRODUCT(1-'Sparkling Model'!D$2:D$38^A18042)</f>
        <v>0.9995414602</v>
      </c>
    </row>
    <row r="18043">
      <c r="A18043" s="6">
        <v>18041.0</v>
      </c>
      <c r="B18043" s="17">
        <f t="array" ref="B18043">SUM(1-'Sparkling Model'!D$2:D$38^A18043)</f>
        <v>36.99954161</v>
      </c>
      <c r="C18043" s="8">
        <f t="array" ref="C18043">PRODUCT(1-'Sparkling Model'!D$2:D$38^A18043)</f>
        <v>0.9995416856</v>
      </c>
    </row>
    <row r="18044">
      <c r="A18044" s="6">
        <v>18042.0</v>
      </c>
      <c r="B18044" s="17">
        <f t="array" ref="B18044">SUM(1-'Sparkling Model'!D$2:D$38^A18044)</f>
        <v>36.99954184</v>
      </c>
      <c r="C18044" s="8">
        <f t="array" ref="C18044">PRODUCT(1-'Sparkling Model'!D$2:D$38^A18044)</f>
        <v>0.999541911</v>
      </c>
    </row>
    <row r="18045">
      <c r="A18045" s="6">
        <v>18043.0</v>
      </c>
      <c r="B18045" s="17">
        <f t="array" ref="B18045">SUM(1-'Sparkling Model'!D$2:D$38^A18045)</f>
        <v>36.99954206</v>
      </c>
      <c r="C18045" s="8">
        <f t="array" ref="C18045">PRODUCT(1-'Sparkling Model'!D$2:D$38^A18045)</f>
        <v>0.9995421363</v>
      </c>
    </row>
    <row r="18046">
      <c r="A18046" s="6">
        <v>18044.0</v>
      </c>
      <c r="B18046" s="17">
        <f t="array" ref="B18046">SUM(1-'Sparkling Model'!D$2:D$38^A18046)</f>
        <v>36.99954229</v>
      </c>
      <c r="C18046" s="8">
        <f t="array" ref="C18046">PRODUCT(1-'Sparkling Model'!D$2:D$38^A18046)</f>
        <v>0.9995423614</v>
      </c>
    </row>
    <row r="18047">
      <c r="A18047" s="6">
        <v>18045.0</v>
      </c>
      <c r="B18047" s="17">
        <f t="array" ref="B18047">SUM(1-'Sparkling Model'!D$2:D$38^A18047)</f>
        <v>36.99954252</v>
      </c>
      <c r="C18047" s="8">
        <f t="array" ref="C18047">PRODUCT(1-'Sparkling Model'!D$2:D$38^A18047)</f>
        <v>0.9995425865</v>
      </c>
    </row>
    <row r="18048">
      <c r="A18048" s="6">
        <v>18046.0</v>
      </c>
      <c r="B18048" s="17">
        <f t="array" ref="B18048">SUM(1-'Sparkling Model'!D$2:D$38^A18048)</f>
        <v>36.99954274</v>
      </c>
      <c r="C18048" s="8">
        <f t="array" ref="C18048">PRODUCT(1-'Sparkling Model'!D$2:D$38^A18048)</f>
        <v>0.9995428114</v>
      </c>
    </row>
    <row r="18049">
      <c r="A18049" s="6">
        <v>18047.0</v>
      </c>
      <c r="B18049" s="17">
        <f t="array" ref="B18049">SUM(1-'Sparkling Model'!D$2:D$38^A18049)</f>
        <v>36.99954296</v>
      </c>
      <c r="C18049" s="8">
        <f t="array" ref="C18049">PRODUCT(1-'Sparkling Model'!D$2:D$38^A18049)</f>
        <v>0.9995430362</v>
      </c>
    </row>
    <row r="18050">
      <c r="A18050" s="6">
        <v>18048.0</v>
      </c>
      <c r="B18050" s="17">
        <f t="array" ref="B18050">SUM(1-'Sparkling Model'!D$2:D$38^A18050)</f>
        <v>36.99954319</v>
      </c>
      <c r="C18050" s="8">
        <f t="array" ref="C18050">PRODUCT(1-'Sparkling Model'!D$2:D$38^A18050)</f>
        <v>0.999543261</v>
      </c>
    </row>
    <row r="18051">
      <c r="A18051" s="6">
        <v>18049.0</v>
      </c>
      <c r="B18051" s="17">
        <f t="array" ref="B18051">SUM(1-'Sparkling Model'!D$2:D$38^A18051)</f>
        <v>36.99954341</v>
      </c>
      <c r="C18051" s="8">
        <f t="array" ref="C18051">PRODUCT(1-'Sparkling Model'!D$2:D$38^A18051)</f>
        <v>0.9995434856</v>
      </c>
    </row>
    <row r="18052">
      <c r="A18052" s="6">
        <v>18050.0</v>
      </c>
      <c r="B18052" s="17">
        <f t="array" ref="B18052">SUM(1-'Sparkling Model'!D$2:D$38^A18052)</f>
        <v>36.99954364</v>
      </c>
      <c r="C18052" s="8">
        <f t="array" ref="C18052">PRODUCT(1-'Sparkling Model'!D$2:D$38^A18052)</f>
        <v>0.9995437101</v>
      </c>
    </row>
    <row r="18053">
      <c r="A18053" s="6">
        <v>18051.0</v>
      </c>
      <c r="B18053" s="17">
        <f t="array" ref="B18053">SUM(1-'Sparkling Model'!D$2:D$38^A18053)</f>
        <v>36.99954386</v>
      </c>
      <c r="C18053" s="8">
        <f t="array" ref="C18053">PRODUCT(1-'Sparkling Model'!D$2:D$38^A18053)</f>
        <v>0.9995439344</v>
      </c>
    </row>
    <row r="18054">
      <c r="A18054" s="6">
        <v>18052.0</v>
      </c>
      <c r="B18054" s="17">
        <f t="array" ref="B18054">SUM(1-'Sparkling Model'!D$2:D$38^A18054)</f>
        <v>36.99954409</v>
      </c>
      <c r="C18054" s="8">
        <f t="array" ref="C18054">PRODUCT(1-'Sparkling Model'!D$2:D$38^A18054)</f>
        <v>0.9995441587</v>
      </c>
    </row>
    <row r="18055">
      <c r="A18055" s="6">
        <v>18053.0</v>
      </c>
      <c r="B18055" s="17">
        <f t="array" ref="B18055">SUM(1-'Sparkling Model'!D$2:D$38^A18055)</f>
        <v>36.99954431</v>
      </c>
      <c r="C18055" s="8">
        <f t="array" ref="C18055">PRODUCT(1-'Sparkling Model'!D$2:D$38^A18055)</f>
        <v>0.9995443829</v>
      </c>
    </row>
    <row r="18056">
      <c r="A18056" s="6">
        <v>18054.0</v>
      </c>
      <c r="B18056" s="17">
        <f t="array" ref="B18056">SUM(1-'Sparkling Model'!D$2:D$38^A18056)</f>
        <v>36.99954454</v>
      </c>
      <c r="C18056" s="8">
        <f t="array" ref="C18056">PRODUCT(1-'Sparkling Model'!D$2:D$38^A18056)</f>
        <v>0.9995446069</v>
      </c>
    </row>
    <row r="18057">
      <c r="A18057" s="6">
        <v>18055.0</v>
      </c>
      <c r="B18057" s="17">
        <f t="array" ref="B18057">SUM(1-'Sparkling Model'!D$2:D$38^A18057)</f>
        <v>36.99954476</v>
      </c>
      <c r="C18057" s="8">
        <f t="array" ref="C18057">PRODUCT(1-'Sparkling Model'!D$2:D$38^A18057)</f>
        <v>0.9995448308</v>
      </c>
    </row>
    <row r="18058">
      <c r="A18058" s="6">
        <v>18056.0</v>
      </c>
      <c r="B18058" s="17">
        <f t="array" ref="B18058">SUM(1-'Sparkling Model'!D$2:D$38^A18058)</f>
        <v>36.99954498</v>
      </c>
      <c r="C18058" s="8">
        <f t="array" ref="C18058">PRODUCT(1-'Sparkling Model'!D$2:D$38^A18058)</f>
        <v>0.9995450547</v>
      </c>
    </row>
    <row r="18059">
      <c r="A18059" s="6">
        <v>18057.0</v>
      </c>
      <c r="B18059" s="17">
        <f t="array" ref="B18059">SUM(1-'Sparkling Model'!D$2:D$38^A18059)</f>
        <v>36.99954521</v>
      </c>
      <c r="C18059" s="8">
        <f t="array" ref="C18059">PRODUCT(1-'Sparkling Model'!D$2:D$38^A18059)</f>
        <v>0.9995452784</v>
      </c>
    </row>
    <row r="18060">
      <c r="A18060" s="6">
        <v>18058.0</v>
      </c>
      <c r="B18060" s="17">
        <f t="array" ref="B18060">SUM(1-'Sparkling Model'!D$2:D$38^A18060)</f>
        <v>36.99954543</v>
      </c>
      <c r="C18060" s="8">
        <f t="array" ref="C18060">PRODUCT(1-'Sparkling Model'!D$2:D$38^A18060)</f>
        <v>0.999545502</v>
      </c>
    </row>
    <row r="18061">
      <c r="A18061" s="6">
        <v>18059.0</v>
      </c>
      <c r="B18061" s="17">
        <f t="array" ref="B18061">SUM(1-'Sparkling Model'!D$2:D$38^A18061)</f>
        <v>36.99954566</v>
      </c>
      <c r="C18061" s="8">
        <f t="array" ref="C18061">PRODUCT(1-'Sparkling Model'!D$2:D$38^A18061)</f>
        <v>0.9995457255</v>
      </c>
    </row>
    <row r="18062">
      <c r="A18062" s="6">
        <v>18060.0</v>
      </c>
      <c r="B18062" s="17">
        <f t="array" ref="B18062">SUM(1-'Sparkling Model'!D$2:D$38^A18062)</f>
        <v>36.99954588</v>
      </c>
      <c r="C18062" s="8">
        <f t="array" ref="C18062">PRODUCT(1-'Sparkling Model'!D$2:D$38^A18062)</f>
        <v>0.9995459489</v>
      </c>
    </row>
    <row r="18063">
      <c r="A18063" s="6">
        <v>18061.0</v>
      </c>
      <c r="B18063" s="17">
        <f t="array" ref="B18063">SUM(1-'Sparkling Model'!D$2:D$38^A18063)</f>
        <v>36.9995461</v>
      </c>
      <c r="C18063" s="8">
        <f t="array" ref="C18063">PRODUCT(1-'Sparkling Model'!D$2:D$38^A18063)</f>
        <v>0.9995461722</v>
      </c>
    </row>
    <row r="18064">
      <c r="A18064" s="6">
        <v>18062.0</v>
      </c>
      <c r="B18064" s="17">
        <f t="array" ref="B18064">SUM(1-'Sparkling Model'!D$2:D$38^A18064)</f>
        <v>36.99954633</v>
      </c>
      <c r="C18064" s="8">
        <f t="array" ref="C18064">PRODUCT(1-'Sparkling Model'!D$2:D$38^A18064)</f>
        <v>0.9995463953</v>
      </c>
    </row>
    <row r="18065">
      <c r="A18065" s="6">
        <v>18063.0</v>
      </c>
      <c r="B18065" s="17">
        <f t="array" ref="B18065">SUM(1-'Sparkling Model'!D$2:D$38^A18065)</f>
        <v>36.99954655</v>
      </c>
      <c r="C18065" s="8">
        <f t="array" ref="C18065">PRODUCT(1-'Sparkling Model'!D$2:D$38^A18065)</f>
        <v>0.9995466184</v>
      </c>
    </row>
    <row r="18066">
      <c r="A18066" s="6">
        <v>18064.0</v>
      </c>
      <c r="B18066" s="17">
        <f t="array" ref="B18066">SUM(1-'Sparkling Model'!D$2:D$38^A18066)</f>
        <v>36.99954677</v>
      </c>
      <c r="C18066" s="8">
        <f t="array" ref="C18066">PRODUCT(1-'Sparkling Model'!D$2:D$38^A18066)</f>
        <v>0.9995468413</v>
      </c>
    </row>
    <row r="18067">
      <c r="A18067" s="6">
        <v>18065.0</v>
      </c>
      <c r="B18067" s="17">
        <f t="array" ref="B18067">SUM(1-'Sparkling Model'!D$2:D$38^A18067)</f>
        <v>36.99954699</v>
      </c>
      <c r="C18067" s="8">
        <f t="array" ref="C18067">PRODUCT(1-'Sparkling Model'!D$2:D$38^A18067)</f>
        <v>0.9995470642</v>
      </c>
    </row>
    <row r="18068">
      <c r="A18068" s="6">
        <v>18066.0</v>
      </c>
      <c r="B18068" s="17">
        <f t="array" ref="B18068">SUM(1-'Sparkling Model'!D$2:D$38^A18068)</f>
        <v>36.99954722</v>
      </c>
      <c r="C18068" s="8">
        <f t="array" ref="C18068">PRODUCT(1-'Sparkling Model'!D$2:D$38^A18068)</f>
        <v>0.9995472869</v>
      </c>
    </row>
    <row r="18069">
      <c r="A18069" s="6">
        <v>18067.0</v>
      </c>
      <c r="B18069" s="17">
        <f t="array" ref="B18069">SUM(1-'Sparkling Model'!D$2:D$38^A18069)</f>
        <v>36.99954744</v>
      </c>
      <c r="C18069" s="8">
        <f t="array" ref="C18069">PRODUCT(1-'Sparkling Model'!D$2:D$38^A18069)</f>
        <v>0.9995475095</v>
      </c>
    </row>
    <row r="18070">
      <c r="A18070" s="6">
        <v>18068.0</v>
      </c>
      <c r="B18070" s="17">
        <f t="array" ref="B18070">SUM(1-'Sparkling Model'!D$2:D$38^A18070)</f>
        <v>36.99954766</v>
      </c>
      <c r="C18070" s="8">
        <f t="array" ref="C18070">PRODUCT(1-'Sparkling Model'!D$2:D$38^A18070)</f>
        <v>0.999547732</v>
      </c>
    </row>
    <row r="18071">
      <c r="A18071" s="6">
        <v>18069.0</v>
      </c>
      <c r="B18071" s="17">
        <f t="array" ref="B18071">SUM(1-'Sparkling Model'!D$2:D$38^A18071)</f>
        <v>36.99954788</v>
      </c>
      <c r="C18071" s="8">
        <f t="array" ref="C18071">PRODUCT(1-'Sparkling Model'!D$2:D$38^A18071)</f>
        <v>0.9995479544</v>
      </c>
    </row>
    <row r="18072">
      <c r="A18072" s="6">
        <v>18070.0</v>
      </c>
      <c r="B18072" s="17">
        <f t="array" ref="B18072">SUM(1-'Sparkling Model'!D$2:D$38^A18072)</f>
        <v>36.99954811</v>
      </c>
      <c r="C18072" s="8">
        <f t="array" ref="C18072">PRODUCT(1-'Sparkling Model'!D$2:D$38^A18072)</f>
        <v>0.9995481767</v>
      </c>
    </row>
    <row r="18073">
      <c r="A18073" s="6">
        <v>18071.0</v>
      </c>
      <c r="B18073" s="17">
        <f t="array" ref="B18073">SUM(1-'Sparkling Model'!D$2:D$38^A18073)</f>
        <v>36.99954833</v>
      </c>
      <c r="C18073" s="8">
        <f t="array" ref="C18073">PRODUCT(1-'Sparkling Model'!D$2:D$38^A18073)</f>
        <v>0.9995483989</v>
      </c>
    </row>
    <row r="18074">
      <c r="A18074" s="6">
        <v>18072.0</v>
      </c>
      <c r="B18074" s="17">
        <f t="array" ref="B18074">SUM(1-'Sparkling Model'!D$2:D$38^A18074)</f>
        <v>36.99954855</v>
      </c>
      <c r="C18074" s="8">
        <f t="array" ref="C18074">PRODUCT(1-'Sparkling Model'!D$2:D$38^A18074)</f>
        <v>0.999548621</v>
      </c>
    </row>
    <row r="18075">
      <c r="A18075" s="6">
        <v>18073.0</v>
      </c>
      <c r="B18075" s="17">
        <f t="array" ref="B18075">SUM(1-'Sparkling Model'!D$2:D$38^A18075)</f>
        <v>36.99954877</v>
      </c>
      <c r="C18075" s="8">
        <f t="array" ref="C18075">PRODUCT(1-'Sparkling Model'!D$2:D$38^A18075)</f>
        <v>0.9995488429</v>
      </c>
    </row>
    <row r="18076">
      <c r="A18076" s="6">
        <v>18074.0</v>
      </c>
      <c r="B18076" s="17">
        <f t="array" ref="B18076">SUM(1-'Sparkling Model'!D$2:D$38^A18076)</f>
        <v>36.999549</v>
      </c>
      <c r="C18076" s="8">
        <f t="array" ref="C18076">PRODUCT(1-'Sparkling Model'!D$2:D$38^A18076)</f>
        <v>0.9995490648</v>
      </c>
    </row>
    <row r="18077">
      <c r="A18077" s="6">
        <v>18075.0</v>
      </c>
      <c r="B18077" s="17">
        <f t="array" ref="B18077">SUM(1-'Sparkling Model'!D$2:D$38^A18077)</f>
        <v>36.99954922</v>
      </c>
      <c r="C18077" s="8">
        <f t="array" ref="C18077">PRODUCT(1-'Sparkling Model'!D$2:D$38^A18077)</f>
        <v>0.9995492865</v>
      </c>
    </row>
    <row r="18078">
      <c r="A18078" s="6">
        <v>18076.0</v>
      </c>
      <c r="B18078" s="17">
        <f t="array" ref="B18078">SUM(1-'Sparkling Model'!D$2:D$38^A18078)</f>
        <v>36.99954944</v>
      </c>
      <c r="C18078" s="8">
        <f t="array" ref="C18078">PRODUCT(1-'Sparkling Model'!D$2:D$38^A18078)</f>
        <v>0.9995495082</v>
      </c>
    </row>
    <row r="18079">
      <c r="A18079" s="6">
        <v>18077.0</v>
      </c>
      <c r="B18079" s="17">
        <f t="array" ref="B18079">SUM(1-'Sparkling Model'!D$2:D$38^A18079)</f>
        <v>36.99954966</v>
      </c>
      <c r="C18079" s="8">
        <f t="array" ref="C18079">PRODUCT(1-'Sparkling Model'!D$2:D$38^A18079)</f>
        <v>0.9995497297</v>
      </c>
    </row>
    <row r="18080">
      <c r="A18080" s="6">
        <v>18078.0</v>
      </c>
      <c r="B18080" s="17">
        <f t="array" ref="B18080">SUM(1-'Sparkling Model'!D$2:D$38^A18080)</f>
        <v>36.99954988</v>
      </c>
      <c r="C18080" s="8">
        <f t="array" ref="C18080">PRODUCT(1-'Sparkling Model'!D$2:D$38^A18080)</f>
        <v>0.9995499511</v>
      </c>
    </row>
    <row r="18081">
      <c r="A18081" s="6">
        <v>18079.0</v>
      </c>
      <c r="B18081" s="17">
        <f t="array" ref="B18081">SUM(1-'Sparkling Model'!D$2:D$38^A18081)</f>
        <v>36.9995501</v>
      </c>
      <c r="C18081" s="8">
        <f t="array" ref="C18081">PRODUCT(1-'Sparkling Model'!D$2:D$38^A18081)</f>
        <v>0.9995501724</v>
      </c>
    </row>
    <row r="18082">
      <c r="A18082" s="6">
        <v>18080.0</v>
      </c>
      <c r="B18082" s="17">
        <f t="array" ref="B18082">SUM(1-'Sparkling Model'!D$2:D$38^A18082)</f>
        <v>36.99955032</v>
      </c>
      <c r="C18082" s="8">
        <f t="array" ref="C18082">PRODUCT(1-'Sparkling Model'!D$2:D$38^A18082)</f>
        <v>0.9995503936</v>
      </c>
    </row>
    <row r="18083">
      <c r="A18083" s="6">
        <v>18081.0</v>
      </c>
      <c r="B18083" s="17">
        <f t="array" ref="B18083">SUM(1-'Sparkling Model'!D$2:D$38^A18083)</f>
        <v>36.99955055</v>
      </c>
      <c r="C18083" s="8">
        <f t="array" ref="C18083">PRODUCT(1-'Sparkling Model'!D$2:D$38^A18083)</f>
        <v>0.9995506147</v>
      </c>
    </row>
    <row r="18084">
      <c r="A18084" s="6">
        <v>18082.0</v>
      </c>
      <c r="B18084" s="17">
        <f t="array" ref="B18084">SUM(1-'Sparkling Model'!D$2:D$38^A18084)</f>
        <v>36.99955077</v>
      </c>
      <c r="C18084" s="8">
        <f t="array" ref="C18084">PRODUCT(1-'Sparkling Model'!D$2:D$38^A18084)</f>
        <v>0.9995508357</v>
      </c>
    </row>
    <row r="18085">
      <c r="A18085" s="6">
        <v>18083.0</v>
      </c>
      <c r="B18085" s="17">
        <f t="array" ref="B18085">SUM(1-'Sparkling Model'!D$2:D$38^A18085)</f>
        <v>36.99955099</v>
      </c>
      <c r="C18085" s="8">
        <f t="array" ref="C18085">PRODUCT(1-'Sparkling Model'!D$2:D$38^A18085)</f>
        <v>0.9995510565</v>
      </c>
    </row>
    <row r="18086">
      <c r="A18086" s="6">
        <v>18084.0</v>
      </c>
      <c r="B18086" s="17">
        <f t="array" ref="B18086">SUM(1-'Sparkling Model'!D$2:D$38^A18086)</f>
        <v>36.99955121</v>
      </c>
      <c r="C18086" s="8">
        <f t="array" ref="C18086">PRODUCT(1-'Sparkling Model'!D$2:D$38^A18086)</f>
        <v>0.9995512773</v>
      </c>
    </row>
    <row r="18087">
      <c r="A18087" s="6">
        <v>18085.0</v>
      </c>
      <c r="B18087" s="17">
        <f t="array" ref="B18087">SUM(1-'Sparkling Model'!D$2:D$38^A18087)</f>
        <v>36.99955143</v>
      </c>
      <c r="C18087" s="8">
        <f t="array" ref="C18087">PRODUCT(1-'Sparkling Model'!D$2:D$38^A18087)</f>
        <v>0.9995514979</v>
      </c>
    </row>
    <row r="18088">
      <c r="A18088" s="6">
        <v>18086.0</v>
      </c>
      <c r="B18088" s="17">
        <f t="array" ref="B18088">SUM(1-'Sparkling Model'!D$2:D$38^A18088)</f>
        <v>36.99955165</v>
      </c>
      <c r="C18088" s="8">
        <f t="array" ref="C18088">PRODUCT(1-'Sparkling Model'!D$2:D$38^A18088)</f>
        <v>0.9995517185</v>
      </c>
    </row>
    <row r="18089">
      <c r="A18089" s="6">
        <v>18087.0</v>
      </c>
      <c r="B18089" s="17">
        <f t="array" ref="B18089">SUM(1-'Sparkling Model'!D$2:D$38^A18089)</f>
        <v>36.99955187</v>
      </c>
      <c r="C18089" s="8">
        <f t="array" ref="C18089">PRODUCT(1-'Sparkling Model'!D$2:D$38^A18089)</f>
        <v>0.9995519389</v>
      </c>
    </row>
    <row r="18090">
      <c r="A18090" s="6">
        <v>18088.0</v>
      </c>
      <c r="B18090" s="17">
        <f t="array" ref="B18090">SUM(1-'Sparkling Model'!D$2:D$38^A18090)</f>
        <v>36.99955209</v>
      </c>
      <c r="C18090" s="8">
        <f t="array" ref="C18090">PRODUCT(1-'Sparkling Model'!D$2:D$38^A18090)</f>
        <v>0.9995521593</v>
      </c>
    </row>
    <row r="18091">
      <c r="A18091" s="6">
        <v>18089.0</v>
      </c>
      <c r="B18091" s="17">
        <f t="array" ref="B18091">SUM(1-'Sparkling Model'!D$2:D$38^A18091)</f>
        <v>36.99955231</v>
      </c>
      <c r="C18091" s="8">
        <f t="array" ref="C18091">PRODUCT(1-'Sparkling Model'!D$2:D$38^A18091)</f>
        <v>0.9995523795</v>
      </c>
    </row>
    <row r="18092">
      <c r="A18092" s="6">
        <v>18090.0</v>
      </c>
      <c r="B18092" s="17">
        <f t="array" ref="B18092">SUM(1-'Sparkling Model'!D$2:D$38^A18092)</f>
        <v>36.99955253</v>
      </c>
      <c r="C18092" s="8">
        <f t="array" ref="C18092">PRODUCT(1-'Sparkling Model'!D$2:D$38^A18092)</f>
        <v>0.9995525996</v>
      </c>
    </row>
    <row r="18093">
      <c r="A18093" s="6">
        <v>18091.0</v>
      </c>
      <c r="B18093" s="17">
        <f t="array" ref="B18093">SUM(1-'Sparkling Model'!D$2:D$38^A18093)</f>
        <v>36.99955275</v>
      </c>
      <c r="C18093" s="8">
        <f t="array" ref="C18093">PRODUCT(1-'Sparkling Model'!D$2:D$38^A18093)</f>
        <v>0.9995528196</v>
      </c>
    </row>
    <row r="18094">
      <c r="A18094" s="6">
        <v>18092.0</v>
      </c>
      <c r="B18094" s="17">
        <f t="array" ref="B18094">SUM(1-'Sparkling Model'!D$2:D$38^A18094)</f>
        <v>36.99955297</v>
      </c>
      <c r="C18094" s="8">
        <f t="array" ref="C18094">PRODUCT(1-'Sparkling Model'!D$2:D$38^A18094)</f>
        <v>0.9995530395</v>
      </c>
    </row>
    <row r="18095">
      <c r="A18095" s="6">
        <v>18093.0</v>
      </c>
      <c r="B18095" s="17">
        <f t="array" ref="B18095">SUM(1-'Sparkling Model'!D$2:D$38^A18095)</f>
        <v>36.99955319</v>
      </c>
      <c r="C18095" s="8">
        <f t="array" ref="C18095">PRODUCT(1-'Sparkling Model'!D$2:D$38^A18095)</f>
        <v>0.9995532593</v>
      </c>
    </row>
    <row r="18096">
      <c r="A18096" s="6">
        <v>18094.0</v>
      </c>
      <c r="B18096" s="17">
        <f t="array" ref="B18096">SUM(1-'Sparkling Model'!D$2:D$38^A18096)</f>
        <v>36.99955341</v>
      </c>
      <c r="C18096" s="8">
        <f t="array" ref="C18096">PRODUCT(1-'Sparkling Model'!D$2:D$38^A18096)</f>
        <v>0.9995534789</v>
      </c>
    </row>
    <row r="18097">
      <c r="A18097" s="6">
        <v>18095.0</v>
      </c>
      <c r="B18097" s="17">
        <f t="array" ref="B18097">SUM(1-'Sparkling Model'!D$2:D$38^A18097)</f>
        <v>36.99955363</v>
      </c>
      <c r="C18097" s="8">
        <f t="array" ref="C18097">PRODUCT(1-'Sparkling Model'!D$2:D$38^A18097)</f>
        <v>0.9995536985</v>
      </c>
    </row>
    <row r="18098">
      <c r="A18098" s="6">
        <v>18096.0</v>
      </c>
      <c r="B18098" s="17">
        <f t="array" ref="B18098">SUM(1-'Sparkling Model'!D$2:D$38^A18098)</f>
        <v>36.99955385</v>
      </c>
      <c r="C18098" s="8">
        <f t="array" ref="C18098">PRODUCT(1-'Sparkling Model'!D$2:D$38^A18098)</f>
        <v>0.999553918</v>
      </c>
    </row>
    <row r="18099">
      <c r="A18099" s="6">
        <v>18097.0</v>
      </c>
      <c r="B18099" s="17">
        <f t="array" ref="B18099">SUM(1-'Sparkling Model'!D$2:D$38^A18099)</f>
        <v>36.99955407</v>
      </c>
      <c r="C18099" s="8">
        <f t="array" ref="C18099">PRODUCT(1-'Sparkling Model'!D$2:D$38^A18099)</f>
        <v>0.9995541373</v>
      </c>
    </row>
    <row r="18100">
      <c r="A18100" s="6">
        <v>18098.0</v>
      </c>
      <c r="B18100" s="17">
        <f t="array" ref="B18100">SUM(1-'Sparkling Model'!D$2:D$38^A18100)</f>
        <v>36.99955429</v>
      </c>
      <c r="C18100" s="8">
        <f t="array" ref="C18100">PRODUCT(1-'Sparkling Model'!D$2:D$38^A18100)</f>
        <v>0.9995543566</v>
      </c>
    </row>
    <row r="18101">
      <c r="A18101" s="6">
        <v>18099.0</v>
      </c>
      <c r="B18101" s="17">
        <f t="array" ref="B18101">SUM(1-'Sparkling Model'!D$2:D$38^A18101)</f>
        <v>36.99955451</v>
      </c>
      <c r="C18101" s="8">
        <f t="array" ref="C18101">PRODUCT(1-'Sparkling Model'!D$2:D$38^A18101)</f>
        <v>0.9995545757</v>
      </c>
    </row>
    <row r="18102">
      <c r="A18102" s="6">
        <v>18100.0</v>
      </c>
      <c r="B18102" s="17">
        <f t="array" ref="B18102">SUM(1-'Sparkling Model'!D$2:D$38^A18102)</f>
        <v>36.99955473</v>
      </c>
      <c r="C18102" s="8">
        <f t="array" ref="C18102">PRODUCT(1-'Sparkling Model'!D$2:D$38^A18102)</f>
        <v>0.9995547947</v>
      </c>
    </row>
    <row r="18103">
      <c r="A18103" s="6">
        <v>18101.0</v>
      </c>
      <c r="B18103" s="17">
        <f t="array" ref="B18103">SUM(1-'Sparkling Model'!D$2:D$38^A18103)</f>
        <v>36.99955495</v>
      </c>
      <c r="C18103" s="8">
        <f t="array" ref="C18103">PRODUCT(1-'Sparkling Model'!D$2:D$38^A18103)</f>
        <v>0.9995550136</v>
      </c>
    </row>
    <row r="18104">
      <c r="A18104" s="6">
        <v>18102.0</v>
      </c>
      <c r="B18104" s="17">
        <f t="array" ref="B18104">SUM(1-'Sparkling Model'!D$2:D$38^A18104)</f>
        <v>36.99955516</v>
      </c>
      <c r="C18104" s="8">
        <f t="array" ref="C18104">PRODUCT(1-'Sparkling Model'!D$2:D$38^A18104)</f>
        <v>0.9995552324</v>
      </c>
    </row>
    <row r="18105">
      <c r="A18105" s="6">
        <v>18103.0</v>
      </c>
      <c r="B18105" s="17">
        <f t="array" ref="B18105">SUM(1-'Sparkling Model'!D$2:D$38^A18105)</f>
        <v>36.99955538</v>
      </c>
      <c r="C18105" s="8">
        <f t="array" ref="C18105">PRODUCT(1-'Sparkling Model'!D$2:D$38^A18105)</f>
        <v>0.9995554511</v>
      </c>
    </row>
    <row r="18106">
      <c r="A18106" s="6">
        <v>18104.0</v>
      </c>
      <c r="B18106" s="17">
        <f t="array" ref="B18106">SUM(1-'Sparkling Model'!D$2:D$38^A18106)</f>
        <v>36.9995556</v>
      </c>
      <c r="C18106" s="8">
        <f t="array" ref="C18106">PRODUCT(1-'Sparkling Model'!D$2:D$38^A18106)</f>
        <v>0.9995556697</v>
      </c>
    </row>
    <row r="18107">
      <c r="A18107" s="6">
        <v>18105.0</v>
      </c>
      <c r="B18107" s="17">
        <f t="array" ref="B18107">SUM(1-'Sparkling Model'!D$2:D$38^A18107)</f>
        <v>36.99955582</v>
      </c>
      <c r="C18107" s="8">
        <f t="array" ref="C18107">PRODUCT(1-'Sparkling Model'!D$2:D$38^A18107)</f>
        <v>0.9995558882</v>
      </c>
    </row>
    <row r="18108">
      <c r="A18108" s="6">
        <v>18106.0</v>
      </c>
      <c r="B18108" s="17">
        <f t="array" ref="B18108">SUM(1-'Sparkling Model'!D$2:D$38^A18108)</f>
        <v>36.99955604</v>
      </c>
      <c r="C18108" s="8">
        <f t="array" ref="C18108">PRODUCT(1-'Sparkling Model'!D$2:D$38^A18108)</f>
        <v>0.9995561066</v>
      </c>
    </row>
    <row r="18109">
      <c r="A18109" s="6">
        <v>18107.0</v>
      </c>
      <c r="B18109" s="17">
        <f t="array" ref="B18109">SUM(1-'Sparkling Model'!D$2:D$38^A18109)</f>
        <v>36.99955626</v>
      </c>
      <c r="C18109" s="8">
        <f t="array" ref="C18109">PRODUCT(1-'Sparkling Model'!D$2:D$38^A18109)</f>
        <v>0.9995563249</v>
      </c>
    </row>
    <row r="18110">
      <c r="A18110" s="6">
        <v>18108.0</v>
      </c>
      <c r="B18110" s="17">
        <f t="array" ref="B18110">SUM(1-'Sparkling Model'!D$2:D$38^A18110)</f>
        <v>36.99955648</v>
      </c>
      <c r="C18110" s="8">
        <f t="array" ref="C18110">PRODUCT(1-'Sparkling Model'!D$2:D$38^A18110)</f>
        <v>0.9995565431</v>
      </c>
    </row>
    <row r="18111">
      <c r="A18111" s="6">
        <v>18109.0</v>
      </c>
      <c r="B18111" s="17">
        <f t="array" ref="B18111">SUM(1-'Sparkling Model'!D$2:D$38^A18111)</f>
        <v>36.99955669</v>
      </c>
      <c r="C18111" s="8">
        <f t="array" ref="C18111">PRODUCT(1-'Sparkling Model'!D$2:D$38^A18111)</f>
        <v>0.9995567611</v>
      </c>
    </row>
    <row r="18112">
      <c r="A18112" s="6">
        <v>18110.0</v>
      </c>
      <c r="B18112" s="17">
        <f t="array" ref="B18112">SUM(1-'Sparkling Model'!D$2:D$38^A18112)</f>
        <v>36.99955691</v>
      </c>
      <c r="C18112" s="8">
        <f t="array" ref="C18112">PRODUCT(1-'Sparkling Model'!D$2:D$38^A18112)</f>
        <v>0.9995569791</v>
      </c>
    </row>
    <row r="18113">
      <c r="A18113" s="6">
        <v>18111.0</v>
      </c>
      <c r="B18113" s="17">
        <f t="array" ref="B18113">SUM(1-'Sparkling Model'!D$2:D$38^A18113)</f>
        <v>36.99955713</v>
      </c>
      <c r="C18113" s="8">
        <f t="array" ref="C18113">PRODUCT(1-'Sparkling Model'!D$2:D$38^A18113)</f>
        <v>0.9995571969</v>
      </c>
    </row>
    <row r="18114">
      <c r="A18114" s="6">
        <v>18112.0</v>
      </c>
      <c r="B18114" s="17">
        <f t="array" ref="B18114">SUM(1-'Sparkling Model'!D$2:D$38^A18114)</f>
        <v>36.99955735</v>
      </c>
      <c r="C18114" s="8">
        <f t="array" ref="C18114">PRODUCT(1-'Sparkling Model'!D$2:D$38^A18114)</f>
        <v>0.9995574146</v>
      </c>
    </row>
    <row r="18115">
      <c r="A18115" s="6">
        <v>18113.0</v>
      </c>
      <c r="B18115" s="17">
        <f t="array" ref="B18115">SUM(1-'Sparkling Model'!D$2:D$38^A18115)</f>
        <v>36.99955757</v>
      </c>
      <c r="C18115" s="8">
        <f t="array" ref="C18115">PRODUCT(1-'Sparkling Model'!D$2:D$38^A18115)</f>
        <v>0.9995576323</v>
      </c>
    </row>
    <row r="18116">
      <c r="A18116" s="6">
        <v>18114.0</v>
      </c>
      <c r="B18116" s="17">
        <f t="array" ref="B18116">SUM(1-'Sparkling Model'!D$2:D$38^A18116)</f>
        <v>36.99955778</v>
      </c>
      <c r="C18116" s="8">
        <f t="array" ref="C18116">PRODUCT(1-'Sparkling Model'!D$2:D$38^A18116)</f>
        <v>0.9995578498</v>
      </c>
    </row>
    <row r="18117">
      <c r="A18117" s="6">
        <v>18115.0</v>
      </c>
      <c r="B18117" s="17">
        <f t="array" ref="B18117">SUM(1-'Sparkling Model'!D$2:D$38^A18117)</f>
        <v>36.999558</v>
      </c>
      <c r="C18117" s="8">
        <f t="array" ref="C18117">PRODUCT(1-'Sparkling Model'!D$2:D$38^A18117)</f>
        <v>0.9995580672</v>
      </c>
    </row>
    <row r="18118">
      <c r="A18118" s="6">
        <v>18116.0</v>
      </c>
      <c r="B18118" s="17">
        <f t="array" ref="B18118">SUM(1-'Sparkling Model'!D$2:D$38^A18118)</f>
        <v>36.99955822</v>
      </c>
      <c r="C18118" s="8">
        <f t="array" ref="C18118">PRODUCT(1-'Sparkling Model'!D$2:D$38^A18118)</f>
        <v>0.9995582845</v>
      </c>
    </row>
    <row r="18119">
      <c r="A18119" s="6">
        <v>18117.0</v>
      </c>
      <c r="B18119" s="17">
        <f t="array" ref="B18119">SUM(1-'Sparkling Model'!D$2:D$38^A18119)</f>
        <v>36.99955844</v>
      </c>
      <c r="C18119" s="8">
        <f t="array" ref="C18119">PRODUCT(1-'Sparkling Model'!D$2:D$38^A18119)</f>
        <v>0.9995585017</v>
      </c>
    </row>
    <row r="18120">
      <c r="A18120" s="6">
        <v>18118.0</v>
      </c>
      <c r="B18120" s="17">
        <f t="array" ref="B18120">SUM(1-'Sparkling Model'!D$2:D$38^A18120)</f>
        <v>36.99955865</v>
      </c>
      <c r="C18120" s="8">
        <f t="array" ref="C18120">PRODUCT(1-'Sparkling Model'!D$2:D$38^A18120)</f>
        <v>0.9995587188</v>
      </c>
    </row>
    <row r="18121">
      <c r="A18121" s="6">
        <v>18119.0</v>
      </c>
      <c r="B18121" s="17">
        <f t="array" ref="B18121">SUM(1-'Sparkling Model'!D$2:D$38^A18121)</f>
        <v>36.99955887</v>
      </c>
      <c r="C18121" s="8">
        <f t="array" ref="C18121">PRODUCT(1-'Sparkling Model'!D$2:D$38^A18121)</f>
        <v>0.9995589358</v>
      </c>
    </row>
    <row r="18122">
      <c r="A18122" s="6">
        <v>18120.0</v>
      </c>
      <c r="B18122" s="17">
        <f t="array" ref="B18122">SUM(1-'Sparkling Model'!D$2:D$38^A18122)</f>
        <v>36.99955909</v>
      </c>
      <c r="C18122" s="8">
        <f t="array" ref="C18122">PRODUCT(1-'Sparkling Model'!D$2:D$38^A18122)</f>
        <v>0.9995591527</v>
      </c>
    </row>
    <row r="18123">
      <c r="A18123" s="6">
        <v>18121.0</v>
      </c>
      <c r="B18123" s="17">
        <f t="array" ref="B18123">SUM(1-'Sparkling Model'!D$2:D$38^A18123)</f>
        <v>36.9995593</v>
      </c>
      <c r="C18123" s="8">
        <f t="array" ref="C18123">PRODUCT(1-'Sparkling Model'!D$2:D$38^A18123)</f>
        <v>0.9995593694</v>
      </c>
    </row>
    <row r="18124">
      <c r="A18124" s="6">
        <v>18122.0</v>
      </c>
      <c r="B18124" s="17">
        <f t="array" ref="B18124">SUM(1-'Sparkling Model'!D$2:D$38^A18124)</f>
        <v>36.99955952</v>
      </c>
      <c r="C18124" s="8">
        <f t="array" ref="C18124">PRODUCT(1-'Sparkling Model'!D$2:D$38^A18124)</f>
        <v>0.9995595861</v>
      </c>
    </row>
    <row r="18125">
      <c r="A18125" s="6">
        <v>18123.0</v>
      </c>
      <c r="B18125" s="17">
        <f t="array" ref="B18125">SUM(1-'Sparkling Model'!D$2:D$38^A18125)</f>
        <v>36.99955974</v>
      </c>
      <c r="C18125" s="8">
        <f t="array" ref="C18125">PRODUCT(1-'Sparkling Model'!D$2:D$38^A18125)</f>
        <v>0.9995598027</v>
      </c>
    </row>
    <row r="18126">
      <c r="A18126" s="6">
        <v>18124.0</v>
      </c>
      <c r="B18126" s="17">
        <f t="array" ref="B18126">SUM(1-'Sparkling Model'!D$2:D$38^A18126)</f>
        <v>36.99955995</v>
      </c>
      <c r="C18126" s="8">
        <f t="array" ref="C18126">PRODUCT(1-'Sparkling Model'!D$2:D$38^A18126)</f>
        <v>0.9995600191</v>
      </c>
    </row>
    <row r="18127">
      <c r="A18127" s="6">
        <v>18125.0</v>
      </c>
      <c r="B18127" s="17">
        <f t="array" ref="B18127">SUM(1-'Sparkling Model'!D$2:D$38^A18127)</f>
        <v>36.99956017</v>
      </c>
      <c r="C18127" s="8">
        <f t="array" ref="C18127">PRODUCT(1-'Sparkling Model'!D$2:D$38^A18127)</f>
        <v>0.9995602355</v>
      </c>
    </row>
    <row r="18128">
      <c r="A18128" s="6">
        <v>18126.0</v>
      </c>
      <c r="B18128" s="17">
        <f t="array" ref="B18128">SUM(1-'Sparkling Model'!D$2:D$38^A18128)</f>
        <v>36.99956039</v>
      </c>
      <c r="C18128" s="8">
        <f t="array" ref="C18128">PRODUCT(1-'Sparkling Model'!D$2:D$38^A18128)</f>
        <v>0.9995604517</v>
      </c>
    </row>
    <row r="18129">
      <c r="A18129" s="6">
        <v>18127.0</v>
      </c>
      <c r="B18129" s="17">
        <f t="array" ref="B18129">SUM(1-'Sparkling Model'!D$2:D$38^A18129)</f>
        <v>36.9995606</v>
      </c>
      <c r="C18129" s="8">
        <f t="array" ref="C18129">PRODUCT(1-'Sparkling Model'!D$2:D$38^A18129)</f>
        <v>0.9995606678</v>
      </c>
    </row>
    <row r="18130">
      <c r="A18130" s="6">
        <v>18128.0</v>
      </c>
      <c r="B18130" s="17">
        <f t="array" ref="B18130">SUM(1-'Sparkling Model'!D$2:D$38^A18130)</f>
        <v>36.99956082</v>
      </c>
      <c r="C18130" s="8">
        <f t="array" ref="C18130">PRODUCT(1-'Sparkling Model'!D$2:D$38^A18130)</f>
        <v>0.9995608839</v>
      </c>
    </row>
    <row r="18131">
      <c r="A18131" s="6">
        <v>18129.0</v>
      </c>
      <c r="B18131" s="17">
        <f t="array" ref="B18131">SUM(1-'Sparkling Model'!D$2:D$38^A18131)</f>
        <v>36.99956103</v>
      </c>
      <c r="C18131" s="8">
        <f t="array" ref="C18131">PRODUCT(1-'Sparkling Model'!D$2:D$38^A18131)</f>
        <v>0.9995610998</v>
      </c>
    </row>
    <row r="18132">
      <c r="A18132" s="6">
        <v>18130.0</v>
      </c>
      <c r="B18132" s="17">
        <f t="array" ref="B18132">SUM(1-'Sparkling Model'!D$2:D$38^A18132)</f>
        <v>36.99956125</v>
      </c>
      <c r="C18132" s="8">
        <f t="array" ref="C18132">PRODUCT(1-'Sparkling Model'!D$2:D$38^A18132)</f>
        <v>0.9995613156</v>
      </c>
    </row>
    <row r="18133">
      <c r="A18133" s="6">
        <v>18131.0</v>
      </c>
      <c r="B18133" s="17">
        <f t="array" ref="B18133">SUM(1-'Sparkling Model'!D$2:D$38^A18133)</f>
        <v>36.99956147</v>
      </c>
      <c r="C18133" s="8">
        <f t="array" ref="C18133">PRODUCT(1-'Sparkling Model'!D$2:D$38^A18133)</f>
        <v>0.9995615313</v>
      </c>
    </row>
    <row r="18134">
      <c r="A18134" s="6">
        <v>18132.0</v>
      </c>
      <c r="B18134" s="17">
        <f t="array" ref="B18134">SUM(1-'Sparkling Model'!D$2:D$38^A18134)</f>
        <v>36.99956168</v>
      </c>
      <c r="C18134" s="8">
        <f t="array" ref="C18134">PRODUCT(1-'Sparkling Model'!D$2:D$38^A18134)</f>
        <v>0.9995617469</v>
      </c>
    </row>
    <row r="18135">
      <c r="A18135" s="6">
        <v>18133.0</v>
      </c>
      <c r="B18135" s="17">
        <f t="array" ref="B18135">SUM(1-'Sparkling Model'!D$2:D$38^A18135)</f>
        <v>36.9995619</v>
      </c>
      <c r="C18135" s="8">
        <f t="array" ref="C18135">PRODUCT(1-'Sparkling Model'!D$2:D$38^A18135)</f>
        <v>0.9995619624</v>
      </c>
    </row>
    <row r="18136">
      <c r="A18136" s="6">
        <v>18134.0</v>
      </c>
      <c r="B18136" s="17">
        <f t="array" ref="B18136">SUM(1-'Sparkling Model'!D$2:D$38^A18136)</f>
        <v>36.99956211</v>
      </c>
      <c r="C18136" s="8">
        <f t="array" ref="C18136">PRODUCT(1-'Sparkling Model'!D$2:D$38^A18136)</f>
        <v>0.9995621778</v>
      </c>
    </row>
    <row r="18137">
      <c r="A18137" s="6">
        <v>18135.0</v>
      </c>
      <c r="B18137" s="17">
        <f t="array" ref="B18137">SUM(1-'Sparkling Model'!D$2:D$38^A18137)</f>
        <v>36.99956233</v>
      </c>
      <c r="C18137" s="8">
        <f t="array" ref="C18137">PRODUCT(1-'Sparkling Model'!D$2:D$38^A18137)</f>
        <v>0.9995623931</v>
      </c>
    </row>
    <row r="18138">
      <c r="A18138" s="6">
        <v>18136.0</v>
      </c>
      <c r="B18138" s="17">
        <f t="array" ref="B18138">SUM(1-'Sparkling Model'!D$2:D$38^A18138)</f>
        <v>36.99956254</v>
      </c>
      <c r="C18138" s="8">
        <f t="array" ref="C18138">PRODUCT(1-'Sparkling Model'!D$2:D$38^A18138)</f>
        <v>0.9995626082</v>
      </c>
    </row>
    <row r="18139">
      <c r="A18139" s="6">
        <v>18137.0</v>
      </c>
      <c r="B18139" s="17">
        <f t="array" ref="B18139">SUM(1-'Sparkling Model'!D$2:D$38^A18139)</f>
        <v>36.99956276</v>
      </c>
      <c r="C18139" s="8">
        <f t="array" ref="C18139">PRODUCT(1-'Sparkling Model'!D$2:D$38^A18139)</f>
        <v>0.9995628233</v>
      </c>
    </row>
    <row r="18140">
      <c r="A18140" s="6">
        <v>18138.0</v>
      </c>
      <c r="B18140" s="17">
        <f t="array" ref="B18140">SUM(1-'Sparkling Model'!D$2:D$38^A18140)</f>
        <v>36.99956297</v>
      </c>
      <c r="C18140" s="8">
        <f t="array" ref="C18140">PRODUCT(1-'Sparkling Model'!D$2:D$38^A18140)</f>
        <v>0.9995630383</v>
      </c>
    </row>
    <row r="18141">
      <c r="A18141" s="6">
        <v>18139.0</v>
      </c>
      <c r="B18141" s="17">
        <f t="array" ref="B18141">SUM(1-'Sparkling Model'!D$2:D$38^A18141)</f>
        <v>36.99956319</v>
      </c>
      <c r="C18141" s="8">
        <f t="array" ref="C18141">PRODUCT(1-'Sparkling Model'!D$2:D$38^A18141)</f>
        <v>0.9995632531</v>
      </c>
    </row>
    <row r="18142">
      <c r="A18142" s="6">
        <v>18140.0</v>
      </c>
      <c r="B18142" s="17">
        <f t="array" ref="B18142">SUM(1-'Sparkling Model'!D$2:D$38^A18142)</f>
        <v>36.9995634</v>
      </c>
      <c r="C18142" s="8">
        <f t="array" ref="C18142">PRODUCT(1-'Sparkling Model'!D$2:D$38^A18142)</f>
        <v>0.9995634679</v>
      </c>
    </row>
    <row r="18143">
      <c r="A18143" s="6">
        <v>18141.0</v>
      </c>
      <c r="B18143" s="17">
        <f t="array" ref="B18143">SUM(1-'Sparkling Model'!D$2:D$38^A18143)</f>
        <v>36.99956362</v>
      </c>
      <c r="C18143" s="8">
        <f t="array" ref="C18143">PRODUCT(1-'Sparkling Model'!D$2:D$38^A18143)</f>
        <v>0.9995636825</v>
      </c>
    </row>
    <row r="18144">
      <c r="A18144" s="6">
        <v>18142.0</v>
      </c>
      <c r="B18144" s="17">
        <f t="array" ref="B18144">SUM(1-'Sparkling Model'!D$2:D$38^A18144)</f>
        <v>36.99956383</v>
      </c>
      <c r="C18144" s="8">
        <f t="array" ref="C18144">PRODUCT(1-'Sparkling Model'!D$2:D$38^A18144)</f>
        <v>0.9995638971</v>
      </c>
    </row>
    <row r="18145">
      <c r="A18145" s="6">
        <v>18143.0</v>
      </c>
      <c r="B18145" s="17">
        <f t="array" ref="B18145">SUM(1-'Sparkling Model'!D$2:D$38^A18145)</f>
        <v>36.99956405</v>
      </c>
      <c r="C18145" s="8">
        <f t="array" ref="C18145">PRODUCT(1-'Sparkling Model'!D$2:D$38^A18145)</f>
        <v>0.9995641115</v>
      </c>
    </row>
    <row r="18146">
      <c r="A18146" s="6">
        <v>18144.0</v>
      </c>
      <c r="B18146" s="17">
        <f t="array" ref="B18146">SUM(1-'Sparkling Model'!D$2:D$38^A18146)</f>
        <v>36.99956426</v>
      </c>
      <c r="C18146" s="8">
        <f t="array" ref="C18146">PRODUCT(1-'Sparkling Model'!D$2:D$38^A18146)</f>
        <v>0.9995643258</v>
      </c>
    </row>
    <row r="18147">
      <c r="A18147" s="6">
        <v>18145.0</v>
      </c>
      <c r="B18147" s="17">
        <f t="array" ref="B18147">SUM(1-'Sparkling Model'!D$2:D$38^A18147)</f>
        <v>36.99956448</v>
      </c>
      <c r="C18147" s="8">
        <f t="array" ref="C18147">PRODUCT(1-'Sparkling Model'!D$2:D$38^A18147)</f>
        <v>0.9995645401</v>
      </c>
    </row>
    <row r="18148">
      <c r="A18148" s="6">
        <v>18146.0</v>
      </c>
      <c r="B18148" s="17">
        <f t="array" ref="B18148">SUM(1-'Sparkling Model'!D$2:D$38^A18148)</f>
        <v>36.99956469</v>
      </c>
      <c r="C18148" s="8">
        <f t="array" ref="C18148">PRODUCT(1-'Sparkling Model'!D$2:D$38^A18148)</f>
        <v>0.9995647542</v>
      </c>
    </row>
    <row r="18149">
      <c r="A18149" s="6">
        <v>18147.0</v>
      </c>
      <c r="B18149" s="17">
        <f t="array" ref="B18149">SUM(1-'Sparkling Model'!D$2:D$38^A18149)</f>
        <v>36.9995649</v>
      </c>
      <c r="C18149" s="8">
        <f t="array" ref="C18149">PRODUCT(1-'Sparkling Model'!D$2:D$38^A18149)</f>
        <v>0.9995649682</v>
      </c>
    </row>
    <row r="18150">
      <c r="A18150" s="6">
        <v>18148.0</v>
      </c>
      <c r="B18150" s="17">
        <f t="array" ref="B18150">SUM(1-'Sparkling Model'!D$2:D$38^A18150)</f>
        <v>36.99956512</v>
      </c>
      <c r="C18150" s="8">
        <f t="array" ref="C18150">PRODUCT(1-'Sparkling Model'!D$2:D$38^A18150)</f>
        <v>0.9995651821</v>
      </c>
    </row>
    <row r="18151">
      <c r="A18151" s="6">
        <v>18149.0</v>
      </c>
      <c r="B18151" s="17">
        <f t="array" ref="B18151">SUM(1-'Sparkling Model'!D$2:D$38^A18151)</f>
        <v>36.99956533</v>
      </c>
      <c r="C18151" s="8">
        <f t="array" ref="C18151">PRODUCT(1-'Sparkling Model'!D$2:D$38^A18151)</f>
        <v>0.9995653959</v>
      </c>
    </row>
    <row r="18152">
      <c r="A18152" s="6">
        <v>18150.0</v>
      </c>
      <c r="B18152" s="17">
        <f t="array" ref="B18152">SUM(1-'Sparkling Model'!D$2:D$38^A18152)</f>
        <v>36.99956555</v>
      </c>
      <c r="C18152" s="8">
        <f t="array" ref="C18152">PRODUCT(1-'Sparkling Model'!D$2:D$38^A18152)</f>
        <v>0.9995656096</v>
      </c>
    </row>
    <row r="18153">
      <c r="A18153" s="6">
        <v>18151.0</v>
      </c>
      <c r="B18153" s="17">
        <f t="array" ref="B18153">SUM(1-'Sparkling Model'!D$2:D$38^A18153)</f>
        <v>36.99956576</v>
      </c>
      <c r="C18153" s="8">
        <f t="array" ref="C18153">PRODUCT(1-'Sparkling Model'!D$2:D$38^A18153)</f>
        <v>0.9995658232</v>
      </c>
    </row>
    <row r="18154">
      <c r="A18154" s="6">
        <v>18152.0</v>
      </c>
      <c r="B18154" s="17">
        <f t="array" ref="B18154">SUM(1-'Sparkling Model'!D$2:D$38^A18154)</f>
        <v>36.99956597</v>
      </c>
      <c r="C18154" s="8">
        <f t="array" ref="C18154">PRODUCT(1-'Sparkling Model'!D$2:D$38^A18154)</f>
        <v>0.9995660367</v>
      </c>
    </row>
    <row r="18155">
      <c r="A18155" s="6">
        <v>18153.0</v>
      </c>
      <c r="B18155" s="17">
        <f t="array" ref="B18155">SUM(1-'Sparkling Model'!D$2:D$38^A18155)</f>
        <v>36.99956619</v>
      </c>
      <c r="C18155" s="8">
        <f t="array" ref="C18155">PRODUCT(1-'Sparkling Model'!D$2:D$38^A18155)</f>
        <v>0.99956625</v>
      </c>
    </row>
    <row r="18156">
      <c r="A18156" s="6">
        <v>18154.0</v>
      </c>
      <c r="B18156" s="17">
        <f t="array" ref="B18156">SUM(1-'Sparkling Model'!D$2:D$38^A18156)</f>
        <v>36.9995664</v>
      </c>
      <c r="C18156" s="8">
        <f t="array" ref="C18156">PRODUCT(1-'Sparkling Model'!D$2:D$38^A18156)</f>
        <v>0.9995664633</v>
      </c>
    </row>
    <row r="18157">
      <c r="A18157" s="6">
        <v>18155.0</v>
      </c>
      <c r="B18157" s="17">
        <f t="array" ref="B18157">SUM(1-'Sparkling Model'!D$2:D$38^A18157)</f>
        <v>36.99956661</v>
      </c>
      <c r="C18157" s="8">
        <f t="array" ref="C18157">PRODUCT(1-'Sparkling Model'!D$2:D$38^A18157)</f>
        <v>0.9995666765</v>
      </c>
    </row>
    <row r="18158">
      <c r="A18158" s="6">
        <v>18156.0</v>
      </c>
      <c r="B18158" s="17">
        <f t="array" ref="B18158">SUM(1-'Sparkling Model'!D$2:D$38^A18158)</f>
        <v>36.99956683</v>
      </c>
      <c r="C18158" s="8">
        <f t="array" ref="C18158">PRODUCT(1-'Sparkling Model'!D$2:D$38^A18158)</f>
        <v>0.9995668896</v>
      </c>
    </row>
    <row r="18159">
      <c r="A18159" s="6">
        <v>18157.0</v>
      </c>
      <c r="B18159" s="17">
        <f t="array" ref="B18159">SUM(1-'Sparkling Model'!D$2:D$38^A18159)</f>
        <v>36.99956704</v>
      </c>
      <c r="C18159" s="8">
        <f t="array" ref="C18159">PRODUCT(1-'Sparkling Model'!D$2:D$38^A18159)</f>
        <v>0.9995671025</v>
      </c>
    </row>
    <row r="18160">
      <c r="A18160" s="6">
        <v>18158.0</v>
      </c>
      <c r="B18160" s="17">
        <f t="array" ref="B18160">SUM(1-'Sparkling Model'!D$2:D$38^A18160)</f>
        <v>36.99956725</v>
      </c>
      <c r="C18160" s="8">
        <f t="array" ref="C18160">PRODUCT(1-'Sparkling Model'!D$2:D$38^A18160)</f>
        <v>0.9995673154</v>
      </c>
    </row>
    <row r="18161">
      <c r="A18161" s="6">
        <v>18159.0</v>
      </c>
      <c r="B18161" s="17">
        <f t="array" ref="B18161">SUM(1-'Sparkling Model'!D$2:D$38^A18161)</f>
        <v>36.99956746</v>
      </c>
      <c r="C18161" s="8">
        <f t="array" ref="C18161">PRODUCT(1-'Sparkling Model'!D$2:D$38^A18161)</f>
        <v>0.9995675281</v>
      </c>
    </row>
    <row r="18162">
      <c r="A18162" s="6">
        <v>18160.0</v>
      </c>
      <c r="B18162" s="17">
        <f t="array" ref="B18162">SUM(1-'Sparkling Model'!D$2:D$38^A18162)</f>
        <v>36.99956768</v>
      </c>
      <c r="C18162" s="8">
        <f t="array" ref="C18162">PRODUCT(1-'Sparkling Model'!D$2:D$38^A18162)</f>
        <v>0.9995677408</v>
      </c>
    </row>
    <row r="18163">
      <c r="A18163" s="6">
        <v>18161.0</v>
      </c>
      <c r="B18163" s="17">
        <f t="array" ref="B18163">SUM(1-'Sparkling Model'!D$2:D$38^A18163)</f>
        <v>36.99956789</v>
      </c>
      <c r="C18163" s="8">
        <f t="array" ref="C18163">PRODUCT(1-'Sparkling Model'!D$2:D$38^A18163)</f>
        <v>0.9995679533</v>
      </c>
    </row>
    <row r="18164">
      <c r="A18164" s="6">
        <v>18162.0</v>
      </c>
      <c r="B18164" s="17">
        <f t="array" ref="B18164">SUM(1-'Sparkling Model'!D$2:D$38^A18164)</f>
        <v>36.9995681</v>
      </c>
      <c r="C18164" s="8">
        <f t="array" ref="C18164">PRODUCT(1-'Sparkling Model'!D$2:D$38^A18164)</f>
        <v>0.9995681657</v>
      </c>
    </row>
    <row r="18165">
      <c r="A18165" s="6">
        <v>18163.0</v>
      </c>
      <c r="B18165" s="17">
        <f t="array" ref="B18165">SUM(1-'Sparkling Model'!D$2:D$38^A18165)</f>
        <v>36.99956831</v>
      </c>
      <c r="C18165" s="8">
        <f t="array" ref="C18165">PRODUCT(1-'Sparkling Model'!D$2:D$38^A18165)</f>
        <v>0.9995683781</v>
      </c>
    </row>
    <row r="18166">
      <c r="A18166" s="6">
        <v>18164.0</v>
      </c>
      <c r="B18166" s="17">
        <f t="array" ref="B18166">SUM(1-'Sparkling Model'!D$2:D$38^A18166)</f>
        <v>36.99956853</v>
      </c>
      <c r="C18166" s="8">
        <f t="array" ref="C18166">PRODUCT(1-'Sparkling Model'!D$2:D$38^A18166)</f>
        <v>0.9995685903</v>
      </c>
    </row>
    <row r="18167">
      <c r="A18167" s="6">
        <v>18165.0</v>
      </c>
      <c r="B18167" s="17">
        <f t="array" ref="B18167">SUM(1-'Sparkling Model'!D$2:D$38^A18167)</f>
        <v>36.99956874</v>
      </c>
      <c r="C18167" s="8">
        <f t="array" ref="C18167">PRODUCT(1-'Sparkling Model'!D$2:D$38^A18167)</f>
        <v>0.9995688024</v>
      </c>
    </row>
    <row r="18168">
      <c r="A18168" s="6">
        <v>18166.0</v>
      </c>
      <c r="B18168" s="17">
        <f t="array" ref="B18168">SUM(1-'Sparkling Model'!D$2:D$38^A18168)</f>
        <v>36.99956895</v>
      </c>
      <c r="C18168" s="8">
        <f t="array" ref="C18168">PRODUCT(1-'Sparkling Model'!D$2:D$38^A18168)</f>
        <v>0.9995690144</v>
      </c>
    </row>
    <row r="18169">
      <c r="A18169" s="6">
        <v>18167.0</v>
      </c>
      <c r="B18169" s="17">
        <f t="array" ref="B18169">SUM(1-'Sparkling Model'!D$2:D$38^A18169)</f>
        <v>36.99956916</v>
      </c>
      <c r="C18169" s="8">
        <f t="array" ref="C18169">PRODUCT(1-'Sparkling Model'!D$2:D$38^A18169)</f>
        <v>0.9995692264</v>
      </c>
    </row>
    <row r="18170">
      <c r="A18170" s="6">
        <v>18168.0</v>
      </c>
      <c r="B18170" s="17">
        <f t="array" ref="B18170">SUM(1-'Sparkling Model'!D$2:D$38^A18170)</f>
        <v>36.99956937</v>
      </c>
      <c r="C18170" s="8">
        <f t="array" ref="C18170">PRODUCT(1-'Sparkling Model'!D$2:D$38^A18170)</f>
        <v>0.9995694382</v>
      </c>
    </row>
    <row r="18171">
      <c r="A18171" s="6">
        <v>18169.0</v>
      </c>
      <c r="B18171" s="17">
        <f t="array" ref="B18171">SUM(1-'Sparkling Model'!D$2:D$38^A18171)</f>
        <v>36.99956959</v>
      </c>
      <c r="C18171" s="8">
        <f t="array" ref="C18171">PRODUCT(1-'Sparkling Model'!D$2:D$38^A18171)</f>
        <v>0.9995696499</v>
      </c>
    </row>
    <row r="18172">
      <c r="A18172" s="6">
        <v>18170.0</v>
      </c>
      <c r="B18172" s="17">
        <f t="array" ref="B18172">SUM(1-'Sparkling Model'!D$2:D$38^A18172)</f>
        <v>36.9995698</v>
      </c>
      <c r="C18172" s="8">
        <f t="array" ref="C18172">PRODUCT(1-'Sparkling Model'!D$2:D$38^A18172)</f>
        <v>0.9995698615</v>
      </c>
    </row>
    <row r="18173">
      <c r="A18173" s="6">
        <v>18171.0</v>
      </c>
      <c r="B18173" s="17">
        <f t="array" ref="B18173">SUM(1-'Sparkling Model'!D$2:D$38^A18173)</f>
        <v>36.99957001</v>
      </c>
      <c r="C18173" s="8">
        <f t="array" ref="C18173">PRODUCT(1-'Sparkling Model'!D$2:D$38^A18173)</f>
        <v>0.999570073</v>
      </c>
    </row>
    <row r="18174">
      <c r="A18174" s="6">
        <v>18172.0</v>
      </c>
      <c r="B18174" s="17">
        <f t="array" ref="B18174">SUM(1-'Sparkling Model'!D$2:D$38^A18174)</f>
        <v>36.99957022</v>
      </c>
      <c r="C18174" s="8">
        <f t="array" ref="C18174">PRODUCT(1-'Sparkling Model'!D$2:D$38^A18174)</f>
        <v>0.9995702844</v>
      </c>
    </row>
    <row r="18175">
      <c r="A18175" s="6">
        <v>18173.0</v>
      </c>
      <c r="B18175" s="17">
        <f t="array" ref="B18175">SUM(1-'Sparkling Model'!D$2:D$38^A18175)</f>
        <v>36.99957043</v>
      </c>
      <c r="C18175" s="8">
        <f t="array" ref="C18175">PRODUCT(1-'Sparkling Model'!D$2:D$38^A18175)</f>
        <v>0.9995704956</v>
      </c>
    </row>
    <row r="18176">
      <c r="A18176" s="6">
        <v>18174.0</v>
      </c>
      <c r="B18176" s="17">
        <f t="array" ref="B18176">SUM(1-'Sparkling Model'!D$2:D$38^A18176)</f>
        <v>36.99957064</v>
      </c>
      <c r="C18176" s="8">
        <f t="array" ref="C18176">PRODUCT(1-'Sparkling Model'!D$2:D$38^A18176)</f>
        <v>0.9995707068</v>
      </c>
    </row>
    <row r="18177">
      <c r="A18177" s="6">
        <v>18175.0</v>
      </c>
      <c r="B18177" s="17">
        <f t="array" ref="B18177">SUM(1-'Sparkling Model'!D$2:D$38^A18177)</f>
        <v>36.99957086</v>
      </c>
      <c r="C18177" s="8">
        <f t="array" ref="C18177">PRODUCT(1-'Sparkling Model'!D$2:D$38^A18177)</f>
        <v>0.9995709179</v>
      </c>
    </row>
    <row r="18178">
      <c r="A18178" s="6">
        <v>18176.0</v>
      </c>
      <c r="B18178" s="17">
        <f t="array" ref="B18178">SUM(1-'Sparkling Model'!D$2:D$38^A18178)</f>
        <v>36.99957107</v>
      </c>
      <c r="C18178" s="8">
        <f t="array" ref="C18178">PRODUCT(1-'Sparkling Model'!D$2:D$38^A18178)</f>
        <v>0.9995711289</v>
      </c>
    </row>
    <row r="18179">
      <c r="A18179" s="6">
        <v>18177.0</v>
      </c>
      <c r="B18179" s="17">
        <f t="array" ref="B18179">SUM(1-'Sparkling Model'!D$2:D$38^A18179)</f>
        <v>36.99957128</v>
      </c>
      <c r="C18179" s="8">
        <f t="array" ref="C18179">PRODUCT(1-'Sparkling Model'!D$2:D$38^A18179)</f>
        <v>0.9995713398</v>
      </c>
    </row>
    <row r="18180">
      <c r="A18180" s="6">
        <v>18178.0</v>
      </c>
      <c r="B18180" s="17">
        <f t="array" ref="B18180">SUM(1-'Sparkling Model'!D$2:D$38^A18180)</f>
        <v>36.99957149</v>
      </c>
      <c r="C18180" s="8">
        <f t="array" ref="C18180">PRODUCT(1-'Sparkling Model'!D$2:D$38^A18180)</f>
        <v>0.9995715505</v>
      </c>
    </row>
    <row r="18181">
      <c r="A18181" s="6">
        <v>18179.0</v>
      </c>
      <c r="B18181" s="17">
        <f t="array" ref="B18181">SUM(1-'Sparkling Model'!D$2:D$38^A18181)</f>
        <v>36.9995717</v>
      </c>
      <c r="C18181" s="8">
        <f t="array" ref="C18181">PRODUCT(1-'Sparkling Model'!D$2:D$38^A18181)</f>
        <v>0.9995717612</v>
      </c>
    </row>
    <row r="18182">
      <c r="A18182" s="6">
        <v>18180.0</v>
      </c>
      <c r="B18182" s="17">
        <f t="array" ref="B18182">SUM(1-'Sparkling Model'!D$2:D$38^A18182)</f>
        <v>36.99957191</v>
      </c>
      <c r="C18182" s="8">
        <f t="array" ref="C18182">PRODUCT(1-'Sparkling Model'!D$2:D$38^A18182)</f>
        <v>0.9995719718</v>
      </c>
    </row>
    <row r="18183">
      <c r="A18183" s="6">
        <v>18181.0</v>
      </c>
      <c r="B18183" s="17">
        <f t="array" ref="B18183">SUM(1-'Sparkling Model'!D$2:D$38^A18183)</f>
        <v>36.99957212</v>
      </c>
      <c r="C18183" s="8">
        <f t="array" ref="C18183">PRODUCT(1-'Sparkling Model'!D$2:D$38^A18183)</f>
        <v>0.9995721822</v>
      </c>
    </row>
    <row r="18184">
      <c r="A18184" s="6">
        <v>18182.0</v>
      </c>
      <c r="B18184" s="17">
        <f t="array" ref="B18184">SUM(1-'Sparkling Model'!D$2:D$38^A18184)</f>
        <v>36.99957233</v>
      </c>
      <c r="C18184" s="8">
        <f t="array" ref="C18184">PRODUCT(1-'Sparkling Model'!D$2:D$38^A18184)</f>
        <v>0.9995723926</v>
      </c>
    </row>
    <row r="18185">
      <c r="A18185" s="6">
        <v>18183.0</v>
      </c>
      <c r="B18185" s="17">
        <f t="array" ref="B18185">SUM(1-'Sparkling Model'!D$2:D$38^A18185)</f>
        <v>36.99957254</v>
      </c>
      <c r="C18185" s="8">
        <f t="array" ref="C18185">PRODUCT(1-'Sparkling Model'!D$2:D$38^A18185)</f>
        <v>0.9995726028</v>
      </c>
    </row>
    <row r="18186">
      <c r="A18186" s="6">
        <v>18184.0</v>
      </c>
      <c r="B18186" s="17">
        <f t="array" ref="B18186">SUM(1-'Sparkling Model'!D$2:D$38^A18186)</f>
        <v>36.99957275</v>
      </c>
      <c r="C18186" s="8">
        <f t="array" ref="C18186">PRODUCT(1-'Sparkling Model'!D$2:D$38^A18186)</f>
        <v>0.999572813</v>
      </c>
    </row>
    <row r="18187">
      <c r="A18187" s="6">
        <v>18185.0</v>
      </c>
      <c r="B18187" s="17">
        <f t="array" ref="B18187">SUM(1-'Sparkling Model'!D$2:D$38^A18187)</f>
        <v>36.99957296</v>
      </c>
      <c r="C18187" s="8">
        <f t="array" ref="C18187">PRODUCT(1-'Sparkling Model'!D$2:D$38^A18187)</f>
        <v>0.999573023</v>
      </c>
    </row>
    <row r="18188">
      <c r="A18188" s="6">
        <v>18186.0</v>
      </c>
      <c r="B18188" s="17">
        <f t="array" ref="B18188">SUM(1-'Sparkling Model'!D$2:D$38^A18188)</f>
        <v>36.99957317</v>
      </c>
      <c r="C18188" s="8">
        <f t="array" ref="C18188">PRODUCT(1-'Sparkling Model'!D$2:D$38^A18188)</f>
        <v>0.9995732329</v>
      </c>
    </row>
    <row r="18189">
      <c r="A18189" s="6">
        <v>18187.0</v>
      </c>
      <c r="B18189" s="17">
        <f t="array" ref="B18189">SUM(1-'Sparkling Model'!D$2:D$38^A18189)</f>
        <v>36.99957338</v>
      </c>
      <c r="C18189" s="8">
        <f t="array" ref="C18189">PRODUCT(1-'Sparkling Model'!D$2:D$38^A18189)</f>
        <v>0.9995734428</v>
      </c>
    </row>
    <row r="18190">
      <c r="A18190" s="6">
        <v>18188.0</v>
      </c>
      <c r="B18190" s="17">
        <f t="array" ref="B18190">SUM(1-'Sparkling Model'!D$2:D$38^A18190)</f>
        <v>36.99957359</v>
      </c>
      <c r="C18190" s="8">
        <f t="array" ref="C18190">PRODUCT(1-'Sparkling Model'!D$2:D$38^A18190)</f>
        <v>0.9995736525</v>
      </c>
    </row>
    <row r="18191">
      <c r="A18191" s="6">
        <v>18189.0</v>
      </c>
      <c r="B18191" s="17">
        <f t="array" ref="B18191">SUM(1-'Sparkling Model'!D$2:D$38^A18191)</f>
        <v>36.9995738</v>
      </c>
      <c r="C18191" s="8">
        <f t="array" ref="C18191">PRODUCT(1-'Sparkling Model'!D$2:D$38^A18191)</f>
        <v>0.9995738621</v>
      </c>
    </row>
    <row r="18192">
      <c r="A18192" s="6">
        <v>18190.0</v>
      </c>
      <c r="B18192" s="17">
        <f t="array" ref="B18192">SUM(1-'Sparkling Model'!D$2:D$38^A18192)</f>
        <v>36.99957401</v>
      </c>
      <c r="C18192" s="8">
        <f t="array" ref="C18192">PRODUCT(1-'Sparkling Model'!D$2:D$38^A18192)</f>
        <v>0.9995740717</v>
      </c>
    </row>
    <row r="18193">
      <c r="A18193" s="6">
        <v>18191.0</v>
      </c>
      <c r="B18193" s="17">
        <f t="array" ref="B18193">SUM(1-'Sparkling Model'!D$2:D$38^A18193)</f>
        <v>36.99957422</v>
      </c>
      <c r="C18193" s="8">
        <f t="array" ref="C18193">PRODUCT(1-'Sparkling Model'!D$2:D$38^A18193)</f>
        <v>0.9995742811</v>
      </c>
    </row>
    <row r="18194">
      <c r="A18194" s="6">
        <v>18192.0</v>
      </c>
      <c r="B18194" s="17">
        <f t="array" ref="B18194">SUM(1-'Sparkling Model'!D$2:D$38^A18194)</f>
        <v>36.99957443</v>
      </c>
      <c r="C18194" s="8">
        <f t="array" ref="C18194">PRODUCT(1-'Sparkling Model'!D$2:D$38^A18194)</f>
        <v>0.9995744904</v>
      </c>
    </row>
    <row r="18195">
      <c r="A18195" s="6">
        <v>18193.0</v>
      </c>
      <c r="B18195" s="17">
        <f t="array" ref="B18195">SUM(1-'Sparkling Model'!D$2:D$38^A18195)</f>
        <v>36.99957464</v>
      </c>
      <c r="C18195" s="8">
        <f t="array" ref="C18195">PRODUCT(1-'Sparkling Model'!D$2:D$38^A18195)</f>
        <v>0.9995746996</v>
      </c>
    </row>
    <row r="18196">
      <c r="A18196" s="6">
        <v>18194.0</v>
      </c>
      <c r="B18196" s="17">
        <f t="array" ref="B18196">SUM(1-'Sparkling Model'!D$2:D$38^A18196)</f>
        <v>36.99957485</v>
      </c>
      <c r="C18196" s="8">
        <f t="array" ref="C18196">PRODUCT(1-'Sparkling Model'!D$2:D$38^A18196)</f>
        <v>0.9995749087</v>
      </c>
    </row>
    <row r="18197">
      <c r="A18197" s="6">
        <v>18195.0</v>
      </c>
      <c r="B18197" s="17">
        <f t="array" ref="B18197">SUM(1-'Sparkling Model'!D$2:D$38^A18197)</f>
        <v>36.99957506</v>
      </c>
      <c r="C18197" s="8">
        <f t="array" ref="C18197">PRODUCT(1-'Sparkling Model'!D$2:D$38^A18197)</f>
        <v>0.9995751177</v>
      </c>
    </row>
    <row r="18198">
      <c r="A18198" s="6">
        <v>18196.0</v>
      </c>
      <c r="B18198" s="17">
        <f t="array" ref="B18198">SUM(1-'Sparkling Model'!D$2:D$38^A18198)</f>
        <v>36.99957527</v>
      </c>
      <c r="C18198" s="8">
        <f t="array" ref="C18198">PRODUCT(1-'Sparkling Model'!D$2:D$38^A18198)</f>
        <v>0.9995753266</v>
      </c>
    </row>
    <row r="18199">
      <c r="A18199" s="6">
        <v>18197.0</v>
      </c>
      <c r="B18199" s="17">
        <f t="array" ref="B18199">SUM(1-'Sparkling Model'!D$2:D$38^A18199)</f>
        <v>36.99957547</v>
      </c>
      <c r="C18199" s="8">
        <f t="array" ref="C18199">PRODUCT(1-'Sparkling Model'!D$2:D$38^A18199)</f>
        <v>0.9995755355</v>
      </c>
    </row>
    <row r="18200">
      <c r="A18200" s="6">
        <v>18198.0</v>
      </c>
      <c r="B18200" s="17">
        <f t="array" ref="B18200">SUM(1-'Sparkling Model'!D$2:D$38^A18200)</f>
        <v>36.99957568</v>
      </c>
      <c r="C18200" s="8">
        <f t="array" ref="C18200">PRODUCT(1-'Sparkling Model'!D$2:D$38^A18200)</f>
        <v>0.9995757442</v>
      </c>
    </row>
    <row r="18201">
      <c r="A18201" s="6">
        <v>18199.0</v>
      </c>
      <c r="B18201" s="17">
        <f t="array" ref="B18201">SUM(1-'Sparkling Model'!D$2:D$38^A18201)</f>
        <v>36.99957589</v>
      </c>
      <c r="C18201" s="8">
        <f t="array" ref="C18201">PRODUCT(1-'Sparkling Model'!D$2:D$38^A18201)</f>
        <v>0.9995759528</v>
      </c>
    </row>
    <row r="18202">
      <c r="A18202" s="6">
        <v>18200.0</v>
      </c>
      <c r="B18202" s="17">
        <f t="array" ref="B18202">SUM(1-'Sparkling Model'!D$2:D$38^A18202)</f>
        <v>36.9995761</v>
      </c>
      <c r="C18202" s="8">
        <f t="array" ref="C18202">PRODUCT(1-'Sparkling Model'!D$2:D$38^A18202)</f>
        <v>0.9995761612</v>
      </c>
    </row>
    <row r="18203">
      <c r="A18203" s="6">
        <v>18201.0</v>
      </c>
      <c r="B18203" s="17">
        <f t="array" ref="B18203">SUM(1-'Sparkling Model'!D$2:D$38^A18203)</f>
        <v>36.99957631</v>
      </c>
      <c r="C18203" s="8">
        <f t="array" ref="C18203">PRODUCT(1-'Sparkling Model'!D$2:D$38^A18203)</f>
        <v>0.9995763696</v>
      </c>
    </row>
    <row r="18204">
      <c r="A18204" s="6">
        <v>18202.0</v>
      </c>
      <c r="B18204" s="17">
        <f t="array" ref="B18204">SUM(1-'Sparkling Model'!D$2:D$38^A18204)</f>
        <v>36.99957652</v>
      </c>
      <c r="C18204" s="8">
        <f t="array" ref="C18204">PRODUCT(1-'Sparkling Model'!D$2:D$38^A18204)</f>
        <v>0.9995765779</v>
      </c>
    </row>
    <row r="18205">
      <c r="A18205" s="6">
        <v>18203.0</v>
      </c>
      <c r="B18205" s="17">
        <f t="array" ref="B18205">SUM(1-'Sparkling Model'!D$2:D$38^A18205)</f>
        <v>36.99957673</v>
      </c>
      <c r="C18205" s="8">
        <f t="array" ref="C18205">PRODUCT(1-'Sparkling Model'!D$2:D$38^A18205)</f>
        <v>0.9995767861</v>
      </c>
    </row>
    <row r="18206">
      <c r="A18206" s="6">
        <v>18204.0</v>
      </c>
      <c r="B18206" s="17">
        <f t="array" ref="B18206">SUM(1-'Sparkling Model'!D$2:D$38^A18206)</f>
        <v>36.99957693</v>
      </c>
      <c r="C18206" s="8">
        <f t="array" ref="C18206">PRODUCT(1-'Sparkling Model'!D$2:D$38^A18206)</f>
        <v>0.9995769942</v>
      </c>
    </row>
    <row r="18207">
      <c r="A18207" s="6">
        <v>18205.0</v>
      </c>
      <c r="B18207" s="17">
        <f t="array" ref="B18207">SUM(1-'Sparkling Model'!D$2:D$38^A18207)</f>
        <v>36.99957714</v>
      </c>
      <c r="C18207" s="8">
        <f t="array" ref="C18207">PRODUCT(1-'Sparkling Model'!D$2:D$38^A18207)</f>
        <v>0.9995772022</v>
      </c>
    </row>
    <row r="18208">
      <c r="A18208" s="6">
        <v>18206.0</v>
      </c>
      <c r="B18208" s="17">
        <f t="array" ref="B18208">SUM(1-'Sparkling Model'!D$2:D$38^A18208)</f>
        <v>36.99957735</v>
      </c>
      <c r="C18208" s="8">
        <f t="array" ref="C18208">PRODUCT(1-'Sparkling Model'!D$2:D$38^A18208)</f>
        <v>0.9995774101</v>
      </c>
    </row>
    <row r="18209">
      <c r="A18209" s="6">
        <v>18207.0</v>
      </c>
      <c r="B18209" s="17">
        <f t="array" ref="B18209">SUM(1-'Sparkling Model'!D$2:D$38^A18209)</f>
        <v>36.99957756</v>
      </c>
      <c r="C18209" s="8">
        <f t="array" ref="C18209">PRODUCT(1-'Sparkling Model'!D$2:D$38^A18209)</f>
        <v>0.9995776178</v>
      </c>
    </row>
    <row r="18210">
      <c r="A18210" s="6">
        <v>18208.0</v>
      </c>
      <c r="B18210" s="17">
        <f t="array" ref="B18210">SUM(1-'Sparkling Model'!D$2:D$38^A18210)</f>
        <v>36.99957776</v>
      </c>
      <c r="C18210" s="8">
        <f t="array" ref="C18210">PRODUCT(1-'Sparkling Model'!D$2:D$38^A18210)</f>
        <v>0.9995778255</v>
      </c>
    </row>
    <row r="18211">
      <c r="A18211" s="6">
        <v>18209.0</v>
      </c>
      <c r="B18211" s="17">
        <f t="array" ref="B18211">SUM(1-'Sparkling Model'!D$2:D$38^A18211)</f>
        <v>36.99957797</v>
      </c>
      <c r="C18211" s="8">
        <f t="array" ref="C18211">PRODUCT(1-'Sparkling Model'!D$2:D$38^A18211)</f>
        <v>0.9995780331</v>
      </c>
    </row>
    <row r="18212">
      <c r="A18212" s="6">
        <v>18210.0</v>
      </c>
      <c r="B18212" s="17">
        <f t="array" ref="B18212">SUM(1-'Sparkling Model'!D$2:D$38^A18212)</f>
        <v>36.99957818</v>
      </c>
      <c r="C18212" s="8">
        <f t="array" ref="C18212">PRODUCT(1-'Sparkling Model'!D$2:D$38^A18212)</f>
        <v>0.9995782406</v>
      </c>
    </row>
    <row r="18213">
      <c r="A18213" s="6">
        <v>18211.0</v>
      </c>
      <c r="B18213" s="17">
        <f t="array" ref="B18213">SUM(1-'Sparkling Model'!D$2:D$38^A18213)</f>
        <v>36.99957839</v>
      </c>
      <c r="C18213" s="8">
        <f t="array" ref="C18213">PRODUCT(1-'Sparkling Model'!D$2:D$38^A18213)</f>
        <v>0.9995784479</v>
      </c>
    </row>
    <row r="18214">
      <c r="A18214" s="6">
        <v>18212.0</v>
      </c>
      <c r="B18214" s="17">
        <f t="array" ref="B18214">SUM(1-'Sparkling Model'!D$2:D$38^A18214)</f>
        <v>36.99957859</v>
      </c>
      <c r="C18214" s="8">
        <f t="array" ref="C18214">PRODUCT(1-'Sparkling Model'!D$2:D$38^A18214)</f>
        <v>0.9995786552</v>
      </c>
    </row>
    <row r="18215">
      <c r="A18215" s="6">
        <v>18213.0</v>
      </c>
      <c r="B18215" s="17">
        <f t="array" ref="B18215">SUM(1-'Sparkling Model'!D$2:D$38^A18215)</f>
        <v>36.9995788</v>
      </c>
      <c r="C18215" s="8">
        <f t="array" ref="C18215">PRODUCT(1-'Sparkling Model'!D$2:D$38^A18215)</f>
        <v>0.9995788624</v>
      </c>
    </row>
    <row r="18216">
      <c r="A18216" s="6">
        <v>18214.0</v>
      </c>
      <c r="B18216" s="17">
        <f t="array" ref="B18216">SUM(1-'Sparkling Model'!D$2:D$38^A18216)</f>
        <v>36.99957901</v>
      </c>
      <c r="C18216" s="8">
        <f t="array" ref="C18216">PRODUCT(1-'Sparkling Model'!D$2:D$38^A18216)</f>
        <v>0.9995790694</v>
      </c>
    </row>
    <row r="18217">
      <c r="A18217" s="6">
        <v>18215.0</v>
      </c>
      <c r="B18217" s="17">
        <f t="array" ref="B18217">SUM(1-'Sparkling Model'!D$2:D$38^A18217)</f>
        <v>36.99957922</v>
      </c>
      <c r="C18217" s="8">
        <f t="array" ref="C18217">PRODUCT(1-'Sparkling Model'!D$2:D$38^A18217)</f>
        <v>0.9995792764</v>
      </c>
    </row>
    <row r="18218">
      <c r="A18218" s="6">
        <v>18216.0</v>
      </c>
      <c r="B18218" s="17">
        <f t="array" ref="B18218">SUM(1-'Sparkling Model'!D$2:D$38^A18218)</f>
        <v>36.99957942</v>
      </c>
      <c r="C18218" s="8">
        <f t="array" ref="C18218">PRODUCT(1-'Sparkling Model'!D$2:D$38^A18218)</f>
        <v>0.9995794832</v>
      </c>
    </row>
    <row r="18219">
      <c r="A18219" s="6">
        <v>18217.0</v>
      </c>
      <c r="B18219" s="17">
        <f t="array" ref="B18219">SUM(1-'Sparkling Model'!D$2:D$38^A18219)</f>
        <v>36.99957963</v>
      </c>
      <c r="C18219" s="8">
        <f t="array" ref="C18219">PRODUCT(1-'Sparkling Model'!D$2:D$38^A18219)</f>
        <v>0.99957969</v>
      </c>
    </row>
    <row r="18220">
      <c r="A18220" s="6">
        <v>18218.0</v>
      </c>
      <c r="B18220" s="17">
        <f t="array" ref="B18220">SUM(1-'Sparkling Model'!D$2:D$38^A18220)</f>
        <v>36.99957984</v>
      </c>
      <c r="C18220" s="8">
        <f t="array" ref="C18220">PRODUCT(1-'Sparkling Model'!D$2:D$38^A18220)</f>
        <v>0.9995798967</v>
      </c>
    </row>
    <row r="18221">
      <c r="A18221" s="6">
        <v>18219.0</v>
      </c>
      <c r="B18221" s="17">
        <f t="array" ref="B18221">SUM(1-'Sparkling Model'!D$2:D$38^A18221)</f>
        <v>36.99958004</v>
      </c>
      <c r="C18221" s="8">
        <f t="array" ref="C18221">PRODUCT(1-'Sparkling Model'!D$2:D$38^A18221)</f>
        <v>0.9995801032</v>
      </c>
    </row>
    <row r="18222">
      <c r="A18222" s="6">
        <v>18220.0</v>
      </c>
      <c r="B18222" s="17">
        <f t="array" ref="B18222">SUM(1-'Sparkling Model'!D$2:D$38^A18222)</f>
        <v>36.99958025</v>
      </c>
      <c r="C18222" s="8">
        <f t="array" ref="C18222">PRODUCT(1-'Sparkling Model'!D$2:D$38^A18222)</f>
        <v>0.9995803097</v>
      </c>
    </row>
    <row r="18223">
      <c r="A18223" s="6">
        <v>18221.0</v>
      </c>
      <c r="B18223" s="17">
        <f t="array" ref="B18223">SUM(1-'Sparkling Model'!D$2:D$38^A18223)</f>
        <v>36.99958046</v>
      </c>
      <c r="C18223" s="8">
        <f t="array" ref="C18223">PRODUCT(1-'Sparkling Model'!D$2:D$38^A18223)</f>
        <v>0.999580516</v>
      </c>
    </row>
    <row r="18224">
      <c r="A18224" s="6">
        <v>18222.0</v>
      </c>
      <c r="B18224" s="17">
        <f t="array" ref="B18224">SUM(1-'Sparkling Model'!D$2:D$38^A18224)</f>
        <v>36.99958066</v>
      </c>
      <c r="C18224" s="8">
        <f t="array" ref="C18224">PRODUCT(1-'Sparkling Model'!D$2:D$38^A18224)</f>
        <v>0.9995807223</v>
      </c>
    </row>
    <row r="18225">
      <c r="A18225" s="6">
        <v>18223.0</v>
      </c>
      <c r="B18225" s="17">
        <f t="array" ref="B18225">SUM(1-'Sparkling Model'!D$2:D$38^A18225)</f>
        <v>36.99958087</v>
      </c>
      <c r="C18225" s="8">
        <f t="array" ref="C18225">PRODUCT(1-'Sparkling Model'!D$2:D$38^A18225)</f>
        <v>0.9995809284</v>
      </c>
    </row>
    <row r="18226">
      <c r="A18226" s="6">
        <v>18224.0</v>
      </c>
      <c r="B18226" s="17">
        <f t="array" ref="B18226">SUM(1-'Sparkling Model'!D$2:D$38^A18226)</f>
        <v>36.99958107</v>
      </c>
      <c r="C18226" s="8">
        <f t="array" ref="C18226">PRODUCT(1-'Sparkling Model'!D$2:D$38^A18226)</f>
        <v>0.9995811344</v>
      </c>
    </row>
    <row r="18227">
      <c r="A18227" s="6">
        <v>18225.0</v>
      </c>
      <c r="B18227" s="17">
        <f t="array" ref="B18227">SUM(1-'Sparkling Model'!D$2:D$38^A18227)</f>
        <v>36.99958128</v>
      </c>
      <c r="C18227" s="8">
        <f t="array" ref="C18227">PRODUCT(1-'Sparkling Model'!D$2:D$38^A18227)</f>
        <v>0.9995813404</v>
      </c>
    </row>
    <row r="18228">
      <c r="A18228" s="6">
        <v>18226.0</v>
      </c>
      <c r="B18228" s="17">
        <f t="array" ref="B18228">SUM(1-'Sparkling Model'!D$2:D$38^A18228)</f>
        <v>36.99958149</v>
      </c>
      <c r="C18228" s="8">
        <f t="array" ref="C18228">PRODUCT(1-'Sparkling Model'!D$2:D$38^A18228)</f>
        <v>0.9995815462</v>
      </c>
    </row>
    <row r="18229">
      <c r="A18229" s="6">
        <v>18227.0</v>
      </c>
      <c r="B18229" s="17">
        <f t="array" ref="B18229">SUM(1-'Sparkling Model'!D$2:D$38^A18229)</f>
        <v>36.99958169</v>
      </c>
      <c r="C18229" s="8">
        <f t="array" ref="C18229">PRODUCT(1-'Sparkling Model'!D$2:D$38^A18229)</f>
        <v>0.999581752</v>
      </c>
    </row>
    <row r="18230">
      <c r="A18230" s="6">
        <v>18228.0</v>
      </c>
      <c r="B18230" s="17">
        <f t="array" ref="B18230">SUM(1-'Sparkling Model'!D$2:D$38^A18230)</f>
        <v>36.9995819</v>
      </c>
      <c r="C18230" s="8">
        <f t="array" ref="C18230">PRODUCT(1-'Sparkling Model'!D$2:D$38^A18230)</f>
        <v>0.9995819576</v>
      </c>
    </row>
    <row r="18231">
      <c r="A18231" s="6">
        <v>18229.0</v>
      </c>
      <c r="B18231" s="17">
        <f t="array" ref="B18231">SUM(1-'Sparkling Model'!D$2:D$38^A18231)</f>
        <v>36.9995821</v>
      </c>
      <c r="C18231" s="8">
        <f t="array" ref="C18231">PRODUCT(1-'Sparkling Model'!D$2:D$38^A18231)</f>
        <v>0.9995821631</v>
      </c>
    </row>
    <row r="18232">
      <c r="A18232" s="6">
        <v>18230.0</v>
      </c>
      <c r="B18232" s="17">
        <f t="array" ref="B18232">SUM(1-'Sparkling Model'!D$2:D$38^A18232)</f>
        <v>36.99958231</v>
      </c>
      <c r="C18232" s="8">
        <f t="array" ref="C18232">PRODUCT(1-'Sparkling Model'!D$2:D$38^A18232)</f>
        <v>0.9995823686</v>
      </c>
    </row>
    <row r="18233">
      <c r="A18233" s="6">
        <v>18231.0</v>
      </c>
      <c r="B18233" s="17">
        <f t="array" ref="B18233">SUM(1-'Sparkling Model'!D$2:D$38^A18233)</f>
        <v>36.99958251</v>
      </c>
      <c r="C18233" s="8">
        <f t="array" ref="C18233">PRODUCT(1-'Sparkling Model'!D$2:D$38^A18233)</f>
        <v>0.9995825739</v>
      </c>
    </row>
    <row r="18234">
      <c r="A18234" s="6">
        <v>18232.0</v>
      </c>
      <c r="B18234" s="17">
        <f t="array" ref="B18234">SUM(1-'Sparkling Model'!D$2:D$38^A18234)</f>
        <v>36.99958272</v>
      </c>
      <c r="C18234" s="8">
        <f t="array" ref="C18234">PRODUCT(1-'Sparkling Model'!D$2:D$38^A18234)</f>
        <v>0.9995827791</v>
      </c>
    </row>
    <row r="18235">
      <c r="A18235" s="6">
        <v>18233.0</v>
      </c>
      <c r="B18235" s="17">
        <f t="array" ref="B18235">SUM(1-'Sparkling Model'!D$2:D$38^A18235)</f>
        <v>36.99958292</v>
      </c>
      <c r="C18235" s="8">
        <f t="array" ref="C18235">PRODUCT(1-'Sparkling Model'!D$2:D$38^A18235)</f>
        <v>0.9995829843</v>
      </c>
    </row>
    <row r="18236">
      <c r="A18236" s="6">
        <v>18234.0</v>
      </c>
      <c r="B18236" s="17">
        <f t="array" ref="B18236">SUM(1-'Sparkling Model'!D$2:D$38^A18236)</f>
        <v>36.99958313</v>
      </c>
      <c r="C18236" s="8">
        <f t="array" ref="C18236">PRODUCT(1-'Sparkling Model'!D$2:D$38^A18236)</f>
        <v>0.9995831893</v>
      </c>
    </row>
    <row r="18237">
      <c r="A18237" s="6">
        <v>18235.0</v>
      </c>
      <c r="B18237" s="17">
        <f t="array" ref="B18237">SUM(1-'Sparkling Model'!D$2:D$38^A18237)</f>
        <v>36.99958334</v>
      </c>
      <c r="C18237" s="8">
        <f t="array" ref="C18237">PRODUCT(1-'Sparkling Model'!D$2:D$38^A18237)</f>
        <v>0.9995833942</v>
      </c>
    </row>
    <row r="18238">
      <c r="A18238" s="6">
        <v>18236.0</v>
      </c>
      <c r="B18238" s="17">
        <f t="array" ref="B18238">SUM(1-'Sparkling Model'!D$2:D$38^A18238)</f>
        <v>36.99958354</v>
      </c>
      <c r="C18238" s="8">
        <f t="array" ref="C18238">PRODUCT(1-'Sparkling Model'!D$2:D$38^A18238)</f>
        <v>0.9995835991</v>
      </c>
    </row>
    <row r="18239">
      <c r="A18239" s="6">
        <v>18237.0</v>
      </c>
      <c r="B18239" s="17">
        <f t="array" ref="B18239">SUM(1-'Sparkling Model'!D$2:D$38^A18239)</f>
        <v>36.99958374</v>
      </c>
      <c r="C18239" s="8">
        <f t="array" ref="C18239">PRODUCT(1-'Sparkling Model'!D$2:D$38^A18239)</f>
        <v>0.9995838038</v>
      </c>
    </row>
    <row r="18240">
      <c r="A18240" s="6">
        <v>18238.0</v>
      </c>
      <c r="B18240" s="17">
        <f t="array" ref="B18240">SUM(1-'Sparkling Model'!D$2:D$38^A18240)</f>
        <v>36.99958395</v>
      </c>
      <c r="C18240" s="8">
        <f t="array" ref="C18240">PRODUCT(1-'Sparkling Model'!D$2:D$38^A18240)</f>
        <v>0.9995840084</v>
      </c>
    </row>
    <row r="18241">
      <c r="A18241" s="6">
        <v>18239.0</v>
      </c>
      <c r="B18241" s="17">
        <f t="array" ref="B18241">SUM(1-'Sparkling Model'!D$2:D$38^A18241)</f>
        <v>36.99958415</v>
      </c>
      <c r="C18241" s="8">
        <f t="array" ref="C18241">PRODUCT(1-'Sparkling Model'!D$2:D$38^A18241)</f>
        <v>0.999584213</v>
      </c>
    </row>
    <row r="18242">
      <c r="A18242" s="6">
        <v>18240.0</v>
      </c>
      <c r="B18242" s="17">
        <f t="array" ref="B18242">SUM(1-'Sparkling Model'!D$2:D$38^A18242)</f>
        <v>36.99958436</v>
      </c>
      <c r="C18242" s="8">
        <f t="array" ref="C18242">PRODUCT(1-'Sparkling Model'!D$2:D$38^A18242)</f>
        <v>0.9995844174</v>
      </c>
    </row>
    <row r="18243">
      <c r="A18243" s="6">
        <v>18241.0</v>
      </c>
      <c r="B18243" s="17">
        <f t="array" ref="B18243">SUM(1-'Sparkling Model'!D$2:D$38^A18243)</f>
        <v>36.99958456</v>
      </c>
      <c r="C18243" s="8">
        <f t="array" ref="C18243">PRODUCT(1-'Sparkling Model'!D$2:D$38^A18243)</f>
        <v>0.9995846217</v>
      </c>
    </row>
    <row r="18244">
      <c r="A18244" s="6">
        <v>18242.0</v>
      </c>
      <c r="B18244" s="17">
        <f t="array" ref="B18244">SUM(1-'Sparkling Model'!D$2:D$38^A18244)</f>
        <v>36.99958477</v>
      </c>
      <c r="C18244" s="8">
        <f t="array" ref="C18244">PRODUCT(1-'Sparkling Model'!D$2:D$38^A18244)</f>
        <v>0.9995848259</v>
      </c>
    </row>
    <row r="18245">
      <c r="A18245" s="6">
        <v>18243.0</v>
      </c>
      <c r="B18245" s="17">
        <f t="array" ref="B18245">SUM(1-'Sparkling Model'!D$2:D$38^A18245)</f>
        <v>36.99958497</v>
      </c>
      <c r="C18245" s="8">
        <f t="array" ref="C18245">PRODUCT(1-'Sparkling Model'!D$2:D$38^A18245)</f>
        <v>0.9995850301</v>
      </c>
    </row>
    <row r="18246">
      <c r="A18246" s="6">
        <v>18244.0</v>
      </c>
      <c r="B18246" s="17">
        <f t="array" ref="B18246">SUM(1-'Sparkling Model'!D$2:D$38^A18246)</f>
        <v>36.99958518</v>
      </c>
      <c r="C18246" s="8">
        <f t="array" ref="C18246">PRODUCT(1-'Sparkling Model'!D$2:D$38^A18246)</f>
        <v>0.9995852341</v>
      </c>
    </row>
    <row r="18247">
      <c r="A18247" s="6">
        <v>18245.0</v>
      </c>
      <c r="B18247" s="17">
        <f t="array" ref="B18247">SUM(1-'Sparkling Model'!D$2:D$38^A18247)</f>
        <v>36.99958538</v>
      </c>
      <c r="C18247" s="8">
        <f t="array" ref="C18247">PRODUCT(1-'Sparkling Model'!D$2:D$38^A18247)</f>
        <v>0.999585438</v>
      </c>
    </row>
    <row r="18248">
      <c r="A18248" s="6">
        <v>18246.0</v>
      </c>
      <c r="B18248" s="17">
        <f t="array" ref="B18248">SUM(1-'Sparkling Model'!D$2:D$38^A18248)</f>
        <v>36.99958558</v>
      </c>
      <c r="C18248" s="8">
        <f t="array" ref="C18248">PRODUCT(1-'Sparkling Model'!D$2:D$38^A18248)</f>
        <v>0.9995856418</v>
      </c>
    </row>
    <row r="18249">
      <c r="A18249" s="6">
        <v>18247.0</v>
      </c>
      <c r="B18249" s="17">
        <f t="array" ref="B18249">SUM(1-'Sparkling Model'!D$2:D$38^A18249)</f>
        <v>36.99958579</v>
      </c>
      <c r="C18249" s="8">
        <f t="array" ref="C18249">PRODUCT(1-'Sparkling Model'!D$2:D$38^A18249)</f>
        <v>0.9995858456</v>
      </c>
    </row>
    <row r="18250">
      <c r="A18250" s="6">
        <v>18248.0</v>
      </c>
      <c r="B18250" s="17">
        <f t="array" ref="B18250">SUM(1-'Sparkling Model'!D$2:D$38^A18250)</f>
        <v>36.99958599</v>
      </c>
      <c r="C18250" s="8">
        <f t="array" ref="C18250">PRODUCT(1-'Sparkling Model'!D$2:D$38^A18250)</f>
        <v>0.9995860492</v>
      </c>
    </row>
    <row r="18251">
      <c r="A18251" s="6">
        <v>18249.0</v>
      </c>
      <c r="B18251" s="17">
        <f t="array" ref="B18251">SUM(1-'Sparkling Model'!D$2:D$38^A18251)</f>
        <v>36.99958619</v>
      </c>
      <c r="C18251" s="8">
        <f t="array" ref="C18251">PRODUCT(1-'Sparkling Model'!D$2:D$38^A18251)</f>
        <v>0.9995862527</v>
      </c>
    </row>
    <row r="18252">
      <c r="A18252" s="6">
        <v>18250.0</v>
      </c>
      <c r="B18252" s="17">
        <f t="array" ref="B18252">SUM(1-'Sparkling Model'!D$2:D$38^A18252)</f>
        <v>36.9995864</v>
      </c>
      <c r="C18252" s="8">
        <f t="array" ref="C18252">PRODUCT(1-'Sparkling Model'!D$2:D$38^A18252)</f>
        <v>0.9995864561</v>
      </c>
    </row>
    <row r="18253">
      <c r="A18253" s="6">
        <v>18251.0</v>
      </c>
      <c r="B18253" s="17">
        <f t="array" ref="B18253">SUM(1-'Sparkling Model'!D$2:D$38^A18253)</f>
        <v>36.9995866</v>
      </c>
      <c r="C18253" s="8">
        <f t="array" ref="C18253">PRODUCT(1-'Sparkling Model'!D$2:D$38^A18253)</f>
        <v>0.9995866594</v>
      </c>
    </row>
    <row r="18254">
      <c r="A18254" s="6">
        <v>18252.0</v>
      </c>
      <c r="B18254" s="17">
        <f t="array" ref="B18254">SUM(1-'Sparkling Model'!D$2:D$38^A18254)</f>
        <v>36.9995868</v>
      </c>
      <c r="C18254" s="8">
        <f t="array" ref="C18254">PRODUCT(1-'Sparkling Model'!D$2:D$38^A18254)</f>
        <v>0.9995868627</v>
      </c>
    </row>
    <row r="18255">
      <c r="A18255" s="6">
        <v>18253.0</v>
      </c>
      <c r="B18255" s="17">
        <f t="array" ref="B18255">SUM(1-'Sparkling Model'!D$2:D$38^A18255)</f>
        <v>36.99958701</v>
      </c>
      <c r="C18255" s="8">
        <f t="array" ref="C18255">PRODUCT(1-'Sparkling Model'!D$2:D$38^A18255)</f>
        <v>0.9995870658</v>
      </c>
    </row>
    <row r="18256">
      <c r="A18256" s="6">
        <v>18254.0</v>
      </c>
      <c r="B18256" s="17">
        <f t="array" ref="B18256">SUM(1-'Sparkling Model'!D$2:D$38^A18256)</f>
        <v>36.99958721</v>
      </c>
      <c r="C18256" s="8">
        <f t="array" ref="C18256">PRODUCT(1-'Sparkling Model'!D$2:D$38^A18256)</f>
        <v>0.9995872688</v>
      </c>
    </row>
    <row r="18257">
      <c r="A18257" s="6">
        <v>18255.0</v>
      </c>
      <c r="B18257" s="17">
        <f t="array" ref="B18257">SUM(1-'Sparkling Model'!D$2:D$38^A18257)</f>
        <v>36.99958741</v>
      </c>
      <c r="C18257" s="8">
        <f t="array" ref="C18257">PRODUCT(1-'Sparkling Model'!D$2:D$38^A18257)</f>
        <v>0.9995874717</v>
      </c>
    </row>
    <row r="18258">
      <c r="A18258" s="6">
        <v>18256.0</v>
      </c>
      <c r="B18258" s="17">
        <f t="array" ref="B18258">SUM(1-'Sparkling Model'!D$2:D$38^A18258)</f>
        <v>36.99958762</v>
      </c>
      <c r="C18258" s="8">
        <f t="array" ref="C18258">PRODUCT(1-'Sparkling Model'!D$2:D$38^A18258)</f>
        <v>0.9995876745</v>
      </c>
    </row>
    <row r="18259">
      <c r="A18259" s="6">
        <v>18257.0</v>
      </c>
      <c r="B18259" s="17">
        <f t="array" ref="B18259">SUM(1-'Sparkling Model'!D$2:D$38^A18259)</f>
        <v>36.99958782</v>
      </c>
      <c r="C18259" s="8">
        <f t="array" ref="C18259">PRODUCT(1-'Sparkling Model'!D$2:D$38^A18259)</f>
        <v>0.9995878773</v>
      </c>
    </row>
    <row r="18260">
      <c r="A18260" s="6">
        <v>18258.0</v>
      </c>
      <c r="B18260" s="17">
        <f t="array" ref="B18260">SUM(1-'Sparkling Model'!D$2:D$38^A18260)</f>
        <v>36.99958802</v>
      </c>
      <c r="C18260" s="8">
        <f t="array" ref="C18260">PRODUCT(1-'Sparkling Model'!D$2:D$38^A18260)</f>
        <v>0.9995880799</v>
      </c>
    </row>
    <row r="18261">
      <c r="A18261" s="6">
        <v>18259.0</v>
      </c>
      <c r="B18261" s="17">
        <f t="array" ref="B18261">SUM(1-'Sparkling Model'!D$2:D$38^A18261)</f>
        <v>36.99958822</v>
      </c>
      <c r="C18261" s="8">
        <f t="array" ref="C18261">PRODUCT(1-'Sparkling Model'!D$2:D$38^A18261)</f>
        <v>0.9995882824</v>
      </c>
    </row>
    <row r="18262">
      <c r="A18262" s="6">
        <v>18260.0</v>
      </c>
      <c r="B18262" s="17">
        <f t="array" ref="B18262">SUM(1-'Sparkling Model'!D$2:D$38^A18262)</f>
        <v>36.99958843</v>
      </c>
      <c r="C18262" s="8">
        <f t="array" ref="C18262">PRODUCT(1-'Sparkling Model'!D$2:D$38^A18262)</f>
        <v>0.9995884848</v>
      </c>
    </row>
    <row r="18263">
      <c r="A18263" s="6">
        <v>18261.0</v>
      </c>
      <c r="B18263" s="17">
        <f t="array" ref="B18263">SUM(1-'Sparkling Model'!D$2:D$38^A18263)</f>
        <v>36.99958863</v>
      </c>
      <c r="C18263" s="8">
        <f t="array" ref="C18263">PRODUCT(1-'Sparkling Model'!D$2:D$38^A18263)</f>
        <v>0.9995886872</v>
      </c>
    </row>
    <row r="18264">
      <c r="A18264" s="6">
        <v>18262.0</v>
      </c>
      <c r="B18264" s="17">
        <f t="array" ref="B18264">SUM(1-'Sparkling Model'!D$2:D$38^A18264)</f>
        <v>36.99958883</v>
      </c>
      <c r="C18264" s="8">
        <f t="array" ref="C18264">PRODUCT(1-'Sparkling Model'!D$2:D$38^A18264)</f>
        <v>0.9995888894</v>
      </c>
    </row>
    <row r="18265">
      <c r="A18265" s="6">
        <v>18263.0</v>
      </c>
      <c r="B18265" s="17">
        <f t="array" ref="B18265">SUM(1-'Sparkling Model'!D$2:D$38^A18265)</f>
        <v>36.99958903</v>
      </c>
      <c r="C18265" s="8">
        <f t="array" ref="C18265">PRODUCT(1-'Sparkling Model'!D$2:D$38^A18265)</f>
        <v>0.9995890915</v>
      </c>
    </row>
    <row r="18266">
      <c r="A18266" s="6">
        <v>18264.0</v>
      </c>
      <c r="B18266" s="17">
        <f t="array" ref="B18266">SUM(1-'Sparkling Model'!D$2:D$38^A18266)</f>
        <v>36.99958924</v>
      </c>
      <c r="C18266" s="8">
        <f t="array" ref="C18266">PRODUCT(1-'Sparkling Model'!D$2:D$38^A18266)</f>
        <v>0.9995892935</v>
      </c>
    </row>
    <row r="18267">
      <c r="A18267" s="6">
        <v>18265.0</v>
      </c>
      <c r="B18267" s="17">
        <f t="array" ref="B18267">SUM(1-'Sparkling Model'!D$2:D$38^A18267)</f>
        <v>36.99958944</v>
      </c>
      <c r="C18267" s="8">
        <f t="array" ref="C18267">PRODUCT(1-'Sparkling Model'!D$2:D$38^A18267)</f>
        <v>0.9995894954</v>
      </c>
    </row>
    <row r="18268">
      <c r="A18268" s="6">
        <v>18266.0</v>
      </c>
      <c r="B18268" s="17">
        <f t="array" ref="B18268">SUM(1-'Sparkling Model'!D$2:D$38^A18268)</f>
        <v>36.99958964</v>
      </c>
      <c r="C18268" s="8">
        <f t="array" ref="C18268">PRODUCT(1-'Sparkling Model'!D$2:D$38^A18268)</f>
        <v>0.9995896973</v>
      </c>
    </row>
    <row r="18269">
      <c r="A18269" s="6">
        <v>18267.0</v>
      </c>
      <c r="B18269" s="17">
        <f t="array" ref="B18269">SUM(1-'Sparkling Model'!D$2:D$38^A18269)</f>
        <v>36.99958984</v>
      </c>
      <c r="C18269" s="8">
        <f t="array" ref="C18269">PRODUCT(1-'Sparkling Model'!D$2:D$38^A18269)</f>
        <v>0.999589899</v>
      </c>
    </row>
    <row r="18270">
      <c r="A18270" s="6">
        <v>18268.0</v>
      </c>
      <c r="B18270" s="17">
        <f t="array" ref="B18270">SUM(1-'Sparkling Model'!D$2:D$38^A18270)</f>
        <v>36.99959004</v>
      </c>
      <c r="C18270" s="8">
        <f t="array" ref="C18270">PRODUCT(1-'Sparkling Model'!D$2:D$38^A18270)</f>
        <v>0.9995901006</v>
      </c>
    </row>
    <row r="18271">
      <c r="A18271" s="6">
        <v>18269.0</v>
      </c>
      <c r="B18271" s="17">
        <f t="array" ref="B18271">SUM(1-'Sparkling Model'!D$2:D$38^A18271)</f>
        <v>36.99959024</v>
      </c>
      <c r="C18271" s="8">
        <f t="array" ref="C18271">PRODUCT(1-'Sparkling Model'!D$2:D$38^A18271)</f>
        <v>0.9995903021</v>
      </c>
    </row>
    <row r="18272">
      <c r="A18272" s="6">
        <v>18270.0</v>
      </c>
      <c r="B18272" s="17">
        <f t="array" ref="B18272">SUM(1-'Sparkling Model'!D$2:D$38^A18272)</f>
        <v>36.99959045</v>
      </c>
      <c r="C18272" s="8">
        <f t="array" ref="C18272">PRODUCT(1-'Sparkling Model'!D$2:D$38^A18272)</f>
        <v>0.9995905036</v>
      </c>
    </row>
    <row r="18273">
      <c r="A18273" s="6">
        <v>18271.0</v>
      </c>
      <c r="B18273" s="17">
        <f t="array" ref="B18273">SUM(1-'Sparkling Model'!D$2:D$38^A18273)</f>
        <v>36.99959065</v>
      </c>
      <c r="C18273" s="8">
        <f t="array" ref="C18273">PRODUCT(1-'Sparkling Model'!D$2:D$38^A18273)</f>
        <v>0.9995907049</v>
      </c>
    </row>
    <row r="18274">
      <c r="A18274" s="6">
        <v>18272.0</v>
      </c>
      <c r="B18274" s="17">
        <f t="array" ref="B18274">SUM(1-'Sparkling Model'!D$2:D$38^A18274)</f>
        <v>36.99959085</v>
      </c>
      <c r="C18274" s="8">
        <f t="array" ref="C18274">PRODUCT(1-'Sparkling Model'!D$2:D$38^A18274)</f>
        <v>0.9995909061</v>
      </c>
    </row>
    <row r="18275">
      <c r="A18275" s="6">
        <v>18273.0</v>
      </c>
      <c r="B18275" s="17">
        <f t="array" ref="B18275">SUM(1-'Sparkling Model'!D$2:D$38^A18275)</f>
        <v>36.99959105</v>
      </c>
      <c r="C18275" s="8">
        <f t="array" ref="C18275">PRODUCT(1-'Sparkling Model'!D$2:D$38^A18275)</f>
        <v>0.9995911073</v>
      </c>
    </row>
    <row r="18276">
      <c r="A18276" s="6">
        <v>18274.0</v>
      </c>
      <c r="B18276" s="17">
        <f t="array" ref="B18276">SUM(1-'Sparkling Model'!D$2:D$38^A18276)</f>
        <v>36.99959125</v>
      </c>
      <c r="C18276" s="8">
        <f t="array" ref="C18276">PRODUCT(1-'Sparkling Model'!D$2:D$38^A18276)</f>
        <v>0.9995913083</v>
      </c>
    </row>
    <row r="18277">
      <c r="A18277" s="6">
        <v>18275.0</v>
      </c>
      <c r="B18277" s="17">
        <f t="array" ref="B18277">SUM(1-'Sparkling Model'!D$2:D$38^A18277)</f>
        <v>36.99959145</v>
      </c>
      <c r="C18277" s="8">
        <f t="array" ref="C18277">PRODUCT(1-'Sparkling Model'!D$2:D$38^A18277)</f>
        <v>0.9995915092</v>
      </c>
    </row>
    <row r="18278">
      <c r="A18278" s="6">
        <v>18276.0</v>
      </c>
      <c r="B18278" s="17">
        <f t="array" ref="B18278">SUM(1-'Sparkling Model'!D$2:D$38^A18278)</f>
        <v>36.99959165</v>
      </c>
      <c r="C18278" s="8">
        <f t="array" ref="C18278">PRODUCT(1-'Sparkling Model'!D$2:D$38^A18278)</f>
        <v>0.9995917101</v>
      </c>
    </row>
    <row r="18279">
      <c r="A18279" s="6">
        <v>18277.0</v>
      </c>
      <c r="B18279" s="17">
        <f t="array" ref="B18279">SUM(1-'Sparkling Model'!D$2:D$38^A18279)</f>
        <v>36.99959185</v>
      </c>
      <c r="C18279" s="8">
        <f t="array" ref="C18279">PRODUCT(1-'Sparkling Model'!D$2:D$38^A18279)</f>
        <v>0.9995919108</v>
      </c>
    </row>
    <row r="18280">
      <c r="A18280" s="6">
        <v>18278.0</v>
      </c>
      <c r="B18280" s="17">
        <f t="array" ref="B18280">SUM(1-'Sparkling Model'!D$2:D$38^A18280)</f>
        <v>36.99959205</v>
      </c>
      <c r="C18280" s="8">
        <f t="array" ref="C18280">PRODUCT(1-'Sparkling Model'!D$2:D$38^A18280)</f>
        <v>0.9995921114</v>
      </c>
    </row>
    <row r="18281">
      <c r="A18281" s="6">
        <v>18279.0</v>
      </c>
      <c r="B18281" s="17">
        <f t="array" ref="B18281">SUM(1-'Sparkling Model'!D$2:D$38^A18281)</f>
        <v>36.99959226</v>
      </c>
      <c r="C18281" s="8">
        <f t="array" ref="C18281">PRODUCT(1-'Sparkling Model'!D$2:D$38^A18281)</f>
        <v>0.999592312</v>
      </c>
    </row>
    <row r="18282">
      <c r="A18282" s="6">
        <v>18280.0</v>
      </c>
      <c r="B18282" s="17">
        <f t="array" ref="B18282">SUM(1-'Sparkling Model'!D$2:D$38^A18282)</f>
        <v>36.99959246</v>
      </c>
      <c r="C18282" s="8">
        <f t="array" ref="C18282">PRODUCT(1-'Sparkling Model'!D$2:D$38^A18282)</f>
        <v>0.9995925124</v>
      </c>
    </row>
    <row r="18283">
      <c r="A18283" s="6">
        <v>18281.0</v>
      </c>
      <c r="B18283" s="17">
        <f t="array" ref="B18283">SUM(1-'Sparkling Model'!D$2:D$38^A18283)</f>
        <v>36.99959266</v>
      </c>
      <c r="C18283" s="8">
        <f t="array" ref="C18283">PRODUCT(1-'Sparkling Model'!D$2:D$38^A18283)</f>
        <v>0.9995927127</v>
      </c>
    </row>
    <row r="18284">
      <c r="A18284" s="6">
        <v>18282.0</v>
      </c>
      <c r="B18284" s="17">
        <f t="array" ref="B18284">SUM(1-'Sparkling Model'!D$2:D$38^A18284)</f>
        <v>36.99959286</v>
      </c>
      <c r="C18284" s="8">
        <f t="array" ref="C18284">PRODUCT(1-'Sparkling Model'!D$2:D$38^A18284)</f>
        <v>0.999592913</v>
      </c>
    </row>
    <row r="18285">
      <c r="A18285" s="6">
        <v>18283.0</v>
      </c>
      <c r="B18285" s="17">
        <f t="array" ref="B18285">SUM(1-'Sparkling Model'!D$2:D$38^A18285)</f>
        <v>36.99959306</v>
      </c>
      <c r="C18285" s="8">
        <f t="array" ref="C18285">PRODUCT(1-'Sparkling Model'!D$2:D$38^A18285)</f>
        <v>0.9995931131</v>
      </c>
    </row>
    <row r="18286">
      <c r="A18286" s="6">
        <v>18284.0</v>
      </c>
      <c r="B18286" s="17">
        <f t="array" ref="B18286">SUM(1-'Sparkling Model'!D$2:D$38^A18286)</f>
        <v>36.99959326</v>
      </c>
      <c r="C18286" s="8">
        <f t="array" ref="C18286">PRODUCT(1-'Sparkling Model'!D$2:D$38^A18286)</f>
        <v>0.9995933132</v>
      </c>
    </row>
    <row r="18287">
      <c r="A18287" s="6">
        <v>18285.0</v>
      </c>
      <c r="B18287" s="17">
        <f t="array" ref="B18287">SUM(1-'Sparkling Model'!D$2:D$38^A18287)</f>
        <v>36.99959346</v>
      </c>
      <c r="C18287" s="8">
        <f t="array" ref="C18287">PRODUCT(1-'Sparkling Model'!D$2:D$38^A18287)</f>
        <v>0.9995935131</v>
      </c>
    </row>
    <row r="18288">
      <c r="A18288" s="6">
        <v>18286.0</v>
      </c>
      <c r="B18288" s="17">
        <f t="array" ref="B18288">SUM(1-'Sparkling Model'!D$2:D$38^A18288)</f>
        <v>36.99959366</v>
      </c>
      <c r="C18288" s="8">
        <f t="array" ref="C18288">PRODUCT(1-'Sparkling Model'!D$2:D$38^A18288)</f>
        <v>0.9995937129</v>
      </c>
    </row>
    <row r="18289">
      <c r="A18289" s="6">
        <v>18287.0</v>
      </c>
      <c r="B18289" s="17">
        <f t="array" ref="B18289">SUM(1-'Sparkling Model'!D$2:D$38^A18289)</f>
        <v>36.99959386</v>
      </c>
      <c r="C18289" s="8">
        <f t="array" ref="C18289">PRODUCT(1-'Sparkling Model'!D$2:D$38^A18289)</f>
        <v>0.9995939127</v>
      </c>
    </row>
    <row r="18290">
      <c r="A18290" s="6">
        <v>18288.0</v>
      </c>
      <c r="B18290" s="17">
        <f t="array" ref="B18290">SUM(1-'Sparkling Model'!D$2:D$38^A18290)</f>
        <v>36.99959406</v>
      </c>
      <c r="C18290" s="8">
        <f t="array" ref="C18290">PRODUCT(1-'Sparkling Model'!D$2:D$38^A18290)</f>
        <v>0.9995941123</v>
      </c>
    </row>
    <row r="18291">
      <c r="A18291" s="6">
        <v>18289.0</v>
      </c>
      <c r="B18291" s="17">
        <f t="array" ref="B18291">SUM(1-'Sparkling Model'!D$2:D$38^A18291)</f>
        <v>36.99959426</v>
      </c>
      <c r="C18291" s="8">
        <f t="array" ref="C18291">PRODUCT(1-'Sparkling Model'!D$2:D$38^A18291)</f>
        <v>0.9995943119</v>
      </c>
    </row>
    <row r="18292">
      <c r="A18292" s="6">
        <v>18290.0</v>
      </c>
      <c r="B18292" s="17">
        <f t="array" ref="B18292">SUM(1-'Sparkling Model'!D$2:D$38^A18292)</f>
        <v>36.99959446</v>
      </c>
      <c r="C18292" s="8">
        <f t="array" ref="C18292">PRODUCT(1-'Sparkling Model'!D$2:D$38^A18292)</f>
        <v>0.9995945113</v>
      </c>
    </row>
    <row r="18293">
      <c r="A18293" s="6">
        <v>18291.0</v>
      </c>
      <c r="B18293" s="17">
        <f t="array" ref="B18293">SUM(1-'Sparkling Model'!D$2:D$38^A18293)</f>
        <v>36.99959465</v>
      </c>
      <c r="C18293" s="8">
        <f t="array" ref="C18293">PRODUCT(1-'Sparkling Model'!D$2:D$38^A18293)</f>
        <v>0.9995947107</v>
      </c>
    </row>
    <row r="18294">
      <c r="A18294" s="6">
        <v>18292.0</v>
      </c>
      <c r="B18294" s="17">
        <f t="array" ref="B18294">SUM(1-'Sparkling Model'!D$2:D$38^A18294)</f>
        <v>36.99959485</v>
      </c>
      <c r="C18294" s="8">
        <f t="array" ref="C18294">PRODUCT(1-'Sparkling Model'!D$2:D$38^A18294)</f>
        <v>0.99959491</v>
      </c>
    </row>
    <row r="18295">
      <c r="A18295" s="6">
        <v>18293.0</v>
      </c>
      <c r="B18295" s="17">
        <f t="array" ref="B18295">SUM(1-'Sparkling Model'!D$2:D$38^A18295)</f>
        <v>36.99959505</v>
      </c>
      <c r="C18295" s="8">
        <f t="array" ref="C18295">PRODUCT(1-'Sparkling Model'!D$2:D$38^A18295)</f>
        <v>0.9995951091</v>
      </c>
    </row>
    <row r="18296">
      <c r="A18296" s="6">
        <v>18294.0</v>
      </c>
      <c r="B18296" s="17">
        <f t="array" ref="B18296">SUM(1-'Sparkling Model'!D$2:D$38^A18296)</f>
        <v>36.99959525</v>
      </c>
      <c r="C18296" s="8">
        <f t="array" ref="C18296">PRODUCT(1-'Sparkling Model'!D$2:D$38^A18296)</f>
        <v>0.9995953082</v>
      </c>
    </row>
    <row r="18297">
      <c r="A18297" s="6">
        <v>18295.0</v>
      </c>
      <c r="B18297" s="17">
        <f t="array" ref="B18297">SUM(1-'Sparkling Model'!D$2:D$38^A18297)</f>
        <v>36.99959545</v>
      </c>
      <c r="C18297" s="8">
        <f t="array" ref="C18297">PRODUCT(1-'Sparkling Model'!D$2:D$38^A18297)</f>
        <v>0.9995955071</v>
      </c>
    </row>
    <row r="18298">
      <c r="A18298" s="6">
        <v>18296.0</v>
      </c>
      <c r="B18298" s="17">
        <f t="array" ref="B18298">SUM(1-'Sparkling Model'!D$2:D$38^A18298)</f>
        <v>36.99959565</v>
      </c>
      <c r="C18298" s="8">
        <f t="array" ref="C18298">PRODUCT(1-'Sparkling Model'!D$2:D$38^A18298)</f>
        <v>0.999595706</v>
      </c>
    </row>
    <row r="18299">
      <c r="A18299" s="6">
        <v>18297.0</v>
      </c>
      <c r="B18299" s="17">
        <f t="array" ref="B18299">SUM(1-'Sparkling Model'!D$2:D$38^A18299)</f>
        <v>36.99959585</v>
      </c>
      <c r="C18299" s="8">
        <f t="array" ref="C18299">PRODUCT(1-'Sparkling Model'!D$2:D$38^A18299)</f>
        <v>0.9995959048</v>
      </c>
    </row>
    <row r="18300">
      <c r="A18300" s="6">
        <v>18298.0</v>
      </c>
      <c r="B18300" s="17">
        <f t="array" ref="B18300">SUM(1-'Sparkling Model'!D$2:D$38^A18300)</f>
        <v>36.99959605</v>
      </c>
      <c r="C18300" s="8">
        <f t="array" ref="C18300">PRODUCT(1-'Sparkling Model'!D$2:D$38^A18300)</f>
        <v>0.9995961034</v>
      </c>
    </row>
    <row r="18301">
      <c r="A18301" s="6">
        <v>18299.0</v>
      </c>
      <c r="B18301" s="17">
        <f t="array" ref="B18301">SUM(1-'Sparkling Model'!D$2:D$38^A18301)</f>
        <v>36.99959625</v>
      </c>
      <c r="C18301" s="8">
        <f t="array" ref="C18301">PRODUCT(1-'Sparkling Model'!D$2:D$38^A18301)</f>
        <v>0.999596302</v>
      </c>
    </row>
    <row r="18302">
      <c r="A18302" s="6">
        <v>18300.0</v>
      </c>
      <c r="B18302" s="17">
        <f t="array" ref="B18302">SUM(1-'Sparkling Model'!D$2:D$38^A18302)</f>
        <v>36.99959644</v>
      </c>
      <c r="C18302" s="8">
        <f t="array" ref="C18302">PRODUCT(1-'Sparkling Model'!D$2:D$38^A18302)</f>
        <v>0.9995965005</v>
      </c>
    </row>
    <row r="18303">
      <c r="A18303" s="6">
        <v>18301.0</v>
      </c>
      <c r="B18303" s="17">
        <f t="array" ref="B18303">SUM(1-'Sparkling Model'!D$2:D$38^A18303)</f>
        <v>36.99959664</v>
      </c>
      <c r="C18303" s="8">
        <f t="array" ref="C18303">PRODUCT(1-'Sparkling Model'!D$2:D$38^A18303)</f>
        <v>0.9995966988</v>
      </c>
    </row>
    <row r="18304">
      <c r="A18304" s="6">
        <v>18302.0</v>
      </c>
      <c r="B18304" s="17">
        <f t="array" ref="B18304">SUM(1-'Sparkling Model'!D$2:D$38^A18304)</f>
        <v>36.99959684</v>
      </c>
      <c r="C18304" s="8">
        <f t="array" ref="C18304">PRODUCT(1-'Sparkling Model'!D$2:D$38^A18304)</f>
        <v>0.9995968971</v>
      </c>
    </row>
    <row r="18305">
      <c r="A18305" s="6">
        <v>18303.0</v>
      </c>
      <c r="B18305" s="17">
        <f t="array" ref="B18305">SUM(1-'Sparkling Model'!D$2:D$38^A18305)</f>
        <v>36.99959704</v>
      </c>
      <c r="C18305" s="8">
        <f t="array" ref="C18305">PRODUCT(1-'Sparkling Model'!D$2:D$38^A18305)</f>
        <v>0.9995970953</v>
      </c>
    </row>
    <row r="18306">
      <c r="A18306" s="6">
        <v>18304.0</v>
      </c>
      <c r="B18306" s="17">
        <f t="array" ref="B18306">SUM(1-'Sparkling Model'!D$2:D$38^A18306)</f>
        <v>36.99959724</v>
      </c>
      <c r="C18306" s="8">
        <f t="array" ref="C18306">PRODUCT(1-'Sparkling Model'!D$2:D$38^A18306)</f>
        <v>0.9995972934</v>
      </c>
    </row>
    <row r="18307">
      <c r="A18307" s="6">
        <v>18305.0</v>
      </c>
      <c r="B18307" s="17">
        <f t="array" ref="B18307">SUM(1-'Sparkling Model'!D$2:D$38^A18307)</f>
        <v>36.99959744</v>
      </c>
      <c r="C18307" s="8">
        <f t="array" ref="C18307">PRODUCT(1-'Sparkling Model'!D$2:D$38^A18307)</f>
        <v>0.9995974914</v>
      </c>
    </row>
    <row r="18308">
      <c r="A18308" s="6">
        <v>18306.0</v>
      </c>
      <c r="B18308" s="17">
        <f t="array" ref="B18308">SUM(1-'Sparkling Model'!D$2:D$38^A18308)</f>
        <v>36.99959763</v>
      </c>
      <c r="C18308" s="8">
        <f t="array" ref="C18308">PRODUCT(1-'Sparkling Model'!D$2:D$38^A18308)</f>
        <v>0.9995976892</v>
      </c>
    </row>
    <row r="18309">
      <c r="A18309" s="6">
        <v>18307.0</v>
      </c>
      <c r="B18309" s="17">
        <f t="array" ref="B18309">SUM(1-'Sparkling Model'!D$2:D$38^A18309)</f>
        <v>36.99959783</v>
      </c>
      <c r="C18309" s="8">
        <f t="array" ref="C18309">PRODUCT(1-'Sparkling Model'!D$2:D$38^A18309)</f>
        <v>0.999597887</v>
      </c>
    </row>
    <row r="18310">
      <c r="A18310" s="6">
        <v>18308.0</v>
      </c>
      <c r="B18310" s="17">
        <f t="array" ref="B18310">SUM(1-'Sparkling Model'!D$2:D$38^A18310)</f>
        <v>36.99959803</v>
      </c>
      <c r="C18310" s="8">
        <f t="array" ref="C18310">PRODUCT(1-'Sparkling Model'!D$2:D$38^A18310)</f>
        <v>0.9995980847</v>
      </c>
    </row>
    <row r="18311">
      <c r="A18311" s="6">
        <v>18309.0</v>
      </c>
      <c r="B18311" s="17">
        <f t="array" ref="B18311">SUM(1-'Sparkling Model'!D$2:D$38^A18311)</f>
        <v>36.99959823</v>
      </c>
      <c r="C18311" s="8">
        <f t="array" ref="C18311">PRODUCT(1-'Sparkling Model'!D$2:D$38^A18311)</f>
        <v>0.9995982823</v>
      </c>
    </row>
    <row r="18312">
      <c r="A18312" s="6">
        <v>18310.0</v>
      </c>
      <c r="B18312" s="17">
        <f t="array" ref="B18312">SUM(1-'Sparkling Model'!D$2:D$38^A18312)</f>
        <v>36.99959842</v>
      </c>
      <c r="C18312" s="8">
        <f t="array" ref="C18312">PRODUCT(1-'Sparkling Model'!D$2:D$38^A18312)</f>
        <v>0.9995984798</v>
      </c>
    </row>
    <row r="18313">
      <c r="A18313" s="6">
        <v>18311.0</v>
      </c>
      <c r="B18313" s="17">
        <f t="array" ref="B18313">SUM(1-'Sparkling Model'!D$2:D$38^A18313)</f>
        <v>36.99959862</v>
      </c>
      <c r="C18313" s="8">
        <f t="array" ref="C18313">PRODUCT(1-'Sparkling Model'!D$2:D$38^A18313)</f>
        <v>0.9995986772</v>
      </c>
    </row>
    <row r="18314">
      <c r="A18314" s="6">
        <v>18312.0</v>
      </c>
      <c r="B18314" s="17">
        <f t="array" ref="B18314">SUM(1-'Sparkling Model'!D$2:D$38^A18314)</f>
        <v>36.99959882</v>
      </c>
      <c r="C18314" s="8">
        <f t="array" ref="C18314">PRODUCT(1-'Sparkling Model'!D$2:D$38^A18314)</f>
        <v>0.9995988745</v>
      </c>
    </row>
    <row r="18315">
      <c r="A18315" s="6">
        <v>18313.0</v>
      </c>
      <c r="B18315" s="17">
        <f t="array" ref="B18315">SUM(1-'Sparkling Model'!D$2:D$38^A18315)</f>
        <v>36.99959902</v>
      </c>
      <c r="C18315" s="8">
        <f t="array" ref="C18315">PRODUCT(1-'Sparkling Model'!D$2:D$38^A18315)</f>
        <v>0.9995990717</v>
      </c>
    </row>
    <row r="18316">
      <c r="A18316" s="6">
        <v>18314.0</v>
      </c>
      <c r="B18316" s="17">
        <f t="array" ref="B18316">SUM(1-'Sparkling Model'!D$2:D$38^A18316)</f>
        <v>36.99959921</v>
      </c>
      <c r="C18316" s="8">
        <f t="array" ref="C18316">PRODUCT(1-'Sparkling Model'!D$2:D$38^A18316)</f>
        <v>0.9995992688</v>
      </c>
    </row>
    <row r="18317">
      <c r="A18317" s="6">
        <v>18315.0</v>
      </c>
      <c r="B18317" s="17">
        <f t="array" ref="B18317">SUM(1-'Sparkling Model'!D$2:D$38^A18317)</f>
        <v>36.99959941</v>
      </c>
      <c r="C18317" s="8">
        <f t="array" ref="C18317">PRODUCT(1-'Sparkling Model'!D$2:D$38^A18317)</f>
        <v>0.9995994658</v>
      </c>
    </row>
    <row r="18318">
      <c r="A18318" s="6">
        <v>18316.0</v>
      </c>
      <c r="B18318" s="17">
        <f t="array" ref="B18318">SUM(1-'Sparkling Model'!D$2:D$38^A18318)</f>
        <v>36.99959961</v>
      </c>
      <c r="C18318" s="8">
        <f t="array" ref="C18318">PRODUCT(1-'Sparkling Model'!D$2:D$38^A18318)</f>
        <v>0.9995996627</v>
      </c>
    </row>
    <row r="18319">
      <c r="A18319" s="6">
        <v>18317.0</v>
      </c>
      <c r="B18319" s="17">
        <f t="array" ref="B18319">SUM(1-'Sparkling Model'!D$2:D$38^A18319)</f>
        <v>36.9995998</v>
      </c>
      <c r="C18319" s="8">
        <f t="array" ref="C18319">PRODUCT(1-'Sparkling Model'!D$2:D$38^A18319)</f>
        <v>0.9995998596</v>
      </c>
    </row>
    <row r="18320">
      <c r="A18320" s="6">
        <v>18318.0</v>
      </c>
      <c r="B18320" s="17">
        <f t="array" ref="B18320">SUM(1-'Sparkling Model'!D$2:D$38^A18320)</f>
        <v>36.9996</v>
      </c>
      <c r="C18320" s="8">
        <f t="array" ref="C18320">PRODUCT(1-'Sparkling Model'!D$2:D$38^A18320)</f>
        <v>0.9996000563</v>
      </c>
    </row>
    <row r="18321">
      <c r="A18321" s="6">
        <v>18319.0</v>
      </c>
      <c r="B18321" s="17">
        <f t="array" ref="B18321">SUM(1-'Sparkling Model'!D$2:D$38^A18321)</f>
        <v>36.9996002</v>
      </c>
      <c r="C18321" s="8">
        <f t="array" ref="C18321">PRODUCT(1-'Sparkling Model'!D$2:D$38^A18321)</f>
        <v>0.9996002529</v>
      </c>
    </row>
    <row r="18322">
      <c r="A18322" s="6">
        <v>18320.0</v>
      </c>
      <c r="B18322" s="17">
        <f t="array" ref="B18322">SUM(1-'Sparkling Model'!D$2:D$38^A18322)</f>
        <v>36.9996004</v>
      </c>
      <c r="C18322" s="8">
        <f t="array" ref="C18322">PRODUCT(1-'Sparkling Model'!D$2:D$38^A18322)</f>
        <v>0.9996004494</v>
      </c>
    </row>
    <row r="18323">
      <c r="A18323" s="6">
        <v>18321.0</v>
      </c>
      <c r="B18323" s="17">
        <f t="array" ref="B18323">SUM(1-'Sparkling Model'!D$2:D$38^A18323)</f>
        <v>36.99960059</v>
      </c>
      <c r="C18323" s="8">
        <f t="array" ref="C18323">PRODUCT(1-'Sparkling Model'!D$2:D$38^A18323)</f>
        <v>0.9996006459</v>
      </c>
    </row>
    <row r="18324">
      <c r="A18324" s="6">
        <v>18322.0</v>
      </c>
      <c r="B18324" s="17">
        <f t="array" ref="B18324">SUM(1-'Sparkling Model'!D$2:D$38^A18324)</f>
        <v>36.99960079</v>
      </c>
      <c r="C18324" s="8">
        <f t="array" ref="C18324">PRODUCT(1-'Sparkling Model'!D$2:D$38^A18324)</f>
        <v>0.9996008422</v>
      </c>
    </row>
    <row r="18325">
      <c r="A18325" s="6">
        <v>18323.0</v>
      </c>
      <c r="B18325" s="17">
        <f t="array" ref="B18325">SUM(1-'Sparkling Model'!D$2:D$38^A18325)</f>
        <v>36.99960098</v>
      </c>
      <c r="C18325" s="8">
        <f t="array" ref="C18325">PRODUCT(1-'Sparkling Model'!D$2:D$38^A18325)</f>
        <v>0.9996010384</v>
      </c>
    </row>
    <row r="18326">
      <c r="A18326" s="6">
        <v>18324.0</v>
      </c>
      <c r="B18326" s="17">
        <f t="array" ref="B18326">SUM(1-'Sparkling Model'!D$2:D$38^A18326)</f>
        <v>36.99960118</v>
      </c>
      <c r="C18326" s="8">
        <f t="array" ref="C18326">PRODUCT(1-'Sparkling Model'!D$2:D$38^A18326)</f>
        <v>0.9996012346</v>
      </c>
    </row>
    <row r="18327">
      <c r="A18327" s="6">
        <v>18325.0</v>
      </c>
      <c r="B18327" s="17">
        <f t="array" ref="B18327">SUM(1-'Sparkling Model'!D$2:D$38^A18327)</f>
        <v>36.99960138</v>
      </c>
      <c r="C18327" s="8">
        <f t="array" ref="C18327">PRODUCT(1-'Sparkling Model'!D$2:D$38^A18327)</f>
        <v>0.9996014306</v>
      </c>
    </row>
    <row r="18328">
      <c r="A18328" s="6">
        <v>18326.0</v>
      </c>
      <c r="B18328" s="17">
        <f t="array" ref="B18328">SUM(1-'Sparkling Model'!D$2:D$38^A18328)</f>
        <v>36.99960157</v>
      </c>
      <c r="C18328" s="8">
        <f t="array" ref="C18328">PRODUCT(1-'Sparkling Model'!D$2:D$38^A18328)</f>
        <v>0.9996016266</v>
      </c>
    </row>
    <row r="18329">
      <c r="A18329" s="6">
        <v>18327.0</v>
      </c>
      <c r="B18329" s="17">
        <f t="array" ref="B18329">SUM(1-'Sparkling Model'!D$2:D$38^A18329)</f>
        <v>36.99960177</v>
      </c>
      <c r="C18329" s="8">
        <f t="array" ref="C18329">PRODUCT(1-'Sparkling Model'!D$2:D$38^A18329)</f>
        <v>0.9996018224</v>
      </c>
    </row>
    <row r="18330">
      <c r="A18330" s="6">
        <v>18328.0</v>
      </c>
      <c r="B18330" s="17">
        <f t="array" ref="B18330">SUM(1-'Sparkling Model'!D$2:D$38^A18330)</f>
        <v>36.99960196</v>
      </c>
      <c r="C18330" s="8">
        <f t="array" ref="C18330">PRODUCT(1-'Sparkling Model'!D$2:D$38^A18330)</f>
        <v>0.9996020182</v>
      </c>
    </row>
    <row r="18331">
      <c r="A18331" s="6">
        <v>18329.0</v>
      </c>
      <c r="B18331" s="17">
        <f t="array" ref="B18331">SUM(1-'Sparkling Model'!D$2:D$38^A18331)</f>
        <v>36.99960216</v>
      </c>
      <c r="C18331" s="8">
        <f t="array" ref="C18331">PRODUCT(1-'Sparkling Model'!D$2:D$38^A18331)</f>
        <v>0.9996022138</v>
      </c>
    </row>
    <row r="18332">
      <c r="A18332" s="6">
        <v>18330.0</v>
      </c>
      <c r="B18332" s="17">
        <f t="array" ref="B18332">SUM(1-'Sparkling Model'!D$2:D$38^A18332)</f>
        <v>36.99960236</v>
      </c>
      <c r="C18332" s="8">
        <f t="array" ref="C18332">PRODUCT(1-'Sparkling Model'!D$2:D$38^A18332)</f>
        <v>0.9996024094</v>
      </c>
    </row>
    <row r="18333">
      <c r="A18333" s="6">
        <v>18331.0</v>
      </c>
      <c r="B18333" s="17">
        <f t="array" ref="B18333">SUM(1-'Sparkling Model'!D$2:D$38^A18333)</f>
        <v>36.99960255</v>
      </c>
      <c r="C18333" s="8">
        <f t="array" ref="C18333">PRODUCT(1-'Sparkling Model'!D$2:D$38^A18333)</f>
        <v>0.9996026048</v>
      </c>
    </row>
    <row r="18334">
      <c r="A18334" s="6">
        <v>18332.0</v>
      </c>
      <c r="B18334" s="17">
        <f t="array" ref="B18334">SUM(1-'Sparkling Model'!D$2:D$38^A18334)</f>
        <v>36.99960275</v>
      </c>
      <c r="C18334" s="8">
        <f t="array" ref="C18334">PRODUCT(1-'Sparkling Model'!D$2:D$38^A18334)</f>
        <v>0.9996028002</v>
      </c>
    </row>
    <row r="18335">
      <c r="A18335" s="6">
        <v>18333.0</v>
      </c>
      <c r="B18335" s="17">
        <f t="array" ref="B18335">SUM(1-'Sparkling Model'!D$2:D$38^A18335)</f>
        <v>36.99960294</v>
      </c>
      <c r="C18335" s="8">
        <f t="array" ref="C18335">PRODUCT(1-'Sparkling Model'!D$2:D$38^A18335)</f>
        <v>0.9996029955</v>
      </c>
    </row>
    <row r="18336">
      <c r="A18336" s="6">
        <v>18334.0</v>
      </c>
      <c r="B18336" s="17">
        <f t="array" ref="B18336">SUM(1-'Sparkling Model'!D$2:D$38^A18336)</f>
        <v>36.99960314</v>
      </c>
      <c r="C18336" s="8">
        <f t="array" ref="C18336">PRODUCT(1-'Sparkling Model'!D$2:D$38^A18336)</f>
        <v>0.9996031906</v>
      </c>
    </row>
    <row r="18337">
      <c r="A18337" s="6">
        <v>18335.0</v>
      </c>
      <c r="B18337" s="17">
        <f t="array" ref="B18337">SUM(1-'Sparkling Model'!D$2:D$38^A18337)</f>
        <v>36.99960333</v>
      </c>
      <c r="C18337" s="8">
        <f t="array" ref="C18337">PRODUCT(1-'Sparkling Model'!D$2:D$38^A18337)</f>
        <v>0.9996033857</v>
      </c>
    </row>
    <row r="18338">
      <c r="A18338" s="6">
        <v>18336.0</v>
      </c>
      <c r="B18338" s="17">
        <f t="array" ref="B18338">SUM(1-'Sparkling Model'!D$2:D$38^A18338)</f>
        <v>36.99960353</v>
      </c>
      <c r="C18338" s="8">
        <f t="array" ref="C18338">PRODUCT(1-'Sparkling Model'!D$2:D$38^A18338)</f>
        <v>0.9996035807</v>
      </c>
    </row>
    <row r="18339">
      <c r="A18339" s="6">
        <v>18337.0</v>
      </c>
      <c r="B18339" s="17">
        <f t="array" ref="B18339">SUM(1-'Sparkling Model'!D$2:D$38^A18339)</f>
        <v>36.99960372</v>
      </c>
      <c r="C18339" s="8">
        <f t="array" ref="C18339">PRODUCT(1-'Sparkling Model'!D$2:D$38^A18339)</f>
        <v>0.9996037756</v>
      </c>
    </row>
    <row r="18340">
      <c r="A18340" s="6">
        <v>18338.0</v>
      </c>
      <c r="B18340" s="17">
        <f t="array" ref="B18340">SUM(1-'Sparkling Model'!D$2:D$38^A18340)</f>
        <v>36.99960392</v>
      </c>
      <c r="C18340" s="8">
        <f t="array" ref="C18340">PRODUCT(1-'Sparkling Model'!D$2:D$38^A18340)</f>
        <v>0.9996039704</v>
      </c>
    </row>
    <row r="18341">
      <c r="A18341" s="6">
        <v>18339.0</v>
      </c>
      <c r="B18341" s="17">
        <f t="array" ref="B18341">SUM(1-'Sparkling Model'!D$2:D$38^A18341)</f>
        <v>36.99960411</v>
      </c>
      <c r="C18341" s="8">
        <f t="array" ref="C18341">PRODUCT(1-'Sparkling Model'!D$2:D$38^A18341)</f>
        <v>0.9996041651</v>
      </c>
    </row>
    <row r="18342">
      <c r="A18342" s="6">
        <v>18340.0</v>
      </c>
      <c r="B18342" s="17">
        <f t="array" ref="B18342">SUM(1-'Sparkling Model'!D$2:D$38^A18342)</f>
        <v>36.99960431</v>
      </c>
      <c r="C18342" s="8">
        <f t="array" ref="C18342">PRODUCT(1-'Sparkling Model'!D$2:D$38^A18342)</f>
        <v>0.9996043597</v>
      </c>
    </row>
    <row r="18343">
      <c r="A18343" s="6">
        <v>18341.0</v>
      </c>
      <c r="B18343" s="17">
        <f t="array" ref="B18343">SUM(1-'Sparkling Model'!D$2:D$38^A18343)</f>
        <v>36.9996045</v>
      </c>
      <c r="C18343" s="8">
        <f t="array" ref="C18343">PRODUCT(1-'Sparkling Model'!D$2:D$38^A18343)</f>
        <v>0.9996045542</v>
      </c>
    </row>
    <row r="18344">
      <c r="A18344" s="6">
        <v>18342.0</v>
      </c>
      <c r="B18344" s="17">
        <f t="array" ref="B18344">SUM(1-'Sparkling Model'!D$2:D$38^A18344)</f>
        <v>36.9996047</v>
      </c>
      <c r="C18344" s="8">
        <f t="array" ref="C18344">PRODUCT(1-'Sparkling Model'!D$2:D$38^A18344)</f>
        <v>0.9996047486</v>
      </c>
    </row>
    <row r="18345">
      <c r="A18345" s="6">
        <v>18343.0</v>
      </c>
      <c r="B18345" s="17">
        <f t="array" ref="B18345">SUM(1-'Sparkling Model'!D$2:D$38^A18345)</f>
        <v>36.99960489</v>
      </c>
      <c r="C18345" s="8">
        <f t="array" ref="C18345">PRODUCT(1-'Sparkling Model'!D$2:D$38^A18345)</f>
        <v>0.9996049429</v>
      </c>
    </row>
    <row r="18346">
      <c r="A18346" s="6">
        <v>18344.0</v>
      </c>
      <c r="B18346" s="17">
        <f t="array" ref="B18346">SUM(1-'Sparkling Model'!D$2:D$38^A18346)</f>
        <v>36.99960508</v>
      </c>
      <c r="C18346" s="8">
        <f t="array" ref="C18346">PRODUCT(1-'Sparkling Model'!D$2:D$38^A18346)</f>
        <v>0.9996051371</v>
      </c>
    </row>
    <row r="18347">
      <c r="A18347" s="6">
        <v>18345.0</v>
      </c>
      <c r="B18347" s="17">
        <f t="array" ref="B18347">SUM(1-'Sparkling Model'!D$2:D$38^A18347)</f>
        <v>36.99960528</v>
      </c>
      <c r="C18347" s="8">
        <f t="array" ref="C18347">PRODUCT(1-'Sparkling Model'!D$2:D$38^A18347)</f>
        <v>0.9996053312</v>
      </c>
    </row>
    <row r="18348">
      <c r="A18348" s="6">
        <v>18346.0</v>
      </c>
      <c r="B18348" s="17">
        <f t="array" ref="B18348">SUM(1-'Sparkling Model'!D$2:D$38^A18348)</f>
        <v>36.99960547</v>
      </c>
      <c r="C18348" s="8">
        <f t="array" ref="C18348">PRODUCT(1-'Sparkling Model'!D$2:D$38^A18348)</f>
        <v>0.9996055253</v>
      </c>
    </row>
    <row r="18349">
      <c r="A18349" s="6">
        <v>18347.0</v>
      </c>
      <c r="B18349" s="17">
        <f t="array" ref="B18349">SUM(1-'Sparkling Model'!D$2:D$38^A18349)</f>
        <v>36.99960567</v>
      </c>
      <c r="C18349" s="8">
        <f t="array" ref="C18349">PRODUCT(1-'Sparkling Model'!D$2:D$38^A18349)</f>
        <v>0.9996057192</v>
      </c>
    </row>
    <row r="18350">
      <c r="A18350" s="6">
        <v>18348.0</v>
      </c>
      <c r="B18350" s="17">
        <f t="array" ref="B18350">SUM(1-'Sparkling Model'!D$2:D$38^A18350)</f>
        <v>36.99960586</v>
      </c>
      <c r="C18350" s="8">
        <f t="array" ref="C18350">PRODUCT(1-'Sparkling Model'!D$2:D$38^A18350)</f>
        <v>0.999605913</v>
      </c>
    </row>
    <row r="18351">
      <c r="A18351" s="6">
        <v>18349.0</v>
      </c>
      <c r="B18351" s="17">
        <f t="array" ref="B18351">SUM(1-'Sparkling Model'!D$2:D$38^A18351)</f>
        <v>36.99960605</v>
      </c>
      <c r="C18351" s="8">
        <f t="array" ref="C18351">PRODUCT(1-'Sparkling Model'!D$2:D$38^A18351)</f>
        <v>0.9996061068</v>
      </c>
    </row>
    <row r="18352">
      <c r="A18352" s="6">
        <v>18350.0</v>
      </c>
      <c r="B18352" s="17">
        <f t="array" ref="B18352">SUM(1-'Sparkling Model'!D$2:D$38^A18352)</f>
        <v>36.99960625</v>
      </c>
      <c r="C18352" s="8">
        <f t="array" ref="C18352">PRODUCT(1-'Sparkling Model'!D$2:D$38^A18352)</f>
        <v>0.9996063004</v>
      </c>
    </row>
    <row r="18353">
      <c r="A18353" s="6">
        <v>18351.0</v>
      </c>
      <c r="B18353" s="17">
        <f t="array" ref="B18353">SUM(1-'Sparkling Model'!D$2:D$38^A18353)</f>
        <v>36.99960644</v>
      </c>
      <c r="C18353" s="8">
        <f t="array" ref="C18353">PRODUCT(1-'Sparkling Model'!D$2:D$38^A18353)</f>
        <v>0.9996064939</v>
      </c>
    </row>
    <row r="18354">
      <c r="A18354" s="6">
        <v>18352.0</v>
      </c>
      <c r="B18354" s="17">
        <f t="array" ref="B18354">SUM(1-'Sparkling Model'!D$2:D$38^A18354)</f>
        <v>36.99960663</v>
      </c>
      <c r="C18354" s="8">
        <f t="array" ref="C18354">PRODUCT(1-'Sparkling Model'!D$2:D$38^A18354)</f>
        <v>0.9996066874</v>
      </c>
    </row>
    <row r="18355">
      <c r="A18355" s="6">
        <v>18353.0</v>
      </c>
      <c r="B18355" s="17">
        <f t="array" ref="B18355">SUM(1-'Sparkling Model'!D$2:D$38^A18355)</f>
        <v>36.99960683</v>
      </c>
      <c r="C18355" s="8">
        <f t="array" ref="C18355">PRODUCT(1-'Sparkling Model'!D$2:D$38^A18355)</f>
        <v>0.9996068807</v>
      </c>
    </row>
    <row r="18356">
      <c r="A18356" s="6">
        <v>18354.0</v>
      </c>
      <c r="B18356" s="17">
        <f t="array" ref="B18356">SUM(1-'Sparkling Model'!D$2:D$38^A18356)</f>
        <v>36.99960702</v>
      </c>
      <c r="C18356" s="8">
        <f t="array" ref="C18356">PRODUCT(1-'Sparkling Model'!D$2:D$38^A18356)</f>
        <v>0.999607074</v>
      </c>
    </row>
    <row r="18357">
      <c r="A18357" s="6">
        <v>18355.0</v>
      </c>
      <c r="B18357" s="17">
        <f t="array" ref="B18357">SUM(1-'Sparkling Model'!D$2:D$38^A18357)</f>
        <v>36.99960721</v>
      </c>
      <c r="C18357" s="8">
        <f t="array" ref="C18357">PRODUCT(1-'Sparkling Model'!D$2:D$38^A18357)</f>
        <v>0.9996072672</v>
      </c>
    </row>
    <row r="18358">
      <c r="A18358" s="6">
        <v>18356.0</v>
      </c>
      <c r="B18358" s="17">
        <f t="array" ref="B18358">SUM(1-'Sparkling Model'!D$2:D$38^A18358)</f>
        <v>36.99960741</v>
      </c>
      <c r="C18358" s="8">
        <f t="array" ref="C18358">PRODUCT(1-'Sparkling Model'!D$2:D$38^A18358)</f>
        <v>0.9996074602</v>
      </c>
    </row>
    <row r="18359">
      <c r="A18359" s="6">
        <v>18357.0</v>
      </c>
      <c r="B18359" s="17">
        <f t="array" ref="B18359">SUM(1-'Sparkling Model'!D$2:D$38^A18359)</f>
        <v>36.9996076</v>
      </c>
      <c r="C18359" s="8">
        <f t="array" ref="C18359">PRODUCT(1-'Sparkling Model'!D$2:D$38^A18359)</f>
        <v>0.9996076532</v>
      </c>
    </row>
    <row r="18360">
      <c r="A18360" s="6">
        <v>18358.0</v>
      </c>
      <c r="B18360" s="17">
        <f t="array" ref="B18360">SUM(1-'Sparkling Model'!D$2:D$38^A18360)</f>
        <v>36.99960779</v>
      </c>
      <c r="C18360" s="8">
        <f t="array" ref="C18360">PRODUCT(1-'Sparkling Model'!D$2:D$38^A18360)</f>
        <v>0.9996078461</v>
      </c>
    </row>
    <row r="18361">
      <c r="A18361" s="6">
        <v>18359.0</v>
      </c>
      <c r="B18361" s="17">
        <f t="array" ref="B18361">SUM(1-'Sparkling Model'!D$2:D$38^A18361)</f>
        <v>36.99960799</v>
      </c>
      <c r="C18361" s="8">
        <f t="array" ref="C18361">PRODUCT(1-'Sparkling Model'!D$2:D$38^A18361)</f>
        <v>0.9996080389</v>
      </c>
    </row>
    <row r="18362">
      <c r="A18362" s="6">
        <v>18360.0</v>
      </c>
      <c r="B18362" s="17">
        <f t="array" ref="B18362">SUM(1-'Sparkling Model'!D$2:D$38^A18362)</f>
        <v>36.99960818</v>
      </c>
      <c r="C18362" s="8">
        <f t="array" ref="C18362">PRODUCT(1-'Sparkling Model'!D$2:D$38^A18362)</f>
        <v>0.9996082316</v>
      </c>
    </row>
    <row r="18363">
      <c r="A18363" s="6">
        <v>18361.0</v>
      </c>
      <c r="B18363" s="17">
        <f t="array" ref="B18363">SUM(1-'Sparkling Model'!D$2:D$38^A18363)</f>
        <v>36.99960837</v>
      </c>
      <c r="C18363" s="8">
        <f t="array" ref="C18363">PRODUCT(1-'Sparkling Model'!D$2:D$38^A18363)</f>
        <v>0.9996084242</v>
      </c>
    </row>
    <row r="18364">
      <c r="A18364" s="6">
        <v>18362.0</v>
      </c>
      <c r="B18364" s="17">
        <f t="array" ref="B18364">SUM(1-'Sparkling Model'!D$2:D$38^A18364)</f>
        <v>36.99960856</v>
      </c>
      <c r="C18364" s="8">
        <f t="array" ref="C18364">PRODUCT(1-'Sparkling Model'!D$2:D$38^A18364)</f>
        <v>0.9996086167</v>
      </c>
    </row>
    <row r="18365">
      <c r="A18365" s="6">
        <v>18363.0</v>
      </c>
      <c r="B18365" s="17">
        <f t="array" ref="B18365">SUM(1-'Sparkling Model'!D$2:D$38^A18365)</f>
        <v>36.99960876</v>
      </c>
      <c r="C18365" s="8">
        <f t="array" ref="C18365">PRODUCT(1-'Sparkling Model'!D$2:D$38^A18365)</f>
        <v>0.9996088091</v>
      </c>
    </row>
    <row r="18366">
      <c r="A18366" s="6">
        <v>18364.0</v>
      </c>
      <c r="B18366" s="17">
        <f t="array" ref="B18366">SUM(1-'Sparkling Model'!D$2:D$38^A18366)</f>
        <v>36.99960895</v>
      </c>
      <c r="C18366" s="8">
        <f t="array" ref="C18366">PRODUCT(1-'Sparkling Model'!D$2:D$38^A18366)</f>
        <v>0.9996090014</v>
      </c>
    </row>
    <row r="18367">
      <c r="A18367" s="6">
        <v>18365.0</v>
      </c>
      <c r="B18367" s="17">
        <f t="array" ref="B18367">SUM(1-'Sparkling Model'!D$2:D$38^A18367)</f>
        <v>36.99960914</v>
      </c>
      <c r="C18367" s="8">
        <f t="array" ref="C18367">PRODUCT(1-'Sparkling Model'!D$2:D$38^A18367)</f>
        <v>0.9996091936</v>
      </c>
    </row>
    <row r="18368">
      <c r="A18368" s="6">
        <v>18366.0</v>
      </c>
      <c r="B18368" s="17">
        <f t="array" ref="B18368">SUM(1-'Sparkling Model'!D$2:D$38^A18368)</f>
        <v>36.99960933</v>
      </c>
      <c r="C18368" s="8">
        <f t="array" ref="C18368">PRODUCT(1-'Sparkling Model'!D$2:D$38^A18368)</f>
        <v>0.9996093857</v>
      </c>
    </row>
    <row r="18369">
      <c r="A18369" s="6">
        <v>18367.0</v>
      </c>
      <c r="B18369" s="17">
        <f t="array" ref="B18369">SUM(1-'Sparkling Model'!D$2:D$38^A18369)</f>
        <v>36.99960953</v>
      </c>
      <c r="C18369" s="8">
        <f t="array" ref="C18369">PRODUCT(1-'Sparkling Model'!D$2:D$38^A18369)</f>
        <v>0.9996095778</v>
      </c>
    </row>
    <row r="18370">
      <c r="A18370" s="6">
        <v>18368.0</v>
      </c>
      <c r="B18370" s="17">
        <f t="array" ref="B18370">SUM(1-'Sparkling Model'!D$2:D$38^A18370)</f>
        <v>36.99960972</v>
      </c>
      <c r="C18370" s="8">
        <f t="array" ref="C18370">PRODUCT(1-'Sparkling Model'!D$2:D$38^A18370)</f>
        <v>0.9996097697</v>
      </c>
    </row>
    <row r="18371">
      <c r="A18371" s="6">
        <v>18369.0</v>
      </c>
      <c r="B18371" s="17">
        <f t="array" ref="B18371">SUM(1-'Sparkling Model'!D$2:D$38^A18371)</f>
        <v>36.99960991</v>
      </c>
      <c r="C18371" s="8">
        <f t="array" ref="C18371">PRODUCT(1-'Sparkling Model'!D$2:D$38^A18371)</f>
        <v>0.9996099615</v>
      </c>
    </row>
    <row r="18372">
      <c r="A18372" s="6">
        <v>18370.0</v>
      </c>
      <c r="B18372" s="17">
        <f t="array" ref="B18372">SUM(1-'Sparkling Model'!D$2:D$38^A18372)</f>
        <v>36.9996101</v>
      </c>
      <c r="C18372" s="8">
        <f t="array" ref="C18372">PRODUCT(1-'Sparkling Model'!D$2:D$38^A18372)</f>
        <v>0.9996101533</v>
      </c>
    </row>
    <row r="18373">
      <c r="A18373" s="6">
        <v>18371.0</v>
      </c>
      <c r="B18373" s="17">
        <f t="array" ref="B18373">SUM(1-'Sparkling Model'!D$2:D$38^A18373)</f>
        <v>36.99961029</v>
      </c>
      <c r="C18373" s="8">
        <f t="array" ref="C18373">PRODUCT(1-'Sparkling Model'!D$2:D$38^A18373)</f>
        <v>0.9996103449</v>
      </c>
    </row>
    <row r="18374">
      <c r="A18374" s="6">
        <v>18372.0</v>
      </c>
      <c r="B18374" s="17">
        <f t="array" ref="B18374">SUM(1-'Sparkling Model'!D$2:D$38^A18374)</f>
        <v>36.99961048</v>
      </c>
      <c r="C18374" s="8">
        <f t="array" ref="C18374">PRODUCT(1-'Sparkling Model'!D$2:D$38^A18374)</f>
        <v>0.9996105365</v>
      </c>
    </row>
    <row r="18375">
      <c r="A18375" s="6">
        <v>18373.0</v>
      </c>
      <c r="B18375" s="17">
        <f t="array" ref="B18375">SUM(1-'Sparkling Model'!D$2:D$38^A18375)</f>
        <v>36.99961068</v>
      </c>
      <c r="C18375" s="8">
        <f t="array" ref="C18375">PRODUCT(1-'Sparkling Model'!D$2:D$38^A18375)</f>
        <v>0.9996107279</v>
      </c>
    </row>
    <row r="18376">
      <c r="A18376" s="6">
        <v>18374.0</v>
      </c>
      <c r="B18376" s="17">
        <f t="array" ref="B18376">SUM(1-'Sparkling Model'!D$2:D$38^A18376)</f>
        <v>36.99961087</v>
      </c>
      <c r="C18376" s="8">
        <f t="array" ref="C18376">PRODUCT(1-'Sparkling Model'!D$2:D$38^A18376)</f>
        <v>0.9996109193</v>
      </c>
    </row>
    <row r="18377">
      <c r="A18377" s="6">
        <v>18375.0</v>
      </c>
      <c r="B18377" s="17">
        <f t="array" ref="B18377">SUM(1-'Sparkling Model'!D$2:D$38^A18377)</f>
        <v>36.99961106</v>
      </c>
      <c r="C18377" s="8">
        <f t="array" ref="C18377">PRODUCT(1-'Sparkling Model'!D$2:D$38^A18377)</f>
        <v>0.9996111106</v>
      </c>
    </row>
    <row r="18378">
      <c r="A18378" s="6">
        <v>18376.0</v>
      </c>
      <c r="B18378" s="17">
        <f t="array" ref="B18378">SUM(1-'Sparkling Model'!D$2:D$38^A18378)</f>
        <v>36.99961125</v>
      </c>
      <c r="C18378" s="8">
        <f t="array" ref="C18378">PRODUCT(1-'Sparkling Model'!D$2:D$38^A18378)</f>
        <v>0.9996113018</v>
      </c>
    </row>
    <row r="18379">
      <c r="A18379" s="6">
        <v>18377.0</v>
      </c>
      <c r="B18379" s="17">
        <f t="array" ref="B18379">SUM(1-'Sparkling Model'!D$2:D$38^A18379)</f>
        <v>36.99961144</v>
      </c>
      <c r="C18379" s="8">
        <f t="array" ref="C18379">PRODUCT(1-'Sparkling Model'!D$2:D$38^A18379)</f>
        <v>0.9996114928</v>
      </c>
    </row>
    <row r="18380">
      <c r="A18380" s="6">
        <v>18378.0</v>
      </c>
      <c r="B18380" s="17">
        <f t="array" ref="B18380">SUM(1-'Sparkling Model'!D$2:D$38^A18380)</f>
        <v>36.99961163</v>
      </c>
      <c r="C18380" s="8">
        <f t="array" ref="C18380">PRODUCT(1-'Sparkling Model'!D$2:D$38^A18380)</f>
        <v>0.9996116838</v>
      </c>
    </row>
    <row r="18381">
      <c r="A18381" s="6">
        <v>18379.0</v>
      </c>
      <c r="B18381" s="17">
        <f t="array" ref="B18381">SUM(1-'Sparkling Model'!D$2:D$38^A18381)</f>
        <v>36.99961182</v>
      </c>
      <c r="C18381" s="8">
        <f t="array" ref="C18381">PRODUCT(1-'Sparkling Model'!D$2:D$38^A18381)</f>
        <v>0.9996118747</v>
      </c>
    </row>
    <row r="18382">
      <c r="A18382" s="6">
        <v>18380.0</v>
      </c>
      <c r="B18382" s="17">
        <f t="array" ref="B18382">SUM(1-'Sparkling Model'!D$2:D$38^A18382)</f>
        <v>36.99961201</v>
      </c>
      <c r="C18382" s="8">
        <f t="array" ref="C18382">PRODUCT(1-'Sparkling Model'!D$2:D$38^A18382)</f>
        <v>0.9996120655</v>
      </c>
    </row>
    <row r="18383">
      <c r="A18383" s="6">
        <v>18381.0</v>
      </c>
      <c r="B18383" s="17">
        <f t="array" ref="B18383">SUM(1-'Sparkling Model'!D$2:D$38^A18383)</f>
        <v>36.9996122</v>
      </c>
      <c r="C18383" s="8">
        <f t="array" ref="C18383">PRODUCT(1-'Sparkling Model'!D$2:D$38^A18383)</f>
        <v>0.9996122562</v>
      </c>
    </row>
    <row r="18384">
      <c r="A18384" s="6">
        <v>18382.0</v>
      </c>
      <c r="B18384" s="17">
        <f t="array" ref="B18384">SUM(1-'Sparkling Model'!D$2:D$38^A18384)</f>
        <v>36.9996124</v>
      </c>
      <c r="C18384" s="8">
        <f t="array" ref="C18384">PRODUCT(1-'Sparkling Model'!D$2:D$38^A18384)</f>
        <v>0.9996124468</v>
      </c>
    </row>
    <row r="18385">
      <c r="A18385" s="6">
        <v>18383.0</v>
      </c>
      <c r="B18385" s="17">
        <f t="array" ref="B18385">SUM(1-'Sparkling Model'!D$2:D$38^A18385)</f>
        <v>36.99961259</v>
      </c>
      <c r="C18385" s="8">
        <f t="array" ref="C18385">PRODUCT(1-'Sparkling Model'!D$2:D$38^A18385)</f>
        <v>0.9996126374</v>
      </c>
    </row>
    <row r="18386">
      <c r="A18386" s="6">
        <v>18384.0</v>
      </c>
      <c r="B18386" s="17">
        <f t="array" ref="B18386">SUM(1-'Sparkling Model'!D$2:D$38^A18386)</f>
        <v>36.99961278</v>
      </c>
      <c r="C18386" s="8">
        <f t="array" ref="C18386">PRODUCT(1-'Sparkling Model'!D$2:D$38^A18386)</f>
        <v>0.9996128278</v>
      </c>
    </row>
    <row r="18387">
      <c r="A18387" s="6">
        <v>18385.0</v>
      </c>
      <c r="B18387" s="17">
        <f t="array" ref="B18387">SUM(1-'Sparkling Model'!D$2:D$38^A18387)</f>
        <v>36.99961297</v>
      </c>
      <c r="C18387" s="8">
        <f t="array" ref="C18387">PRODUCT(1-'Sparkling Model'!D$2:D$38^A18387)</f>
        <v>0.9996130181</v>
      </c>
    </row>
    <row r="18388">
      <c r="A18388" s="6">
        <v>18386.0</v>
      </c>
      <c r="B18388" s="17">
        <f t="array" ref="B18388">SUM(1-'Sparkling Model'!D$2:D$38^A18388)</f>
        <v>36.99961316</v>
      </c>
      <c r="C18388" s="8">
        <f t="array" ref="C18388">PRODUCT(1-'Sparkling Model'!D$2:D$38^A18388)</f>
        <v>0.9996132084</v>
      </c>
    </row>
    <row r="18389">
      <c r="A18389" s="6">
        <v>18387.0</v>
      </c>
      <c r="B18389" s="17">
        <f t="array" ref="B18389">SUM(1-'Sparkling Model'!D$2:D$38^A18389)</f>
        <v>36.99961335</v>
      </c>
      <c r="C18389" s="8">
        <f t="array" ref="C18389">PRODUCT(1-'Sparkling Model'!D$2:D$38^A18389)</f>
        <v>0.9996133985</v>
      </c>
    </row>
    <row r="18390">
      <c r="A18390" s="6">
        <v>18388.0</v>
      </c>
      <c r="B18390" s="17">
        <f t="array" ref="B18390">SUM(1-'Sparkling Model'!D$2:D$38^A18390)</f>
        <v>36.99961354</v>
      </c>
      <c r="C18390" s="8">
        <f t="array" ref="C18390">PRODUCT(1-'Sparkling Model'!D$2:D$38^A18390)</f>
        <v>0.9996135886</v>
      </c>
    </row>
    <row r="18391">
      <c r="A18391" s="6">
        <v>18389.0</v>
      </c>
      <c r="B18391" s="17">
        <f t="array" ref="B18391">SUM(1-'Sparkling Model'!D$2:D$38^A18391)</f>
        <v>36.99961373</v>
      </c>
      <c r="C18391" s="8">
        <f t="array" ref="C18391">PRODUCT(1-'Sparkling Model'!D$2:D$38^A18391)</f>
        <v>0.9996137785</v>
      </c>
    </row>
    <row r="18392">
      <c r="A18392" s="6">
        <v>18390.0</v>
      </c>
      <c r="B18392" s="17">
        <f t="array" ref="B18392">SUM(1-'Sparkling Model'!D$2:D$38^A18392)</f>
        <v>36.99961392</v>
      </c>
      <c r="C18392" s="8">
        <f t="array" ref="C18392">PRODUCT(1-'Sparkling Model'!D$2:D$38^A18392)</f>
        <v>0.9996139684</v>
      </c>
    </row>
    <row r="18393">
      <c r="A18393" s="6">
        <v>18391.0</v>
      </c>
      <c r="B18393" s="17">
        <f t="array" ref="B18393">SUM(1-'Sparkling Model'!D$2:D$38^A18393)</f>
        <v>36.99961411</v>
      </c>
      <c r="C18393" s="8">
        <f t="array" ref="C18393">PRODUCT(1-'Sparkling Model'!D$2:D$38^A18393)</f>
        <v>0.9996141581</v>
      </c>
    </row>
    <row r="18394">
      <c r="A18394" s="6">
        <v>18392.0</v>
      </c>
      <c r="B18394" s="17">
        <f t="array" ref="B18394">SUM(1-'Sparkling Model'!D$2:D$38^A18394)</f>
        <v>36.9996143</v>
      </c>
      <c r="C18394" s="8">
        <f t="array" ref="C18394">PRODUCT(1-'Sparkling Model'!D$2:D$38^A18394)</f>
        <v>0.9996143478</v>
      </c>
    </row>
    <row r="18395">
      <c r="A18395" s="6">
        <v>18393.0</v>
      </c>
      <c r="B18395" s="17">
        <f t="array" ref="B18395">SUM(1-'Sparkling Model'!D$2:D$38^A18395)</f>
        <v>36.99961449</v>
      </c>
      <c r="C18395" s="8">
        <f t="array" ref="C18395">PRODUCT(1-'Sparkling Model'!D$2:D$38^A18395)</f>
        <v>0.9996145374</v>
      </c>
    </row>
    <row r="18396">
      <c r="A18396" s="6">
        <v>18394.0</v>
      </c>
      <c r="B18396" s="17">
        <f t="array" ref="B18396">SUM(1-'Sparkling Model'!D$2:D$38^A18396)</f>
        <v>36.99961468</v>
      </c>
      <c r="C18396" s="8">
        <f t="array" ref="C18396">PRODUCT(1-'Sparkling Model'!D$2:D$38^A18396)</f>
        <v>0.9996147269</v>
      </c>
    </row>
    <row r="18397">
      <c r="A18397" s="6">
        <v>18395.0</v>
      </c>
      <c r="B18397" s="17">
        <f t="array" ref="B18397">SUM(1-'Sparkling Model'!D$2:D$38^A18397)</f>
        <v>36.99961487</v>
      </c>
      <c r="C18397" s="8">
        <f t="array" ref="C18397">PRODUCT(1-'Sparkling Model'!D$2:D$38^A18397)</f>
        <v>0.9996149163</v>
      </c>
    </row>
    <row r="18398">
      <c r="A18398" s="6">
        <v>18396.0</v>
      </c>
      <c r="B18398" s="17">
        <f t="array" ref="B18398">SUM(1-'Sparkling Model'!D$2:D$38^A18398)</f>
        <v>36.99961506</v>
      </c>
      <c r="C18398" s="8">
        <f t="array" ref="C18398">PRODUCT(1-'Sparkling Model'!D$2:D$38^A18398)</f>
        <v>0.9996151056</v>
      </c>
    </row>
    <row r="18399">
      <c r="A18399" s="6">
        <v>18397.0</v>
      </c>
      <c r="B18399" s="17">
        <f t="array" ref="B18399">SUM(1-'Sparkling Model'!D$2:D$38^A18399)</f>
        <v>36.99961524</v>
      </c>
      <c r="C18399" s="8">
        <f t="array" ref="C18399">PRODUCT(1-'Sparkling Model'!D$2:D$38^A18399)</f>
        <v>0.9996152948</v>
      </c>
    </row>
    <row r="18400">
      <c r="A18400" s="6">
        <v>18398.0</v>
      </c>
      <c r="B18400" s="17">
        <f t="array" ref="B18400">SUM(1-'Sparkling Model'!D$2:D$38^A18400)</f>
        <v>36.99961543</v>
      </c>
      <c r="C18400" s="8">
        <f t="array" ref="C18400">PRODUCT(1-'Sparkling Model'!D$2:D$38^A18400)</f>
        <v>0.9996154839</v>
      </c>
    </row>
    <row r="18401">
      <c r="A18401" s="6">
        <v>18399.0</v>
      </c>
      <c r="B18401" s="17">
        <f t="array" ref="B18401">SUM(1-'Sparkling Model'!D$2:D$38^A18401)</f>
        <v>36.99961562</v>
      </c>
      <c r="C18401" s="8">
        <f t="array" ref="C18401">PRODUCT(1-'Sparkling Model'!D$2:D$38^A18401)</f>
        <v>0.9996156729</v>
      </c>
    </row>
    <row r="18402">
      <c r="A18402" s="6">
        <v>18400.0</v>
      </c>
      <c r="B18402" s="17">
        <f t="array" ref="B18402">SUM(1-'Sparkling Model'!D$2:D$38^A18402)</f>
        <v>36.99961581</v>
      </c>
      <c r="C18402" s="8">
        <f t="array" ref="C18402">PRODUCT(1-'Sparkling Model'!D$2:D$38^A18402)</f>
        <v>0.9996158619</v>
      </c>
    </row>
    <row r="18403">
      <c r="A18403" s="6">
        <v>18401.0</v>
      </c>
      <c r="B18403" s="17">
        <f t="array" ref="B18403">SUM(1-'Sparkling Model'!D$2:D$38^A18403)</f>
        <v>36.999616</v>
      </c>
      <c r="C18403" s="8">
        <f t="array" ref="C18403">PRODUCT(1-'Sparkling Model'!D$2:D$38^A18403)</f>
        <v>0.9996160507</v>
      </c>
    </row>
    <row r="18404">
      <c r="A18404" s="6">
        <v>18402.0</v>
      </c>
      <c r="B18404" s="17">
        <f t="array" ref="B18404">SUM(1-'Sparkling Model'!D$2:D$38^A18404)</f>
        <v>36.99961619</v>
      </c>
      <c r="C18404" s="8">
        <f t="array" ref="C18404">PRODUCT(1-'Sparkling Model'!D$2:D$38^A18404)</f>
        <v>0.9996162395</v>
      </c>
    </row>
    <row r="18405">
      <c r="A18405" s="6">
        <v>18403.0</v>
      </c>
      <c r="B18405" s="17">
        <f t="array" ref="B18405">SUM(1-'Sparkling Model'!D$2:D$38^A18405)</f>
        <v>36.99961638</v>
      </c>
      <c r="C18405" s="8">
        <f t="array" ref="C18405">PRODUCT(1-'Sparkling Model'!D$2:D$38^A18405)</f>
        <v>0.9996164281</v>
      </c>
    </row>
    <row r="18406">
      <c r="A18406" s="6">
        <v>18404.0</v>
      </c>
      <c r="B18406" s="17">
        <f t="array" ref="B18406">SUM(1-'Sparkling Model'!D$2:D$38^A18406)</f>
        <v>36.99961657</v>
      </c>
      <c r="C18406" s="8">
        <f t="array" ref="C18406">PRODUCT(1-'Sparkling Model'!D$2:D$38^A18406)</f>
        <v>0.9996166167</v>
      </c>
    </row>
    <row r="18407">
      <c r="A18407" s="6">
        <v>18405.0</v>
      </c>
      <c r="B18407" s="17">
        <f t="array" ref="B18407">SUM(1-'Sparkling Model'!D$2:D$38^A18407)</f>
        <v>36.99961676</v>
      </c>
      <c r="C18407" s="8">
        <f t="array" ref="C18407">PRODUCT(1-'Sparkling Model'!D$2:D$38^A18407)</f>
        <v>0.9996168051</v>
      </c>
    </row>
    <row r="18408">
      <c r="A18408" s="6">
        <v>18406.0</v>
      </c>
      <c r="B18408" s="17">
        <f t="array" ref="B18408">SUM(1-'Sparkling Model'!D$2:D$38^A18408)</f>
        <v>36.99961694</v>
      </c>
      <c r="C18408" s="8">
        <f t="array" ref="C18408">PRODUCT(1-'Sparkling Model'!D$2:D$38^A18408)</f>
        <v>0.9996169935</v>
      </c>
    </row>
    <row r="18409">
      <c r="A18409" s="6">
        <v>18407.0</v>
      </c>
      <c r="B18409" s="17">
        <f t="array" ref="B18409">SUM(1-'Sparkling Model'!D$2:D$38^A18409)</f>
        <v>36.99961713</v>
      </c>
      <c r="C18409" s="8">
        <f t="array" ref="C18409">PRODUCT(1-'Sparkling Model'!D$2:D$38^A18409)</f>
        <v>0.9996171818</v>
      </c>
    </row>
    <row r="18410">
      <c r="A18410" s="6">
        <v>18408.0</v>
      </c>
      <c r="B18410" s="17">
        <f t="array" ref="B18410">SUM(1-'Sparkling Model'!D$2:D$38^A18410)</f>
        <v>36.99961732</v>
      </c>
      <c r="C18410" s="8">
        <f t="array" ref="C18410">PRODUCT(1-'Sparkling Model'!D$2:D$38^A18410)</f>
        <v>0.99961737</v>
      </c>
    </row>
    <row r="18411">
      <c r="A18411" s="6">
        <v>18409.0</v>
      </c>
      <c r="B18411" s="17">
        <f t="array" ref="B18411">SUM(1-'Sparkling Model'!D$2:D$38^A18411)</f>
        <v>36.99961751</v>
      </c>
      <c r="C18411" s="8">
        <f t="array" ref="C18411">PRODUCT(1-'Sparkling Model'!D$2:D$38^A18411)</f>
        <v>0.9996175581</v>
      </c>
    </row>
    <row r="18412">
      <c r="A18412" s="6">
        <v>18410.0</v>
      </c>
      <c r="B18412" s="17">
        <f t="array" ref="B18412">SUM(1-'Sparkling Model'!D$2:D$38^A18412)</f>
        <v>36.9996177</v>
      </c>
      <c r="C18412" s="8">
        <f t="array" ref="C18412">PRODUCT(1-'Sparkling Model'!D$2:D$38^A18412)</f>
        <v>0.9996177461</v>
      </c>
    </row>
    <row r="18413">
      <c r="A18413" s="6">
        <v>18411.0</v>
      </c>
      <c r="B18413" s="17">
        <f t="array" ref="B18413">SUM(1-'Sparkling Model'!D$2:D$38^A18413)</f>
        <v>36.99961788</v>
      </c>
      <c r="C18413" s="8">
        <f t="array" ref="C18413">PRODUCT(1-'Sparkling Model'!D$2:D$38^A18413)</f>
        <v>0.999617934</v>
      </c>
    </row>
    <row r="18414">
      <c r="A18414" s="6">
        <v>18412.0</v>
      </c>
      <c r="B18414" s="17">
        <f t="array" ref="B18414">SUM(1-'Sparkling Model'!D$2:D$38^A18414)</f>
        <v>36.99961807</v>
      </c>
      <c r="C18414" s="8">
        <f t="array" ref="C18414">PRODUCT(1-'Sparkling Model'!D$2:D$38^A18414)</f>
        <v>0.9996181218</v>
      </c>
    </row>
    <row r="18415">
      <c r="A18415" s="6">
        <v>18413.0</v>
      </c>
      <c r="B18415" s="17">
        <f t="array" ref="B18415">SUM(1-'Sparkling Model'!D$2:D$38^A18415)</f>
        <v>36.99961826</v>
      </c>
      <c r="C18415" s="8">
        <f t="array" ref="C18415">PRODUCT(1-'Sparkling Model'!D$2:D$38^A18415)</f>
        <v>0.9996183095</v>
      </c>
    </row>
    <row r="18416">
      <c r="A18416" s="6">
        <v>18414.0</v>
      </c>
      <c r="B18416" s="17">
        <f t="array" ref="B18416">SUM(1-'Sparkling Model'!D$2:D$38^A18416)</f>
        <v>36.99961845</v>
      </c>
      <c r="C18416" s="8">
        <f t="array" ref="C18416">PRODUCT(1-'Sparkling Model'!D$2:D$38^A18416)</f>
        <v>0.9996184972</v>
      </c>
    </row>
    <row r="18417">
      <c r="A18417" s="6">
        <v>18415.0</v>
      </c>
      <c r="B18417" s="17">
        <f t="array" ref="B18417">SUM(1-'Sparkling Model'!D$2:D$38^A18417)</f>
        <v>36.99961864</v>
      </c>
      <c r="C18417" s="8">
        <f t="array" ref="C18417">PRODUCT(1-'Sparkling Model'!D$2:D$38^A18417)</f>
        <v>0.9996186847</v>
      </c>
    </row>
    <row r="18418">
      <c r="A18418" s="6">
        <v>18416.0</v>
      </c>
      <c r="B18418" s="17">
        <f t="array" ref="B18418">SUM(1-'Sparkling Model'!D$2:D$38^A18418)</f>
        <v>36.99961882</v>
      </c>
      <c r="C18418" s="8">
        <f t="array" ref="C18418">PRODUCT(1-'Sparkling Model'!D$2:D$38^A18418)</f>
        <v>0.9996188721</v>
      </c>
    </row>
    <row r="18419">
      <c r="A18419" s="6">
        <v>18417.0</v>
      </c>
      <c r="B18419" s="17">
        <f t="array" ref="B18419">SUM(1-'Sparkling Model'!D$2:D$38^A18419)</f>
        <v>36.99961901</v>
      </c>
      <c r="C18419" s="8">
        <f t="array" ref="C18419">PRODUCT(1-'Sparkling Model'!D$2:D$38^A18419)</f>
        <v>0.9996190595</v>
      </c>
    </row>
    <row r="18420">
      <c r="A18420" s="6">
        <v>18418.0</v>
      </c>
      <c r="B18420" s="17">
        <f t="array" ref="B18420">SUM(1-'Sparkling Model'!D$2:D$38^A18420)</f>
        <v>36.9996192</v>
      </c>
      <c r="C18420" s="8">
        <f t="array" ref="C18420">PRODUCT(1-'Sparkling Model'!D$2:D$38^A18420)</f>
        <v>0.9996192468</v>
      </c>
    </row>
    <row r="18421">
      <c r="A18421" s="6">
        <v>18419.0</v>
      </c>
      <c r="B18421" s="17">
        <f t="array" ref="B18421">SUM(1-'Sparkling Model'!D$2:D$38^A18421)</f>
        <v>36.99961938</v>
      </c>
      <c r="C18421" s="8">
        <f t="array" ref="C18421">PRODUCT(1-'Sparkling Model'!D$2:D$38^A18421)</f>
        <v>0.9996194339</v>
      </c>
    </row>
    <row r="18422">
      <c r="A18422" s="6">
        <v>18420.0</v>
      </c>
      <c r="B18422" s="17">
        <f t="array" ref="B18422">SUM(1-'Sparkling Model'!D$2:D$38^A18422)</f>
        <v>36.99961957</v>
      </c>
      <c r="C18422" s="8">
        <f t="array" ref="C18422">PRODUCT(1-'Sparkling Model'!D$2:D$38^A18422)</f>
        <v>0.999619621</v>
      </c>
    </row>
    <row r="18423">
      <c r="A18423" s="6">
        <v>18421.0</v>
      </c>
      <c r="B18423" s="17">
        <f t="array" ref="B18423">SUM(1-'Sparkling Model'!D$2:D$38^A18423)</f>
        <v>36.99961976</v>
      </c>
      <c r="C18423" s="8">
        <f t="array" ref="C18423">PRODUCT(1-'Sparkling Model'!D$2:D$38^A18423)</f>
        <v>0.999619808</v>
      </c>
    </row>
    <row r="18424">
      <c r="A18424" s="6">
        <v>18422.0</v>
      </c>
      <c r="B18424" s="17">
        <f t="array" ref="B18424">SUM(1-'Sparkling Model'!D$2:D$38^A18424)</f>
        <v>36.99961995</v>
      </c>
      <c r="C18424" s="8">
        <f t="array" ref="C18424">PRODUCT(1-'Sparkling Model'!D$2:D$38^A18424)</f>
        <v>0.9996199949</v>
      </c>
    </row>
    <row r="18425">
      <c r="A18425" s="6">
        <v>18423.0</v>
      </c>
      <c r="B18425" s="17">
        <f t="array" ref="B18425">SUM(1-'Sparkling Model'!D$2:D$38^A18425)</f>
        <v>36.99962013</v>
      </c>
      <c r="C18425" s="8">
        <f t="array" ref="C18425">PRODUCT(1-'Sparkling Model'!D$2:D$38^A18425)</f>
        <v>0.9996201817</v>
      </c>
    </row>
    <row r="18426">
      <c r="A18426" s="6">
        <v>18424.0</v>
      </c>
      <c r="B18426" s="17">
        <f t="array" ref="B18426">SUM(1-'Sparkling Model'!D$2:D$38^A18426)</f>
        <v>36.99962032</v>
      </c>
      <c r="C18426" s="8">
        <f t="array" ref="C18426">PRODUCT(1-'Sparkling Model'!D$2:D$38^A18426)</f>
        <v>0.9996203684</v>
      </c>
    </row>
    <row r="18427">
      <c r="A18427" s="6">
        <v>18425.0</v>
      </c>
      <c r="B18427" s="17">
        <f t="array" ref="B18427">SUM(1-'Sparkling Model'!D$2:D$38^A18427)</f>
        <v>36.99962051</v>
      </c>
      <c r="C18427" s="8">
        <f t="array" ref="C18427">PRODUCT(1-'Sparkling Model'!D$2:D$38^A18427)</f>
        <v>0.999620555</v>
      </c>
    </row>
    <row r="18428">
      <c r="A18428" s="6">
        <v>18426.0</v>
      </c>
      <c r="B18428" s="17">
        <f t="array" ref="B18428">SUM(1-'Sparkling Model'!D$2:D$38^A18428)</f>
        <v>36.99962069</v>
      </c>
      <c r="C18428" s="8">
        <f t="array" ref="C18428">PRODUCT(1-'Sparkling Model'!D$2:D$38^A18428)</f>
        <v>0.9996207415</v>
      </c>
    </row>
    <row r="18429">
      <c r="A18429" s="6">
        <v>18427.0</v>
      </c>
      <c r="B18429" s="17">
        <f t="array" ref="B18429">SUM(1-'Sparkling Model'!D$2:D$38^A18429)</f>
        <v>36.99962088</v>
      </c>
      <c r="C18429" s="8">
        <f t="array" ref="C18429">PRODUCT(1-'Sparkling Model'!D$2:D$38^A18429)</f>
        <v>0.999620928</v>
      </c>
    </row>
    <row r="18430">
      <c r="A18430" s="6">
        <v>18428.0</v>
      </c>
      <c r="B18430" s="17">
        <f t="array" ref="B18430">SUM(1-'Sparkling Model'!D$2:D$38^A18430)</f>
        <v>36.99962107</v>
      </c>
      <c r="C18430" s="8">
        <f t="array" ref="C18430">PRODUCT(1-'Sparkling Model'!D$2:D$38^A18430)</f>
        <v>0.9996211143</v>
      </c>
    </row>
    <row r="18431">
      <c r="A18431" s="6">
        <v>18429.0</v>
      </c>
      <c r="B18431" s="17">
        <f t="array" ref="B18431">SUM(1-'Sparkling Model'!D$2:D$38^A18431)</f>
        <v>36.99962125</v>
      </c>
      <c r="C18431" s="8">
        <f t="array" ref="C18431">PRODUCT(1-'Sparkling Model'!D$2:D$38^A18431)</f>
        <v>0.9996213006</v>
      </c>
    </row>
    <row r="18432">
      <c r="A18432" s="6">
        <v>18430.0</v>
      </c>
      <c r="B18432" s="17">
        <f t="array" ref="B18432">SUM(1-'Sparkling Model'!D$2:D$38^A18432)</f>
        <v>36.99962144</v>
      </c>
      <c r="C18432" s="8">
        <f t="array" ref="C18432">PRODUCT(1-'Sparkling Model'!D$2:D$38^A18432)</f>
        <v>0.9996214867</v>
      </c>
    </row>
    <row r="18433">
      <c r="A18433" s="6">
        <v>18431.0</v>
      </c>
      <c r="B18433" s="17">
        <f t="array" ref="B18433">SUM(1-'Sparkling Model'!D$2:D$38^A18433)</f>
        <v>36.99962162</v>
      </c>
      <c r="C18433" s="8">
        <f t="array" ref="C18433">PRODUCT(1-'Sparkling Model'!D$2:D$38^A18433)</f>
        <v>0.9996216728</v>
      </c>
    </row>
    <row r="18434">
      <c r="A18434" s="6">
        <v>18432.0</v>
      </c>
      <c r="B18434" s="17">
        <f t="array" ref="B18434">SUM(1-'Sparkling Model'!D$2:D$38^A18434)</f>
        <v>36.99962181</v>
      </c>
      <c r="C18434" s="8">
        <f t="array" ref="C18434">PRODUCT(1-'Sparkling Model'!D$2:D$38^A18434)</f>
        <v>0.9996218588</v>
      </c>
    </row>
    <row r="18435">
      <c r="A18435" s="6">
        <v>18433.0</v>
      </c>
      <c r="B18435" s="17">
        <f t="array" ref="B18435">SUM(1-'Sparkling Model'!D$2:D$38^A18435)</f>
        <v>36.999622</v>
      </c>
      <c r="C18435" s="8">
        <f t="array" ref="C18435">PRODUCT(1-'Sparkling Model'!D$2:D$38^A18435)</f>
        <v>0.9996220447</v>
      </c>
    </row>
    <row r="18436">
      <c r="A18436" s="6">
        <v>18434.0</v>
      </c>
      <c r="B18436" s="17">
        <f t="array" ref="B18436">SUM(1-'Sparkling Model'!D$2:D$38^A18436)</f>
        <v>36.99962218</v>
      </c>
      <c r="C18436" s="8">
        <f t="array" ref="C18436">PRODUCT(1-'Sparkling Model'!D$2:D$38^A18436)</f>
        <v>0.9996222304</v>
      </c>
    </row>
    <row r="18437">
      <c r="A18437" s="6">
        <v>18435.0</v>
      </c>
      <c r="B18437" s="17">
        <f t="array" ref="B18437">SUM(1-'Sparkling Model'!D$2:D$38^A18437)</f>
        <v>36.99962237</v>
      </c>
      <c r="C18437" s="8">
        <f t="array" ref="C18437">PRODUCT(1-'Sparkling Model'!D$2:D$38^A18437)</f>
        <v>0.9996224161</v>
      </c>
    </row>
    <row r="18438">
      <c r="A18438" s="6">
        <v>18436.0</v>
      </c>
      <c r="B18438" s="17">
        <f t="array" ref="B18438">SUM(1-'Sparkling Model'!D$2:D$38^A18438)</f>
        <v>36.99962255</v>
      </c>
      <c r="C18438" s="8">
        <f t="array" ref="C18438">PRODUCT(1-'Sparkling Model'!D$2:D$38^A18438)</f>
        <v>0.9996226018</v>
      </c>
    </row>
    <row r="18439">
      <c r="A18439" s="6">
        <v>18437.0</v>
      </c>
      <c r="B18439" s="17">
        <f t="array" ref="B18439">SUM(1-'Sparkling Model'!D$2:D$38^A18439)</f>
        <v>36.99962274</v>
      </c>
      <c r="C18439" s="8">
        <f t="array" ref="C18439">PRODUCT(1-'Sparkling Model'!D$2:D$38^A18439)</f>
        <v>0.9996227873</v>
      </c>
    </row>
    <row r="18440">
      <c r="A18440" s="6">
        <v>18438.0</v>
      </c>
      <c r="B18440" s="17">
        <f t="array" ref="B18440">SUM(1-'Sparkling Model'!D$2:D$38^A18440)</f>
        <v>36.99962292</v>
      </c>
      <c r="C18440" s="8">
        <f t="array" ref="C18440">PRODUCT(1-'Sparkling Model'!D$2:D$38^A18440)</f>
        <v>0.9996229727</v>
      </c>
    </row>
    <row r="18441">
      <c r="A18441" s="6">
        <v>18439.0</v>
      </c>
      <c r="B18441" s="17">
        <f t="array" ref="B18441">SUM(1-'Sparkling Model'!D$2:D$38^A18441)</f>
        <v>36.99962311</v>
      </c>
      <c r="C18441" s="8">
        <f t="array" ref="C18441">PRODUCT(1-'Sparkling Model'!D$2:D$38^A18441)</f>
        <v>0.999623158</v>
      </c>
    </row>
    <row r="18442">
      <c r="A18442" s="6">
        <v>18440.0</v>
      </c>
      <c r="B18442" s="17">
        <f t="array" ref="B18442">SUM(1-'Sparkling Model'!D$2:D$38^A18442)</f>
        <v>36.99962329</v>
      </c>
      <c r="C18442" s="8">
        <f t="array" ref="C18442">PRODUCT(1-'Sparkling Model'!D$2:D$38^A18442)</f>
        <v>0.9996233433</v>
      </c>
    </row>
    <row r="18443">
      <c r="A18443" s="6">
        <v>18441.0</v>
      </c>
      <c r="B18443" s="17">
        <f t="array" ref="B18443">SUM(1-'Sparkling Model'!D$2:D$38^A18443)</f>
        <v>36.99962348</v>
      </c>
      <c r="C18443" s="8">
        <f t="array" ref="C18443">PRODUCT(1-'Sparkling Model'!D$2:D$38^A18443)</f>
        <v>0.9996235284</v>
      </c>
    </row>
    <row r="18444">
      <c r="A18444" s="6">
        <v>18442.0</v>
      </c>
      <c r="B18444" s="17">
        <f t="array" ref="B18444">SUM(1-'Sparkling Model'!D$2:D$38^A18444)</f>
        <v>36.99962367</v>
      </c>
      <c r="C18444" s="8">
        <f t="array" ref="C18444">PRODUCT(1-'Sparkling Model'!D$2:D$38^A18444)</f>
        <v>0.9996237135</v>
      </c>
    </row>
    <row r="18445">
      <c r="A18445" s="6">
        <v>18443.0</v>
      </c>
      <c r="B18445" s="17">
        <f t="array" ref="B18445">SUM(1-'Sparkling Model'!D$2:D$38^A18445)</f>
        <v>36.99962385</v>
      </c>
      <c r="C18445" s="8">
        <f t="array" ref="C18445">PRODUCT(1-'Sparkling Model'!D$2:D$38^A18445)</f>
        <v>0.9996238985</v>
      </c>
    </row>
    <row r="18446">
      <c r="A18446" s="6">
        <v>18444.0</v>
      </c>
      <c r="B18446" s="17">
        <f t="array" ref="B18446">SUM(1-'Sparkling Model'!D$2:D$38^A18446)</f>
        <v>36.99962404</v>
      </c>
      <c r="C18446" s="8">
        <f t="array" ref="C18446">PRODUCT(1-'Sparkling Model'!D$2:D$38^A18446)</f>
        <v>0.9996240833</v>
      </c>
    </row>
    <row r="18447">
      <c r="A18447" s="6">
        <v>18445.0</v>
      </c>
      <c r="B18447" s="17">
        <f t="array" ref="B18447">SUM(1-'Sparkling Model'!D$2:D$38^A18447)</f>
        <v>36.99962422</v>
      </c>
      <c r="C18447" s="8">
        <f t="array" ref="C18447">PRODUCT(1-'Sparkling Model'!D$2:D$38^A18447)</f>
        <v>0.9996242681</v>
      </c>
    </row>
    <row r="18448">
      <c r="A18448" s="6">
        <v>18446.0</v>
      </c>
      <c r="B18448" s="17">
        <f t="array" ref="B18448">SUM(1-'Sparkling Model'!D$2:D$38^A18448)</f>
        <v>36.9996244</v>
      </c>
      <c r="C18448" s="8">
        <f t="array" ref="C18448">PRODUCT(1-'Sparkling Model'!D$2:D$38^A18448)</f>
        <v>0.9996244528</v>
      </c>
    </row>
    <row r="18449">
      <c r="A18449" s="6">
        <v>18447.0</v>
      </c>
      <c r="B18449" s="17">
        <f t="array" ref="B18449">SUM(1-'Sparkling Model'!D$2:D$38^A18449)</f>
        <v>36.99962459</v>
      </c>
      <c r="C18449" s="8">
        <f t="array" ref="C18449">PRODUCT(1-'Sparkling Model'!D$2:D$38^A18449)</f>
        <v>0.9996246374</v>
      </c>
    </row>
    <row r="18450">
      <c r="A18450" s="6">
        <v>18448.0</v>
      </c>
      <c r="B18450" s="17">
        <f t="array" ref="B18450">SUM(1-'Sparkling Model'!D$2:D$38^A18450)</f>
        <v>36.99962477</v>
      </c>
      <c r="C18450" s="8">
        <f t="array" ref="C18450">PRODUCT(1-'Sparkling Model'!D$2:D$38^A18450)</f>
        <v>0.999624822</v>
      </c>
    </row>
    <row r="18451">
      <c r="A18451" s="6">
        <v>18449.0</v>
      </c>
      <c r="B18451" s="17">
        <f t="array" ref="B18451">SUM(1-'Sparkling Model'!D$2:D$38^A18451)</f>
        <v>36.99962496</v>
      </c>
      <c r="C18451" s="8">
        <f t="array" ref="C18451">PRODUCT(1-'Sparkling Model'!D$2:D$38^A18451)</f>
        <v>0.9996250064</v>
      </c>
    </row>
    <row r="18452">
      <c r="A18452" s="6">
        <v>18450.0</v>
      </c>
      <c r="B18452" s="17">
        <f t="array" ref="B18452">SUM(1-'Sparkling Model'!D$2:D$38^A18452)</f>
        <v>36.99962514</v>
      </c>
      <c r="C18452" s="8">
        <f t="array" ref="C18452">PRODUCT(1-'Sparkling Model'!D$2:D$38^A18452)</f>
        <v>0.9996251907</v>
      </c>
    </row>
    <row r="18453">
      <c r="A18453" s="6">
        <v>18451.0</v>
      </c>
      <c r="B18453" s="17">
        <f t="array" ref="B18453">SUM(1-'Sparkling Model'!D$2:D$38^A18453)</f>
        <v>36.99962533</v>
      </c>
      <c r="C18453" s="8">
        <f t="array" ref="C18453">PRODUCT(1-'Sparkling Model'!D$2:D$38^A18453)</f>
        <v>0.999625375</v>
      </c>
    </row>
    <row r="18454">
      <c r="A18454" s="6">
        <v>18452.0</v>
      </c>
      <c r="B18454" s="17">
        <f t="array" ref="B18454">SUM(1-'Sparkling Model'!D$2:D$38^A18454)</f>
        <v>36.99962551</v>
      </c>
      <c r="C18454" s="8">
        <f t="array" ref="C18454">PRODUCT(1-'Sparkling Model'!D$2:D$38^A18454)</f>
        <v>0.9996255591</v>
      </c>
    </row>
    <row r="18455">
      <c r="A18455" s="6">
        <v>18453.0</v>
      </c>
      <c r="B18455" s="17">
        <f t="array" ref="B18455">SUM(1-'Sparkling Model'!D$2:D$38^A18455)</f>
        <v>36.9996257</v>
      </c>
      <c r="C18455" s="8">
        <f t="array" ref="C18455">PRODUCT(1-'Sparkling Model'!D$2:D$38^A18455)</f>
        <v>0.9996257432</v>
      </c>
    </row>
    <row r="18456">
      <c r="A18456" s="6">
        <v>18454.0</v>
      </c>
      <c r="B18456" s="17">
        <f t="array" ref="B18456">SUM(1-'Sparkling Model'!D$2:D$38^A18456)</f>
        <v>36.99962588</v>
      </c>
      <c r="C18456" s="8">
        <f t="array" ref="C18456">PRODUCT(1-'Sparkling Model'!D$2:D$38^A18456)</f>
        <v>0.9996259271</v>
      </c>
    </row>
    <row r="18457">
      <c r="A18457" s="6">
        <v>18455.0</v>
      </c>
      <c r="B18457" s="17">
        <f t="array" ref="B18457">SUM(1-'Sparkling Model'!D$2:D$38^A18457)</f>
        <v>36.99962606</v>
      </c>
      <c r="C18457" s="8">
        <f t="array" ref="C18457">PRODUCT(1-'Sparkling Model'!D$2:D$38^A18457)</f>
        <v>0.999626111</v>
      </c>
    </row>
    <row r="18458">
      <c r="A18458" s="6">
        <v>18456.0</v>
      </c>
      <c r="B18458" s="17">
        <f t="array" ref="B18458">SUM(1-'Sparkling Model'!D$2:D$38^A18458)</f>
        <v>36.99962625</v>
      </c>
      <c r="C18458" s="8">
        <f t="array" ref="C18458">PRODUCT(1-'Sparkling Model'!D$2:D$38^A18458)</f>
        <v>0.9996262948</v>
      </c>
    </row>
    <row r="18459">
      <c r="A18459" s="6">
        <v>18457.0</v>
      </c>
      <c r="B18459" s="17">
        <f t="array" ref="B18459">SUM(1-'Sparkling Model'!D$2:D$38^A18459)</f>
        <v>36.99962643</v>
      </c>
      <c r="C18459" s="8">
        <f t="array" ref="C18459">PRODUCT(1-'Sparkling Model'!D$2:D$38^A18459)</f>
        <v>0.9996264785</v>
      </c>
    </row>
    <row r="18460">
      <c r="A18460" s="6">
        <v>18458.0</v>
      </c>
      <c r="B18460" s="17">
        <f t="array" ref="B18460">SUM(1-'Sparkling Model'!D$2:D$38^A18460)</f>
        <v>36.99962661</v>
      </c>
      <c r="C18460" s="8">
        <f t="array" ref="C18460">PRODUCT(1-'Sparkling Model'!D$2:D$38^A18460)</f>
        <v>0.9996266621</v>
      </c>
    </row>
    <row r="18461">
      <c r="A18461" s="6">
        <v>18459.0</v>
      </c>
      <c r="B18461" s="17">
        <f t="array" ref="B18461">SUM(1-'Sparkling Model'!D$2:D$38^A18461)</f>
        <v>36.9996268</v>
      </c>
      <c r="C18461" s="8">
        <f t="array" ref="C18461">PRODUCT(1-'Sparkling Model'!D$2:D$38^A18461)</f>
        <v>0.9996268456</v>
      </c>
    </row>
    <row r="18462">
      <c r="A18462" s="6">
        <v>18460.0</v>
      </c>
      <c r="B18462" s="17">
        <f t="array" ref="B18462">SUM(1-'Sparkling Model'!D$2:D$38^A18462)</f>
        <v>36.99962698</v>
      </c>
      <c r="C18462" s="8">
        <f t="array" ref="C18462">PRODUCT(1-'Sparkling Model'!D$2:D$38^A18462)</f>
        <v>0.9996270291</v>
      </c>
    </row>
    <row r="18463">
      <c r="A18463" s="6">
        <v>18461.0</v>
      </c>
      <c r="B18463" s="17">
        <f t="array" ref="B18463">SUM(1-'Sparkling Model'!D$2:D$38^A18463)</f>
        <v>36.99962717</v>
      </c>
      <c r="C18463" s="8">
        <f t="array" ref="C18463">PRODUCT(1-'Sparkling Model'!D$2:D$38^A18463)</f>
        <v>0.9996272124</v>
      </c>
    </row>
    <row r="18464">
      <c r="A18464" s="6">
        <v>18462.0</v>
      </c>
      <c r="B18464" s="17">
        <f t="array" ref="B18464">SUM(1-'Sparkling Model'!D$2:D$38^A18464)</f>
        <v>36.99962735</v>
      </c>
      <c r="C18464" s="8">
        <f t="array" ref="C18464">PRODUCT(1-'Sparkling Model'!D$2:D$38^A18464)</f>
        <v>0.9996273956</v>
      </c>
    </row>
    <row r="18465">
      <c r="A18465" s="6">
        <v>18463.0</v>
      </c>
      <c r="B18465" s="17">
        <f t="array" ref="B18465">SUM(1-'Sparkling Model'!D$2:D$38^A18465)</f>
        <v>36.99962753</v>
      </c>
      <c r="C18465" s="8">
        <f t="array" ref="C18465">PRODUCT(1-'Sparkling Model'!D$2:D$38^A18465)</f>
        <v>0.9996275788</v>
      </c>
    </row>
    <row r="18466">
      <c r="A18466" s="6">
        <v>18464.0</v>
      </c>
      <c r="B18466" s="17">
        <f t="array" ref="B18466">SUM(1-'Sparkling Model'!D$2:D$38^A18466)</f>
        <v>36.99962771</v>
      </c>
      <c r="C18466" s="8">
        <f t="array" ref="C18466">PRODUCT(1-'Sparkling Model'!D$2:D$38^A18466)</f>
        <v>0.9996277619</v>
      </c>
    </row>
    <row r="18467">
      <c r="A18467" s="6">
        <v>18465.0</v>
      </c>
      <c r="B18467" s="17">
        <f t="array" ref="B18467">SUM(1-'Sparkling Model'!D$2:D$38^A18467)</f>
        <v>36.9996279</v>
      </c>
      <c r="C18467" s="8">
        <f t="array" ref="C18467">PRODUCT(1-'Sparkling Model'!D$2:D$38^A18467)</f>
        <v>0.9996279449</v>
      </c>
    </row>
    <row r="18468">
      <c r="A18468" s="6">
        <v>18466.0</v>
      </c>
      <c r="B18468" s="17">
        <f t="array" ref="B18468">SUM(1-'Sparkling Model'!D$2:D$38^A18468)</f>
        <v>36.99962808</v>
      </c>
      <c r="C18468" s="8">
        <f t="array" ref="C18468">PRODUCT(1-'Sparkling Model'!D$2:D$38^A18468)</f>
        <v>0.9996281277</v>
      </c>
    </row>
    <row r="18469">
      <c r="A18469" s="6">
        <v>18467.0</v>
      </c>
      <c r="B18469" s="17">
        <f t="array" ref="B18469">SUM(1-'Sparkling Model'!D$2:D$38^A18469)</f>
        <v>36.99962826</v>
      </c>
      <c r="C18469" s="8">
        <f t="array" ref="C18469">PRODUCT(1-'Sparkling Model'!D$2:D$38^A18469)</f>
        <v>0.9996283105</v>
      </c>
    </row>
    <row r="18470">
      <c r="A18470" s="6">
        <v>18468.0</v>
      </c>
      <c r="B18470" s="17">
        <f t="array" ref="B18470">SUM(1-'Sparkling Model'!D$2:D$38^A18470)</f>
        <v>36.99962845</v>
      </c>
      <c r="C18470" s="8">
        <f t="array" ref="C18470">PRODUCT(1-'Sparkling Model'!D$2:D$38^A18470)</f>
        <v>0.9996284932</v>
      </c>
    </row>
    <row r="18471">
      <c r="A18471" s="6">
        <v>18469.0</v>
      </c>
      <c r="B18471" s="17">
        <f t="array" ref="B18471">SUM(1-'Sparkling Model'!D$2:D$38^A18471)</f>
        <v>36.99962863</v>
      </c>
      <c r="C18471" s="8">
        <f t="array" ref="C18471">PRODUCT(1-'Sparkling Model'!D$2:D$38^A18471)</f>
        <v>0.9996286759</v>
      </c>
    </row>
    <row r="18472">
      <c r="A18472" s="6">
        <v>18470.0</v>
      </c>
      <c r="B18472" s="17">
        <f t="array" ref="B18472">SUM(1-'Sparkling Model'!D$2:D$38^A18472)</f>
        <v>36.99962881</v>
      </c>
      <c r="C18472" s="8">
        <f t="array" ref="C18472">PRODUCT(1-'Sparkling Model'!D$2:D$38^A18472)</f>
        <v>0.9996288584</v>
      </c>
    </row>
    <row r="18473">
      <c r="A18473" s="6">
        <v>18471.0</v>
      </c>
      <c r="B18473" s="17">
        <f t="array" ref="B18473">SUM(1-'Sparkling Model'!D$2:D$38^A18473)</f>
        <v>36.99962899</v>
      </c>
      <c r="C18473" s="8">
        <f t="array" ref="C18473">PRODUCT(1-'Sparkling Model'!D$2:D$38^A18473)</f>
        <v>0.9996290408</v>
      </c>
    </row>
    <row r="18474">
      <c r="A18474" s="6">
        <v>18472.0</v>
      </c>
      <c r="B18474" s="17">
        <f t="array" ref="B18474">SUM(1-'Sparkling Model'!D$2:D$38^A18474)</f>
        <v>36.99962918</v>
      </c>
      <c r="C18474" s="8">
        <f t="array" ref="C18474">PRODUCT(1-'Sparkling Model'!D$2:D$38^A18474)</f>
        <v>0.9996292232</v>
      </c>
    </row>
    <row r="18475">
      <c r="A18475" s="6">
        <v>18473.0</v>
      </c>
      <c r="B18475" s="17">
        <f t="array" ref="B18475">SUM(1-'Sparkling Model'!D$2:D$38^A18475)</f>
        <v>36.99962936</v>
      </c>
      <c r="C18475" s="8">
        <f t="array" ref="C18475">PRODUCT(1-'Sparkling Model'!D$2:D$38^A18475)</f>
        <v>0.9996294054</v>
      </c>
    </row>
    <row r="18476">
      <c r="A18476" s="6">
        <v>18474.0</v>
      </c>
      <c r="B18476" s="17">
        <f t="array" ref="B18476">SUM(1-'Sparkling Model'!D$2:D$38^A18476)</f>
        <v>36.99962954</v>
      </c>
      <c r="C18476" s="8">
        <f t="array" ref="C18476">PRODUCT(1-'Sparkling Model'!D$2:D$38^A18476)</f>
        <v>0.9996295876</v>
      </c>
    </row>
    <row r="18477">
      <c r="A18477" s="6">
        <v>18475.0</v>
      </c>
      <c r="B18477" s="17">
        <f t="array" ref="B18477">SUM(1-'Sparkling Model'!D$2:D$38^A18477)</f>
        <v>36.99962972</v>
      </c>
      <c r="C18477" s="8">
        <f t="array" ref="C18477">PRODUCT(1-'Sparkling Model'!D$2:D$38^A18477)</f>
        <v>0.9996297697</v>
      </c>
    </row>
    <row r="18478">
      <c r="A18478" s="6">
        <v>18476.0</v>
      </c>
      <c r="B18478" s="17">
        <f t="array" ref="B18478">SUM(1-'Sparkling Model'!D$2:D$38^A18478)</f>
        <v>36.9996299</v>
      </c>
      <c r="C18478" s="8">
        <f t="array" ref="C18478">PRODUCT(1-'Sparkling Model'!D$2:D$38^A18478)</f>
        <v>0.9996299517</v>
      </c>
    </row>
    <row r="18479">
      <c r="A18479" s="6">
        <v>18477.0</v>
      </c>
      <c r="B18479" s="17">
        <f t="array" ref="B18479">SUM(1-'Sparkling Model'!D$2:D$38^A18479)</f>
        <v>36.99963009</v>
      </c>
      <c r="C18479" s="8">
        <f t="array" ref="C18479">PRODUCT(1-'Sparkling Model'!D$2:D$38^A18479)</f>
        <v>0.9996301336</v>
      </c>
    </row>
    <row r="18480">
      <c r="A18480" s="6">
        <v>18478.0</v>
      </c>
      <c r="B18480" s="17">
        <f t="array" ref="B18480">SUM(1-'Sparkling Model'!D$2:D$38^A18480)</f>
        <v>36.99963027</v>
      </c>
      <c r="C18480" s="8">
        <f t="array" ref="C18480">PRODUCT(1-'Sparkling Model'!D$2:D$38^A18480)</f>
        <v>0.9996303154</v>
      </c>
    </row>
    <row r="18481">
      <c r="A18481" s="6">
        <v>18479.0</v>
      </c>
      <c r="B18481" s="17">
        <f t="array" ref="B18481">SUM(1-'Sparkling Model'!D$2:D$38^A18481)</f>
        <v>36.99963045</v>
      </c>
      <c r="C18481" s="8">
        <f t="array" ref="C18481">PRODUCT(1-'Sparkling Model'!D$2:D$38^A18481)</f>
        <v>0.9996304971</v>
      </c>
    </row>
    <row r="18482">
      <c r="A18482" s="6">
        <v>18480.0</v>
      </c>
      <c r="B18482" s="17">
        <f t="array" ref="B18482">SUM(1-'Sparkling Model'!D$2:D$38^A18482)</f>
        <v>36.99963063</v>
      </c>
      <c r="C18482" s="8">
        <f t="array" ref="C18482">PRODUCT(1-'Sparkling Model'!D$2:D$38^A18482)</f>
        <v>0.9996306787</v>
      </c>
    </row>
    <row r="18483">
      <c r="A18483" s="6">
        <v>18481.0</v>
      </c>
      <c r="B18483" s="17">
        <f t="array" ref="B18483">SUM(1-'Sparkling Model'!D$2:D$38^A18483)</f>
        <v>36.99963081</v>
      </c>
      <c r="C18483" s="8">
        <f t="array" ref="C18483">PRODUCT(1-'Sparkling Model'!D$2:D$38^A18483)</f>
        <v>0.9996308603</v>
      </c>
    </row>
    <row r="18484">
      <c r="A18484" s="6">
        <v>18482.0</v>
      </c>
      <c r="B18484" s="17">
        <f t="array" ref="B18484">SUM(1-'Sparkling Model'!D$2:D$38^A18484)</f>
        <v>36.999631</v>
      </c>
      <c r="C18484" s="8">
        <f t="array" ref="C18484">PRODUCT(1-'Sparkling Model'!D$2:D$38^A18484)</f>
        <v>0.9996310417</v>
      </c>
    </row>
    <row r="18485">
      <c r="A18485" s="6">
        <v>18483.0</v>
      </c>
      <c r="B18485" s="17">
        <f t="array" ref="B18485">SUM(1-'Sparkling Model'!D$2:D$38^A18485)</f>
        <v>36.99963118</v>
      </c>
      <c r="C18485" s="8">
        <f t="array" ref="C18485">PRODUCT(1-'Sparkling Model'!D$2:D$38^A18485)</f>
        <v>0.9996312231</v>
      </c>
    </row>
    <row r="18486">
      <c r="A18486" s="6">
        <v>18484.0</v>
      </c>
      <c r="B18486" s="17">
        <f t="array" ref="B18486">SUM(1-'Sparkling Model'!D$2:D$38^A18486)</f>
        <v>36.99963136</v>
      </c>
      <c r="C18486" s="8">
        <f t="array" ref="C18486">PRODUCT(1-'Sparkling Model'!D$2:D$38^A18486)</f>
        <v>0.9996314043</v>
      </c>
    </row>
    <row r="18487">
      <c r="A18487" s="6">
        <v>18485.0</v>
      </c>
      <c r="B18487" s="17">
        <f t="array" ref="B18487">SUM(1-'Sparkling Model'!D$2:D$38^A18487)</f>
        <v>36.99963154</v>
      </c>
      <c r="C18487" s="8">
        <f t="array" ref="C18487">PRODUCT(1-'Sparkling Model'!D$2:D$38^A18487)</f>
        <v>0.9996315855</v>
      </c>
    </row>
    <row r="18488">
      <c r="A18488" s="6">
        <v>18486.0</v>
      </c>
      <c r="B18488" s="17">
        <f t="array" ref="B18488">SUM(1-'Sparkling Model'!D$2:D$38^A18488)</f>
        <v>36.99963172</v>
      </c>
      <c r="C18488" s="8">
        <f t="array" ref="C18488">PRODUCT(1-'Sparkling Model'!D$2:D$38^A18488)</f>
        <v>0.9996317666</v>
      </c>
    </row>
    <row r="18489">
      <c r="A18489" s="6">
        <v>18487.0</v>
      </c>
      <c r="B18489" s="17">
        <f t="array" ref="B18489">SUM(1-'Sparkling Model'!D$2:D$38^A18489)</f>
        <v>36.9996319</v>
      </c>
      <c r="C18489" s="8">
        <f t="array" ref="C18489">PRODUCT(1-'Sparkling Model'!D$2:D$38^A18489)</f>
        <v>0.9996319476</v>
      </c>
    </row>
    <row r="18490">
      <c r="A18490" s="6">
        <v>18488.0</v>
      </c>
      <c r="B18490" s="17">
        <f t="array" ref="B18490">SUM(1-'Sparkling Model'!D$2:D$38^A18490)</f>
        <v>36.99963208</v>
      </c>
      <c r="C18490" s="8">
        <f t="array" ref="C18490">PRODUCT(1-'Sparkling Model'!D$2:D$38^A18490)</f>
        <v>0.9996321285</v>
      </c>
    </row>
    <row r="18491">
      <c r="A18491" s="6">
        <v>18489.0</v>
      </c>
      <c r="B18491" s="17">
        <f t="array" ref="B18491">SUM(1-'Sparkling Model'!D$2:D$38^A18491)</f>
        <v>36.99963226</v>
      </c>
      <c r="C18491" s="8">
        <f t="array" ref="C18491">PRODUCT(1-'Sparkling Model'!D$2:D$38^A18491)</f>
        <v>0.9996323094</v>
      </c>
    </row>
    <row r="18492">
      <c r="A18492" s="6">
        <v>18490.0</v>
      </c>
      <c r="B18492" s="17">
        <f t="array" ref="B18492">SUM(1-'Sparkling Model'!D$2:D$38^A18492)</f>
        <v>36.99963244</v>
      </c>
      <c r="C18492" s="8">
        <f t="array" ref="C18492">PRODUCT(1-'Sparkling Model'!D$2:D$38^A18492)</f>
        <v>0.9996324901</v>
      </c>
    </row>
    <row r="18493">
      <c r="A18493" s="6">
        <v>18491.0</v>
      </c>
      <c r="B18493" s="17">
        <f t="array" ref="B18493">SUM(1-'Sparkling Model'!D$2:D$38^A18493)</f>
        <v>36.99963262</v>
      </c>
      <c r="C18493" s="8">
        <f t="array" ref="C18493">PRODUCT(1-'Sparkling Model'!D$2:D$38^A18493)</f>
        <v>0.9996326707</v>
      </c>
    </row>
    <row r="18494">
      <c r="A18494" s="6">
        <v>18492.0</v>
      </c>
      <c r="B18494" s="17">
        <f t="array" ref="B18494">SUM(1-'Sparkling Model'!D$2:D$38^A18494)</f>
        <v>36.99963281</v>
      </c>
      <c r="C18494" s="8">
        <f t="array" ref="C18494">PRODUCT(1-'Sparkling Model'!D$2:D$38^A18494)</f>
        <v>0.9996328513</v>
      </c>
    </row>
    <row r="18495">
      <c r="A18495" s="6">
        <v>18493.0</v>
      </c>
      <c r="B18495" s="17">
        <f t="array" ref="B18495">SUM(1-'Sparkling Model'!D$2:D$38^A18495)</f>
        <v>36.99963299</v>
      </c>
      <c r="C18495" s="8">
        <f t="array" ref="C18495">PRODUCT(1-'Sparkling Model'!D$2:D$38^A18495)</f>
        <v>0.9996330318</v>
      </c>
    </row>
    <row r="18496">
      <c r="A18496" s="6">
        <v>18494.0</v>
      </c>
      <c r="B18496" s="17">
        <f t="array" ref="B18496">SUM(1-'Sparkling Model'!D$2:D$38^A18496)</f>
        <v>36.99963317</v>
      </c>
      <c r="C18496" s="8">
        <f t="array" ref="C18496">PRODUCT(1-'Sparkling Model'!D$2:D$38^A18496)</f>
        <v>0.9996332122</v>
      </c>
    </row>
    <row r="18497">
      <c r="A18497" s="6">
        <v>18495.0</v>
      </c>
      <c r="B18497" s="17">
        <f t="array" ref="B18497">SUM(1-'Sparkling Model'!D$2:D$38^A18497)</f>
        <v>36.99963335</v>
      </c>
      <c r="C18497" s="8">
        <f t="array" ref="C18497">PRODUCT(1-'Sparkling Model'!D$2:D$38^A18497)</f>
        <v>0.9996333925</v>
      </c>
    </row>
    <row r="18498">
      <c r="A18498" s="6">
        <v>18496.0</v>
      </c>
      <c r="B18498" s="17">
        <f t="array" ref="B18498">SUM(1-'Sparkling Model'!D$2:D$38^A18498)</f>
        <v>36.99963353</v>
      </c>
      <c r="C18498" s="8">
        <f t="array" ref="C18498">PRODUCT(1-'Sparkling Model'!D$2:D$38^A18498)</f>
        <v>0.9996335727</v>
      </c>
    </row>
    <row r="18499">
      <c r="A18499" s="6">
        <v>18497.0</v>
      </c>
      <c r="B18499" s="17">
        <f t="array" ref="B18499">SUM(1-'Sparkling Model'!D$2:D$38^A18499)</f>
        <v>36.99963371</v>
      </c>
      <c r="C18499" s="8">
        <f t="array" ref="C18499">PRODUCT(1-'Sparkling Model'!D$2:D$38^A18499)</f>
        <v>0.9996337528</v>
      </c>
    </row>
    <row r="18500">
      <c r="A18500" s="6">
        <v>18498.0</v>
      </c>
      <c r="B18500" s="17">
        <f t="array" ref="B18500">SUM(1-'Sparkling Model'!D$2:D$38^A18500)</f>
        <v>36.99963389</v>
      </c>
      <c r="C18500" s="8">
        <f t="array" ref="C18500">PRODUCT(1-'Sparkling Model'!D$2:D$38^A18500)</f>
        <v>0.9996339328</v>
      </c>
    </row>
    <row r="18501">
      <c r="A18501" s="6">
        <v>18499.0</v>
      </c>
      <c r="B18501" s="17">
        <f t="array" ref="B18501">SUM(1-'Sparkling Model'!D$2:D$38^A18501)</f>
        <v>36.99963407</v>
      </c>
      <c r="C18501" s="8">
        <f t="array" ref="C18501">PRODUCT(1-'Sparkling Model'!D$2:D$38^A18501)</f>
        <v>0.9996341127</v>
      </c>
    </row>
    <row r="18502">
      <c r="A18502" s="6">
        <v>18500.0</v>
      </c>
      <c r="B18502" s="17">
        <f t="array" ref="B18502">SUM(1-'Sparkling Model'!D$2:D$38^A18502)</f>
        <v>36.99963425</v>
      </c>
      <c r="C18502" s="8">
        <f t="array" ref="C18502">PRODUCT(1-'Sparkling Model'!D$2:D$38^A18502)</f>
        <v>0.9996342926</v>
      </c>
    </row>
    <row r="18503">
      <c r="A18503" s="6">
        <v>18501.0</v>
      </c>
      <c r="B18503" s="17">
        <f t="array" ref="B18503">SUM(1-'Sparkling Model'!D$2:D$38^A18503)</f>
        <v>36.99963443</v>
      </c>
      <c r="C18503" s="8">
        <f t="array" ref="C18503">PRODUCT(1-'Sparkling Model'!D$2:D$38^A18503)</f>
        <v>0.9996344723</v>
      </c>
    </row>
    <row r="18504">
      <c r="A18504" s="6">
        <v>18502.0</v>
      </c>
      <c r="B18504" s="17">
        <f t="array" ref="B18504">SUM(1-'Sparkling Model'!D$2:D$38^A18504)</f>
        <v>36.99963461</v>
      </c>
      <c r="C18504" s="8">
        <f t="array" ref="C18504">PRODUCT(1-'Sparkling Model'!D$2:D$38^A18504)</f>
        <v>0.999634652</v>
      </c>
    </row>
    <row r="18505">
      <c r="A18505" s="6">
        <v>18503.0</v>
      </c>
      <c r="B18505" s="17">
        <f t="array" ref="B18505">SUM(1-'Sparkling Model'!D$2:D$38^A18505)</f>
        <v>36.99963479</v>
      </c>
      <c r="C18505" s="8">
        <f t="array" ref="C18505">PRODUCT(1-'Sparkling Model'!D$2:D$38^A18505)</f>
        <v>0.9996348316</v>
      </c>
    </row>
    <row r="18506">
      <c r="A18506" s="6">
        <v>18504.0</v>
      </c>
      <c r="B18506" s="17">
        <f t="array" ref="B18506">SUM(1-'Sparkling Model'!D$2:D$38^A18506)</f>
        <v>36.99963497</v>
      </c>
      <c r="C18506" s="8">
        <f t="array" ref="C18506">PRODUCT(1-'Sparkling Model'!D$2:D$38^A18506)</f>
        <v>0.9996350111</v>
      </c>
    </row>
    <row r="18507">
      <c r="A18507" s="6">
        <v>18505.0</v>
      </c>
      <c r="B18507" s="17">
        <f t="array" ref="B18507">SUM(1-'Sparkling Model'!D$2:D$38^A18507)</f>
        <v>36.99963515</v>
      </c>
      <c r="C18507" s="8">
        <f t="array" ref="C18507">PRODUCT(1-'Sparkling Model'!D$2:D$38^A18507)</f>
        <v>0.9996351905</v>
      </c>
    </row>
    <row r="18508">
      <c r="A18508" s="6">
        <v>18506.0</v>
      </c>
      <c r="B18508" s="17">
        <f t="array" ref="B18508">SUM(1-'Sparkling Model'!D$2:D$38^A18508)</f>
        <v>36.99963532</v>
      </c>
      <c r="C18508" s="8">
        <f t="array" ref="C18508">PRODUCT(1-'Sparkling Model'!D$2:D$38^A18508)</f>
        <v>0.9996353698</v>
      </c>
    </row>
    <row r="18509">
      <c r="A18509" s="6">
        <v>18507.0</v>
      </c>
      <c r="B18509" s="17">
        <f t="array" ref="B18509">SUM(1-'Sparkling Model'!D$2:D$38^A18509)</f>
        <v>36.9996355</v>
      </c>
      <c r="C18509" s="8">
        <f t="array" ref="C18509">PRODUCT(1-'Sparkling Model'!D$2:D$38^A18509)</f>
        <v>0.9996355491</v>
      </c>
    </row>
    <row r="18510">
      <c r="A18510" s="6">
        <v>18508.0</v>
      </c>
      <c r="B18510" s="17">
        <f t="array" ref="B18510">SUM(1-'Sparkling Model'!D$2:D$38^A18510)</f>
        <v>36.99963568</v>
      </c>
      <c r="C18510" s="8">
        <f t="array" ref="C18510">PRODUCT(1-'Sparkling Model'!D$2:D$38^A18510)</f>
        <v>0.9996357282</v>
      </c>
    </row>
    <row r="18511">
      <c r="A18511" s="6">
        <v>18509.0</v>
      </c>
      <c r="B18511" s="17">
        <f t="array" ref="B18511">SUM(1-'Sparkling Model'!D$2:D$38^A18511)</f>
        <v>36.99963586</v>
      </c>
      <c r="C18511" s="8">
        <f t="array" ref="C18511">PRODUCT(1-'Sparkling Model'!D$2:D$38^A18511)</f>
        <v>0.9996359072</v>
      </c>
    </row>
    <row r="18512">
      <c r="A18512" s="6">
        <v>18510.0</v>
      </c>
      <c r="B18512" s="17">
        <f t="array" ref="B18512">SUM(1-'Sparkling Model'!D$2:D$38^A18512)</f>
        <v>36.99963604</v>
      </c>
      <c r="C18512" s="8">
        <f t="array" ref="C18512">PRODUCT(1-'Sparkling Model'!D$2:D$38^A18512)</f>
        <v>0.9996360862</v>
      </c>
    </row>
    <row r="18513">
      <c r="A18513" s="6">
        <v>18511.0</v>
      </c>
      <c r="B18513" s="17">
        <f t="array" ref="B18513">SUM(1-'Sparkling Model'!D$2:D$38^A18513)</f>
        <v>36.99963622</v>
      </c>
      <c r="C18513" s="8">
        <f t="array" ref="C18513">PRODUCT(1-'Sparkling Model'!D$2:D$38^A18513)</f>
        <v>0.9996362651</v>
      </c>
    </row>
    <row r="18514">
      <c r="A18514" s="6">
        <v>18512.0</v>
      </c>
      <c r="B18514" s="17">
        <f t="array" ref="B18514">SUM(1-'Sparkling Model'!D$2:D$38^A18514)</f>
        <v>36.9996364</v>
      </c>
      <c r="C18514" s="8">
        <f t="array" ref="C18514">PRODUCT(1-'Sparkling Model'!D$2:D$38^A18514)</f>
        <v>0.9996364439</v>
      </c>
    </row>
    <row r="18515">
      <c r="A18515" s="6">
        <v>18513.0</v>
      </c>
      <c r="B18515" s="17">
        <f t="array" ref="B18515">SUM(1-'Sparkling Model'!D$2:D$38^A18515)</f>
        <v>36.99963658</v>
      </c>
      <c r="C18515" s="8">
        <f t="array" ref="C18515">PRODUCT(1-'Sparkling Model'!D$2:D$38^A18515)</f>
        <v>0.9996366226</v>
      </c>
    </row>
    <row r="18516">
      <c r="A18516" s="6">
        <v>18514.0</v>
      </c>
      <c r="B18516" s="17">
        <f t="array" ref="B18516">SUM(1-'Sparkling Model'!D$2:D$38^A18516)</f>
        <v>36.99963676</v>
      </c>
      <c r="C18516" s="8">
        <f t="array" ref="C18516">PRODUCT(1-'Sparkling Model'!D$2:D$38^A18516)</f>
        <v>0.9996368012</v>
      </c>
    </row>
    <row r="18517">
      <c r="A18517" s="6">
        <v>18515.0</v>
      </c>
      <c r="B18517" s="17">
        <f t="array" ref="B18517">SUM(1-'Sparkling Model'!D$2:D$38^A18517)</f>
        <v>36.99963693</v>
      </c>
      <c r="C18517" s="8">
        <f t="array" ref="C18517">PRODUCT(1-'Sparkling Model'!D$2:D$38^A18517)</f>
        <v>0.9996369797</v>
      </c>
    </row>
    <row r="18518">
      <c r="A18518" s="6">
        <v>18516.0</v>
      </c>
      <c r="B18518" s="17">
        <f t="array" ref="B18518">SUM(1-'Sparkling Model'!D$2:D$38^A18518)</f>
        <v>36.99963711</v>
      </c>
      <c r="C18518" s="8">
        <f t="array" ref="C18518">PRODUCT(1-'Sparkling Model'!D$2:D$38^A18518)</f>
        <v>0.9996371582</v>
      </c>
    </row>
    <row r="18519">
      <c r="A18519" s="6">
        <v>18517.0</v>
      </c>
      <c r="B18519" s="17">
        <f t="array" ref="B18519">SUM(1-'Sparkling Model'!D$2:D$38^A18519)</f>
        <v>36.99963729</v>
      </c>
      <c r="C18519" s="8">
        <f t="array" ref="C18519">PRODUCT(1-'Sparkling Model'!D$2:D$38^A18519)</f>
        <v>0.9996373365</v>
      </c>
    </row>
    <row r="18520">
      <c r="A18520" s="6">
        <v>18518.0</v>
      </c>
      <c r="B18520" s="17">
        <f t="array" ref="B18520">SUM(1-'Sparkling Model'!D$2:D$38^A18520)</f>
        <v>36.99963747</v>
      </c>
      <c r="C18520" s="8">
        <f t="array" ref="C18520">PRODUCT(1-'Sparkling Model'!D$2:D$38^A18520)</f>
        <v>0.9996375148</v>
      </c>
    </row>
    <row r="18521">
      <c r="A18521" s="6">
        <v>18519.0</v>
      </c>
      <c r="B18521" s="17">
        <f t="array" ref="B18521">SUM(1-'Sparkling Model'!D$2:D$38^A18521)</f>
        <v>36.99963765</v>
      </c>
      <c r="C18521" s="8">
        <f t="array" ref="C18521">PRODUCT(1-'Sparkling Model'!D$2:D$38^A18521)</f>
        <v>0.9996376929</v>
      </c>
    </row>
    <row r="18522">
      <c r="A18522" s="6">
        <v>18520.0</v>
      </c>
      <c r="B18522" s="17">
        <f t="array" ref="B18522">SUM(1-'Sparkling Model'!D$2:D$38^A18522)</f>
        <v>36.99963783</v>
      </c>
      <c r="C18522" s="8">
        <f t="array" ref="C18522">PRODUCT(1-'Sparkling Model'!D$2:D$38^A18522)</f>
        <v>0.999637871</v>
      </c>
    </row>
    <row r="18523">
      <c r="A18523" s="6">
        <v>18521.0</v>
      </c>
      <c r="B18523" s="17">
        <f t="array" ref="B18523">SUM(1-'Sparkling Model'!D$2:D$38^A18523)</f>
        <v>36.999638</v>
      </c>
      <c r="C18523" s="8">
        <f t="array" ref="C18523">PRODUCT(1-'Sparkling Model'!D$2:D$38^A18523)</f>
        <v>0.999638049</v>
      </c>
    </row>
    <row r="18524">
      <c r="A18524" s="6">
        <v>18522.0</v>
      </c>
      <c r="B18524" s="17">
        <f t="array" ref="B18524">SUM(1-'Sparkling Model'!D$2:D$38^A18524)</f>
        <v>36.99963818</v>
      </c>
      <c r="C18524" s="8">
        <f t="array" ref="C18524">PRODUCT(1-'Sparkling Model'!D$2:D$38^A18524)</f>
        <v>0.9996382269</v>
      </c>
    </row>
    <row r="18525">
      <c r="A18525" s="6">
        <v>18523.0</v>
      </c>
      <c r="B18525" s="17">
        <f t="array" ref="B18525">SUM(1-'Sparkling Model'!D$2:D$38^A18525)</f>
        <v>36.99963836</v>
      </c>
      <c r="C18525" s="8">
        <f t="array" ref="C18525">PRODUCT(1-'Sparkling Model'!D$2:D$38^A18525)</f>
        <v>0.9996384048</v>
      </c>
    </row>
    <row r="18526">
      <c r="A18526" s="6">
        <v>18524.0</v>
      </c>
      <c r="B18526" s="17">
        <f t="array" ref="B18526">SUM(1-'Sparkling Model'!D$2:D$38^A18526)</f>
        <v>36.99963854</v>
      </c>
      <c r="C18526" s="8">
        <f t="array" ref="C18526">PRODUCT(1-'Sparkling Model'!D$2:D$38^A18526)</f>
        <v>0.9996385825</v>
      </c>
    </row>
    <row r="18527">
      <c r="A18527" s="6">
        <v>18525.0</v>
      </c>
      <c r="B18527" s="17">
        <f t="array" ref="B18527">SUM(1-'Sparkling Model'!D$2:D$38^A18527)</f>
        <v>36.99963872</v>
      </c>
      <c r="C18527" s="8">
        <f t="array" ref="C18527">PRODUCT(1-'Sparkling Model'!D$2:D$38^A18527)</f>
        <v>0.9996387601</v>
      </c>
    </row>
    <row r="18528">
      <c r="A18528" s="6">
        <v>18526.0</v>
      </c>
      <c r="B18528" s="17">
        <f t="array" ref="B18528">SUM(1-'Sparkling Model'!D$2:D$38^A18528)</f>
        <v>36.99963889</v>
      </c>
      <c r="C18528" s="8">
        <f t="array" ref="C18528">PRODUCT(1-'Sparkling Model'!D$2:D$38^A18528)</f>
        <v>0.9996389377</v>
      </c>
    </row>
    <row r="18529">
      <c r="A18529" s="6">
        <v>18527.0</v>
      </c>
      <c r="B18529" s="17">
        <f t="array" ref="B18529">SUM(1-'Sparkling Model'!D$2:D$38^A18529)</f>
        <v>36.99963907</v>
      </c>
      <c r="C18529" s="8">
        <f t="array" ref="C18529">PRODUCT(1-'Sparkling Model'!D$2:D$38^A18529)</f>
        <v>0.9996391152</v>
      </c>
    </row>
    <row r="18530">
      <c r="A18530" s="6">
        <v>18528.0</v>
      </c>
      <c r="B18530" s="17">
        <f t="array" ref="B18530">SUM(1-'Sparkling Model'!D$2:D$38^A18530)</f>
        <v>36.99963925</v>
      </c>
      <c r="C18530" s="8">
        <f t="array" ref="C18530">PRODUCT(1-'Sparkling Model'!D$2:D$38^A18530)</f>
        <v>0.9996392926</v>
      </c>
    </row>
    <row r="18531">
      <c r="A18531" s="6">
        <v>18529.0</v>
      </c>
      <c r="B18531" s="17">
        <f t="array" ref="B18531">SUM(1-'Sparkling Model'!D$2:D$38^A18531)</f>
        <v>36.99963943</v>
      </c>
      <c r="C18531" s="8">
        <f t="array" ref="C18531">PRODUCT(1-'Sparkling Model'!D$2:D$38^A18531)</f>
        <v>0.9996394699</v>
      </c>
    </row>
    <row r="18532">
      <c r="A18532" s="6">
        <v>18530.0</v>
      </c>
      <c r="B18532" s="17">
        <f t="array" ref="B18532">SUM(1-'Sparkling Model'!D$2:D$38^A18532)</f>
        <v>36.9996396</v>
      </c>
      <c r="C18532" s="8">
        <f t="array" ref="C18532">PRODUCT(1-'Sparkling Model'!D$2:D$38^A18532)</f>
        <v>0.9996396471</v>
      </c>
    </row>
    <row r="18533">
      <c r="A18533" s="6">
        <v>18531.0</v>
      </c>
      <c r="B18533" s="17">
        <f t="array" ref="B18533">SUM(1-'Sparkling Model'!D$2:D$38^A18533)</f>
        <v>36.99963978</v>
      </c>
      <c r="C18533" s="8">
        <f t="array" ref="C18533">PRODUCT(1-'Sparkling Model'!D$2:D$38^A18533)</f>
        <v>0.9996398242</v>
      </c>
    </row>
    <row r="18534">
      <c r="A18534" s="6">
        <v>18532.0</v>
      </c>
      <c r="B18534" s="17">
        <f t="array" ref="B18534">SUM(1-'Sparkling Model'!D$2:D$38^A18534)</f>
        <v>36.99963996</v>
      </c>
      <c r="C18534" s="8">
        <f t="array" ref="C18534">PRODUCT(1-'Sparkling Model'!D$2:D$38^A18534)</f>
        <v>0.9996400012</v>
      </c>
    </row>
    <row r="18535">
      <c r="A18535" s="6">
        <v>18533.0</v>
      </c>
      <c r="B18535" s="17">
        <f t="array" ref="B18535">SUM(1-'Sparkling Model'!D$2:D$38^A18535)</f>
        <v>36.99964013</v>
      </c>
      <c r="C18535" s="8">
        <f t="array" ref="C18535">PRODUCT(1-'Sparkling Model'!D$2:D$38^A18535)</f>
        <v>0.9996401782</v>
      </c>
    </row>
    <row r="18536">
      <c r="A18536" s="6">
        <v>18534.0</v>
      </c>
      <c r="B18536" s="17">
        <f t="array" ref="B18536">SUM(1-'Sparkling Model'!D$2:D$38^A18536)</f>
        <v>36.99964031</v>
      </c>
      <c r="C18536" s="8">
        <f t="array" ref="C18536">PRODUCT(1-'Sparkling Model'!D$2:D$38^A18536)</f>
        <v>0.999640355</v>
      </c>
    </row>
    <row r="18537">
      <c r="A18537" s="6">
        <v>18535.0</v>
      </c>
      <c r="B18537" s="17">
        <f t="array" ref="B18537">SUM(1-'Sparkling Model'!D$2:D$38^A18537)</f>
        <v>36.99964049</v>
      </c>
      <c r="C18537" s="8">
        <f t="array" ref="C18537">PRODUCT(1-'Sparkling Model'!D$2:D$38^A18537)</f>
        <v>0.9996405318</v>
      </c>
    </row>
    <row r="18538">
      <c r="A18538" s="6">
        <v>18536.0</v>
      </c>
      <c r="B18538" s="17">
        <f t="array" ref="B18538">SUM(1-'Sparkling Model'!D$2:D$38^A18538)</f>
        <v>36.99964066</v>
      </c>
      <c r="C18538" s="8">
        <f t="array" ref="C18538">PRODUCT(1-'Sparkling Model'!D$2:D$38^A18538)</f>
        <v>0.9996407085</v>
      </c>
    </row>
    <row r="18539">
      <c r="A18539" s="6">
        <v>18537.0</v>
      </c>
      <c r="B18539" s="17">
        <f t="array" ref="B18539">SUM(1-'Sparkling Model'!D$2:D$38^A18539)</f>
        <v>36.99964084</v>
      </c>
      <c r="C18539" s="8">
        <f t="array" ref="C18539">PRODUCT(1-'Sparkling Model'!D$2:D$38^A18539)</f>
        <v>0.9996408851</v>
      </c>
    </row>
    <row r="18540">
      <c r="A18540" s="6">
        <v>18538.0</v>
      </c>
      <c r="B18540" s="17">
        <f t="array" ref="B18540">SUM(1-'Sparkling Model'!D$2:D$38^A18540)</f>
        <v>36.99964102</v>
      </c>
      <c r="C18540" s="8">
        <f t="array" ref="C18540">PRODUCT(1-'Sparkling Model'!D$2:D$38^A18540)</f>
        <v>0.9996410616</v>
      </c>
    </row>
    <row r="18541">
      <c r="A18541" s="6">
        <v>18539.0</v>
      </c>
      <c r="B18541" s="17">
        <f t="array" ref="B18541">SUM(1-'Sparkling Model'!D$2:D$38^A18541)</f>
        <v>36.99964119</v>
      </c>
      <c r="C18541" s="8">
        <f t="array" ref="C18541">PRODUCT(1-'Sparkling Model'!D$2:D$38^A18541)</f>
        <v>0.9996412381</v>
      </c>
    </row>
    <row r="18542">
      <c r="A18542" s="6">
        <v>18540.0</v>
      </c>
      <c r="B18542" s="17">
        <f t="array" ref="B18542">SUM(1-'Sparkling Model'!D$2:D$38^A18542)</f>
        <v>36.99964137</v>
      </c>
      <c r="C18542" s="8">
        <f t="array" ref="C18542">PRODUCT(1-'Sparkling Model'!D$2:D$38^A18542)</f>
        <v>0.9996414144</v>
      </c>
    </row>
    <row r="18543">
      <c r="A18543" s="6">
        <v>18541.0</v>
      </c>
      <c r="B18543" s="17">
        <f t="array" ref="B18543">SUM(1-'Sparkling Model'!D$2:D$38^A18543)</f>
        <v>36.99964155</v>
      </c>
      <c r="C18543" s="8">
        <f t="array" ref="C18543">PRODUCT(1-'Sparkling Model'!D$2:D$38^A18543)</f>
        <v>0.9996415906</v>
      </c>
    </row>
    <row r="18544">
      <c r="A18544" s="6">
        <v>18542.0</v>
      </c>
      <c r="B18544" s="17">
        <f t="array" ref="B18544">SUM(1-'Sparkling Model'!D$2:D$38^A18544)</f>
        <v>36.99964172</v>
      </c>
      <c r="C18544" s="8">
        <f t="array" ref="C18544">PRODUCT(1-'Sparkling Model'!D$2:D$38^A18544)</f>
        <v>0.9996417668</v>
      </c>
    </row>
    <row r="18545">
      <c r="A18545" s="6">
        <v>18543.0</v>
      </c>
      <c r="B18545" s="17">
        <f t="array" ref="B18545">SUM(1-'Sparkling Model'!D$2:D$38^A18545)</f>
        <v>36.9996419</v>
      </c>
      <c r="C18545" s="8">
        <f t="array" ref="C18545">PRODUCT(1-'Sparkling Model'!D$2:D$38^A18545)</f>
        <v>0.9996419429</v>
      </c>
    </row>
    <row r="18546">
      <c r="A18546" s="6">
        <v>18544.0</v>
      </c>
      <c r="B18546" s="17">
        <f t="array" ref="B18546">SUM(1-'Sparkling Model'!D$2:D$38^A18546)</f>
        <v>36.99964208</v>
      </c>
      <c r="C18546" s="8">
        <f t="array" ref="C18546">PRODUCT(1-'Sparkling Model'!D$2:D$38^A18546)</f>
        <v>0.9996421189</v>
      </c>
    </row>
    <row r="18547">
      <c r="A18547" s="6">
        <v>18545.0</v>
      </c>
      <c r="B18547" s="17">
        <f t="array" ref="B18547">SUM(1-'Sparkling Model'!D$2:D$38^A18547)</f>
        <v>36.99964225</v>
      </c>
      <c r="C18547" s="8">
        <f t="array" ref="C18547">PRODUCT(1-'Sparkling Model'!D$2:D$38^A18547)</f>
        <v>0.9996422948</v>
      </c>
    </row>
    <row r="18548">
      <c r="A18548" s="6">
        <v>18546.0</v>
      </c>
      <c r="B18548" s="17">
        <f t="array" ref="B18548">SUM(1-'Sparkling Model'!D$2:D$38^A18548)</f>
        <v>36.99964243</v>
      </c>
      <c r="C18548" s="8">
        <f t="array" ref="C18548">PRODUCT(1-'Sparkling Model'!D$2:D$38^A18548)</f>
        <v>0.9996424706</v>
      </c>
    </row>
    <row r="18549">
      <c r="A18549" s="6">
        <v>18547.0</v>
      </c>
      <c r="B18549" s="17">
        <f t="array" ref="B18549">SUM(1-'Sparkling Model'!D$2:D$38^A18549)</f>
        <v>36.9996426</v>
      </c>
      <c r="C18549" s="8">
        <f t="array" ref="C18549">PRODUCT(1-'Sparkling Model'!D$2:D$38^A18549)</f>
        <v>0.9996426463</v>
      </c>
    </row>
    <row r="18550">
      <c r="A18550" s="6">
        <v>18548.0</v>
      </c>
      <c r="B18550" s="17">
        <f t="array" ref="B18550">SUM(1-'Sparkling Model'!D$2:D$38^A18550)</f>
        <v>36.99964278</v>
      </c>
      <c r="C18550" s="8">
        <f t="array" ref="C18550">PRODUCT(1-'Sparkling Model'!D$2:D$38^A18550)</f>
        <v>0.999642822</v>
      </c>
    </row>
    <row r="18551">
      <c r="A18551" s="6">
        <v>18549.0</v>
      </c>
      <c r="B18551" s="17">
        <f t="array" ref="B18551">SUM(1-'Sparkling Model'!D$2:D$38^A18551)</f>
        <v>36.99964295</v>
      </c>
      <c r="C18551" s="8">
        <f t="array" ref="C18551">PRODUCT(1-'Sparkling Model'!D$2:D$38^A18551)</f>
        <v>0.9996429976</v>
      </c>
    </row>
    <row r="18552">
      <c r="A18552" s="6">
        <v>18550.0</v>
      </c>
      <c r="B18552" s="17">
        <f t="array" ref="B18552">SUM(1-'Sparkling Model'!D$2:D$38^A18552)</f>
        <v>36.99964313</v>
      </c>
      <c r="C18552" s="8">
        <f t="array" ref="C18552">PRODUCT(1-'Sparkling Model'!D$2:D$38^A18552)</f>
        <v>0.999643173</v>
      </c>
    </row>
    <row r="18553">
      <c r="A18553" s="6">
        <v>18551.0</v>
      </c>
      <c r="B18553" s="17">
        <f t="array" ref="B18553">SUM(1-'Sparkling Model'!D$2:D$38^A18553)</f>
        <v>36.99964331</v>
      </c>
      <c r="C18553" s="8">
        <f t="array" ref="C18553">PRODUCT(1-'Sparkling Model'!D$2:D$38^A18553)</f>
        <v>0.9996433484</v>
      </c>
    </row>
    <row r="18554">
      <c r="A18554" s="6">
        <v>18552.0</v>
      </c>
      <c r="B18554" s="17">
        <f t="array" ref="B18554">SUM(1-'Sparkling Model'!D$2:D$38^A18554)</f>
        <v>36.99964348</v>
      </c>
      <c r="C18554" s="8">
        <f t="array" ref="C18554">PRODUCT(1-'Sparkling Model'!D$2:D$38^A18554)</f>
        <v>0.9996435237</v>
      </c>
    </row>
    <row r="18555">
      <c r="A18555" s="6">
        <v>18553.0</v>
      </c>
      <c r="B18555" s="17">
        <f t="array" ref="B18555">SUM(1-'Sparkling Model'!D$2:D$38^A18555)</f>
        <v>36.99964366</v>
      </c>
      <c r="C18555" s="8">
        <f t="array" ref="C18555">PRODUCT(1-'Sparkling Model'!D$2:D$38^A18555)</f>
        <v>0.9996436989</v>
      </c>
    </row>
    <row r="18556">
      <c r="A18556" s="6">
        <v>18554.0</v>
      </c>
      <c r="B18556" s="17">
        <f t="array" ref="B18556">SUM(1-'Sparkling Model'!D$2:D$38^A18556)</f>
        <v>36.99964383</v>
      </c>
      <c r="C18556" s="8">
        <f t="array" ref="C18556">PRODUCT(1-'Sparkling Model'!D$2:D$38^A18556)</f>
        <v>0.9996438741</v>
      </c>
    </row>
    <row r="18557">
      <c r="A18557" s="6">
        <v>18555.0</v>
      </c>
      <c r="B18557" s="17">
        <f t="array" ref="B18557">SUM(1-'Sparkling Model'!D$2:D$38^A18557)</f>
        <v>36.99964401</v>
      </c>
      <c r="C18557" s="8">
        <f t="array" ref="C18557">PRODUCT(1-'Sparkling Model'!D$2:D$38^A18557)</f>
        <v>0.9996440491</v>
      </c>
    </row>
    <row r="18558">
      <c r="A18558" s="6">
        <v>18556.0</v>
      </c>
      <c r="B18558" s="17">
        <f t="array" ref="B18558">SUM(1-'Sparkling Model'!D$2:D$38^A18558)</f>
        <v>36.99964418</v>
      </c>
      <c r="C18558" s="8">
        <f t="array" ref="C18558">PRODUCT(1-'Sparkling Model'!D$2:D$38^A18558)</f>
        <v>0.9996442241</v>
      </c>
    </row>
    <row r="18559">
      <c r="A18559" s="6">
        <v>18557.0</v>
      </c>
      <c r="B18559" s="17">
        <f t="array" ref="B18559">SUM(1-'Sparkling Model'!D$2:D$38^A18559)</f>
        <v>36.99964436</v>
      </c>
      <c r="C18559" s="8">
        <f t="array" ref="C18559">PRODUCT(1-'Sparkling Model'!D$2:D$38^A18559)</f>
        <v>0.9996443989</v>
      </c>
    </row>
    <row r="18560">
      <c r="A18560" s="6">
        <v>18558.0</v>
      </c>
      <c r="B18560" s="17">
        <f t="array" ref="B18560">SUM(1-'Sparkling Model'!D$2:D$38^A18560)</f>
        <v>36.99964453</v>
      </c>
      <c r="C18560" s="8">
        <f t="array" ref="C18560">PRODUCT(1-'Sparkling Model'!D$2:D$38^A18560)</f>
        <v>0.9996445737</v>
      </c>
    </row>
    <row r="18561">
      <c r="A18561" s="6">
        <v>18559.0</v>
      </c>
      <c r="B18561" s="17">
        <f t="array" ref="B18561">SUM(1-'Sparkling Model'!D$2:D$38^A18561)</f>
        <v>36.99964471</v>
      </c>
      <c r="C18561" s="8">
        <f t="array" ref="C18561">PRODUCT(1-'Sparkling Model'!D$2:D$38^A18561)</f>
        <v>0.9996447484</v>
      </c>
    </row>
    <row r="18562">
      <c r="A18562" s="6">
        <v>18560.0</v>
      </c>
      <c r="B18562" s="17">
        <f t="array" ref="B18562">SUM(1-'Sparkling Model'!D$2:D$38^A18562)</f>
        <v>36.99964488</v>
      </c>
      <c r="C18562" s="8">
        <f t="array" ref="C18562">PRODUCT(1-'Sparkling Model'!D$2:D$38^A18562)</f>
        <v>0.999644923</v>
      </c>
    </row>
    <row r="18563">
      <c r="A18563" s="6">
        <v>18561.0</v>
      </c>
      <c r="B18563" s="17">
        <f t="array" ref="B18563">SUM(1-'Sparkling Model'!D$2:D$38^A18563)</f>
        <v>36.99964505</v>
      </c>
      <c r="C18563" s="8">
        <f t="array" ref="C18563">PRODUCT(1-'Sparkling Model'!D$2:D$38^A18563)</f>
        <v>0.9996450975</v>
      </c>
    </row>
    <row r="18564">
      <c r="A18564" s="6">
        <v>18562.0</v>
      </c>
      <c r="B18564" s="17">
        <f t="array" ref="B18564">SUM(1-'Sparkling Model'!D$2:D$38^A18564)</f>
        <v>36.99964523</v>
      </c>
      <c r="C18564" s="8">
        <f t="array" ref="C18564">PRODUCT(1-'Sparkling Model'!D$2:D$38^A18564)</f>
        <v>0.999645272</v>
      </c>
    </row>
    <row r="18565">
      <c r="A18565" s="6">
        <v>18563.0</v>
      </c>
      <c r="B18565" s="17">
        <f t="array" ref="B18565">SUM(1-'Sparkling Model'!D$2:D$38^A18565)</f>
        <v>36.9996454</v>
      </c>
      <c r="C18565" s="8">
        <f t="array" ref="C18565">PRODUCT(1-'Sparkling Model'!D$2:D$38^A18565)</f>
        <v>0.9996454463</v>
      </c>
    </row>
    <row r="18566">
      <c r="A18566" s="6">
        <v>18564.0</v>
      </c>
      <c r="B18566" s="17">
        <f t="array" ref="B18566">SUM(1-'Sparkling Model'!D$2:D$38^A18566)</f>
        <v>36.99964558</v>
      </c>
      <c r="C18566" s="8">
        <f t="array" ref="C18566">PRODUCT(1-'Sparkling Model'!D$2:D$38^A18566)</f>
        <v>0.9996456206</v>
      </c>
    </row>
    <row r="18567">
      <c r="A18567" s="6">
        <v>18565.0</v>
      </c>
      <c r="B18567" s="17">
        <f t="array" ref="B18567">SUM(1-'Sparkling Model'!D$2:D$38^A18567)</f>
        <v>36.99964575</v>
      </c>
      <c r="C18567" s="8">
        <f t="array" ref="C18567">PRODUCT(1-'Sparkling Model'!D$2:D$38^A18567)</f>
        <v>0.9996457948</v>
      </c>
    </row>
    <row r="18568">
      <c r="A18568" s="6">
        <v>18566.0</v>
      </c>
      <c r="B18568" s="17">
        <f t="array" ref="B18568">SUM(1-'Sparkling Model'!D$2:D$38^A18568)</f>
        <v>36.99964593</v>
      </c>
      <c r="C18568" s="8">
        <f t="array" ref="C18568">PRODUCT(1-'Sparkling Model'!D$2:D$38^A18568)</f>
        <v>0.9996459689</v>
      </c>
    </row>
    <row r="18569">
      <c r="A18569" s="6">
        <v>18567.0</v>
      </c>
      <c r="B18569" s="17">
        <f t="array" ref="B18569">SUM(1-'Sparkling Model'!D$2:D$38^A18569)</f>
        <v>36.9996461</v>
      </c>
      <c r="C18569" s="8">
        <f t="array" ref="C18569">PRODUCT(1-'Sparkling Model'!D$2:D$38^A18569)</f>
        <v>0.9996461429</v>
      </c>
    </row>
    <row r="18570">
      <c r="A18570" s="6">
        <v>18568.0</v>
      </c>
      <c r="B18570" s="17">
        <f t="array" ref="B18570">SUM(1-'Sparkling Model'!D$2:D$38^A18570)</f>
        <v>36.99964627</v>
      </c>
      <c r="C18570" s="8">
        <f t="array" ref="C18570">PRODUCT(1-'Sparkling Model'!D$2:D$38^A18570)</f>
        <v>0.9996463168</v>
      </c>
    </row>
    <row r="18571">
      <c r="A18571" s="6">
        <v>18569.0</v>
      </c>
      <c r="B18571" s="17">
        <f t="array" ref="B18571">SUM(1-'Sparkling Model'!D$2:D$38^A18571)</f>
        <v>36.99964645</v>
      </c>
      <c r="C18571" s="8">
        <f t="array" ref="C18571">PRODUCT(1-'Sparkling Model'!D$2:D$38^A18571)</f>
        <v>0.9996464907</v>
      </c>
    </row>
    <row r="18572">
      <c r="A18572" s="6">
        <v>18570.0</v>
      </c>
      <c r="B18572" s="17">
        <f t="array" ref="B18572">SUM(1-'Sparkling Model'!D$2:D$38^A18572)</f>
        <v>36.99964662</v>
      </c>
      <c r="C18572" s="8">
        <f t="array" ref="C18572">PRODUCT(1-'Sparkling Model'!D$2:D$38^A18572)</f>
        <v>0.9996466644</v>
      </c>
    </row>
    <row r="18573">
      <c r="A18573" s="6">
        <v>18571.0</v>
      </c>
      <c r="B18573" s="17">
        <f t="array" ref="B18573">SUM(1-'Sparkling Model'!D$2:D$38^A18573)</f>
        <v>36.9996468</v>
      </c>
      <c r="C18573" s="8">
        <f t="array" ref="C18573">PRODUCT(1-'Sparkling Model'!D$2:D$38^A18573)</f>
        <v>0.9996468381</v>
      </c>
    </row>
    <row r="18574">
      <c r="A18574" s="6">
        <v>18572.0</v>
      </c>
      <c r="B18574" s="17">
        <f t="array" ref="B18574">SUM(1-'Sparkling Model'!D$2:D$38^A18574)</f>
        <v>36.99964697</v>
      </c>
      <c r="C18574" s="8">
        <f t="array" ref="C18574">PRODUCT(1-'Sparkling Model'!D$2:D$38^A18574)</f>
        <v>0.9996470117</v>
      </c>
    </row>
    <row r="18575">
      <c r="A18575" s="6">
        <v>18573.0</v>
      </c>
      <c r="B18575" s="17">
        <f t="array" ref="B18575">SUM(1-'Sparkling Model'!D$2:D$38^A18575)</f>
        <v>36.99964714</v>
      </c>
      <c r="C18575" s="8">
        <f t="array" ref="C18575">PRODUCT(1-'Sparkling Model'!D$2:D$38^A18575)</f>
        <v>0.9996471852</v>
      </c>
    </row>
    <row r="18576">
      <c r="A18576" s="6">
        <v>18574.0</v>
      </c>
      <c r="B18576" s="17">
        <f t="array" ref="B18576">SUM(1-'Sparkling Model'!D$2:D$38^A18576)</f>
        <v>36.99964732</v>
      </c>
      <c r="C18576" s="8">
        <f t="array" ref="C18576">PRODUCT(1-'Sparkling Model'!D$2:D$38^A18576)</f>
        <v>0.9996473586</v>
      </c>
    </row>
    <row r="18577">
      <c r="A18577" s="6">
        <v>18575.0</v>
      </c>
      <c r="B18577" s="17">
        <f t="array" ref="B18577">SUM(1-'Sparkling Model'!D$2:D$38^A18577)</f>
        <v>36.99964749</v>
      </c>
      <c r="C18577" s="8">
        <f t="array" ref="C18577">PRODUCT(1-'Sparkling Model'!D$2:D$38^A18577)</f>
        <v>0.9996475319</v>
      </c>
    </row>
    <row r="18578">
      <c r="A18578" s="6">
        <v>18576.0</v>
      </c>
      <c r="B18578" s="17">
        <f t="array" ref="B18578">SUM(1-'Sparkling Model'!D$2:D$38^A18578)</f>
        <v>36.99964766</v>
      </c>
      <c r="C18578" s="8">
        <f t="array" ref="C18578">PRODUCT(1-'Sparkling Model'!D$2:D$38^A18578)</f>
        <v>0.9996477051</v>
      </c>
    </row>
    <row r="18579">
      <c r="A18579" s="6">
        <v>18577.0</v>
      </c>
      <c r="B18579" s="17">
        <f t="array" ref="B18579">SUM(1-'Sparkling Model'!D$2:D$38^A18579)</f>
        <v>36.99964784</v>
      </c>
      <c r="C18579" s="8">
        <f t="array" ref="C18579">PRODUCT(1-'Sparkling Model'!D$2:D$38^A18579)</f>
        <v>0.9996478783</v>
      </c>
    </row>
    <row r="18580">
      <c r="A18580" s="6">
        <v>18578.0</v>
      </c>
      <c r="B18580" s="17">
        <f t="array" ref="B18580">SUM(1-'Sparkling Model'!D$2:D$38^A18580)</f>
        <v>36.99964801</v>
      </c>
      <c r="C18580" s="8">
        <f t="array" ref="C18580">PRODUCT(1-'Sparkling Model'!D$2:D$38^A18580)</f>
        <v>0.9996480514</v>
      </c>
    </row>
    <row r="18581">
      <c r="A18581" s="6">
        <v>18579.0</v>
      </c>
      <c r="B18581" s="17">
        <f t="array" ref="B18581">SUM(1-'Sparkling Model'!D$2:D$38^A18581)</f>
        <v>36.99964818</v>
      </c>
      <c r="C18581" s="8">
        <f t="array" ref="C18581">PRODUCT(1-'Sparkling Model'!D$2:D$38^A18581)</f>
        <v>0.9996482244</v>
      </c>
    </row>
    <row r="18582">
      <c r="A18582" s="6">
        <v>18580.0</v>
      </c>
      <c r="B18582" s="17">
        <f t="array" ref="B18582">SUM(1-'Sparkling Model'!D$2:D$38^A18582)</f>
        <v>36.99964836</v>
      </c>
      <c r="C18582" s="8">
        <f t="array" ref="C18582">PRODUCT(1-'Sparkling Model'!D$2:D$38^A18582)</f>
        <v>0.9996483973</v>
      </c>
    </row>
    <row r="18583">
      <c r="A18583" s="6">
        <v>18581.0</v>
      </c>
      <c r="B18583" s="17">
        <f t="array" ref="B18583">SUM(1-'Sparkling Model'!D$2:D$38^A18583)</f>
        <v>36.99964853</v>
      </c>
      <c r="C18583" s="8">
        <f t="array" ref="C18583">PRODUCT(1-'Sparkling Model'!D$2:D$38^A18583)</f>
        <v>0.9996485701</v>
      </c>
    </row>
    <row r="18584">
      <c r="A18584" s="6">
        <v>18582.0</v>
      </c>
      <c r="B18584" s="17">
        <f t="array" ref="B18584">SUM(1-'Sparkling Model'!D$2:D$38^A18584)</f>
        <v>36.9996487</v>
      </c>
      <c r="C18584" s="8">
        <f t="array" ref="C18584">PRODUCT(1-'Sparkling Model'!D$2:D$38^A18584)</f>
        <v>0.9996487428</v>
      </c>
    </row>
    <row r="18585">
      <c r="A18585" s="6">
        <v>18583.0</v>
      </c>
      <c r="B18585" s="17">
        <f t="array" ref="B18585">SUM(1-'Sparkling Model'!D$2:D$38^A18585)</f>
        <v>36.99964887</v>
      </c>
      <c r="C18585" s="8">
        <f t="array" ref="C18585">PRODUCT(1-'Sparkling Model'!D$2:D$38^A18585)</f>
        <v>0.9996489154</v>
      </c>
    </row>
    <row r="18586">
      <c r="A18586" s="6">
        <v>18584.0</v>
      </c>
      <c r="B18586" s="17">
        <f t="array" ref="B18586">SUM(1-'Sparkling Model'!D$2:D$38^A18586)</f>
        <v>36.99964905</v>
      </c>
      <c r="C18586" s="8">
        <f t="array" ref="C18586">PRODUCT(1-'Sparkling Model'!D$2:D$38^A18586)</f>
        <v>0.999649088</v>
      </c>
    </row>
    <row r="18587">
      <c r="A18587" s="6">
        <v>18585.0</v>
      </c>
      <c r="B18587" s="17">
        <f t="array" ref="B18587">SUM(1-'Sparkling Model'!D$2:D$38^A18587)</f>
        <v>36.99964922</v>
      </c>
      <c r="C18587" s="8">
        <f t="array" ref="C18587">PRODUCT(1-'Sparkling Model'!D$2:D$38^A18587)</f>
        <v>0.9996492605</v>
      </c>
    </row>
    <row r="18588">
      <c r="A18588" s="6">
        <v>18586.0</v>
      </c>
      <c r="B18588" s="17">
        <f t="array" ref="B18588">SUM(1-'Sparkling Model'!D$2:D$38^A18588)</f>
        <v>36.99964939</v>
      </c>
      <c r="C18588" s="8">
        <f t="array" ref="C18588">PRODUCT(1-'Sparkling Model'!D$2:D$38^A18588)</f>
        <v>0.9996494329</v>
      </c>
    </row>
    <row r="18589">
      <c r="A18589" s="6">
        <v>18587.0</v>
      </c>
      <c r="B18589" s="17">
        <f t="array" ref="B18589">SUM(1-'Sparkling Model'!D$2:D$38^A18589)</f>
        <v>36.99964956</v>
      </c>
      <c r="C18589" s="8">
        <f t="array" ref="C18589">PRODUCT(1-'Sparkling Model'!D$2:D$38^A18589)</f>
        <v>0.9996496052</v>
      </c>
    </row>
    <row r="18590">
      <c r="A18590" s="6">
        <v>18588.0</v>
      </c>
      <c r="B18590" s="17">
        <f t="array" ref="B18590">SUM(1-'Sparkling Model'!D$2:D$38^A18590)</f>
        <v>36.99964974</v>
      </c>
      <c r="C18590" s="8">
        <f t="array" ref="C18590">PRODUCT(1-'Sparkling Model'!D$2:D$38^A18590)</f>
        <v>0.9996497774</v>
      </c>
    </row>
    <row r="18591">
      <c r="A18591" s="6">
        <v>18589.0</v>
      </c>
      <c r="B18591" s="17">
        <f t="array" ref="B18591">SUM(1-'Sparkling Model'!D$2:D$38^A18591)</f>
        <v>36.99964991</v>
      </c>
      <c r="C18591" s="8">
        <f t="array" ref="C18591">PRODUCT(1-'Sparkling Model'!D$2:D$38^A18591)</f>
        <v>0.9996499495</v>
      </c>
    </row>
    <row r="18592">
      <c r="A18592" s="6">
        <v>18590.0</v>
      </c>
      <c r="B18592" s="17">
        <f t="array" ref="B18592">SUM(1-'Sparkling Model'!D$2:D$38^A18592)</f>
        <v>36.99965008</v>
      </c>
      <c r="C18592" s="8">
        <f t="array" ref="C18592">PRODUCT(1-'Sparkling Model'!D$2:D$38^A18592)</f>
        <v>0.9996501216</v>
      </c>
    </row>
    <row r="18593">
      <c r="A18593" s="6">
        <v>18591.0</v>
      </c>
      <c r="B18593" s="17">
        <f t="array" ref="B18593">SUM(1-'Sparkling Model'!D$2:D$38^A18593)</f>
        <v>36.99965025</v>
      </c>
      <c r="C18593" s="8">
        <f t="array" ref="C18593">PRODUCT(1-'Sparkling Model'!D$2:D$38^A18593)</f>
        <v>0.9996502936</v>
      </c>
    </row>
    <row r="18594">
      <c r="A18594" s="6">
        <v>18592.0</v>
      </c>
      <c r="B18594" s="17">
        <f t="array" ref="B18594">SUM(1-'Sparkling Model'!D$2:D$38^A18594)</f>
        <v>36.99965042</v>
      </c>
      <c r="C18594" s="8">
        <f t="array" ref="C18594">PRODUCT(1-'Sparkling Model'!D$2:D$38^A18594)</f>
        <v>0.9996504654</v>
      </c>
    </row>
    <row r="18595">
      <c r="A18595" s="6">
        <v>18593.0</v>
      </c>
      <c r="B18595" s="17">
        <f t="array" ref="B18595">SUM(1-'Sparkling Model'!D$2:D$38^A18595)</f>
        <v>36.9996506</v>
      </c>
      <c r="C18595" s="8">
        <f t="array" ref="C18595">PRODUCT(1-'Sparkling Model'!D$2:D$38^A18595)</f>
        <v>0.9996506372</v>
      </c>
    </row>
    <row r="18596">
      <c r="A18596" s="6">
        <v>18594.0</v>
      </c>
      <c r="B18596" s="17">
        <f t="array" ref="B18596">SUM(1-'Sparkling Model'!D$2:D$38^A18596)</f>
        <v>36.99965077</v>
      </c>
      <c r="C18596" s="8">
        <f t="array" ref="C18596">PRODUCT(1-'Sparkling Model'!D$2:D$38^A18596)</f>
        <v>0.9996508089</v>
      </c>
    </row>
    <row r="18597">
      <c r="A18597" s="6">
        <v>18595.0</v>
      </c>
      <c r="B18597" s="17">
        <f t="array" ref="B18597">SUM(1-'Sparkling Model'!D$2:D$38^A18597)</f>
        <v>36.99965094</v>
      </c>
      <c r="C18597" s="8">
        <f t="array" ref="C18597">PRODUCT(1-'Sparkling Model'!D$2:D$38^A18597)</f>
        <v>0.9996509806</v>
      </c>
    </row>
    <row r="18598">
      <c r="A18598" s="6">
        <v>18596.0</v>
      </c>
      <c r="B18598" s="17">
        <f t="array" ref="B18598">SUM(1-'Sparkling Model'!D$2:D$38^A18598)</f>
        <v>36.99965111</v>
      </c>
      <c r="C18598" s="8">
        <f t="array" ref="C18598">PRODUCT(1-'Sparkling Model'!D$2:D$38^A18598)</f>
        <v>0.9996511521</v>
      </c>
    </row>
    <row r="18599">
      <c r="A18599" s="6">
        <v>18597.0</v>
      </c>
      <c r="B18599" s="17">
        <f t="array" ref="B18599">SUM(1-'Sparkling Model'!D$2:D$38^A18599)</f>
        <v>36.99965128</v>
      </c>
      <c r="C18599" s="8">
        <f t="array" ref="C18599">PRODUCT(1-'Sparkling Model'!D$2:D$38^A18599)</f>
        <v>0.9996513236</v>
      </c>
    </row>
    <row r="18600">
      <c r="A18600" s="6">
        <v>18598.0</v>
      </c>
      <c r="B18600" s="17">
        <f t="array" ref="B18600">SUM(1-'Sparkling Model'!D$2:D$38^A18600)</f>
        <v>36.99965145</v>
      </c>
      <c r="C18600" s="8">
        <f t="array" ref="C18600">PRODUCT(1-'Sparkling Model'!D$2:D$38^A18600)</f>
        <v>0.9996514949</v>
      </c>
    </row>
    <row r="18601">
      <c r="A18601" s="6">
        <v>18599.0</v>
      </c>
      <c r="B18601" s="17">
        <f t="array" ref="B18601">SUM(1-'Sparkling Model'!D$2:D$38^A18601)</f>
        <v>36.99965162</v>
      </c>
      <c r="C18601" s="8">
        <f t="array" ref="C18601">PRODUCT(1-'Sparkling Model'!D$2:D$38^A18601)</f>
        <v>0.9996516662</v>
      </c>
    </row>
    <row r="18602">
      <c r="A18602" s="6">
        <v>18600.0</v>
      </c>
      <c r="B18602" s="17">
        <f t="array" ref="B18602">SUM(1-'Sparkling Model'!D$2:D$38^A18602)</f>
        <v>36.9996518</v>
      </c>
      <c r="C18602" s="8">
        <f t="array" ref="C18602">PRODUCT(1-'Sparkling Model'!D$2:D$38^A18602)</f>
        <v>0.9996518374</v>
      </c>
    </row>
    <row r="18603">
      <c r="A18603" s="6">
        <v>18601.0</v>
      </c>
      <c r="B18603" s="17">
        <f t="array" ref="B18603">SUM(1-'Sparkling Model'!D$2:D$38^A18603)</f>
        <v>36.99965197</v>
      </c>
      <c r="C18603" s="8">
        <f t="array" ref="C18603">PRODUCT(1-'Sparkling Model'!D$2:D$38^A18603)</f>
        <v>0.9996520086</v>
      </c>
    </row>
    <row r="18604">
      <c r="A18604" s="6">
        <v>18602.0</v>
      </c>
      <c r="B18604" s="17">
        <f t="array" ref="B18604">SUM(1-'Sparkling Model'!D$2:D$38^A18604)</f>
        <v>36.99965214</v>
      </c>
      <c r="C18604" s="8">
        <f t="array" ref="C18604">PRODUCT(1-'Sparkling Model'!D$2:D$38^A18604)</f>
        <v>0.9996521796</v>
      </c>
    </row>
    <row r="18605">
      <c r="A18605" s="6">
        <v>18603.0</v>
      </c>
      <c r="B18605" s="17">
        <f t="array" ref="B18605">SUM(1-'Sparkling Model'!D$2:D$38^A18605)</f>
        <v>36.99965231</v>
      </c>
      <c r="C18605" s="8">
        <f t="array" ref="C18605">PRODUCT(1-'Sparkling Model'!D$2:D$38^A18605)</f>
        <v>0.9996523506</v>
      </c>
    </row>
    <row r="18606">
      <c r="A18606" s="6">
        <v>18604.0</v>
      </c>
      <c r="B18606" s="17">
        <f t="array" ref="B18606">SUM(1-'Sparkling Model'!D$2:D$38^A18606)</f>
        <v>36.99965248</v>
      </c>
      <c r="C18606" s="8">
        <f t="array" ref="C18606">PRODUCT(1-'Sparkling Model'!D$2:D$38^A18606)</f>
        <v>0.9996525214</v>
      </c>
    </row>
    <row r="18607">
      <c r="A18607" s="6">
        <v>18605.0</v>
      </c>
      <c r="B18607" s="17">
        <f t="array" ref="B18607">SUM(1-'Sparkling Model'!D$2:D$38^A18607)</f>
        <v>36.99965265</v>
      </c>
      <c r="C18607" s="8">
        <f t="array" ref="C18607">PRODUCT(1-'Sparkling Model'!D$2:D$38^A18607)</f>
        <v>0.9996526922</v>
      </c>
    </row>
    <row r="18608">
      <c r="A18608" s="6">
        <v>18606.0</v>
      </c>
      <c r="B18608" s="17">
        <f t="array" ref="B18608">SUM(1-'Sparkling Model'!D$2:D$38^A18608)</f>
        <v>36.99965282</v>
      </c>
      <c r="C18608" s="8">
        <f t="array" ref="C18608">PRODUCT(1-'Sparkling Model'!D$2:D$38^A18608)</f>
        <v>0.9996528629</v>
      </c>
    </row>
    <row r="18609">
      <c r="A18609" s="6">
        <v>18607.0</v>
      </c>
      <c r="B18609" s="17">
        <f t="array" ref="B18609">SUM(1-'Sparkling Model'!D$2:D$38^A18609)</f>
        <v>36.99965299</v>
      </c>
      <c r="C18609" s="8">
        <f t="array" ref="C18609">PRODUCT(1-'Sparkling Model'!D$2:D$38^A18609)</f>
        <v>0.9996530335</v>
      </c>
    </row>
    <row r="18610">
      <c r="A18610" s="6">
        <v>18608.0</v>
      </c>
      <c r="B18610" s="17">
        <f t="array" ref="B18610">SUM(1-'Sparkling Model'!D$2:D$38^A18610)</f>
        <v>36.99965316</v>
      </c>
      <c r="C18610" s="8">
        <f t="array" ref="C18610">PRODUCT(1-'Sparkling Model'!D$2:D$38^A18610)</f>
        <v>0.9996532041</v>
      </c>
    </row>
    <row r="18611">
      <c r="A18611" s="6">
        <v>18609.0</v>
      </c>
      <c r="B18611" s="17">
        <f t="array" ref="B18611">SUM(1-'Sparkling Model'!D$2:D$38^A18611)</f>
        <v>36.99965333</v>
      </c>
      <c r="C18611" s="8">
        <f t="array" ref="C18611">PRODUCT(1-'Sparkling Model'!D$2:D$38^A18611)</f>
        <v>0.9996533745</v>
      </c>
    </row>
    <row r="18612">
      <c r="A18612" s="6">
        <v>18610.0</v>
      </c>
      <c r="B18612" s="17">
        <f t="array" ref="B18612">SUM(1-'Sparkling Model'!D$2:D$38^A18612)</f>
        <v>36.9996535</v>
      </c>
      <c r="C18612" s="8">
        <f t="array" ref="C18612">PRODUCT(1-'Sparkling Model'!D$2:D$38^A18612)</f>
        <v>0.9996535449</v>
      </c>
    </row>
    <row r="18613">
      <c r="A18613" s="6">
        <v>18611.0</v>
      </c>
      <c r="B18613" s="17">
        <f t="array" ref="B18613">SUM(1-'Sparkling Model'!D$2:D$38^A18613)</f>
        <v>36.99965367</v>
      </c>
      <c r="C18613" s="8">
        <f t="array" ref="C18613">PRODUCT(1-'Sparkling Model'!D$2:D$38^A18613)</f>
        <v>0.9996537151</v>
      </c>
    </row>
    <row r="18614">
      <c r="A18614" s="6">
        <v>18612.0</v>
      </c>
      <c r="B18614" s="17">
        <f t="array" ref="B18614">SUM(1-'Sparkling Model'!D$2:D$38^A18614)</f>
        <v>36.99965384</v>
      </c>
      <c r="C18614" s="8">
        <f t="array" ref="C18614">PRODUCT(1-'Sparkling Model'!D$2:D$38^A18614)</f>
        <v>0.9996538853</v>
      </c>
    </row>
    <row r="18615">
      <c r="A18615" s="6">
        <v>18613.0</v>
      </c>
      <c r="B18615" s="17">
        <f t="array" ref="B18615">SUM(1-'Sparkling Model'!D$2:D$38^A18615)</f>
        <v>36.99965401</v>
      </c>
      <c r="C18615" s="8">
        <f t="array" ref="C18615">PRODUCT(1-'Sparkling Model'!D$2:D$38^A18615)</f>
        <v>0.9996540555</v>
      </c>
    </row>
    <row r="18616">
      <c r="A18616" s="6">
        <v>18614.0</v>
      </c>
      <c r="B18616" s="17">
        <f t="array" ref="B18616">SUM(1-'Sparkling Model'!D$2:D$38^A18616)</f>
        <v>36.99965418</v>
      </c>
      <c r="C18616" s="8">
        <f t="array" ref="C18616">PRODUCT(1-'Sparkling Model'!D$2:D$38^A18616)</f>
        <v>0.9996542255</v>
      </c>
    </row>
    <row r="18617">
      <c r="A18617" s="6">
        <v>18615.0</v>
      </c>
      <c r="B18617" s="17">
        <f t="array" ref="B18617">SUM(1-'Sparkling Model'!D$2:D$38^A18617)</f>
        <v>36.99965435</v>
      </c>
      <c r="C18617" s="8">
        <f t="array" ref="C18617">PRODUCT(1-'Sparkling Model'!D$2:D$38^A18617)</f>
        <v>0.9996543954</v>
      </c>
    </row>
    <row r="18618">
      <c r="A18618" s="6">
        <v>18616.0</v>
      </c>
      <c r="B18618" s="17">
        <f t="array" ref="B18618">SUM(1-'Sparkling Model'!D$2:D$38^A18618)</f>
        <v>36.99965452</v>
      </c>
      <c r="C18618" s="8">
        <f t="array" ref="C18618">PRODUCT(1-'Sparkling Model'!D$2:D$38^A18618)</f>
        <v>0.9996545653</v>
      </c>
    </row>
    <row r="18619">
      <c r="A18619" s="6">
        <v>18617.0</v>
      </c>
      <c r="B18619" s="17">
        <f t="array" ref="B18619">SUM(1-'Sparkling Model'!D$2:D$38^A18619)</f>
        <v>36.99965469</v>
      </c>
      <c r="C18619" s="8">
        <f t="array" ref="C18619">PRODUCT(1-'Sparkling Model'!D$2:D$38^A18619)</f>
        <v>0.9996547351</v>
      </c>
    </row>
    <row r="18620">
      <c r="A18620" s="6">
        <v>18618.0</v>
      </c>
      <c r="B18620" s="17">
        <f t="array" ref="B18620">SUM(1-'Sparkling Model'!D$2:D$38^A18620)</f>
        <v>36.99965486</v>
      </c>
      <c r="C18620" s="8">
        <f t="array" ref="C18620">PRODUCT(1-'Sparkling Model'!D$2:D$38^A18620)</f>
        <v>0.9996549048</v>
      </c>
    </row>
    <row r="18621">
      <c r="A18621" s="6">
        <v>18619.0</v>
      </c>
      <c r="B18621" s="17">
        <f t="array" ref="B18621">SUM(1-'Sparkling Model'!D$2:D$38^A18621)</f>
        <v>36.99965503</v>
      </c>
      <c r="C18621" s="8">
        <f t="array" ref="C18621">PRODUCT(1-'Sparkling Model'!D$2:D$38^A18621)</f>
        <v>0.9996550744</v>
      </c>
    </row>
    <row r="18622">
      <c r="A18622" s="6">
        <v>18620.0</v>
      </c>
      <c r="B18622" s="17">
        <f t="array" ref="B18622">SUM(1-'Sparkling Model'!D$2:D$38^A18622)</f>
        <v>36.9996552</v>
      </c>
      <c r="C18622" s="8">
        <f t="array" ref="C18622">PRODUCT(1-'Sparkling Model'!D$2:D$38^A18622)</f>
        <v>0.9996552439</v>
      </c>
    </row>
    <row r="18623">
      <c r="A18623" s="6">
        <v>18621.0</v>
      </c>
      <c r="B18623" s="17">
        <f t="array" ref="B18623">SUM(1-'Sparkling Model'!D$2:D$38^A18623)</f>
        <v>36.99965537</v>
      </c>
      <c r="C18623" s="8">
        <f t="array" ref="C18623">PRODUCT(1-'Sparkling Model'!D$2:D$38^A18623)</f>
        <v>0.9996554133</v>
      </c>
    </row>
    <row r="18624">
      <c r="A18624" s="6">
        <v>18622.0</v>
      </c>
      <c r="B18624" s="17">
        <f t="array" ref="B18624">SUM(1-'Sparkling Model'!D$2:D$38^A18624)</f>
        <v>36.99965554</v>
      </c>
      <c r="C18624" s="8">
        <f t="array" ref="C18624">PRODUCT(1-'Sparkling Model'!D$2:D$38^A18624)</f>
        <v>0.9996555827</v>
      </c>
    </row>
    <row r="18625">
      <c r="A18625" s="6">
        <v>18623.0</v>
      </c>
      <c r="B18625" s="17">
        <f t="array" ref="B18625">SUM(1-'Sparkling Model'!D$2:D$38^A18625)</f>
        <v>36.99965571</v>
      </c>
      <c r="C18625" s="8">
        <f t="array" ref="C18625">PRODUCT(1-'Sparkling Model'!D$2:D$38^A18625)</f>
        <v>0.999655752</v>
      </c>
    </row>
    <row r="18626">
      <c r="A18626" s="6">
        <v>18624.0</v>
      </c>
      <c r="B18626" s="17">
        <f t="array" ref="B18626">SUM(1-'Sparkling Model'!D$2:D$38^A18626)</f>
        <v>36.99965588</v>
      </c>
      <c r="C18626" s="8">
        <f t="array" ref="C18626">PRODUCT(1-'Sparkling Model'!D$2:D$38^A18626)</f>
        <v>0.9996559212</v>
      </c>
    </row>
    <row r="18627">
      <c r="A18627" s="6">
        <v>18625.0</v>
      </c>
      <c r="B18627" s="17">
        <f t="array" ref="B18627">SUM(1-'Sparkling Model'!D$2:D$38^A18627)</f>
        <v>36.99965605</v>
      </c>
      <c r="C18627" s="8">
        <f t="array" ref="C18627">PRODUCT(1-'Sparkling Model'!D$2:D$38^A18627)</f>
        <v>0.9996560903</v>
      </c>
    </row>
    <row r="18628">
      <c r="A18628" s="6">
        <v>18626.0</v>
      </c>
      <c r="B18628" s="17">
        <f t="array" ref="B18628">SUM(1-'Sparkling Model'!D$2:D$38^A18628)</f>
        <v>36.99965622</v>
      </c>
      <c r="C18628" s="8">
        <f t="array" ref="C18628">PRODUCT(1-'Sparkling Model'!D$2:D$38^A18628)</f>
        <v>0.9996562593</v>
      </c>
    </row>
    <row r="18629">
      <c r="A18629" s="6">
        <v>18627.0</v>
      </c>
      <c r="B18629" s="17">
        <f t="array" ref="B18629">SUM(1-'Sparkling Model'!D$2:D$38^A18629)</f>
        <v>36.99965639</v>
      </c>
      <c r="C18629" s="8">
        <f t="array" ref="C18629">PRODUCT(1-'Sparkling Model'!D$2:D$38^A18629)</f>
        <v>0.9996564283</v>
      </c>
    </row>
    <row r="18630">
      <c r="A18630" s="6">
        <v>18628.0</v>
      </c>
      <c r="B18630" s="17">
        <f t="array" ref="B18630">SUM(1-'Sparkling Model'!D$2:D$38^A18630)</f>
        <v>36.99965656</v>
      </c>
      <c r="C18630" s="8">
        <f t="array" ref="C18630">PRODUCT(1-'Sparkling Model'!D$2:D$38^A18630)</f>
        <v>0.9996565971</v>
      </c>
    </row>
    <row r="18631">
      <c r="A18631" s="6">
        <v>18629.0</v>
      </c>
      <c r="B18631" s="17">
        <f t="array" ref="B18631">SUM(1-'Sparkling Model'!D$2:D$38^A18631)</f>
        <v>36.99965673</v>
      </c>
      <c r="C18631" s="8">
        <f t="array" ref="C18631">PRODUCT(1-'Sparkling Model'!D$2:D$38^A18631)</f>
        <v>0.9996567659</v>
      </c>
    </row>
    <row r="18632">
      <c r="A18632" s="6">
        <v>18630.0</v>
      </c>
      <c r="B18632" s="17">
        <f t="array" ref="B18632">SUM(1-'Sparkling Model'!D$2:D$38^A18632)</f>
        <v>36.99965689</v>
      </c>
      <c r="C18632" s="8">
        <f t="array" ref="C18632">PRODUCT(1-'Sparkling Model'!D$2:D$38^A18632)</f>
        <v>0.9996569346</v>
      </c>
    </row>
    <row r="18633">
      <c r="A18633" s="6">
        <v>18631.0</v>
      </c>
      <c r="B18633" s="17">
        <f t="array" ref="B18633">SUM(1-'Sparkling Model'!D$2:D$38^A18633)</f>
        <v>36.99965706</v>
      </c>
      <c r="C18633" s="8">
        <f t="array" ref="C18633">PRODUCT(1-'Sparkling Model'!D$2:D$38^A18633)</f>
        <v>0.9996571032</v>
      </c>
    </row>
    <row r="18634">
      <c r="A18634" s="6">
        <v>18632.0</v>
      </c>
      <c r="B18634" s="17">
        <f t="array" ref="B18634">SUM(1-'Sparkling Model'!D$2:D$38^A18634)</f>
        <v>36.99965723</v>
      </c>
      <c r="C18634" s="8">
        <f t="array" ref="C18634">PRODUCT(1-'Sparkling Model'!D$2:D$38^A18634)</f>
        <v>0.9996572717</v>
      </c>
    </row>
    <row r="18635">
      <c r="A18635" s="6">
        <v>18633.0</v>
      </c>
      <c r="B18635" s="17">
        <f t="array" ref="B18635">SUM(1-'Sparkling Model'!D$2:D$38^A18635)</f>
        <v>36.9996574</v>
      </c>
      <c r="C18635" s="8">
        <f t="array" ref="C18635">PRODUCT(1-'Sparkling Model'!D$2:D$38^A18635)</f>
        <v>0.9996574402</v>
      </c>
    </row>
    <row r="18636">
      <c r="A18636" s="6">
        <v>18634.0</v>
      </c>
      <c r="B18636" s="17">
        <f t="array" ref="B18636">SUM(1-'Sparkling Model'!D$2:D$38^A18636)</f>
        <v>36.99965757</v>
      </c>
      <c r="C18636" s="8">
        <f t="array" ref="C18636">PRODUCT(1-'Sparkling Model'!D$2:D$38^A18636)</f>
        <v>0.9996576085</v>
      </c>
    </row>
    <row r="18637">
      <c r="A18637" s="6">
        <v>18635.0</v>
      </c>
      <c r="B18637" s="17">
        <f t="array" ref="B18637">SUM(1-'Sparkling Model'!D$2:D$38^A18637)</f>
        <v>36.99965774</v>
      </c>
      <c r="C18637" s="8">
        <f t="array" ref="C18637">PRODUCT(1-'Sparkling Model'!D$2:D$38^A18637)</f>
        <v>0.9996577768</v>
      </c>
    </row>
    <row r="18638">
      <c r="A18638" s="6">
        <v>18636.0</v>
      </c>
      <c r="B18638" s="17">
        <f t="array" ref="B18638">SUM(1-'Sparkling Model'!D$2:D$38^A18638)</f>
        <v>36.99965791</v>
      </c>
      <c r="C18638" s="8">
        <f t="array" ref="C18638">PRODUCT(1-'Sparkling Model'!D$2:D$38^A18638)</f>
        <v>0.999657945</v>
      </c>
    </row>
    <row r="18639">
      <c r="A18639" s="6">
        <v>18637.0</v>
      </c>
      <c r="B18639" s="17">
        <f t="array" ref="B18639">SUM(1-'Sparkling Model'!D$2:D$38^A18639)</f>
        <v>36.99965807</v>
      </c>
      <c r="C18639" s="8">
        <f t="array" ref="C18639">PRODUCT(1-'Sparkling Model'!D$2:D$38^A18639)</f>
        <v>0.9996581131</v>
      </c>
    </row>
    <row r="18640">
      <c r="A18640" s="6">
        <v>18638.0</v>
      </c>
      <c r="B18640" s="17">
        <f t="array" ref="B18640">SUM(1-'Sparkling Model'!D$2:D$38^A18640)</f>
        <v>36.99965824</v>
      </c>
      <c r="C18640" s="8">
        <f t="array" ref="C18640">PRODUCT(1-'Sparkling Model'!D$2:D$38^A18640)</f>
        <v>0.9996582812</v>
      </c>
    </row>
    <row r="18641">
      <c r="A18641" s="6">
        <v>18639.0</v>
      </c>
      <c r="B18641" s="17">
        <f t="array" ref="B18641">SUM(1-'Sparkling Model'!D$2:D$38^A18641)</f>
        <v>36.99965841</v>
      </c>
      <c r="C18641" s="8">
        <f t="array" ref="C18641">PRODUCT(1-'Sparkling Model'!D$2:D$38^A18641)</f>
        <v>0.9996584491</v>
      </c>
    </row>
    <row r="18642">
      <c r="A18642" s="6">
        <v>18640.0</v>
      </c>
      <c r="B18642" s="17">
        <f t="array" ref="B18642">SUM(1-'Sparkling Model'!D$2:D$38^A18642)</f>
        <v>36.99965858</v>
      </c>
      <c r="C18642" s="8">
        <f t="array" ref="C18642">PRODUCT(1-'Sparkling Model'!D$2:D$38^A18642)</f>
        <v>0.999658617</v>
      </c>
    </row>
    <row r="18643">
      <c r="A18643" s="6">
        <v>18641.0</v>
      </c>
      <c r="B18643" s="17">
        <f t="array" ref="B18643">SUM(1-'Sparkling Model'!D$2:D$38^A18643)</f>
        <v>36.99965875</v>
      </c>
      <c r="C18643" s="8">
        <f t="array" ref="C18643">PRODUCT(1-'Sparkling Model'!D$2:D$38^A18643)</f>
        <v>0.9996587848</v>
      </c>
    </row>
    <row r="18644">
      <c r="A18644" s="6">
        <v>18642.0</v>
      </c>
      <c r="B18644" s="17">
        <f t="array" ref="B18644">SUM(1-'Sparkling Model'!D$2:D$38^A18644)</f>
        <v>36.99965891</v>
      </c>
      <c r="C18644" s="8">
        <f t="array" ref="C18644">PRODUCT(1-'Sparkling Model'!D$2:D$38^A18644)</f>
        <v>0.9996589525</v>
      </c>
    </row>
    <row r="18645">
      <c r="A18645" s="6">
        <v>18643.0</v>
      </c>
      <c r="B18645" s="17">
        <f t="array" ref="B18645">SUM(1-'Sparkling Model'!D$2:D$38^A18645)</f>
        <v>36.99965908</v>
      </c>
      <c r="C18645" s="8">
        <f t="array" ref="C18645">PRODUCT(1-'Sparkling Model'!D$2:D$38^A18645)</f>
        <v>0.9996591201</v>
      </c>
    </row>
    <row r="18646">
      <c r="A18646" s="6">
        <v>18644.0</v>
      </c>
      <c r="B18646" s="17">
        <f t="array" ref="B18646">SUM(1-'Sparkling Model'!D$2:D$38^A18646)</f>
        <v>36.99965925</v>
      </c>
      <c r="C18646" s="8">
        <f t="array" ref="C18646">PRODUCT(1-'Sparkling Model'!D$2:D$38^A18646)</f>
        <v>0.9996592876</v>
      </c>
    </row>
    <row r="18647">
      <c r="A18647" s="6">
        <v>18645.0</v>
      </c>
      <c r="B18647" s="17">
        <f t="array" ref="B18647">SUM(1-'Sparkling Model'!D$2:D$38^A18647)</f>
        <v>36.99965942</v>
      </c>
      <c r="C18647" s="8">
        <f t="array" ref="C18647">PRODUCT(1-'Sparkling Model'!D$2:D$38^A18647)</f>
        <v>0.9996594551</v>
      </c>
    </row>
    <row r="18648">
      <c r="A18648" s="6">
        <v>18646.0</v>
      </c>
      <c r="B18648" s="17">
        <f t="array" ref="B18648">SUM(1-'Sparkling Model'!D$2:D$38^A18648)</f>
        <v>36.99965958</v>
      </c>
      <c r="C18648" s="8">
        <f t="array" ref="C18648">PRODUCT(1-'Sparkling Model'!D$2:D$38^A18648)</f>
        <v>0.9996596224</v>
      </c>
    </row>
    <row r="18649">
      <c r="A18649" s="6">
        <v>18647.0</v>
      </c>
      <c r="B18649" s="17">
        <f t="array" ref="B18649">SUM(1-'Sparkling Model'!D$2:D$38^A18649)</f>
        <v>36.99965975</v>
      </c>
      <c r="C18649" s="8">
        <f t="array" ref="C18649">PRODUCT(1-'Sparkling Model'!D$2:D$38^A18649)</f>
        <v>0.9996597897</v>
      </c>
    </row>
    <row r="18650">
      <c r="A18650" s="6">
        <v>18648.0</v>
      </c>
      <c r="B18650" s="17">
        <f t="array" ref="B18650">SUM(1-'Sparkling Model'!D$2:D$38^A18650)</f>
        <v>36.99965992</v>
      </c>
      <c r="C18650" s="8">
        <f t="array" ref="C18650">PRODUCT(1-'Sparkling Model'!D$2:D$38^A18650)</f>
        <v>0.9996599569</v>
      </c>
    </row>
    <row r="18651">
      <c r="A18651" s="6">
        <v>18649.0</v>
      </c>
      <c r="B18651" s="17">
        <f t="array" ref="B18651">SUM(1-'Sparkling Model'!D$2:D$38^A18651)</f>
        <v>36.99966008</v>
      </c>
      <c r="C18651" s="8">
        <f t="array" ref="C18651">PRODUCT(1-'Sparkling Model'!D$2:D$38^A18651)</f>
        <v>0.999660124</v>
      </c>
    </row>
    <row r="18652">
      <c r="A18652" s="6">
        <v>18650.0</v>
      </c>
      <c r="B18652" s="17">
        <f t="array" ref="B18652">SUM(1-'Sparkling Model'!D$2:D$38^A18652)</f>
        <v>36.99966025</v>
      </c>
      <c r="C18652" s="8">
        <f t="array" ref="C18652">PRODUCT(1-'Sparkling Model'!D$2:D$38^A18652)</f>
        <v>0.9996602911</v>
      </c>
    </row>
    <row r="18653">
      <c r="A18653" s="6">
        <v>18651.0</v>
      </c>
      <c r="B18653" s="17">
        <f t="array" ref="B18653">SUM(1-'Sparkling Model'!D$2:D$38^A18653)</f>
        <v>36.99966042</v>
      </c>
      <c r="C18653" s="8">
        <f t="array" ref="C18653">PRODUCT(1-'Sparkling Model'!D$2:D$38^A18653)</f>
        <v>0.999660458</v>
      </c>
    </row>
    <row r="18654">
      <c r="A18654" s="6">
        <v>18652.0</v>
      </c>
      <c r="B18654" s="17">
        <f t="array" ref="B18654">SUM(1-'Sparkling Model'!D$2:D$38^A18654)</f>
        <v>36.99966059</v>
      </c>
      <c r="C18654" s="8">
        <f t="array" ref="C18654">PRODUCT(1-'Sparkling Model'!D$2:D$38^A18654)</f>
        <v>0.9996606249</v>
      </c>
    </row>
    <row r="18655">
      <c r="A18655" s="6">
        <v>18653.0</v>
      </c>
      <c r="B18655" s="17">
        <f t="array" ref="B18655">SUM(1-'Sparkling Model'!D$2:D$38^A18655)</f>
        <v>36.99966075</v>
      </c>
      <c r="C18655" s="8">
        <f t="array" ref="C18655">PRODUCT(1-'Sparkling Model'!D$2:D$38^A18655)</f>
        <v>0.9996607917</v>
      </c>
    </row>
    <row r="18656">
      <c r="A18656" s="6">
        <v>18654.0</v>
      </c>
      <c r="B18656" s="17">
        <f t="array" ref="B18656">SUM(1-'Sparkling Model'!D$2:D$38^A18656)</f>
        <v>36.99966092</v>
      </c>
      <c r="C18656" s="8">
        <f t="array" ref="C18656">PRODUCT(1-'Sparkling Model'!D$2:D$38^A18656)</f>
        <v>0.9996609584</v>
      </c>
    </row>
    <row r="18657">
      <c r="A18657" s="6">
        <v>18655.0</v>
      </c>
      <c r="B18657" s="17">
        <f t="array" ref="B18657">SUM(1-'Sparkling Model'!D$2:D$38^A18657)</f>
        <v>36.99966109</v>
      </c>
      <c r="C18657" s="8">
        <f t="array" ref="C18657">PRODUCT(1-'Sparkling Model'!D$2:D$38^A18657)</f>
        <v>0.9996611251</v>
      </c>
    </row>
    <row r="18658">
      <c r="A18658" s="6">
        <v>18656.0</v>
      </c>
      <c r="B18658" s="17">
        <f t="array" ref="B18658">SUM(1-'Sparkling Model'!D$2:D$38^A18658)</f>
        <v>36.99966125</v>
      </c>
      <c r="C18658" s="8">
        <f t="array" ref="C18658">PRODUCT(1-'Sparkling Model'!D$2:D$38^A18658)</f>
        <v>0.9996612916</v>
      </c>
    </row>
    <row r="18659">
      <c r="A18659" s="6">
        <v>18657.0</v>
      </c>
      <c r="B18659" s="17">
        <f t="array" ref="B18659">SUM(1-'Sparkling Model'!D$2:D$38^A18659)</f>
        <v>36.99966142</v>
      </c>
      <c r="C18659" s="8">
        <f t="array" ref="C18659">PRODUCT(1-'Sparkling Model'!D$2:D$38^A18659)</f>
        <v>0.9996614581</v>
      </c>
    </row>
    <row r="18660">
      <c r="A18660" s="6">
        <v>18658.0</v>
      </c>
      <c r="B18660" s="17">
        <f t="array" ref="B18660">SUM(1-'Sparkling Model'!D$2:D$38^A18660)</f>
        <v>36.99966159</v>
      </c>
      <c r="C18660" s="8">
        <f t="array" ref="C18660">PRODUCT(1-'Sparkling Model'!D$2:D$38^A18660)</f>
        <v>0.9996616245</v>
      </c>
    </row>
    <row r="18661">
      <c r="A18661" s="6">
        <v>18659.0</v>
      </c>
      <c r="B18661" s="17">
        <f t="array" ref="B18661">SUM(1-'Sparkling Model'!D$2:D$38^A18661)</f>
        <v>36.99966175</v>
      </c>
      <c r="C18661" s="8">
        <f t="array" ref="C18661">PRODUCT(1-'Sparkling Model'!D$2:D$38^A18661)</f>
        <v>0.9996617908</v>
      </c>
    </row>
    <row r="18662">
      <c r="A18662" s="6">
        <v>18660.0</v>
      </c>
      <c r="B18662" s="17">
        <f t="array" ref="B18662">SUM(1-'Sparkling Model'!D$2:D$38^A18662)</f>
        <v>36.99966192</v>
      </c>
      <c r="C18662" s="8">
        <f t="array" ref="C18662">PRODUCT(1-'Sparkling Model'!D$2:D$38^A18662)</f>
        <v>0.999661957</v>
      </c>
    </row>
    <row r="18663">
      <c r="A18663" s="6">
        <v>18661.0</v>
      </c>
      <c r="B18663" s="17">
        <f t="array" ref="B18663">SUM(1-'Sparkling Model'!D$2:D$38^A18663)</f>
        <v>36.99966208</v>
      </c>
      <c r="C18663" s="8">
        <f t="array" ref="C18663">PRODUCT(1-'Sparkling Model'!D$2:D$38^A18663)</f>
        <v>0.9996621231</v>
      </c>
    </row>
    <row r="18664">
      <c r="A18664" s="6">
        <v>18662.0</v>
      </c>
      <c r="B18664" s="17">
        <f t="array" ref="B18664">SUM(1-'Sparkling Model'!D$2:D$38^A18664)</f>
        <v>36.99966225</v>
      </c>
      <c r="C18664" s="8">
        <f t="array" ref="C18664">PRODUCT(1-'Sparkling Model'!D$2:D$38^A18664)</f>
        <v>0.9996622892</v>
      </c>
    </row>
    <row r="18665">
      <c r="A18665" s="6">
        <v>18663.0</v>
      </c>
      <c r="B18665" s="17">
        <f t="array" ref="B18665">SUM(1-'Sparkling Model'!D$2:D$38^A18665)</f>
        <v>36.99966242</v>
      </c>
      <c r="C18665" s="8">
        <f t="array" ref="C18665">PRODUCT(1-'Sparkling Model'!D$2:D$38^A18665)</f>
        <v>0.9996624552</v>
      </c>
    </row>
    <row r="18666">
      <c r="A18666" s="6">
        <v>18664.0</v>
      </c>
      <c r="B18666" s="17">
        <f t="array" ref="B18666">SUM(1-'Sparkling Model'!D$2:D$38^A18666)</f>
        <v>36.99966258</v>
      </c>
      <c r="C18666" s="8">
        <f t="array" ref="C18666">PRODUCT(1-'Sparkling Model'!D$2:D$38^A18666)</f>
        <v>0.999662621</v>
      </c>
    </row>
    <row r="18667">
      <c r="A18667" s="6">
        <v>18665.0</v>
      </c>
      <c r="B18667" s="17">
        <f t="array" ref="B18667">SUM(1-'Sparkling Model'!D$2:D$38^A18667)</f>
        <v>36.99966275</v>
      </c>
      <c r="C18667" s="8">
        <f t="array" ref="C18667">PRODUCT(1-'Sparkling Model'!D$2:D$38^A18667)</f>
        <v>0.9996627869</v>
      </c>
    </row>
    <row r="18668">
      <c r="A18668" s="6">
        <v>18666.0</v>
      </c>
      <c r="B18668" s="17">
        <f t="array" ref="B18668">SUM(1-'Sparkling Model'!D$2:D$38^A18668)</f>
        <v>36.99966291</v>
      </c>
      <c r="C18668" s="8">
        <f t="array" ref="C18668">PRODUCT(1-'Sparkling Model'!D$2:D$38^A18668)</f>
        <v>0.9996629526</v>
      </c>
    </row>
    <row r="18669">
      <c r="A18669" s="6">
        <v>18667.0</v>
      </c>
      <c r="B18669" s="17">
        <f t="array" ref="B18669">SUM(1-'Sparkling Model'!D$2:D$38^A18669)</f>
        <v>36.99966308</v>
      </c>
      <c r="C18669" s="8">
        <f t="array" ref="C18669">PRODUCT(1-'Sparkling Model'!D$2:D$38^A18669)</f>
        <v>0.9996631182</v>
      </c>
    </row>
    <row r="18670">
      <c r="A18670" s="6">
        <v>18668.0</v>
      </c>
      <c r="B18670" s="17">
        <f t="array" ref="B18670">SUM(1-'Sparkling Model'!D$2:D$38^A18670)</f>
        <v>36.99966325</v>
      </c>
      <c r="C18670" s="8">
        <f t="array" ref="C18670">PRODUCT(1-'Sparkling Model'!D$2:D$38^A18670)</f>
        <v>0.9996632838</v>
      </c>
    </row>
    <row r="18671">
      <c r="A18671" s="6">
        <v>18669.0</v>
      </c>
      <c r="B18671" s="17">
        <f t="array" ref="B18671">SUM(1-'Sparkling Model'!D$2:D$38^A18671)</f>
        <v>36.99966341</v>
      </c>
      <c r="C18671" s="8">
        <f t="array" ref="C18671">PRODUCT(1-'Sparkling Model'!D$2:D$38^A18671)</f>
        <v>0.9996634493</v>
      </c>
    </row>
    <row r="18672">
      <c r="A18672" s="6">
        <v>18670.0</v>
      </c>
      <c r="B18672" s="17">
        <f t="array" ref="B18672">SUM(1-'Sparkling Model'!D$2:D$38^A18672)</f>
        <v>36.99966358</v>
      </c>
      <c r="C18672" s="8">
        <f t="array" ref="C18672">PRODUCT(1-'Sparkling Model'!D$2:D$38^A18672)</f>
        <v>0.9996636147</v>
      </c>
    </row>
    <row r="18673">
      <c r="A18673" s="6">
        <v>18671.0</v>
      </c>
      <c r="B18673" s="17">
        <f t="array" ref="B18673">SUM(1-'Sparkling Model'!D$2:D$38^A18673)</f>
        <v>36.99966374</v>
      </c>
      <c r="C18673" s="8">
        <f t="array" ref="C18673">PRODUCT(1-'Sparkling Model'!D$2:D$38^A18673)</f>
        <v>0.99966378</v>
      </c>
    </row>
    <row r="18674">
      <c r="A18674" s="6">
        <v>18672.0</v>
      </c>
      <c r="B18674" s="17">
        <f t="array" ref="B18674">SUM(1-'Sparkling Model'!D$2:D$38^A18674)</f>
        <v>36.99966391</v>
      </c>
      <c r="C18674" s="8">
        <f t="array" ref="C18674">PRODUCT(1-'Sparkling Model'!D$2:D$38^A18674)</f>
        <v>0.9996639453</v>
      </c>
    </row>
    <row r="18675">
      <c r="A18675" s="6">
        <v>18673.0</v>
      </c>
      <c r="B18675" s="17">
        <f t="array" ref="B18675">SUM(1-'Sparkling Model'!D$2:D$38^A18675)</f>
        <v>36.99966407</v>
      </c>
      <c r="C18675" s="8">
        <f t="array" ref="C18675">PRODUCT(1-'Sparkling Model'!D$2:D$38^A18675)</f>
        <v>0.9996641104</v>
      </c>
    </row>
    <row r="18676">
      <c r="A18676" s="6">
        <v>18674.0</v>
      </c>
      <c r="B18676" s="17">
        <f t="array" ref="B18676">SUM(1-'Sparkling Model'!D$2:D$38^A18676)</f>
        <v>36.99966424</v>
      </c>
      <c r="C18676" s="8">
        <f t="array" ref="C18676">PRODUCT(1-'Sparkling Model'!D$2:D$38^A18676)</f>
        <v>0.9996642755</v>
      </c>
    </row>
    <row r="18677">
      <c r="A18677" s="6">
        <v>18675.0</v>
      </c>
      <c r="B18677" s="17">
        <f t="array" ref="B18677">SUM(1-'Sparkling Model'!D$2:D$38^A18677)</f>
        <v>36.9996644</v>
      </c>
      <c r="C18677" s="8">
        <f t="array" ref="C18677">PRODUCT(1-'Sparkling Model'!D$2:D$38^A18677)</f>
        <v>0.9996644405</v>
      </c>
    </row>
    <row r="18678">
      <c r="A18678" s="6">
        <v>18676.0</v>
      </c>
      <c r="B18678" s="17">
        <f t="array" ref="B18678">SUM(1-'Sparkling Model'!D$2:D$38^A18678)</f>
        <v>36.99966457</v>
      </c>
      <c r="C18678" s="8">
        <f t="array" ref="C18678">PRODUCT(1-'Sparkling Model'!D$2:D$38^A18678)</f>
        <v>0.9996646054</v>
      </c>
    </row>
    <row r="18679">
      <c r="A18679" s="6">
        <v>18677.0</v>
      </c>
      <c r="B18679" s="17">
        <f t="array" ref="B18679">SUM(1-'Sparkling Model'!D$2:D$38^A18679)</f>
        <v>36.99966473</v>
      </c>
      <c r="C18679" s="8">
        <f t="array" ref="C18679">PRODUCT(1-'Sparkling Model'!D$2:D$38^A18679)</f>
        <v>0.9996647702</v>
      </c>
    </row>
    <row r="18680">
      <c r="A18680" s="6">
        <v>18678.0</v>
      </c>
      <c r="B18680" s="17">
        <f t="array" ref="B18680">SUM(1-'Sparkling Model'!D$2:D$38^A18680)</f>
        <v>36.9996649</v>
      </c>
      <c r="C18680" s="8">
        <f t="array" ref="C18680">PRODUCT(1-'Sparkling Model'!D$2:D$38^A18680)</f>
        <v>0.999664935</v>
      </c>
    </row>
    <row r="18681">
      <c r="A18681" s="6">
        <v>18679.0</v>
      </c>
      <c r="B18681" s="17">
        <f t="array" ref="B18681">SUM(1-'Sparkling Model'!D$2:D$38^A18681)</f>
        <v>36.99966506</v>
      </c>
      <c r="C18681" s="8">
        <f t="array" ref="C18681">PRODUCT(1-'Sparkling Model'!D$2:D$38^A18681)</f>
        <v>0.9996650997</v>
      </c>
    </row>
    <row r="18682">
      <c r="A18682" s="6">
        <v>18680.0</v>
      </c>
      <c r="B18682" s="17">
        <f t="array" ref="B18682">SUM(1-'Sparkling Model'!D$2:D$38^A18682)</f>
        <v>36.99966523</v>
      </c>
      <c r="C18682" s="8">
        <f t="array" ref="C18682">PRODUCT(1-'Sparkling Model'!D$2:D$38^A18682)</f>
        <v>0.9996652643</v>
      </c>
    </row>
    <row r="18683">
      <c r="A18683" s="6">
        <v>18681.0</v>
      </c>
      <c r="B18683" s="17">
        <f t="array" ref="B18683">SUM(1-'Sparkling Model'!D$2:D$38^A18683)</f>
        <v>36.99966539</v>
      </c>
      <c r="C18683" s="8">
        <f t="array" ref="C18683">PRODUCT(1-'Sparkling Model'!D$2:D$38^A18683)</f>
        <v>0.9996654288</v>
      </c>
    </row>
    <row r="18684">
      <c r="A18684" s="6">
        <v>18682.0</v>
      </c>
      <c r="B18684" s="17">
        <f t="array" ref="B18684">SUM(1-'Sparkling Model'!D$2:D$38^A18684)</f>
        <v>36.99966556</v>
      </c>
      <c r="C18684" s="8">
        <f t="array" ref="C18684">PRODUCT(1-'Sparkling Model'!D$2:D$38^A18684)</f>
        <v>0.9996655932</v>
      </c>
    </row>
    <row r="18685">
      <c r="A18685" s="6">
        <v>18683.0</v>
      </c>
      <c r="B18685" s="17">
        <f t="array" ref="B18685">SUM(1-'Sparkling Model'!D$2:D$38^A18685)</f>
        <v>36.99966572</v>
      </c>
      <c r="C18685" s="8">
        <f t="array" ref="C18685">PRODUCT(1-'Sparkling Model'!D$2:D$38^A18685)</f>
        <v>0.9996657575</v>
      </c>
    </row>
    <row r="18686">
      <c r="A18686" s="6">
        <v>18684.0</v>
      </c>
      <c r="B18686" s="17">
        <f t="array" ref="B18686">SUM(1-'Sparkling Model'!D$2:D$38^A18686)</f>
        <v>36.99966588</v>
      </c>
      <c r="C18686" s="8">
        <f t="array" ref="C18686">PRODUCT(1-'Sparkling Model'!D$2:D$38^A18686)</f>
        <v>0.9996659218</v>
      </c>
    </row>
    <row r="18687">
      <c r="A18687" s="6">
        <v>18685.0</v>
      </c>
      <c r="B18687" s="17">
        <f t="array" ref="B18687">SUM(1-'Sparkling Model'!D$2:D$38^A18687)</f>
        <v>36.99966605</v>
      </c>
      <c r="C18687" s="8">
        <f t="array" ref="C18687">PRODUCT(1-'Sparkling Model'!D$2:D$38^A18687)</f>
        <v>0.999666086</v>
      </c>
    </row>
    <row r="18688">
      <c r="A18688" s="6">
        <v>18686.0</v>
      </c>
      <c r="B18688" s="17">
        <f t="array" ref="B18688">SUM(1-'Sparkling Model'!D$2:D$38^A18688)</f>
        <v>36.99966621</v>
      </c>
      <c r="C18688" s="8">
        <f t="array" ref="C18688">PRODUCT(1-'Sparkling Model'!D$2:D$38^A18688)</f>
        <v>0.9996662501</v>
      </c>
    </row>
    <row r="18689">
      <c r="A18689" s="6">
        <v>18687.0</v>
      </c>
      <c r="B18689" s="17">
        <f t="array" ref="B18689">SUM(1-'Sparkling Model'!D$2:D$38^A18689)</f>
        <v>36.99966638</v>
      </c>
      <c r="C18689" s="8">
        <f t="array" ref="C18689">PRODUCT(1-'Sparkling Model'!D$2:D$38^A18689)</f>
        <v>0.9996664141</v>
      </c>
    </row>
    <row r="18690">
      <c r="A18690" s="6">
        <v>18688.0</v>
      </c>
      <c r="B18690" s="17">
        <f t="array" ref="B18690">SUM(1-'Sparkling Model'!D$2:D$38^A18690)</f>
        <v>36.99966654</v>
      </c>
      <c r="C18690" s="8">
        <f t="array" ref="C18690">PRODUCT(1-'Sparkling Model'!D$2:D$38^A18690)</f>
        <v>0.9996665781</v>
      </c>
    </row>
    <row r="18691">
      <c r="A18691" s="6">
        <v>18689.0</v>
      </c>
      <c r="B18691" s="17">
        <f t="array" ref="B18691">SUM(1-'Sparkling Model'!D$2:D$38^A18691)</f>
        <v>36.9996667</v>
      </c>
      <c r="C18691" s="8">
        <f t="array" ref="C18691">PRODUCT(1-'Sparkling Model'!D$2:D$38^A18691)</f>
        <v>0.9996667419</v>
      </c>
    </row>
    <row r="18692">
      <c r="A18692" s="6">
        <v>18690.0</v>
      </c>
      <c r="B18692" s="17">
        <f t="array" ref="B18692">SUM(1-'Sparkling Model'!D$2:D$38^A18692)</f>
        <v>36.99966687</v>
      </c>
      <c r="C18692" s="8">
        <f t="array" ref="C18692">PRODUCT(1-'Sparkling Model'!D$2:D$38^A18692)</f>
        <v>0.9996669057</v>
      </c>
    </row>
    <row r="18693">
      <c r="A18693" s="6">
        <v>18691.0</v>
      </c>
      <c r="B18693" s="17">
        <f t="array" ref="B18693">SUM(1-'Sparkling Model'!D$2:D$38^A18693)</f>
        <v>36.99966703</v>
      </c>
      <c r="C18693" s="8">
        <f t="array" ref="C18693">PRODUCT(1-'Sparkling Model'!D$2:D$38^A18693)</f>
        <v>0.9996670694</v>
      </c>
    </row>
    <row r="18694">
      <c r="A18694" s="6">
        <v>18692.0</v>
      </c>
      <c r="B18694" s="17">
        <f t="array" ref="B18694">SUM(1-'Sparkling Model'!D$2:D$38^A18694)</f>
        <v>36.9996672</v>
      </c>
      <c r="C18694" s="8">
        <f t="array" ref="C18694">PRODUCT(1-'Sparkling Model'!D$2:D$38^A18694)</f>
        <v>0.999667233</v>
      </c>
    </row>
    <row r="18695">
      <c r="A18695" s="6">
        <v>18693.0</v>
      </c>
      <c r="B18695" s="17">
        <f t="array" ref="B18695">SUM(1-'Sparkling Model'!D$2:D$38^A18695)</f>
        <v>36.99966736</v>
      </c>
      <c r="C18695" s="8">
        <f t="array" ref="C18695">PRODUCT(1-'Sparkling Model'!D$2:D$38^A18695)</f>
        <v>0.9996673966</v>
      </c>
    </row>
    <row r="18696">
      <c r="A18696" s="6">
        <v>18694.0</v>
      </c>
      <c r="B18696" s="17">
        <f t="array" ref="B18696">SUM(1-'Sparkling Model'!D$2:D$38^A18696)</f>
        <v>36.99966752</v>
      </c>
      <c r="C18696" s="8">
        <f t="array" ref="C18696">PRODUCT(1-'Sparkling Model'!D$2:D$38^A18696)</f>
        <v>0.99966756</v>
      </c>
    </row>
    <row r="18697">
      <c r="A18697" s="6">
        <v>18695.0</v>
      </c>
      <c r="B18697" s="17">
        <f t="array" ref="B18697">SUM(1-'Sparkling Model'!D$2:D$38^A18697)</f>
        <v>36.99966769</v>
      </c>
      <c r="C18697" s="8">
        <f t="array" ref="C18697">PRODUCT(1-'Sparkling Model'!D$2:D$38^A18697)</f>
        <v>0.9996677234</v>
      </c>
    </row>
    <row r="18698">
      <c r="A18698" s="6">
        <v>18696.0</v>
      </c>
      <c r="B18698" s="17">
        <f t="array" ref="B18698">SUM(1-'Sparkling Model'!D$2:D$38^A18698)</f>
        <v>36.99966785</v>
      </c>
      <c r="C18698" s="8">
        <f t="array" ref="C18698">PRODUCT(1-'Sparkling Model'!D$2:D$38^A18698)</f>
        <v>0.9996678867</v>
      </c>
    </row>
    <row r="18699">
      <c r="A18699" s="6">
        <v>18697.0</v>
      </c>
      <c r="B18699" s="17">
        <f t="array" ref="B18699">SUM(1-'Sparkling Model'!D$2:D$38^A18699)</f>
        <v>36.99966801</v>
      </c>
      <c r="C18699" s="8">
        <f t="array" ref="C18699">PRODUCT(1-'Sparkling Model'!D$2:D$38^A18699)</f>
        <v>0.9996680499</v>
      </c>
    </row>
    <row r="18700">
      <c r="A18700" s="6">
        <v>18698.0</v>
      </c>
      <c r="B18700" s="17">
        <f t="array" ref="B18700">SUM(1-'Sparkling Model'!D$2:D$38^A18700)</f>
        <v>36.99966818</v>
      </c>
      <c r="C18700" s="8">
        <f t="array" ref="C18700">PRODUCT(1-'Sparkling Model'!D$2:D$38^A18700)</f>
        <v>0.9996682131</v>
      </c>
    </row>
    <row r="18701">
      <c r="A18701" s="6">
        <v>18699.0</v>
      </c>
      <c r="B18701" s="17">
        <f t="array" ref="B18701">SUM(1-'Sparkling Model'!D$2:D$38^A18701)</f>
        <v>36.99966834</v>
      </c>
      <c r="C18701" s="8">
        <f t="array" ref="C18701">PRODUCT(1-'Sparkling Model'!D$2:D$38^A18701)</f>
        <v>0.9996683761</v>
      </c>
    </row>
    <row r="18702">
      <c r="A18702" s="6">
        <v>18700.0</v>
      </c>
      <c r="B18702" s="17">
        <f t="array" ref="B18702">SUM(1-'Sparkling Model'!D$2:D$38^A18702)</f>
        <v>36.9996685</v>
      </c>
      <c r="C18702" s="8">
        <f t="array" ref="C18702">PRODUCT(1-'Sparkling Model'!D$2:D$38^A18702)</f>
        <v>0.9996685391</v>
      </c>
    </row>
    <row r="18703">
      <c r="A18703" s="6">
        <v>18701.0</v>
      </c>
      <c r="B18703" s="17">
        <f t="array" ref="B18703">SUM(1-'Sparkling Model'!D$2:D$38^A18703)</f>
        <v>36.99966866</v>
      </c>
      <c r="C18703" s="8">
        <f t="array" ref="C18703">PRODUCT(1-'Sparkling Model'!D$2:D$38^A18703)</f>
        <v>0.999668702</v>
      </c>
    </row>
    <row r="18704">
      <c r="A18704" s="6">
        <v>18702.0</v>
      </c>
      <c r="B18704" s="17">
        <f t="array" ref="B18704">SUM(1-'Sparkling Model'!D$2:D$38^A18704)</f>
        <v>36.99966883</v>
      </c>
      <c r="C18704" s="8">
        <f t="array" ref="C18704">PRODUCT(1-'Sparkling Model'!D$2:D$38^A18704)</f>
        <v>0.9996688648</v>
      </c>
    </row>
    <row r="18705">
      <c r="A18705" s="6">
        <v>18703.0</v>
      </c>
      <c r="B18705" s="17">
        <f t="array" ref="B18705">SUM(1-'Sparkling Model'!D$2:D$38^A18705)</f>
        <v>36.99966899</v>
      </c>
      <c r="C18705" s="8">
        <f t="array" ref="C18705">PRODUCT(1-'Sparkling Model'!D$2:D$38^A18705)</f>
        <v>0.9996690276</v>
      </c>
    </row>
    <row r="18706">
      <c r="A18706" s="6">
        <v>18704.0</v>
      </c>
      <c r="B18706" s="17">
        <f t="array" ref="B18706">SUM(1-'Sparkling Model'!D$2:D$38^A18706)</f>
        <v>36.99966915</v>
      </c>
      <c r="C18706" s="8">
        <f t="array" ref="C18706">PRODUCT(1-'Sparkling Model'!D$2:D$38^A18706)</f>
        <v>0.9996691902</v>
      </c>
    </row>
    <row r="18707">
      <c r="A18707" s="6">
        <v>18705.0</v>
      </c>
      <c r="B18707" s="17">
        <f t="array" ref="B18707">SUM(1-'Sparkling Model'!D$2:D$38^A18707)</f>
        <v>36.99966932</v>
      </c>
      <c r="C18707" s="8">
        <f t="array" ref="C18707">PRODUCT(1-'Sparkling Model'!D$2:D$38^A18707)</f>
        <v>0.9996693528</v>
      </c>
    </row>
    <row r="18708">
      <c r="A18708" s="6">
        <v>18706.0</v>
      </c>
      <c r="B18708" s="17">
        <f t="array" ref="B18708">SUM(1-'Sparkling Model'!D$2:D$38^A18708)</f>
        <v>36.99966948</v>
      </c>
      <c r="C18708" s="8">
        <f t="array" ref="C18708">PRODUCT(1-'Sparkling Model'!D$2:D$38^A18708)</f>
        <v>0.9996695153</v>
      </c>
    </row>
    <row r="18709">
      <c r="A18709" s="6">
        <v>18707.0</v>
      </c>
      <c r="B18709" s="17">
        <f t="array" ref="B18709">SUM(1-'Sparkling Model'!D$2:D$38^A18709)</f>
        <v>36.99966964</v>
      </c>
      <c r="C18709" s="8">
        <f t="array" ref="C18709">PRODUCT(1-'Sparkling Model'!D$2:D$38^A18709)</f>
        <v>0.9996696777</v>
      </c>
    </row>
    <row r="18710">
      <c r="A18710" s="6">
        <v>18708.0</v>
      </c>
      <c r="B18710" s="17">
        <f t="array" ref="B18710">SUM(1-'Sparkling Model'!D$2:D$38^A18710)</f>
        <v>36.9996698</v>
      </c>
      <c r="C18710" s="8">
        <f t="array" ref="C18710">PRODUCT(1-'Sparkling Model'!D$2:D$38^A18710)</f>
        <v>0.99966984</v>
      </c>
    </row>
    <row r="18711">
      <c r="A18711" s="6">
        <v>18709.0</v>
      </c>
      <c r="B18711" s="17">
        <f t="array" ref="B18711">SUM(1-'Sparkling Model'!D$2:D$38^A18711)</f>
        <v>36.99966997</v>
      </c>
      <c r="C18711" s="8">
        <f t="array" ref="C18711">PRODUCT(1-'Sparkling Model'!D$2:D$38^A18711)</f>
        <v>0.9996700023</v>
      </c>
    </row>
    <row r="18712">
      <c r="A18712" s="6">
        <v>18710.0</v>
      </c>
      <c r="B18712" s="17">
        <f t="array" ref="B18712">SUM(1-'Sparkling Model'!D$2:D$38^A18712)</f>
        <v>36.99967013</v>
      </c>
      <c r="C18712" s="8">
        <f t="array" ref="C18712">PRODUCT(1-'Sparkling Model'!D$2:D$38^A18712)</f>
        <v>0.9996701645</v>
      </c>
    </row>
    <row r="18713">
      <c r="A18713" s="6">
        <v>18711.0</v>
      </c>
      <c r="B18713" s="17">
        <f t="array" ref="B18713">SUM(1-'Sparkling Model'!D$2:D$38^A18713)</f>
        <v>36.99967029</v>
      </c>
      <c r="C18713" s="8">
        <f t="array" ref="C18713">PRODUCT(1-'Sparkling Model'!D$2:D$38^A18713)</f>
        <v>0.9996703266</v>
      </c>
    </row>
    <row r="18714">
      <c r="A18714" s="6">
        <v>18712.0</v>
      </c>
      <c r="B18714" s="17">
        <f t="array" ref="B18714">SUM(1-'Sparkling Model'!D$2:D$38^A18714)</f>
        <v>36.99967045</v>
      </c>
      <c r="C18714" s="8">
        <f t="array" ref="C18714">PRODUCT(1-'Sparkling Model'!D$2:D$38^A18714)</f>
        <v>0.9996704886</v>
      </c>
    </row>
    <row r="18715">
      <c r="A18715" s="6">
        <v>18713.0</v>
      </c>
      <c r="B18715" s="17">
        <f t="array" ref="B18715">SUM(1-'Sparkling Model'!D$2:D$38^A18715)</f>
        <v>36.99967061</v>
      </c>
      <c r="C18715" s="8">
        <f t="array" ref="C18715">PRODUCT(1-'Sparkling Model'!D$2:D$38^A18715)</f>
        <v>0.9996706505</v>
      </c>
    </row>
    <row r="18716">
      <c r="A18716" s="6">
        <v>18714.0</v>
      </c>
      <c r="B18716" s="17">
        <f t="array" ref="B18716">SUM(1-'Sparkling Model'!D$2:D$38^A18716)</f>
        <v>36.99967078</v>
      </c>
      <c r="C18716" s="8">
        <f t="array" ref="C18716">PRODUCT(1-'Sparkling Model'!D$2:D$38^A18716)</f>
        <v>0.9996708124</v>
      </c>
    </row>
    <row r="18717">
      <c r="A18717" s="6">
        <v>18715.0</v>
      </c>
      <c r="B18717" s="17">
        <f t="array" ref="B18717">SUM(1-'Sparkling Model'!D$2:D$38^A18717)</f>
        <v>36.99967094</v>
      </c>
      <c r="C18717" s="8">
        <f t="array" ref="C18717">PRODUCT(1-'Sparkling Model'!D$2:D$38^A18717)</f>
        <v>0.9996709742</v>
      </c>
    </row>
    <row r="18718">
      <c r="A18718" s="6">
        <v>18716.0</v>
      </c>
      <c r="B18718" s="17">
        <f t="array" ref="B18718">SUM(1-'Sparkling Model'!D$2:D$38^A18718)</f>
        <v>36.9996711</v>
      </c>
      <c r="C18718" s="8">
        <f t="array" ref="C18718">PRODUCT(1-'Sparkling Model'!D$2:D$38^A18718)</f>
        <v>0.9996711359</v>
      </c>
    </row>
    <row r="18719">
      <c r="A18719" s="6">
        <v>18717.0</v>
      </c>
      <c r="B18719" s="17">
        <f t="array" ref="B18719">SUM(1-'Sparkling Model'!D$2:D$38^A18719)</f>
        <v>36.99967126</v>
      </c>
      <c r="C18719" s="8">
        <f t="array" ref="C18719">PRODUCT(1-'Sparkling Model'!D$2:D$38^A18719)</f>
        <v>0.9996712975</v>
      </c>
    </row>
    <row r="18720">
      <c r="A18720" s="6">
        <v>18718.0</v>
      </c>
      <c r="B18720" s="17">
        <f t="array" ref="B18720">SUM(1-'Sparkling Model'!D$2:D$38^A18720)</f>
        <v>36.99967142</v>
      </c>
      <c r="C18720" s="8">
        <f t="array" ref="C18720">PRODUCT(1-'Sparkling Model'!D$2:D$38^A18720)</f>
        <v>0.999671459</v>
      </c>
    </row>
    <row r="18721">
      <c r="A18721" s="6">
        <v>18719.0</v>
      </c>
      <c r="B18721" s="17">
        <f t="array" ref="B18721">SUM(1-'Sparkling Model'!D$2:D$38^A18721)</f>
        <v>36.99967158</v>
      </c>
      <c r="C18721" s="8">
        <f t="array" ref="C18721">PRODUCT(1-'Sparkling Model'!D$2:D$38^A18721)</f>
        <v>0.9996716205</v>
      </c>
    </row>
    <row r="18722">
      <c r="A18722" s="6">
        <v>18720.0</v>
      </c>
      <c r="B18722" s="17">
        <f t="array" ref="B18722">SUM(1-'Sparkling Model'!D$2:D$38^A18722)</f>
        <v>36.99967175</v>
      </c>
      <c r="C18722" s="8">
        <f t="array" ref="C18722">PRODUCT(1-'Sparkling Model'!D$2:D$38^A18722)</f>
        <v>0.9996717819</v>
      </c>
    </row>
    <row r="18723">
      <c r="A18723" s="6">
        <v>18721.0</v>
      </c>
      <c r="B18723" s="17">
        <f t="array" ref="B18723">SUM(1-'Sparkling Model'!D$2:D$38^A18723)</f>
        <v>36.99967191</v>
      </c>
      <c r="C18723" s="8">
        <f t="array" ref="C18723">PRODUCT(1-'Sparkling Model'!D$2:D$38^A18723)</f>
        <v>0.9996719432</v>
      </c>
    </row>
    <row r="18724">
      <c r="A18724" s="6">
        <v>18722.0</v>
      </c>
      <c r="B18724" s="17">
        <f t="array" ref="B18724">SUM(1-'Sparkling Model'!D$2:D$38^A18724)</f>
        <v>36.99967207</v>
      </c>
      <c r="C18724" s="8">
        <f t="array" ref="C18724">PRODUCT(1-'Sparkling Model'!D$2:D$38^A18724)</f>
        <v>0.9996721044</v>
      </c>
    </row>
    <row r="18725">
      <c r="A18725" s="6">
        <v>18723.0</v>
      </c>
      <c r="B18725" s="17">
        <f t="array" ref="B18725">SUM(1-'Sparkling Model'!D$2:D$38^A18725)</f>
        <v>36.99967223</v>
      </c>
      <c r="C18725" s="8">
        <f t="array" ref="C18725">PRODUCT(1-'Sparkling Model'!D$2:D$38^A18725)</f>
        <v>0.9996722655</v>
      </c>
    </row>
    <row r="18726">
      <c r="A18726" s="6">
        <v>18724.0</v>
      </c>
      <c r="B18726" s="17">
        <f t="array" ref="B18726">SUM(1-'Sparkling Model'!D$2:D$38^A18726)</f>
        <v>36.99967239</v>
      </c>
      <c r="C18726" s="8">
        <f t="array" ref="C18726">PRODUCT(1-'Sparkling Model'!D$2:D$38^A18726)</f>
        <v>0.9996724266</v>
      </c>
    </row>
    <row r="18727">
      <c r="A18727" s="6">
        <v>18725.0</v>
      </c>
      <c r="B18727" s="17">
        <f t="array" ref="B18727">SUM(1-'Sparkling Model'!D$2:D$38^A18727)</f>
        <v>36.99967255</v>
      </c>
      <c r="C18727" s="8">
        <f t="array" ref="C18727">PRODUCT(1-'Sparkling Model'!D$2:D$38^A18727)</f>
        <v>0.9996725876</v>
      </c>
    </row>
    <row r="18728">
      <c r="A18728" s="6">
        <v>18726.0</v>
      </c>
      <c r="B18728" s="17">
        <f t="array" ref="B18728">SUM(1-'Sparkling Model'!D$2:D$38^A18728)</f>
        <v>36.99967271</v>
      </c>
      <c r="C18728" s="8">
        <f t="array" ref="C18728">PRODUCT(1-'Sparkling Model'!D$2:D$38^A18728)</f>
        <v>0.9996727485</v>
      </c>
    </row>
    <row r="18729">
      <c r="A18729" s="6">
        <v>18727.0</v>
      </c>
      <c r="B18729" s="17">
        <f t="array" ref="B18729">SUM(1-'Sparkling Model'!D$2:D$38^A18729)</f>
        <v>36.99967287</v>
      </c>
      <c r="C18729" s="8">
        <f t="array" ref="C18729">PRODUCT(1-'Sparkling Model'!D$2:D$38^A18729)</f>
        <v>0.9996729093</v>
      </c>
    </row>
    <row r="18730">
      <c r="A18730" s="6">
        <v>18728.0</v>
      </c>
      <c r="B18730" s="17">
        <f t="array" ref="B18730">SUM(1-'Sparkling Model'!D$2:D$38^A18730)</f>
        <v>36.99967303</v>
      </c>
      <c r="C18730" s="8">
        <f t="array" ref="C18730">PRODUCT(1-'Sparkling Model'!D$2:D$38^A18730)</f>
        <v>0.9996730701</v>
      </c>
    </row>
    <row r="18731">
      <c r="A18731" s="6">
        <v>18729.0</v>
      </c>
      <c r="B18731" s="17">
        <f t="array" ref="B18731">SUM(1-'Sparkling Model'!D$2:D$38^A18731)</f>
        <v>36.99967319</v>
      </c>
      <c r="C18731" s="8">
        <f t="array" ref="C18731">PRODUCT(1-'Sparkling Model'!D$2:D$38^A18731)</f>
        <v>0.9996732307</v>
      </c>
    </row>
    <row r="18732">
      <c r="A18732" s="6">
        <v>18730.0</v>
      </c>
      <c r="B18732" s="17">
        <f t="array" ref="B18732">SUM(1-'Sparkling Model'!D$2:D$38^A18732)</f>
        <v>36.99967335</v>
      </c>
      <c r="C18732" s="8">
        <f t="array" ref="C18732">PRODUCT(1-'Sparkling Model'!D$2:D$38^A18732)</f>
        <v>0.9996733913</v>
      </c>
    </row>
    <row r="18733">
      <c r="A18733" s="6">
        <v>18731.0</v>
      </c>
      <c r="B18733" s="17">
        <f t="array" ref="B18733">SUM(1-'Sparkling Model'!D$2:D$38^A18733)</f>
        <v>36.99967352</v>
      </c>
      <c r="C18733" s="8">
        <f t="array" ref="C18733">PRODUCT(1-'Sparkling Model'!D$2:D$38^A18733)</f>
        <v>0.9996735518</v>
      </c>
    </row>
    <row r="18734">
      <c r="A18734" s="6">
        <v>18732.0</v>
      </c>
      <c r="B18734" s="17">
        <f t="array" ref="B18734">SUM(1-'Sparkling Model'!D$2:D$38^A18734)</f>
        <v>36.99967368</v>
      </c>
      <c r="C18734" s="8">
        <f t="array" ref="C18734">PRODUCT(1-'Sparkling Model'!D$2:D$38^A18734)</f>
        <v>0.9996737123</v>
      </c>
    </row>
    <row r="18735">
      <c r="A18735" s="6">
        <v>18733.0</v>
      </c>
      <c r="B18735" s="17">
        <f t="array" ref="B18735">SUM(1-'Sparkling Model'!D$2:D$38^A18735)</f>
        <v>36.99967384</v>
      </c>
      <c r="C18735" s="8">
        <f t="array" ref="C18735">PRODUCT(1-'Sparkling Model'!D$2:D$38^A18735)</f>
        <v>0.9996738726</v>
      </c>
    </row>
    <row r="18736">
      <c r="A18736" s="6">
        <v>18734.0</v>
      </c>
      <c r="B18736" s="17">
        <f t="array" ref="B18736">SUM(1-'Sparkling Model'!D$2:D$38^A18736)</f>
        <v>36.999674</v>
      </c>
      <c r="C18736" s="8">
        <f t="array" ref="C18736">PRODUCT(1-'Sparkling Model'!D$2:D$38^A18736)</f>
        <v>0.9996740329</v>
      </c>
    </row>
    <row r="18737">
      <c r="A18737" s="6">
        <v>18735.0</v>
      </c>
      <c r="B18737" s="17">
        <f t="array" ref="B18737">SUM(1-'Sparkling Model'!D$2:D$38^A18737)</f>
        <v>36.99967416</v>
      </c>
      <c r="C18737" s="8">
        <f t="array" ref="C18737">PRODUCT(1-'Sparkling Model'!D$2:D$38^A18737)</f>
        <v>0.9996741931</v>
      </c>
    </row>
    <row r="18738">
      <c r="A18738" s="6">
        <v>18736.0</v>
      </c>
      <c r="B18738" s="17">
        <f t="array" ref="B18738">SUM(1-'Sparkling Model'!D$2:D$38^A18738)</f>
        <v>36.99967432</v>
      </c>
      <c r="C18738" s="8">
        <f t="array" ref="C18738">PRODUCT(1-'Sparkling Model'!D$2:D$38^A18738)</f>
        <v>0.9996743532</v>
      </c>
    </row>
    <row r="18739">
      <c r="A18739" s="6">
        <v>18737.0</v>
      </c>
      <c r="B18739" s="17">
        <f t="array" ref="B18739">SUM(1-'Sparkling Model'!D$2:D$38^A18739)</f>
        <v>36.99967448</v>
      </c>
      <c r="C18739" s="8">
        <f t="array" ref="C18739">PRODUCT(1-'Sparkling Model'!D$2:D$38^A18739)</f>
        <v>0.9996745132</v>
      </c>
    </row>
    <row r="18740">
      <c r="A18740" s="6">
        <v>18738.0</v>
      </c>
      <c r="B18740" s="17">
        <f t="array" ref="B18740">SUM(1-'Sparkling Model'!D$2:D$38^A18740)</f>
        <v>36.99967464</v>
      </c>
      <c r="C18740" s="8">
        <f t="array" ref="C18740">PRODUCT(1-'Sparkling Model'!D$2:D$38^A18740)</f>
        <v>0.9996746732</v>
      </c>
    </row>
    <row r="18741">
      <c r="A18741" s="6">
        <v>18739.0</v>
      </c>
      <c r="B18741" s="17">
        <f t="array" ref="B18741">SUM(1-'Sparkling Model'!D$2:D$38^A18741)</f>
        <v>36.9996748</v>
      </c>
      <c r="C18741" s="8">
        <f t="array" ref="C18741">PRODUCT(1-'Sparkling Model'!D$2:D$38^A18741)</f>
        <v>0.9996748331</v>
      </c>
    </row>
    <row r="18742">
      <c r="A18742" s="6">
        <v>18740.0</v>
      </c>
      <c r="B18742" s="17">
        <f t="array" ref="B18742">SUM(1-'Sparkling Model'!D$2:D$38^A18742)</f>
        <v>36.99967496</v>
      </c>
      <c r="C18742" s="8">
        <f t="array" ref="C18742">PRODUCT(1-'Sparkling Model'!D$2:D$38^A18742)</f>
        <v>0.9996749929</v>
      </c>
    </row>
    <row r="18743">
      <c r="A18743" s="6">
        <v>18741.0</v>
      </c>
      <c r="B18743" s="17">
        <f t="array" ref="B18743">SUM(1-'Sparkling Model'!D$2:D$38^A18743)</f>
        <v>36.99967512</v>
      </c>
      <c r="C18743" s="8">
        <f t="array" ref="C18743">PRODUCT(1-'Sparkling Model'!D$2:D$38^A18743)</f>
        <v>0.9996751526</v>
      </c>
    </row>
    <row r="18744">
      <c r="A18744" s="6">
        <v>18742.0</v>
      </c>
      <c r="B18744" s="17">
        <f t="array" ref="B18744">SUM(1-'Sparkling Model'!D$2:D$38^A18744)</f>
        <v>36.99967528</v>
      </c>
      <c r="C18744" s="8">
        <f t="array" ref="C18744">PRODUCT(1-'Sparkling Model'!D$2:D$38^A18744)</f>
        <v>0.9996753122</v>
      </c>
    </row>
    <row r="18745">
      <c r="A18745" s="6">
        <v>18743.0</v>
      </c>
      <c r="B18745" s="17">
        <f t="array" ref="B18745">SUM(1-'Sparkling Model'!D$2:D$38^A18745)</f>
        <v>36.99967544</v>
      </c>
      <c r="C18745" s="8">
        <f t="array" ref="C18745">PRODUCT(1-'Sparkling Model'!D$2:D$38^A18745)</f>
        <v>0.9996754718</v>
      </c>
    </row>
    <row r="18746">
      <c r="A18746" s="6">
        <v>18744.0</v>
      </c>
      <c r="B18746" s="17">
        <f t="array" ref="B18746">SUM(1-'Sparkling Model'!D$2:D$38^A18746)</f>
        <v>36.9996756</v>
      </c>
      <c r="C18746" s="8">
        <f t="array" ref="C18746">PRODUCT(1-'Sparkling Model'!D$2:D$38^A18746)</f>
        <v>0.9996756313</v>
      </c>
    </row>
    <row r="18747">
      <c r="A18747" s="6">
        <v>18745.0</v>
      </c>
      <c r="B18747" s="17">
        <f t="array" ref="B18747">SUM(1-'Sparkling Model'!D$2:D$38^A18747)</f>
        <v>36.99967575</v>
      </c>
      <c r="C18747" s="8">
        <f t="array" ref="C18747">PRODUCT(1-'Sparkling Model'!D$2:D$38^A18747)</f>
        <v>0.9996757907</v>
      </c>
    </row>
    <row r="18748">
      <c r="A18748" s="6">
        <v>18746.0</v>
      </c>
      <c r="B18748" s="17">
        <f t="array" ref="B18748">SUM(1-'Sparkling Model'!D$2:D$38^A18748)</f>
        <v>36.99967591</v>
      </c>
      <c r="C18748" s="8">
        <f t="array" ref="C18748">PRODUCT(1-'Sparkling Model'!D$2:D$38^A18748)</f>
        <v>0.99967595</v>
      </c>
    </row>
    <row r="18749">
      <c r="A18749" s="6">
        <v>18747.0</v>
      </c>
      <c r="B18749" s="17">
        <f t="array" ref="B18749">SUM(1-'Sparkling Model'!D$2:D$38^A18749)</f>
        <v>36.99967607</v>
      </c>
      <c r="C18749" s="8">
        <f t="array" ref="C18749">PRODUCT(1-'Sparkling Model'!D$2:D$38^A18749)</f>
        <v>0.9996761092</v>
      </c>
    </row>
    <row r="18750">
      <c r="A18750" s="6">
        <v>18748.0</v>
      </c>
      <c r="B18750" s="17">
        <f t="array" ref="B18750">SUM(1-'Sparkling Model'!D$2:D$38^A18750)</f>
        <v>36.99967623</v>
      </c>
      <c r="C18750" s="8">
        <f t="array" ref="C18750">PRODUCT(1-'Sparkling Model'!D$2:D$38^A18750)</f>
        <v>0.9996762684</v>
      </c>
    </row>
    <row r="18751">
      <c r="A18751" s="6">
        <v>18749.0</v>
      </c>
      <c r="B18751" s="17">
        <f t="array" ref="B18751">SUM(1-'Sparkling Model'!D$2:D$38^A18751)</f>
        <v>36.99967639</v>
      </c>
      <c r="C18751" s="8">
        <f t="array" ref="C18751">PRODUCT(1-'Sparkling Model'!D$2:D$38^A18751)</f>
        <v>0.9996764275</v>
      </c>
    </row>
    <row r="18752">
      <c r="A18752" s="6">
        <v>18750.0</v>
      </c>
      <c r="B18752" s="17">
        <f t="array" ref="B18752">SUM(1-'Sparkling Model'!D$2:D$38^A18752)</f>
        <v>36.99967655</v>
      </c>
      <c r="C18752" s="8">
        <f t="array" ref="C18752">PRODUCT(1-'Sparkling Model'!D$2:D$38^A18752)</f>
        <v>0.9996765865</v>
      </c>
    </row>
    <row r="18753">
      <c r="A18753" s="6">
        <v>18751.0</v>
      </c>
      <c r="B18753" s="17">
        <f t="array" ref="B18753">SUM(1-'Sparkling Model'!D$2:D$38^A18753)</f>
        <v>36.99967671</v>
      </c>
      <c r="C18753" s="8">
        <f t="array" ref="C18753">PRODUCT(1-'Sparkling Model'!D$2:D$38^A18753)</f>
        <v>0.9996767455</v>
      </c>
    </row>
    <row r="18754">
      <c r="A18754" s="6">
        <v>18752.0</v>
      </c>
      <c r="B18754" s="17">
        <f t="array" ref="B18754">SUM(1-'Sparkling Model'!D$2:D$38^A18754)</f>
        <v>36.99967687</v>
      </c>
      <c r="C18754" s="8">
        <f t="array" ref="C18754">PRODUCT(1-'Sparkling Model'!D$2:D$38^A18754)</f>
        <v>0.9996769043</v>
      </c>
    </row>
    <row r="18755">
      <c r="A18755" s="6">
        <v>18753.0</v>
      </c>
      <c r="B18755" s="17">
        <f t="array" ref="B18755">SUM(1-'Sparkling Model'!D$2:D$38^A18755)</f>
        <v>36.99967703</v>
      </c>
      <c r="C18755" s="8">
        <f t="array" ref="C18755">PRODUCT(1-'Sparkling Model'!D$2:D$38^A18755)</f>
        <v>0.9996770631</v>
      </c>
    </row>
    <row r="18756">
      <c r="A18756" s="6">
        <v>18754.0</v>
      </c>
      <c r="B18756" s="17">
        <f t="array" ref="B18756">SUM(1-'Sparkling Model'!D$2:D$38^A18756)</f>
        <v>36.99967719</v>
      </c>
      <c r="C18756" s="8">
        <f t="array" ref="C18756">PRODUCT(1-'Sparkling Model'!D$2:D$38^A18756)</f>
        <v>0.9996772218</v>
      </c>
    </row>
    <row r="18757">
      <c r="A18757" s="6">
        <v>18755.0</v>
      </c>
      <c r="B18757" s="17">
        <f t="array" ref="B18757">SUM(1-'Sparkling Model'!D$2:D$38^A18757)</f>
        <v>36.99967734</v>
      </c>
      <c r="C18757" s="8">
        <f t="array" ref="C18757">PRODUCT(1-'Sparkling Model'!D$2:D$38^A18757)</f>
        <v>0.9996773804</v>
      </c>
    </row>
    <row r="18758">
      <c r="A18758" s="6">
        <v>18756.0</v>
      </c>
      <c r="B18758" s="17">
        <f t="array" ref="B18758">SUM(1-'Sparkling Model'!D$2:D$38^A18758)</f>
        <v>36.9996775</v>
      </c>
      <c r="C18758" s="8">
        <f t="array" ref="C18758">PRODUCT(1-'Sparkling Model'!D$2:D$38^A18758)</f>
        <v>0.999677539</v>
      </c>
    </row>
    <row r="18759">
      <c r="A18759" s="6">
        <v>18757.0</v>
      </c>
      <c r="B18759" s="17">
        <f t="array" ref="B18759">SUM(1-'Sparkling Model'!D$2:D$38^A18759)</f>
        <v>36.99967766</v>
      </c>
      <c r="C18759" s="8">
        <f t="array" ref="C18759">PRODUCT(1-'Sparkling Model'!D$2:D$38^A18759)</f>
        <v>0.9996776974</v>
      </c>
    </row>
    <row r="18760">
      <c r="A18760" s="6">
        <v>18758.0</v>
      </c>
      <c r="B18760" s="17">
        <f t="array" ref="B18760">SUM(1-'Sparkling Model'!D$2:D$38^A18760)</f>
        <v>36.99967782</v>
      </c>
      <c r="C18760" s="8">
        <f t="array" ref="C18760">PRODUCT(1-'Sparkling Model'!D$2:D$38^A18760)</f>
        <v>0.9996778558</v>
      </c>
    </row>
    <row r="18761">
      <c r="A18761" s="6">
        <v>18759.0</v>
      </c>
      <c r="B18761" s="17">
        <f t="array" ref="B18761">SUM(1-'Sparkling Model'!D$2:D$38^A18761)</f>
        <v>36.99967798</v>
      </c>
      <c r="C18761" s="8">
        <f t="array" ref="C18761">PRODUCT(1-'Sparkling Model'!D$2:D$38^A18761)</f>
        <v>0.9996780141</v>
      </c>
    </row>
    <row r="18762">
      <c r="A18762" s="6">
        <v>18760.0</v>
      </c>
      <c r="B18762" s="17">
        <f t="array" ref="B18762">SUM(1-'Sparkling Model'!D$2:D$38^A18762)</f>
        <v>36.99967814</v>
      </c>
      <c r="C18762" s="8">
        <f t="array" ref="C18762">PRODUCT(1-'Sparkling Model'!D$2:D$38^A18762)</f>
        <v>0.9996781724</v>
      </c>
    </row>
    <row r="18763">
      <c r="A18763" s="6">
        <v>18761.0</v>
      </c>
      <c r="B18763" s="17">
        <f t="array" ref="B18763">SUM(1-'Sparkling Model'!D$2:D$38^A18763)</f>
        <v>36.9996783</v>
      </c>
      <c r="C18763" s="8">
        <f t="array" ref="C18763">PRODUCT(1-'Sparkling Model'!D$2:D$38^A18763)</f>
        <v>0.9996783305</v>
      </c>
    </row>
    <row r="18764">
      <c r="A18764" s="6">
        <v>18762.0</v>
      </c>
      <c r="B18764" s="17">
        <f t="array" ref="B18764">SUM(1-'Sparkling Model'!D$2:D$38^A18764)</f>
        <v>36.99967845</v>
      </c>
      <c r="C18764" s="8">
        <f t="array" ref="C18764">PRODUCT(1-'Sparkling Model'!D$2:D$38^A18764)</f>
        <v>0.9996784886</v>
      </c>
    </row>
    <row r="18765">
      <c r="A18765" s="6">
        <v>18763.0</v>
      </c>
      <c r="B18765" s="17">
        <f t="array" ref="B18765">SUM(1-'Sparkling Model'!D$2:D$38^A18765)</f>
        <v>36.99967861</v>
      </c>
      <c r="C18765" s="8">
        <f t="array" ref="C18765">PRODUCT(1-'Sparkling Model'!D$2:D$38^A18765)</f>
        <v>0.9996786466</v>
      </c>
    </row>
    <row r="18766">
      <c r="A18766" s="6">
        <v>18764.0</v>
      </c>
      <c r="B18766" s="17">
        <f t="array" ref="B18766">SUM(1-'Sparkling Model'!D$2:D$38^A18766)</f>
        <v>36.99967877</v>
      </c>
      <c r="C18766" s="8">
        <f t="array" ref="C18766">PRODUCT(1-'Sparkling Model'!D$2:D$38^A18766)</f>
        <v>0.9996788045</v>
      </c>
    </row>
    <row r="18767">
      <c r="A18767" s="6">
        <v>18765.0</v>
      </c>
      <c r="B18767" s="17">
        <f t="array" ref="B18767">SUM(1-'Sparkling Model'!D$2:D$38^A18767)</f>
        <v>36.99967893</v>
      </c>
      <c r="C18767" s="8">
        <f t="array" ref="C18767">PRODUCT(1-'Sparkling Model'!D$2:D$38^A18767)</f>
        <v>0.9996789624</v>
      </c>
    </row>
    <row r="18768">
      <c r="A18768" s="6">
        <v>18766.0</v>
      </c>
      <c r="B18768" s="17">
        <f t="array" ref="B18768">SUM(1-'Sparkling Model'!D$2:D$38^A18768)</f>
        <v>36.99967909</v>
      </c>
      <c r="C18768" s="8">
        <f t="array" ref="C18768">PRODUCT(1-'Sparkling Model'!D$2:D$38^A18768)</f>
        <v>0.9996791201</v>
      </c>
    </row>
    <row r="18769">
      <c r="A18769" s="6">
        <v>18767.0</v>
      </c>
      <c r="B18769" s="17">
        <f t="array" ref="B18769">SUM(1-'Sparkling Model'!D$2:D$38^A18769)</f>
        <v>36.99967924</v>
      </c>
      <c r="C18769" s="8">
        <f t="array" ref="C18769">PRODUCT(1-'Sparkling Model'!D$2:D$38^A18769)</f>
        <v>0.9996792778</v>
      </c>
    </row>
    <row r="18770">
      <c r="A18770" s="6">
        <v>18768.0</v>
      </c>
      <c r="B18770" s="17">
        <f t="array" ref="B18770">SUM(1-'Sparkling Model'!D$2:D$38^A18770)</f>
        <v>36.9996794</v>
      </c>
      <c r="C18770" s="8">
        <f t="array" ref="C18770">PRODUCT(1-'Sparkling Model'!D$2:D$38^A18770)</f>
        <v>0.9996794354</v>
      </c>
    </row>
    <row r="18771">
      <c r="A18771" s="6">
        <v>18769.0</v>
      </c>
      <c r="B18771" s="17">
        <f t="array" ref="B18771">SUM(1-'Sparkling Model'!D$2:D$38^A18771)</f>
        <v>36.99967956</v>
      </c>
      <c r="C18771" s="8">
        <f t="array" ref="C18771">PRODUCT(1-'Sparkling Model'!D$2:D$38^A18771)</f>
        <v>0.999679593</v>
      </c>
    </row>
    <row r="18772">
      <c r="A18772" s="6">
        <v>18770.0</v>
      </c>
      <c r="B18772" s="17">
        <f t="array" ref="B18772">SUM(1-'Sparkling Model'!D$2:D$38^A18772)</f>
        <v>36.99967972</v>
      </c>
      <c r="C18772" s="8">
        <f t="array" ref="C18772">PRODUCT(1-'Sparkling Model'!D$2:D$38^A18772)</f>
        <v>0.9996797504</v>
      </c>
    </row>
    <row r="18773">
      <c r="A18773" s="6">
        <v>18771.0</v>
      </c>
      <c r="B18773" s="17">
        <f t="array" ref="B18773">SUM(1-'Sparkling Model'!D$2:D$38^A18773)</f>
        <v>36.99967987</v>
      </c>
      <c r="C18773" s="8">
        <f t="array" ref="C18773">PRODUCT(1-'Sparkling Model'!D$2:D$38^A18773)</f>
        <v>0.9996799078</v>
      </c>
    </row>
    <row r="18774">
      <c r="A18774" s="6">
        <v>18772.0</v>
      </c>
      <c r="B18774" s="17">
        <f t="array" ref="B18774">SUM(1-'Sparkling Model'!D$2:D$38^A18774)</f>
        <v>36.99968003</v>
      </c>
      <c r="C18774" s="8">
        <f t="array" ref="C18774">PRODUCT(1-'Sparkling Model'!D$2:D$38^A18774)</f>
        <v>0.9996800651</v>
      </c>
    </row>
    <row r="18775">
      <c r="A18775" s="6">
        <v>18773.0</v>
      </c>
      <c r="B18775" s="17">
        <f t="array" ref="B18775">SUM(1-'Sparkling Model'!D$2:D$38^A18775)</f>
        <v>36.99968019</v>
      </c>
      <c r="C18775" s="8">
        <f t="array" ref="C18775">PRODUCT(1-'Sparkling Model'!D$2:D$38^A18775)</f>
        <v>0.9996802223</v>
      </c>
    </row>
    <row r="18776">
      <c r="A18776" s="6">
        <v>18774.0</v>
      </c>
      <c r="B18776" s="17">
        <f t="array" ref="B18776">SUM(1-'Sparkling Model'!D$2:D$38^A18776)</f>
        <v>36.99968034</v>
      </c>
      <c r="C18776" s="8">
        <f t="array" ref="C18776">PRODUCT(1-'Sparkling Model'!D$2:D$38^A18776)</f>
        <v>0.9996803795</v>
      </c>
    </row>
    <row r="18777">
      <c r="A18777" s="6">
        <v>18775.0</v>
      </c>
      <c r="B18777" s="17">
        <f t="array" ref="B18777">SUM(1-'Sparkling Model'!D$2:D$38^A18777)</f>
        <v>36.9996805</v>
      </c>
      <c r="C18777" s="8">
        <f t="array" ref="C18777">PRODUCT(1-'Sparkling Model'!D$2:D$38^A18777)</f>
        <v>0.9996805365</v>
      </c>
    </row>
    <row r="18778">
      <c r="A18778" s="6">
        <v>18776.0</v>
      </c>
      <c r="B18778" s="17">
        <f t="array" ref="B18778">SUM(1-'Sparkling Model'!D$2:D$38^A18778)</f>
        <v>36.99968066</v>
      </c>
      <c r="C18778" s="8">
        <f t="array" ref="C18778">PRODUCT(1-'Sparkling Model'!D$2:D$38^A18778)</f>
        <v>0.9996806935</v>
      </c>
    </row>
    <row r="18779">
      <c r="A18779" s="6">
        <v>18777.0</v>
      </c>
      <c r="B18779" s="17">
        <f t="array" ref="B18779">SUM(1-'Sparkling Model'!D$2:D$38^A18779)</f>
        <v>36.99968082</v>
      </c>
      <c r="C18779" s="8">
        <f t="array" ref="C18779">PRODUCT(1-'Sparkling Model'!D$2:D$38^A18779)</f>
        <v>0.9996808504</v>
      </c>
    </row>
    <row r="18780">
      <c r="A18780" s="6">
        <v>18778.0</v>
      </c>
      <c r="B18780" s="17">
        <f t="array" ref="B18780">SUM(1-'Sparkling Model'!D$2:D$38^A18780)</f>
        <v>36.99968097</v>
      </c>
      <c r="C18780" s="8">
        <f t="array" ref="C18780">PRODUCT(1-'Sparkling Model'!D$2:D$38^A18780)</f>
        <v>0.9996810073</v>
      </c>
    </row>
    <row r="18781">
      <c r="A18781" s="6">
        <v>18779.0</v>
      </c>
      <c r="B18781" s="17">
        <f t="array" ref="B18781">SUM(1-'Sparkling Model'!D$2:D$38^A18781)</f>
        <v>36.99968113</v>
      </c>
      <c r="C18781" s="8">
        <f t="array" ref="C18781">PRODUCT(1-'Sparkling Model'!D$2:D$38^A18781)</f>
        <v>0.999681164</v>
      </c>
    </row>
    <row r="18782">
      <c r="A18782" s="6">
        <v>18780.0</v>
      </c>
      <c r="B18782" s="17">
        <f t="array" ref="B18782">SUM(1-'Sparkling Model'!D$2:D$38^A18782)</f>
        <v>36.99968129</v>
      </c>
      <c r="C18782" s="8">
        <f t="array" ref="C18782">PRODUCT(1-'Sparkling Model'!D$2:D$38^A18782)</f>
        <v>0.9996813207</v>
      </c>
    </row>
    <row r="18783">
      <c r="A18783" s="6">
        <v>18781.0</v>
      </c>
      <c r="B18783" s="17">
        <f t="array" ref="B18783">SUM(1-'Sparkling Model'!D$2:D$38^A18783)</f>
        <v>36.99968144</v>
      </c>
      <c r="C18783" s="8">
        <f t="array" ref="C18783">PRODUCT(1-'Sparkling Model'!D$2:D$38^A18783)</f>
        <v>0.9996814773</v>
      </c>
    </row>
    <row r="18784">
      <c r="A18784" s="6">
        <v>18782.0</v>
      </c>
      <c r="B18784" s="17">
        <f t="array" ref="B18784">SUM(1-'Sparkling Model'!D$2:D$38^A18784)</f>
        <v>36.9996816</v>
      </c>
      <c r="C18784" s="8">
        <f t="array" ref="C18784">PRODUCT(1-'Sparkling Model'!D$2:D$38^A18784)</f>
        <v>0.9996816338</v>
      </c>
    </row>
    <row r="18785">
      <c r="A18785" s="6">
        <v>18783.0</v>
      </c>
      <c r="B18785" s="17">
        <f t="array" ref="B18785">SUM(1-'Sparkling Model'!D$2:D$38^A18785)</f>
        <v>36.99968176</v>
      </c>
      <c r="C18785" s="8">
        <f t="array" ref="C18785">PRODUCT(1-'Sparkling Model'!D$2:D$38^A18785)</f>
        <v>0.9996817903</v>
      </c>
    </row>
    <row r="18786">
      <c r="A18786" s="6">
        <v>18784.0</v>
      </c>
      <c r="B18786" s="17">
        <f t="array" ref="B18786">SUM(1-'Sparkling Model'!D$2:D$38^A18786)</f>
        <v>36.99968191</v>
      </c>
      <c r="C18786" s="8">
        <f t="array" ref="C18786">PRODUCT(1-'Sparkling Model'!D$2:D$38^A18786)</f>
        <v>0.9996819467</v>
      </c>
    </row>
    <row r="18787">
      <c r="A18787" s="6">
        <v>18785.0</v>
      </c>
      <c r="B18787" s="17">
        <f t="array" ref="B18787">SUM(1-'Sparkling Model'!D$2:D$38^A18787)</f>
        <v>36.99968207</v>
      </c>
      <c r="C18787" s="8">
        <f t="array" ref="C18787">PRODUCT(1-'Sparkling Model'!D$2:D$38^A18787)</f>
        <v>0.999682103</v>
      </c>
    </row>
    <row r="18788">
      <c r="A18788" s="6">
        <v>18786.0</v>
      </c>
      <c r="B18788" s="17">
        <f t="array" ref="B18788">SUM(1-'Sparkling Model'!D$2:D$38^A18788)</f>
        <v>36.99968222</v>
      </c>
      <c r="C18788" s="8">
        <f t="array" ref="C18788">PRODUCT(1-'Sparkling Model'!D$2:D$38^A18788)</f>
        <v>0.9996822592</v>
      </c>
    </row>
    <row r="18789">
      <c r="A18789" s="6">
        <v>18787.0</v>
      </c>
      <c r="B18789" s="17">
        <f t="array" ref="B18789">SUM(1-'Sparkling Model'!D$2:D$38^A18789)</f>
        <v>36.99968238</v>
      </c>
      <c r="C18789" s="8">
        <f t="array" ref="C18789">PRODUCT(1-'Sparkling Model'!D$2:D$38^A18789)</f>
        <v>0.9996824153</v>
      </c>
    </row>
    <row r="18790">
      <c r="A18790" s="6">
        <v>18788.0</v>
      </c>
      <c r="B18790" s="17">
        <f t="array" ref="B18790">SUM(1-'Sparkling Model'!D$2:D$38^A18790)</f>
        <v>36.99968254</v>
      </c>
      <c r="C18790" s="8">
        <f t="array" ref="C18790">PRODUCT(1-'Sparkling Model'!D$2:D$38^A18790)</f>
        <v>0.9996825714</v>
      </c>
    </row>
    <row r="18791">
      <c r="A18791" s="6">
        <v>18789.0</v>
      </c>
      <c r="B18791" s="17">
        <f t="array" ref="B18791">SUM(1-'Sparkling Model'!D$2:D$38^A18791)</f>
        <v>36.99968269</v>
      </c>
      <c r="C18791" s="8">
        <f t="array" ref="C18791">PRODUCT(1-'Sparkling Model'!D$2:D$38^A18791)</f>
        <v>0.9996827274</v>
      </c>
    </row>
    <row r="18792">
      <c r="A18792" s="6">
        <v>18790.0</v>
      </c>
      <c r="B18792" s="17">
        <f t="array" ref="B18792">SUM(1-'Sparkling Model'!D$2:D$38^A18792)</f>
        <v>36.99968285</v>
      </c>
      <c r="C18792" s="8">
        <f t="array" ref="C18792">PRODUCT(1-'Sparkling Model'!D$2:D$38^A18792)</f>
        <v>0.9996828833</v>
      </c>
    </row>
    <row r="18793">
      <c r="A18793" s="6">
        <v>18791.0</v>
      </c>
      <c r="B18793" s="17">
        <f t="array" ref="B18793">SUM(1-'Sparkling Model'!D$2:D$38^A18793)</f>
        <v>36.999683</v>
      </c>
      <c r="C18793" s="8">
        <f t="array" ref="C18793">PRODUCT(1-'Sparkling Model'!D$2:D$38^A18793)</f>
        <v>0.9996830391</v>
      </c>
    </row>
    <row r="18794">
      <c r="A18794" s="6">
        <v>18792.0</v>
      </c>
      <c r="B18794" s="17">
        <f t="array" ref="B18794">SUM(1-'Sparkling Model'!D$2:D$38^A18794)</f>
        <v>36.99968316</v>
      </c>
      <c r="C18794" s="8">
        <f t="array" ref="C18794">PRODUCT(1-'Sparkling Model'!D$2:D$38^A18794)</f>
        <v>0.9996831949</v>
      </c>
    </row>
    <row r="18795">
      <c r="A18795" s="6">
        <v>18793.0</v>
      </c>
      <c r="B18795" s="17">
        <f t="array" ref="B18795">SUM(1-'Sparkling Model'!D$2:D$38^A18795)</f>
        <v>36.99968332</v>
      </c>
      <c r="C18795" s="8">
        <f t="array" ref="C18795">PRODUCT(1-'Sparkling Model'!D$2:D$38^A18795)</f>
        <v>0.9996833506</v>
      </c>
    </row>
    <row r="18796">
      <c r="A18796" s="6">
        <v>18794.0</v>
      </c>
      <c r="B18796" s="17">
        <f t="array" ref="B18796">SUM(1-'Sparkling Model'!D$2:D$38^A18796)</f>
        <v>36.99968347</v>
      </c>
      <c r="C18796" s="8">
        <f t="array" ref="C18796">PRODUCT(1-'Sparkling Model'!D$2:D$38^A18796)</f>
        <v>0.9996835062</v>
      </c>
    </row>
    <row r="18797">
      <c r="A18797" s="6">
        <v>18795.0</v>
      </c>
      <c r="B18797" s="17">
        <f t="array" ref="B18797">SUM(1-'Sparkling Model'!D$2:D$38^A18797)</f>
        <v>36.99968363</v>
      </c>
      <c r="C18797" s="8">
        <f t="array" ref="C18797">PRODUCT(1-'Sparkling Model'!D$2:D$38^A18797)</f>
        <v>0.9996836617</v>
      </c>
    </row>
    <row r="18798">
      <c r="A18798" s="6">
        <v>18796.0</v>
      </c>
      <c r="B18798" s="17">
        <f t="array" ref="B18798">SUM(1-'Sparkling Model'!D$2:D$38^A18798)</f>
        <v>36.99968378</v>
      </c>
      <c r="C18798" s="8">
        <f t="array" ref="C18798">PRODUCT(1-'Sparkling Model'!D$2:D$38^A18798)</f>
        <v>0.9996838172</v>
      </c>
    </row>
    <row r="18799">
      <c r="A18799" s="6">
        <v>18797.0</v>
      </c>
      <c r="B18799" s="17">
        <f t="array" ref="B18799">SUM(1-'Sparkling Model'!D$2:D$38^A18799)</f>
        <v>36.99968394</v>
      </c>
      <c r="C18799" s="8">
        <f t="array" ref="C18799">PRODUCT(1-'Sparkling Model'!D$2:D$38^A18799)</f>
        <v>0.9996839725</v>
      </c>
    </row>
    <row r="18800">
      <c r="A18800" s="6">
        <v>18798.0</v>
      </c>
      <c r="B18800" s="17">
        <f t="array" ref="B18800">SUM(1-'Sparkling Model'!D$2:D$38^A18800)</f>
        <v>36.99968409</v>
      </c>
      <c r="C18800" s="8">
        <f t="array" ref="C18800">PRODUCT(1-'Sparkling Model'!D$2:D$38^A18800)</f>
        <v>0.9996841278</v>
      </c>
    </row>
    <row r="18801">
      <c r="A18801" s="6">
        <v>18799.0</v>
      </c>
      <c r="B18801" s="17">
        <f t="array" ref="B18801">SUM(1-'Sparkling Model'!D$2:D$38^A18801)</f>
        <v>36.99968425</v>
      </c>
      <c r="C18801" s="8">
        <f t="array" ref="C18801">PRODUCT(1-'Sparkling Model'!D$2:D$38^A18801)</f>
        <v>0.9996842831</v>
      </c>
    </row>
    <row r="18802">
      <c r="A18802" s="6">
        <v>18800.0</v>
      </c>
      <c r="B18802" s="17">
        <f t="array" ref="B18802">SUM(1-'Sparkling Model'!D$2:D$38^A18802)</f>
        <v>36.9996844</v>
      </c>
      <c r="C18802" s="8">
        <f t="array" ref="C18802">PRODUCT(1-'Sparkling Model'!D$2:D$38^A18802)</f>
        <v>0.9996844382</v>
      </c>
    </row>
    <row r="18803">
      <c r="A18803" s="6">
        <v>18801.0</v>
      </c>
      <c r="B18803" s="17">
        <f t="array" ref="B18803">SUM(1-'Sparkling Model'!D$2:D$38^A18803)</f>
        <v>36.99968456</v>
      </c>
      <c r="C18803" s="8">
        <f t="array" ref="C18803">PRODUCT(1-'Sparkling Model'!D$2:D$38^A18803)</f>
        <v>0.9996845933</v>
      </c>
    </row>
    <row r="18804">
      <c r="A18804" s="6">
        <v>18802.0</v>
      </c>
      <c r="B18804" s="17">
        <f t="array" ref="B18804">SUM(1-'Sparkling Model'!D$2:D$38^A18804)</f>
        <v>36.99968471</v>
      </c>
      <c r="C18804" s="8">
        <f t="array" ref="C18804">PRODUCT(1-'Sparkling Model'!D$2:D$38^A18804)</f>
        <v>0.9996847483</v>
      </c>
    </row>
    <row r="18805">
      <c r="A18805" s="6">
        <v>18803.0</v>
      </c>
      <c r="B18805" s="17">
        <f t="array" ref="B18805">SUM(1-'Sparkling Model'!D$2:D$38^A18805)</f>
        <v>36.99968487</v>
      </c>
      <c r="C18805" s="8">
        <f t="array" ref="C18805">PRODUCT(1-'Sparkling Model'!D$2:D$38^A18805)</f>
        <v>0.9996849032</v>
      </c>
    </row>
    <row r="18806">
      <c r="A18806" s="6">
        <v>18804.0</v>
      </c>
      <c r="B18806" s="17">
        <f t="array" ref="B18806">SUM(1-'Sparkling Model'!D$2:D$38^A18806)</f>
        <v>36.99968502</v>
      </c>
      <c r="C18806" s="8">
        <f t="array" ref="C18806">PRODUCT(1-'Sparkling Model'!D$2:D$38^A18806)</f>
        <v>0.999685058</v>
      </c>
    </row>
    <row r="18807">
      <c r="A18807" s="6">
        <v>18805.0</v>
      </c>
      <c r="B18807" s="17">
        <f t="array" ref="B18807">SUM(1-'Sparkling Model'!D$2:D$38^A18807)</f>
        <v>36.99968518</v>
      </c>
      <c r="C18807" s="8">
        <f t="array" ref="C18807">PRODUCT(1-'Sparkling Model'!D$2:D$38^A18807)</f>
        <v>0.9996852128</v>
      </c>
    </row>
    <row r="18808">
      <c r="A18808" s="6">
        <v>18806.0</v>
      </c>
      <c r="B18808" s="17">
        <f t="array" ref="B18808">SUM(1-'Sparkling Model'!D$2:D$38^A18808)</f>
        <v>36.99968533</v>
      </c>
      <c r="C18808" s="8">
        <f t="array" ref="C18808">PRODUCT(1-'Sparkling Model'!D$2:D$38^A18808)</f>
        <v>0.9996853675</v>
      </c>
    </row>
    <row r="18809">
      <c r="A18809" s="6">
        <v>18807.0</v>
      </c>
      <c r="B18809" s="17">
        <f t="array" ref="B18809">SUM(1-'Sparkling Model'!D$2:D$38^A18809)</f>
        <v>36.99968549</v>
      </c>
      <c r="C18809" s="8">
        <f t="array" ref="C18809">PRODUCT(1-'Sparkling Model'!D$2:D$38^A18809)</f>
        <v>0.9996855221</v>
      </c>
    </row>
    <row r="18810">
      <c r="A18810" s="6">
        <v>18808.0</v>
      </c>
      <c r="B18810" s="17">
        <f t="array" ref="B18810">SUM(1-'Sparkling Model'!D$2:D$38^A18810)</f>
        <v>36.99968564</v>
      </c>
      <c r="C18810" s="8">
        <f t="array" ref="C18810">PRODUCT(1-'Sparkling Model'!D$2:D$38^A18810)</f>
        <v>0.9996856766</v>
      </c>
    </row>
    <row r="18811">
      <c r="A18811" s="6">
        <v>18809.0</v>
      </c>
      <c r="B18811" s="17">
        <f t="array" ref="B18811">SUM(1-'Sparkling Model'!D$2:D$38^A18811)</f>
        <v>36.9996858</v>
      </c>
      <c r="C18811" s="8">
        <f t="array" ref="C18811">PRODUCT(1-'Sparkling Model'!D$2:D$38^A18811)</f>
        <v>0.9996858311</v>
      </c>
    </row>
    <row r="18812">
      <c r="A18812" s="6">
        <v>18810.0</v>
      </c>
      <c r="B18812" s="17">
        <f t="array" ref="B18812">SUM(1-'Sparkling Model'!D$2:D$38^A18812)</f>
        <v>36.99968595</v>
      </c>
      <c r="C18812" s="8">
        <f t="array" ref="C18812">PRODUCT(1-'Sparkling Model'!D$2:D$38^A18812)</f>
        <v>0.9996859855</v>
      </c>
    </row>
    <row r="18813">
      <c r="A18813" s="6">
        <v>18811.0</v>
      </c>
      <c r="B18813" s="17">
        <f t="array" ref="B18813">SUM(1-'Sparkling Model'!D$2:D$38^A18813)</f>
        <v>36.99968611</v>
      </c>
      <c r="C18813" s="8">
        <f t="array" ref="C18813">PRODUCT(1-'Sparkling Model'!D$2:D$38^A18813)</f>
        <v>0.9996861398</v>
      </c>
    </row>
    <row r="18814">
      <c r="A18814" s="6">
        <v>18812.0</v>
      </c>
      <c r="B18814" s="17">
        <f t="array" ref="B18814">SUM(1-'Sparkling Model'!D$2:D$38^A18814)</f>
        <v>36.99968626</v>
      </c>
      <c r="C18814" s="8">
        <f t="array" ref="C18814">PRODUCT(1-'Sparkling Model'!D$2:D$38^A18814)</f>
        <v>0.999686294</v>
      </c>
    </row>
    <row r="18815">
      <c r="A18815" s="6">
        <v>18813.0</v>
      </c>
      <c r="B18815" s="17">
        <f t="array" ref="B18815">SUM(1-'Sparkling Model'!D$2:D$38^A18815)</f>
        <v>36.99968641</v>
      </c>
      <c r="C18815" s="8">
        <f t="array" ref="C18815">PRODUCT(1-'Sparkling Model'!D$2:D$38^A18815)</f>
        <v>0.9996864482</v>
      </c>
    </row>
    <row r="18816">
      <c r="A18816" s="6">
        <v>18814.0</v>
      </c>
      <c r="B18816" s="17">
        <f t="array" ref="B18816">SUM(1-'Sparkling Model'!D$2:D$38^A18816)</f>
        <v>36.99968657</v>
      </c>
      <c r="C18816" s="8">
        <f t="array" ref="C18816">PRODUCT(1-'Sparkling Model'!D$2:D$38^A18816)</f>
        <v>0.9996866023</v>
      </c>
    </row>
    <row r="18817">
      <c r="A18817" s="6">
        <v>18815.0</v>
      </c>
      <c r="B18817" s="17">
        <f t="array" ref="B18817">SUM(1-'Sparkling Model'!D$2:D$38^A18817)</f>
        <v>36.99968672</v>
      </c>
      <c r="C18817" s="8">
        <f t="array" ref="C18817">PRODUCT(1-'Sparkling Model'!D$2:D$38^A18817)</f>
        <v>0.9996867563</v>
      </c>
    </row>
    <row r="18818">
      <c r="A18818" s="6">
        <v>18816.0</v>
      </c>
      <c r="B18818" s="17">
        <f t="array" ref="B18818">SUM(1-'Sparkling Model'!D$2:D$38^A18818)</f>
        <v>36.99968688</v>
      </c>
      <c r="C18818" s="8">
        <f t="array" ref="C18818">PRODUCT(1-'Sparkling Model'!D$2:D$38^A18818)</f>
        <v>0.9996869102</v>
      </c>
    </row>
    <row r="18819">
      <c r="A18819" s="6">
        <v>18817.0</v>
      </c>
      <c r="B18819" s="17">
        <f t="array" ref="B18819">SUM(1-'Sparkling Model'!D$2:D$38^A18819)</f>
        <v>36.99968703</v>
      </c>
      <c r="C18819" s="8">
        <f t="array" ref="C18819">PRODUCT(1-'Sparkling Model'!D$2:D$38^A18819)</f>
        <v>0.999687064</v>
      </c>
    </row>
    <row r="18820">
      <c r="A18820" s="6">
        <v>18818.0</v>
      </c>
      <c r="B18820" s="17">
        <f t="array" ref="B18820">SUM(1-'Sparkling Model'!D$2:D$38^A18820)</f>
        <v>36.99968718</v>
      </c>
      <c r="C18820" s="8">
        <f t="array" ref="C18820">PRODUCT(1-'Sparkling Model'!D$2:D$38^A18820)</f>
        <v>0.9996872178</v>
      </c>
    </row>
    <row r="18821">
      <c r="A18821" s="6">
        <v>18819.0</v>
      </c>
      <c r="B18821" s="17">
        <f t="array" ref="B18821">SUM(1-'Sparkling Model'!D$2:D$38^A18821)</f>
        <v>36.99968734</v>
      </c>
      <c r="C18821" s="8">
        <f t="array" ref="C18821">PRODUCT(1-'Sparkling Model'!D$2:D$38^A18821)</f>
        <v>0.9996873715</v>
      </c>
    </row>
    <row r="18822">
      <c r="A18822" s="6">
        <v>18820.0</v>
      </c>
      <c r="B18822" s="17">
        <f t="array" ref="B18822">SUM(1-'Sparkling Model'!D$2:D$38^A18822)</f>
        <v>36.99968749</v>
      </c>
      <c r="C18822" s="8">
        <f t="array" ref="C18822">PRODUCT(1-'Sparkling Model'!D$2:D$38^A18822)</f>
        <v>0.9996875252</v>
      </c>
    </row>
    <row r="18823">
      <c r="A18823" s="6">
        <v>18821.0</v>
      </c>
      <c r="B18823" s="17">
        <f t="array" ref="B18823">SUM(1-'Sparkling Model'!D$2:D$38^A18823)</f>
        <v>36.99968765</v>
      </c>
      <c r="C18823" s="8">
        <f t="array" ref="C18823">PRODUCT(1-'Sparkling Model'!D$2:D$38^A18823)</f>
        <v>0.9996876787</v>
      </c>
    </row>
    <row r="18824">
      <c r="A18824" s="6">
        <v>18822.0</v>
      </c>
      <c r="B18824" s="17">
        <f t="array" ref="B18824">SUM(1-'Sparkling Model'!D$2:D$38^A18824)</f>
        <v>36.9996878</v>
      </c>
      <c r="C18824" s="8">
        <f t="array" ref="C18824">PRODUCT(1-'Sparkling Model'!D$2:D$38^A18824)</f>
        <v>0.9996878322</v>
      </c>
    </row>
    <row r="18825">
      <c r="A18825" s="6">
        <v>18823.0</v>
      </c>
      <c r="B18825" s="17">
        <f t="array" ref="B18825">SUM(1-'Sparkling Model'!D$2:D$38^A18825)</f>
        <v>36.99968795</v>
      </c>
      <c r="C18825" s="8">
        <f t="array" ref="C18825">PRODUCT(1-'Sparkling Model'!D$2:D$38^A18825)</f>
        <v>0.9996879856</v>
      </c>
    </row>
    <row r="18826">
      <c r="A18826" s="6">
        <v>18824.0</v>
      </c>
      <c r="B18826" s="17">
        <f t="array" ref="B18826">SUM(1-'Sparkling Model'!D$2:D$38^A18826)</f>
        <v>36.99968811</v>
      </c>
      <c r="C18826" s="8">
        <f t="array" ref="C18826">PRODUCT(1-'Sparkling Model'!D$2:D$38^A18826)</f>
        <v>0.9996881389</v>
      </c>
    </row>
    <row r="18827">
      <c r="A18827" s="6">
        <v>18825.0</v>
      </c>
      <c r="B18827" s="17">
        <f t="array" ref="B18827">SUM(1-'Sparkling Model'!D$2:D$38^A18827)</f>
        <v>36.99968826</v>
      </c>
      <c r="C18827" s="8">
        <f t="array" ref="C18827">PRODUCT(1-'Sparkling Model'!D$2:D$38^A18827)</f>
        <v>0.9996882921</v>
      </c>
    </row>
    <row r="18828">
      <c r="A18828" s="6">
        <v>18826.0</v>
      </c>
      <c r="B18828" s="17">
        <f t="array" ref="B18828">SUM(1-'Sparkling Model'!D$2:D$38^A18828)</f>
        <v>36.99968841</v>
      </c>
      <c r="C18828" s="8">
        <f t="array" ref="C18828">PRODUCT(1-'Sparkling Model'!D$2:D$38^A18828)</f>
        <v>0.9996884453</v>
      </c>
    </row>
    <row r="18829">
      <c r="A18829" s="6">
        <v>18827.0</v>
      </c>
      <c r="B18829" s="17">
        <f t="array" ref="B18829">SUM(1-'Sparkling Model'!D$2:D$38^A18829)</f>
        <v>36.99968857</v>
      </c>
      <c r="C18829" s="8">
        <f t="array" ref="C18829">PRODUCT(1-'Sparkling Model'!D$2:D$38^A18829)</f>
        <v>0.9996885984</v>
      </c>
    </row>
    <row r="18830">
      <c r="A18830" s="6">
        <v>18828.0</v>
      </c>
      <c r="B18830" s="17">
        <f t="array" ref="B18830">SUM(1-'Sparkling Model'!D$2:D$38^A18830)</f>
        <v>36.99968872</v>
      </c>
      <c r="C18830" s="8">
        <f t="array" ref="C18830">PRODUCT(1-'Sparkling Model'!D$2:D$38^A18830)</f>
        <v>0.9996887514</v>
      </c>
    </row>
    <row r="18831">
      <c r="A18831" s="6">
        <v>18829.0</v>
      </c>
      <c r="B18831" s="17">
        <f t="array" ref="B18831">SUM(1-'Sparkling Model'!D$2:D$38^A18831)</f>
        <v>36.99968887</v>
      </c>
      <c r="C18831" s="8">
        <f t="array" ref="C18831">PRODUCT(1-'Sparkling Model'!D$2:D$38^A18831)</f>
        <v>0.9996889044</v>
      </c>
    </row>
    <row r="18832">
      <c r="A18832" s="6">
        <v>18830.0</v>
      </c>
      <c r="B18832" s="17">
        <f t="array" ref="B18832">SUM(1-'Sparkling Model'!D$2:D$38^A18832)</f>
        <v>36.99968902</v>
      </c>
      <c r="C18832" s="8">
        <f t="array" ref="C18832">PRODUCT(1-'Sparkling Model'!D$2:D$38^A18832)</f>
        <v>0.9996890573</v>
      </c>
    </row>
    <row r="18833">
      <c r="A18833" s="6">
        <v>18831.0</v>
      </c>
      <c r="B18833" s="17">
        <f t="array" ref="B18833">SUM(1-'Sparkling Model'!D$2:D$38^A18833)</f>
        <v>36.99968918</v>
      </c>
      <c r="C18833" s="8">
        <f t="array" ref="C18833">PRODUCT(1-'Sparkling Model'!D$2:D$38^A18833)</f>
        <v>0.9996892101</v>
      </c>
    </row>
    <row r="18834">
      <c r="A18834" s="6">
        <v>18832.0</v>
      </c>
      <c r="B18834" s="17">
        <f t="array" ref="B18834">SUM(1-'Sparkling Model'!D$2:D$38^A18834)</f>
        <v>36.99968933</v>
      </c>
      <c r="C18834" s="8">
        <f t="array" ref="C18834">PRODUCT(1-'Sparkling Model'!D$2:D$38^A18834)</f>
        <v>0.9996893628</v>
      </c>
    </row>
    <row r="18835">
      <c r="A18835" s="6">
        <v>18833.0</v>
      </c>
      <c r="B18835" s="17">
        <f t="array" ref="B18835">SUM(1-'Sparkling Model'!D$2:D$38^A18835)</f>
        <v>36.99968948</v>
      </c>
      <c r="C18835" s="8">
        <f t="array" ref="C18835">PRODUCT(1-'Sparkling Model'!D$2:D$38^A18835)</f>
        <v>0.9996895154</v>
      </c>
    </row>
    <row r="18836">
      <c r="A18836" s="6">
        <v>18834.0</v>
      </c>
      <c r="B18836" s="17">
        <f t="array" ref="B18836">SUM(1-'Sparkling Model'!D$2:D$38^A18836)</f>
        <v>36.99968964</v>
      </c>
      <c r="C18836" s="8">
        <f t="array" ref="C18836">PRODUCT(1-'Sparkling Model'!D$2:D$38^A18836)</f>
        <v>0.999689668</v>
      </c>
    </row>
    <row r="18837">
      <c r="A18837" s="6">
        <v>18835.0</v>
      </c>
      <c r="B18837" s="17">
        <f t="array" ref="B18837">SUM(1-'Sparkling Model'!D$2:D$38^A18837)</f>
        <v>36.99968979</v>
      </c>
      <c r="C18837" s="8">
        <f t="array" ref="C18837">PRODUCT(1-'Sparkling Model'!D$2:D$38^A18837)</f>
        <v>0.9996898205</v>
      </c>
    </row>
    <row r="18838">
      <c r="A18838" s="6">
        <v>18836.0</v>
      </c>
      <c r="B18838" s="17">
        <f t="array" ref="B18838">SUM(1-'Sparkling Model'!D$2:D$38^A18838)</f>
        <v>36.99968994</v>
      </c>
      <c r="C18838" s="8">
        <f t="array" ref="C18838">PRODUCT(1-'Sparkling Model'!D$2:D$38^A18838)</f>
        <v>0.9996899729</v>
      </c>
    </row>
    <row r="18839">
      <c r="A18839" s="6">
        <v>18837.0</v>
      </c>
      <c r="B18839" s="17">
        <f t="array" ref="B18839">SUM(1-'Sparkling Model'!D$2:D$38^A18839)</f>
        <v>36.99969009</v>
      </c>
      <c r="C18839" s="8">
        <f t="array" ref="C18839">PRODUCT(1-'Sparkling Model'!D$2:D$38^A18839)</f>
        <v>0.9996901253</v>
      </c>
    </row>
    <row r="18840">
      <c r="A18840" s="6">
        <v>18838.0</v>
      </c>
      <c r="B18840" s="17">
        <f t="array" ref="B18840">SUM(1-'Sparkling Model'!D$2:D$38^A18840)</f>
        <v>36.99969024</v>
      </c>
      <c r="C18840" s="8">
        <f t="array" ref="C18840">PRODUCT(1-'Sparkling Model'!D$2:D$38^A18840)</f>
        <v>0.9996902775</v>
      </c>
    </row>
    <row r="18841">
      <c r="A18841" s="6">
        <v>18839.0</v>
      </c>
      <c r="B18841" s="17">
        <f t="array" ref="B18841">SUM(1-'Sparkling Model'!D$2:D$38^A18841)</f>
        <v>36.9996904</v>
      </c>
      <c r="C18841" s="8">
        <f t="array" ref="C18841">PRODUCT(1-'Sparkling Model'!D$2:D$38^A18841)</f>
        <v>0.9996904297</v>
      </c>
    </row>
    <row r="18842">
      <c r="A18842" s="6">
        <v>18840.0</v>
      </c>
      <c r="B18842" s="17">
        <f t="array" ref="B18842">SUM(1-'Sparkling Model'!D$2:D$38^A18842)</f>
        <v>36.99969055</v>
      </c>
      <c r="C18842" s="8">
        <f t="array" ref="C18842">PRODUCT(1-'Sparkling Model'!D$2:D$38^A18842)</f>
        <v>0.9996905818</v>
      </c>
    </row>
    <row r="18843">
      <c r="A18843" s="6">
        <v>18841.0</v>
      </c>
      <c r="B18843" s="17">
        <f t="array" ref="B18843">SUM(1-'Sparkling Model'!D$2:D$38^A18843)</f>
        <v>36.9996907</v>
      </c>
      <c r="C18843" s="8">
        <f t="array" ref="C18843">PRODUCT(1-'Sparkling Model'!D$2:D$38^A18843)</f>
        <v>0.9996907339</v>
      </c>
    </row>
    <row r="18844">
      <c r="A18844" s="6">
        <v>18842.0</v>
      </c>
      <c r="B18844" s="17">
        <f t="array" ref="B18844">SUM(1-'Sparkling Model'!D$2:D$38^A18844)</f>
        <v>36.99969085</v>
      </c>
      <c r="C18844" s="8">
        <f t="array" ref="C18844">PRODUCT(1-'Sparkling Model'!D$2:D$38^A18844)</f>
        <v>0.9996908859</v>
      </c>
    </row>
    <row r="18845">
      <c r="A18845" s="6">
        <v>18843.0</v>
      </c>
      <c r="B18845" s="17">
        <f t="array" ref="B18845">SUM(1-'Sparkling Model'!D$2:D$38^A18845)</f>
        <v>36.99969101</v>
      </c>
      <c r="C18845" s="8">
        <f t="array" ref="C18845">PRODUCT(1-'Sparkling Model'!D$2:D$38^A18845)</f>
        <v>0.9996910378</v>
      </c>
    </row>
    <row r="18846">
      <c r="A18846" s="6">
        <v>18844.0</v>
      </c>
      <c r="B18846" s="17">
        <f t="array" ref="B18846">SUM(1-'Sparkling Model'!D$2:D$38^A18846)</f>
        <v>36.99969116</v>
      </c>
      <c r="C18846" s="8">
        <f t="array" ref="C18846">PRODUCT(1-'Sparkling Model'!D$2:D$38^A18846)</f>
        <v>0.9996911896</v>
      </c>
    </row>
    <row r="18847">
      <c r="A18847" s="6">
        <v>18845.0</v>
      </c>
      <c r="B18847" s="17">
        <f t="array" ref="B18847">SUM(1-'Sparkling Model'!D$2:D$38^A18847)</f>
        <v>36.99969131</v>
      </c>
      <c r="C18847" s="8">
        <f t="array" ref="C18847">PRODUCT(1-'Sparkling Model'!D$2:D$38^A18847)</f>
        <v>0.9996913413</v>
      </c>
    </row>
    <row r="18848">
      <c r="A18848" s="6">
        <v>18846.0</v>
      </c>
      <c r="B18848" s="17">
        <f t="array" ref="B18848">SUM(1-'Sparkling Model'!D$2:D$38^A18848)</f>
        <v>36.99969146</v>
      </c>
      <c r="C18848" s="8">
        <f t="array" ref="C18848">PRODUCT(1-'Sparkling Model'!D$2:D$38^A18848)</f>
        <v>0.999691493</v>
      </c>
    </row>
    <row r="18849">
      <c r="A18849" s="6">
        <v>18847.0</v>
      </c>
      <c r="B18849" s="17">
        <f t="array" ref="B18849">SUM(1-'Sparkling Model'!D$2:D$38^A18849)</f>
        <v>36.99969161</v>
      </c>
      <c r="C18849" s="8">
        <f t="array" ref="C18849">PRODUCT(1-'Sparkling Model'!D$2:D$38^A18849)</f>
        <v>0.9996916446</v>
      </c>
    </row>
    <row r="18850">
      <c r="A18850" s="6">
        <v>18848.0</v>
      </c>
      <c r="B18850" s="17">
        <f t="array" ref="B18850">SUM(1-'Sparkling Model'!D$2:D$38^A18850)</f>
        <v>36.99969176</v>
      </c>
      <c r="C18850" s="8">
        <f t="array" ref="C18850">PRODUCT(1-'Sparkling Model'!D$2:D$38^A18850)</f>
        <v>0.9996917961</v>
      </c>
    </row>
    <row r="18851">
      <c r="A18851" s="6">
        <v>18849.0</v>
      </c>
      <c r="B18851" s="17">
        <f t="array" ref="B18851">SUM(1-'Sparkling Model'!D$2:D$38^A18851)</f>
        <v>36.99969192</v>
      </c>
      <c r="C18851" s="8">
        <f t="array" ref="C18851">PRODUCT(1-'Sparkling Model'!D$2:D$38^A18851)</f>
        <v>0.9996919476</v>
      </c>
    </row>
    <row r="18852">
      <c r="A18852" s="6">
        <v>18850.0</v>
      </c>
      <c r="B18852" s="17">
        <f t="array" ref="B18852">SUM(1-'Sparkling Model'!D$2:D$38^A18852)</f>
        <v>36.99969207</v>
      </c>
      <c r="C18852" s="8">
        <f t="array" ref="C18852">PRODUCT(1-'Sparkling Model'!D$2:D$38^A18852)</f>
        <v>0.9996920989</v>
      </c>
    </row>
    <row r="18853">
      <c r="A18853" s="6">
        <v>18851.0</v>
      </c>
      <c r="B18853" s="17">
        <f t="array" ref="B18853">SUM(1-'Sparkling Model'!D$2:D$38^A18853)</f>
        <v>36.99969222</v>
      </c>
      <c r="C18853" s="8">
        <f t="array" ref="C18853">PRODUCT(1-'Sparkling Model'!D$2:D$38^A18853)</f>
        <v>0.9996922502</v>
      </c>
    </row>
    <row r="18854">
      <c r="A18854" s="6">
        <v>18852.0</v>
      </c>
      <c r="B18854" s="17">
        <f t="array" ref="B18854">SUM(1-'Sparkling Model'!D$2:D$38^A18854)</f>
        <v>36.99969237</v>
      </c>
      <c r="C18854" s="8">
        <f t="array" ref="C18854">PRODUCT(1-'Sparkling Model'!D$2:D$38^A18854)</f>
        <v>0.9996924015</v>
      </c>
    </row>
    <row r="18855">
      <c r="A18855" s="6">
        <v>18853.0</v>
      </c>
      <c r="B18855" s="17">
        <f t="array" ref="B18855">SUM(1-'Sparkling Model'!D$2:D$38^A18855)</f>
        <v>36.99969252</v>
      </c>
      <c r="C18855" s="8">
        <f t="array" ref="C18855">PRODUCT(1-'Sparkling Model'!D$2:D$38^A18855)</f>
        <v>0.9996925526</v>
      </c>
    </row>
    <row r="18856">
      <c r="A18856" s="6">
        <v>18854.0</v>
      </c>
      <c r="B18856" s="17">
        <f t="array" ref="B18856">SUM(1-'Sparkling Model'!D$2:D$38^A18856)</f>
        <v>36.99969267</v>
      </c>
      <c r="C18856" s="8">
        <f t="array" ref="C18856">PRODUCT(1-'Sparkling Model'!D$2:D$38^A18856)</f>
        <v>0.9996927037</v>
      </c>
    </row>
    <row r="18857">
      <c r="A18857" s="6">
        <v>18855.0</v>
      </c>
      <c r="B18857" s="17">
        <f t="array" ref="B18857">SUM(1-'Sparkling Model'!D$2:D$38^A18857)</f>
        <v>36.99969282</v>
      </c>
      <c r="C18857" s="8">
        <f t="array" ref="C18857">PRODUCT(1-'Sparkling Model'!D$2:D$38^A18857)</f>
        <v>0.9996928547</v>
      </c>
    </row>
    <row r="18858">
      <c r="A18858" s="6">
        <v>18856.0</v>
      </c>
      <c r="B18858" s="17">
        <f t="array" ref="B18858">SUM(1-'Sparkling Model'!D$2:D$38^A18858)</f>
        <v>36.99969297</v>
      </c>
      <c r="C18858" s="8">
        <f t="array" ref="C18858">PRODUCT(1-'Sparkling Model'!D$2:D$38^A18858)</f>
        <v>0.9996930056</v>
      </c>
    </row>
    <row r="18859">
      <c r="A18859" s="6">
        <v>18857.0</v>
      </c>
      <c r="B18859" s="17">
        <f t="array" ref="B18859">SUM(1-'Sparkling Model'!D$2:D$38^A18859)</f>
        <v>36.99969312</v>
      </c>
      <c r="C18859" s="8">
        <f t="array" ref="C18859">PRODUCT(1-'Sparkling Model'!D$2:D$38^A18859)</f>
        <v>0.9996931565</v>
      </c>
    </row>
    <row r="18860">
      <c r="A18860" s="6">
        <v>18858.0</v>
      </c>
      <c r="B18860" s="17">
        <f t="array" ref="B18860">SUM(1-'Sparkling Model'!D$2:D$38^A18860)</f>
        <v>36.99969328</v>
      </c>
      <c r="C18860" s="8">
        <f t="array" ref="C18860">PRODUCT(1-'Sparkling Model'!D$2:D$38^A18860)</f>
        <v>0.9996933072</v>
      </c>
    </row>
    <row r="18861">
      <c r="A18861" s="6">
        <v>18859.0</v>
      </c>
      <c r="B18861" s="17">
        <f t="array" ref="B18861">SUM(1-'Sparkling Model'!D$2:D$38^A18861)</f>
        <v>36.99969343</v>
      </c>
      <c r="C18861" s="8">
        <f t="array" ref="C18861">PRODUCT(1-'Sparkling Model'!D$2:D$38^A18861)</f>
        <v>0.999693458</v>
      </c>
    </row>
    <row r="18862">
      <c r="A18862" s="6">
        <v>18860.0</v>
      </c>
      <c r="B18862" s="17">
        <f t="array" ref="B18862">SUM(1-'Sparkling Model'!D$2:D$38^A18862)</f>
        <v>36.99969358</v>
      </c>
      <c r="C18862" s="8">
        <f t="array" ref="C18862">PRODUCT(1-'Sparkling Model'!D$2:D$38^A18862)</f>
        <v>0.9996936086</v>
      </c>
    </row>
    <row r="18863">
      <c r="A18863" s="6">
        <v>18861.0</v>
      </c>
      <c r="B18863" s="17">
        <f t="array" ref="B18863">SUM(1-'Sparkling Model'!D$2:D$38^A18863)</f>
        <v>36.99969373</v>
      </c>
      <c r="C18863" s="8">
        <f t="array" ref="C18863">PRODUCT(1-'Sparkling Model'!D$2:D$38^A18863)</f>
        <v>0.9996937591</v>
      </c>
    </row>
    <row r="18864">
      <c r="A18864" s="6">
        <v>18862.0</v>
      </c>
      <c r="B18864" s="17">
        <f t="array" ref="B18864">SUM(1-'Sparkling Model'!D$2:D$38^A18864)</f>
        <v>36.99969388</v>
      </c>
      <c r="C18864" s="8">
        <f t="array" ref="C18864">PRODUCT(1-'Sparkling Model'!D$2:D$38^A18864)</f>
        <v>0.9996939096</v>
      </c>
    </row>
    <row r="18865">
      <c r="A18865" s="6">
        <v>18863.0</v>
      </c>
      <c r="B18865" s="17">
        <f t="array" ref="B18865">SUM(1-'Sparkling Model'!D$2:D$38^A18865)</f>
        <v>36.99969403</v>
      </c>
      <c r="C18865" s="8">
        <f t="array" ref="C18865">PRODUCT(1-'Sparkling Model'!D$2:D$38^A18865)</f>
        <v>0.99969406</v>
      </c>
    </row>
    <row r="18866">
      <c r="A18866" s="6">
        <v>18864.0</v>
      </c>
      <c r="B18866" s="17">
        <f t="array" ref="B18866">SUM(1-'Sparkling Model'!D$2:D$38^A18866)</f>
        <v>36.99969418</v>
      </c>
      <c r="C18866" s="8">
        <f t="array" ref="C18866">PRODUCT(1-'Sparkling Model'!D$2:D$38^A18866)</f>
        <v>0.9996942104</v>
      </c>
    </row>
    <row r="18867">
      <c r="A18867" s="6">
        <v>18865.0</v>
      </c>
      <c r="B18867" s="17">
        <f t="array" ref="B18867">SUM(1-'Sparkling Model'!D$2:D$38^A18867)</f>
        <v>36.99969433</v>
      </c>
      <c r="C18867" s="8">
        <f t="array" ref="C18867">PRODUCT(1-'Sparkling Model'!D$2:D$38^A18867)</f>
        <v>0.9996943606</v>
      </c>
    </row>
    <row r="18868">
      <c r="A18868" s="6">
        <v>18866.0</v>
      </c>
      <c r="B18868" s="17">
        <f t="array" ref="B18868">SUM(1-'Sparkling Model'!D$2:D$38^A18868)</f>
        <v>36.99969448</v>
      </c>
      <c r="C18868" s="8">
        <f t="array" ref="C18868">PRODUCT(1-'Sparkling Model'!D$2:D$38^A18868)</f>
        <v>0.9996945108</v>
      </c>
    </row>
    <row r="18869">
      <c r="A18869" s="6">
        <v>18867.0</v>
      </c>
      <c r="B18869" s="17">
        <f t="array" ref="B18869">SUM(1-'Sparkling Model'!D$2:D$38^A18869)</f>
        <v>36.99969463</v>
      </c>
      <c r="C18869" s="8">
        <f t="array" ref="C18869">PRODUCT(1-'Sparkling Model'!D$2:D$38^A18869)</f>
        <v>0.9996946609</v>
      </c>
    </row>
    <row r="18870">
      <c r="A18870" s="6">
        <v>18868.0</v>
      </c>
      <c r="B18870" s="17">
        <f t="array" ref="B18870">SUM(1-'Sparkling Model'!D$2:D$38^A18870)</f>
        <v>36.99969478</v>
      </c>
      <c r="C18870" s="8">
        <f t="array" ref="C18870">PRODUCT(1-'Sparkling Model'!D$2:D$38^A18870)</f>
        <v>0.999694811</v>
      </c>
    </row>
    <row r="18871">
      <c r="A18871" s="6">
        <v>18869.0</v>
      </c>
      <c r="B18871" s="17">
        <f t="array" ref="B18871">SUM(1-'Sparkling Model'!D$2:D$38^A18871)</f>
        <v>36.99969493</v>
      </c>
      <c r="C18871" s="8">
        <f t="array" ref="C18871">PRODUCT(1-'Sparkling Model'!D$2:D$38^A18871)</f>
        <v>0.9996949609</v>
      </c>
    </row>
    <row r="18872">
      <c r="A18872" s="6">
        <v>18870.0</v>
      </c>
      <c r="B18872" s="17">
        <f t="array" ref="B18872">SUM(1-'Sparkling Model'!D$2:D$38^A18872)</f>
        <v>36.99969508</v>
      </c>
      <c r="C18872" s="8">
        <f t="array" ref="C18872">PRODUCT(1-'Sparkling Model'!D$2:D$38^A18872)</f>
        <v>0.9996951108</v>
      </c>
    </row>
    <row r="18873">
      <c r="A18873" s="6">
        <v>18871.0</v>
      </c>
      <c r="B18873" s="17">
        <f t="array" ref="B18873">SUM(1-'Sparkling Model'!D$2:D$38^A18873)</f>
        <v>36.99969523</v>
      </c>
      <c r="C18873" s="8">
        <f t="array" ref="C18873">PRODUCT(1-'Sparkling Model'!D$2:D$38^A18873)</f>
        <v>0.9996952606</v>
      </c>
    </row>
    <row r="18874">
      <c r="A18874" s="6">
        <v>18872.0</v>
      </c>
      <c r="B18874" s="17">
        <f t="array" ref="B18874">SUM(1-'Sparkling Model'!D$2:D$38^A18874)</f>
        <v>36.99969538</v>
      </c>
      <c r="C18874" s="8">
        <f t="array" ref="C18874">PRODUCT(1-'Sparkling Model'!D$2:D$38^A18874)</f>
        <v>0.9996954104</v>
      </c>
    </row>
    <row r="18875">
      <c r="A18875" s="6">
        <v>18873.0</v>
      </c>
      <c r="B18875" s="17">
        <f t="array" ref="B18875">SUM(1-'Sparkling Model'!D$2:D$38^A18875)</f>
        <v>36.99969553</v>
      </c>
      <c r="C18875" s="8">
        <f t="array" ref="C18875">PRODUCT(1-'Sparkling Model'!D$2:D$38^A18875)</f>
        <v>0.99969556</v>
      </c>
    </row>
    <row r="18876">
      <c r="A18876" s="6">
        <v>18874.0</v>
      </c>
      <c r="B18876" s="17">
        <f t="array" ref="B18876">SUM(1-'Sparkling Model'!D$2:D$38^A18876)</f>
        <v>36.99969568</v>
      </c>
      <c r="C18876" s="8">
        <f t="array" ref="C18876">PRODUCT(1-'Sparkling Model'!D$2:D$38^A18876)</f>
        <v>0.9996957096</v>
      </c>
    </row>
    <row r="18877">
      <c r="A18877" s="6">
        <v>18875.0</v>
      </c>
      <c r="B18877" s="17">
        <f t="array" ref="B18877">SUM(1-'Sparkling Model'!D$2:D$38^A18877)</f>
        <v>36.99969583</v>
      </c>
      <c r="C18877" s="8">
        <f t="array" ref="C18877">PRODUCT(1-'Sparkling Model'!D$2:D$38^A18877)</f>
        <v>0.9996958592</v>
      </c>
    </row>
    <row r="18878">
      <c r="A18878" s="6">
        <v>18876.0</v>
      </c>
      <c r="B18878" s="17">
        <f t="array" ref="B18878">SUM(1-'Sparkling Model'!D$2:D$38^A18878)</f>
        <v>36.99969598</v>
      </c>
      <c r="C18878" s="8">
        <f t="array" ref="C18878">PRODUCT(1-'Sparkling Model'!D$2:D$38^A18878)</f>
        <v>0.9996960086</v>
      </c>
    </row>
    <row r="18879">
      <c r="A18879" s="6">
        <v>18877.0</v>
      </c>
      <c r="B18879" s="17">
        <f t="array" ref="B18879">SUM(1-'Sparkling Model'!D$2:D$38^A18879)</f>
        <v>36.99969613</v>
      </c>
      <c r="C18879" s="8">
        <f t="array" ref="C18879">PRODUCT(1-'Sparkling Model'!D$2:D$38^A18879)</f>
        <v>0.999696158</v>
      </c>
    </row>
    <row r="18880">
      <c r="A18880" s="6">
        <v>18878.0</v>
      </c>
      <c r="B18880" s="17">
        <f t="array" ref="B18880">SUM(1-'Sparkling Model'!D$2:D$38^A18880)</f>
        <v>36.99969628</v>
      </c>
      <c r="C18880" s="8">
        <f t="array" ref="C18880">PRODUCT(1-'Sparkling Model'!D$2:D$38^A18880)</f>
        <v>0.9996963073</v>
      </c>
    </row>
    <row r="18881">
      <c r="A18881" s="6">
        <v>18879.0</v>
      </c>
      <c r="B18881" s="17">
        <f t="array" ref="B18881">SUM(1-'Sparkling Model'!D$2:D$38^A18881)</f>
        <v>36.99969643</v>
      </c>
      <c r="C18881" s="8">
        <f t="array" ref="C18881">PRODUCT(1-'Sparkling Model'!D$2:D$38^A18881)</f>
        <v>0.9996964565</v>
      </c>
    </row>
    <row r="18882">
      <c r="A18882" s="6">
        <v>18880.0</v>
      </c>
      <c r="B18882" s="17">
        <f t="array" ref="B18882">SUM(1-'Sparkling Model'!D$2:D$38^A18882)</f>
        <v>36.99969657</v>
      </c>
      <c r="C18882" s="8">
        <f t="array" ref="C18882">PRODUCT(1-'Sparkling Model'!D$2:D$38^A18882)</f>
        <v>0.9996966057</v>
      </c>
    </row>
    <row r="18883">
      <c r="A18883" s="6">
        <v>18881.0</v>
      </c>
      <c r="B18883" s="17">
        <f t="array" ref="B18883">SUM(1-'Sparkling Model'!D$2:D$38^A18883)</f>
        <v>36.99969672</v>
      </c>
      <c r="C18883" s="8">
        <f t="array" ref="C18883">PRODUCT(1-'Sparkling Model'!D$2:D$38^A18883)</f>
        <v>0.9996967547</v>
      </c>
    </row>
    <row r="18884">
      <c r="A18884" s="6">
        <v>18882.0</v>
      </c>
      <c r="B18884" s="17">
        <f t="array" ref="B18884">SUM(1-'Sparkling Model'!D$2:D$38^A18884)</f>
        <v>36.99969687</v>
      </c>
      <c r="C18884" s="8">
        <f t="array" ref="C18884">PRODUCT(1-'Sparkling Model'!D$2:D$38^A18884)</f>
        <v>0.9996969038</v>
      </c>
    </row>
    <row r="18885">
      <c r="A18885" s="6">
        <v>18883.0</v>
      </c>
      <c r="B18885" s="17">
        <f t="array" ref="B18885">SUM(1-'Sparkling Model'!D$2:D$38^A18885)</f>
        <v>36.99969702</v>
      </c>
      <c r="C18885" s="8">
        <f t="array" ref="C18885">PRODUCT(1-'Sparkling Model'!D$2:D$38^A18885)</f>
        <v>0.9996970527</v>
      </c>
    </row>
    <row r="18886">
      <c r="A18886" s="6">
        <v>18884.0</v>
      </c>
      <c r="B18886" s="17">
        <f t="array" ref="B18886">SUM(1-'Sparkling Model'!D$2:D$38^A18886)</f>
        <v>36.99969717</v>
      </c>
      <c r="C18886" s="8">
        <f t="array" ref="C18886">PRODUCT(1-'Sparkling Model'!D$2:D$38^A18886)</f>
        <v>0.9996972015</v>
      </c>
    </row>
    <row r="18887">
      <c r="A18887" s="6">
        <v>18885.0</v>
      </c>
      <c r="B18887" s="17">
        <f t="array" ref="B18887">SUM(1-'Sparkling Model'!D$2:D$38^A18887)</f>
        <v>36.99969732</v>
      </c>
      <c r="C18887" s="8">
        <f t="array" ref="C18887">PRODUCT(1-'Sparkling Model'!D$2:D$38^A18887)</f>
        <v>0.9996973503</v>
      </c>
    </row>
    <row r="18888">
      <c r="A18888" s="6">
        <v>18886.0</v>
      </c>
      <c r="B18888" s="17">
        <f t="array" ref="B18888">SUM(1-'Sparkling Model'!D$2:D$38^A18888)</f>
        <v>36.99969747</v>
      </c>
      <c r="C18888" s="8">
        <f t="array" ref="C18888">PRODUCT(1-'Sparkling Model'!D$2:D$38^A18888)</f>
        <v>0.999697499</v>
      </c>
    </row>
    <row r="18889">
      <c r="A18889" s="6">
        <v>18887.0</v>
      </c>
      <c r="B18889" s="17">
        <f t="array" ref="B18889">SUM(1-'Sparkling Model'!D$2:D$38^A18889)</f>
        <v>36.99969762</v>
      </c>
      <c r="C18889" s="8">
        <f t="array" ref="C18889">PRODUCT(1-'Sparkling Model'!D$2:D$38^A18889)</f>
        <v>0.9996976477</v>
      </c>
    </row>
    <row r="18890">
      <c r="A18890" s="6">
        <v>18888.0</v>
      </c>
      <c r="B18890" s="17">
        <f t="array" ref="B18890">SUM(1-'Sparkling Model'!D$2:D$38^A18890)</f>
        <v>36.99969777</v>
      </c>
      <c r="C18890" s="8">
        <f t="array" ref="C18890">PRODUCT(1-'Sparkling Model'!D$2:D$38^A18890)</f>
        <v>0.9996977963</v>
      </c>
    </row>
    <row r="18891">
      <c r="A18891" s="6">
        <v>18889.0</v>
      </c>
      <c r="B18891" s="17">
        <f t="array" ref="B18891">SUM(1-'Sparkling Model'!D$2:D$38^A18891)</f>
        <v>36.99969791</v>
      </c>
      <c r="C18891" s="8">
        <f t="array" ref="C18891">PRODUCT(1-'Sparkling Model'!D$2:D$38^A18891)</f>
        <v>0.9996979448</v>
      </c>
    </row>
    <row r="18892">
      <c r="A18892" s="6">
        <v>18890.0</v>
      </c>
      <c r="B18892" s="17">
        <f t="array" ref="B18892">SUM(1-'Sparkling Model'!D$2:D$38^A18892)</f>
        <v>36.99969806</v>
      </c>
      <c r="C18892" s="8">
        <f t="array" ref="C18892">PRODUCT(1-'Sparkling Model'!D$2:D$38^A18892)</f>
        <v>0.9996980932</v>
      </c>
    </row>
    <row r="18893">
      <c r="A18893" s="6">
        <v>18891.0</v>
      </c>
      <c r="B18893" s="17">
        <f t="array" ref="B18893">SUM(1-'Sparkling Model'!D$2:D$38^A18893)</f>
        <v>36.99969821</v>
      </c>
      <c r="C18893" s="8">
        <f t="array" ref="C18893">PRODUCT(1-'Sparkling Model'!D$2:D$38^A18893)</f>
        <v>0.9996982415</v>
      </c>
    </row>
    <row r="18894">
      <c r="A18894" s="6">
        <v>18892.0</v>
      </c>
      <c r="B18894" s="17">
        <f t="array" ref="B18894">SUM(1-'Sparkling Model'!D$2:D$38^A18894)</f>
        <v>36.99969836</v>
      </c>
      <c r="C18894" s="8">
        <f t="array" ref="C18894">PRODUCT(1-'Sparkling Model'!D$2:D$38^A18894)</f>
        <v>0.9996983898</v>
      </c>
    </row>
    <row r="18895">
      <c r="A18895" s="6">
        <v>18893.0</v>
      </c>
      <c r="B18895" s="17">
        <f t="array" ref="B18895">SUM(1-'Sparkling Model'!D$2:D$38^A18895)</f>
        <v>36.99969851</v>
      </c>
      <c r="C18895" s="8">
        <f t="array" ref="C18895">PRODUCT(1-'Sparkling Model'!D$2:D$38^A18895)</f>
        <v>0.999698538</v>
      </c>
    </row>
    <row r="18896">
      <c r="A18896" s="6">
        <v>18894.0</v>
      </c>
      <c r="B18896" s="17">
        <f t="array" ref="B18896">SUM(1-'Sparkling Model'!D$2:D$38^A18896)</f>
        <v>36.99969866</v>
      </c>
      <c r="C18896" s="8">
        <f t="array" ref="C18896">PRODUCT(1-'Sparkling Model'!D$2:D$38^A18896)</f>
        <v>0.9996986861</v>
      </c>
    </row>
    <row r="18897">
      <c r="A18897" s="6">
        <v>18895.0</v>
      </c>
      <c r="B18897" s="17">
        <f t="array" ref="B18897">SUM(1-'Sparkling Model'!D$2:D$38^A18897)</f>
        <v>36.9996988</v>
      </c>
      <c r="C18897" s="8">
        <f t="array" ref="C18897">PRODUCT(1-'Sparkling Model'!D$2:D$38^A18897)</f>
        <v>0.9996988342</v>
      </c>
    </row>
    <row r="18898">
      <c r="A18898" s="6">
        <v>18896.0</v>
      </c>
      <c r="B18898" s="17">
        <f t="array" ref="B18898">SUM(1-'Sparkling Model'!D$2:D$38^A18898)</f>
        <v>36.99969895</v>
      </c>
      <c r="C18898" s="8">
        <f t="array" ref="C18898">PRODUCT(1-'Sparkling Model'!D$2:D$38^A18898)</f>
        <v>0.9996989822</v>
      </c>
    </row>
    <row r="18899">
      <c r="A18899" s="6">
        <v>18897.0</v>
      </c>
      <c r="B18899" s="17">
        <f t="array" ref="B18899">SUM(1-'Sparkling Model'!D$2:D$38^A18899)</f>
        <v>36.9996991</v>
      </c>
      <c r="C18899" s="8">
        <f t="array" ref="C18899">PRODUCT(1-'Sparkling Model'!D$2:D$38^A18899)</f>
        <v>0.9996991301</v>
      </c>
    </row>
    <row r="18900">
      <c r="A18900" s="6">
        <v>18898.0</v>
      </c>
      <c r="B18900" s="17">
        <f t="array" ref="B18900">SUM(1-'Sparkling Model'!D$2:D$38^A18900)</f>
        <v>36.99969925</v>
      </c>
      <c r="C18900" s="8">
        <f t="array" ref="C18900">PRODUCT(1-'Sparkling Model'!D$2:D$38^A18900)</f>
        <v>0.9996992779</v>
      </c>
    </row>
    <row r="18901">
      <c r="A18901" s="6">
        <v>18899.0</v>
      </c>
      <c r="B18901" s="17">
        <f t="array" ref="B18901">SUM(1-'Sparkling Model'!D$2:D$38^A18901)</f>
        <v>36.99969939</v>
      </c>
      <c r="C18901" s="8">
        <f t="array" ref="C18901">PRODUCT(1-'Sparkling Model'!D$2:D$38^A18901)</f>
        <v>0.9996994257</v>
      </c>
    </row>
    <row r="18902">
      <c r="A18902" s="6">
        <v>18900.0</v>
      </c>
      <c r="B18902" s="17">
        <f t="array" ref="B18902">SUM(1-'Sparkling Model'!D$2:D$38^A18902)</f>
        <v>36.99969954</v>
      </c>
      <c r="C18902" s="8">
        <f t="array" ref="C18902">PRODUCT(1-'Sparkling Model'!D$2:D$38^A18902)</f>
        <v>0.9996995734</v>
      </c>
    </row>
    <row r="18903">
      <c r="A18903" s="6">
        <v>18901.0</v>
      </c>
      <c r="B18903" s="17">
        <f t="array" ref="B18903">SUM(1-'Sparkling Model'!D$2:D$38^A18903)</f>
        <v>36.99969969</v>
      </c>
      <c r="C18903" s="8">
        <f t="array" ref="C18903">PRODUCT(1-'Sparkling Model'!D$2:D$38^A18903)</f>
        <v>0.999699721</v>
      </c>
    </row>
    <row r="18904">
      <c r="A18904" s="6">
        <v>18902.0</v>
      </c>
      <c r="B18904" s="17">
        <f t="array" ref="B18904">SUM(1-'Sparkling Model'!D$2:D$38^A18904)</f>
        <v>36.99969984</v>
      </c>
      <c r="C18904" s="8">
        <f t="array" ref="C18904">PRODUCT(1-'Sparkling Model'!D$2:D$38^A18904)</f>
        <v>0.9996998685</v>
      </c>
    </row>
    <row r="18905">
      <c r="A18905" s="6">
        <v>18903.0</v>
      </c>
      <c r="B18905" s="17">
        <f t="array" ref="B18905">SUM(1-'Sparkling Model'!D$2:D$38^A18905)</f>
        <v>36.99969999</v>
      </c>
      <c r="C18905" s="8">
        <f t="array" ref="C18905">PRODUCT(1-'Sparkling Model'!D$2:D$38^A18905)</f>
        <v>0.999700016</v>
      </c>
    </row>
    <row r="18906">
      <c r="A18906" s="6">
        <v>18904.0</v>
      </c>
      <c r="B18906" s="17">
        <f t="array" ref="B18906">SUM(1-'Sparkling Model'!D$2:D$38^A18906)</f>
        <v>36.99970013</v>
      </c>
      <c r="C18906" s="8">
        <f t="array" ref="C18906">PRODUCT(1-'Sparkling Model'!D$2:D$38^A18906)</f>
        <v>0.9997001634</v>
      </c>
    </row>
    <row r="18907">
      <c r="A18907" s="6">
        <v>18905.0</v>
      </c>
      <c r="B18907" s="17">
        <f t="array" ref="B18907">SUM(1-'Sparkling Model'!D$2:D$38^A18907)</f>
        <v>36.99970028</v>
      </c>
      <c r="C18907" s="8">
        <f t="array" ref="C18907">PRODUCT(1-'Sparkling Model'!D$2:D$38^A18907)</f>
        <v>0.9997003107</v>
      </c>
    </row>
    <row r="18908">
      <c r="A18908" s="6">
        <v>18906.0</v>
      </c>
      <c r="B18908" s="17">
        <f t="array" ref="B18908">SUM(1-'Sparkling Model'!D$2:D$38^A18908)</f>
        <v>36.99970043</v>
      </c>
      <c r="C18908" s="8">
        <f t="array" ref="C18908">PRODUCT(1-'Sparkling Model'!D$2:D$38^A18908)</f>
        <v>0.999700458</v>
      </c>
    </row>
    <row r="18909">
      <c r="A18909" s="6">
        <v>18907.0</v>
      </c>
      <c r="B18909" s="17">
        <f t="array" ref="B18909">SUM(1-'Sparkling Model'!D$2:D$38^A18909)</f>
        <v>36.99970057</v>
      </c>
      <c r="C18909" s="8">
        <f t="array" ref="C18909">PRODUCT(1-'Sparkling Model'!D$2:D$38^A18909)</f>
        <v>0.9997006052</v>
      </c>
    </row>
    <row r="18910">
      <c r="A18910" s="6">
        <v>18908.0</v>
      </c>
      <c r="B18910" s="17">
        <f t="array" ref="B18910">SUM(1-'Sparkling Model'!D$2:D$38^A18910)</f>
        <v>36.99970072</v>
      </c>
      <c r="C18910" s="8">
        <f t="array" ref="C18910">PRODUCT(1-'Sparkling Model'!D$2:D$38^A18910)</f>
        <v>0.9997007523</v>
      </c>
    </row>
    <row r="18911">
      <c r="A18911" s="6">
        <v>18909.0</v>
      </c>
      <c r="B18911" s="17">
        <f t="array" ref="B18911">SUM(1-'Sparkling Model'!D$2:D$38^A18911)</f>
        <v>36.99970087</v>
      </c>
      <c r="C18911" s="8">
        <f t="array" ref="C18911">PRODUCT(1-'Sparkling Model'!D$2:D$38^A18911)</f>
        <v>0.9997008993</v>
      </c>
    </row>
    <row r="18912">
      <c r="A18912" s="6">
        <v>18910.0</v>
      </c>
      <c r="B18912" s="17">
        <f t="array" ref="B18912">SUM(1-'Sparkling Model'!D$2:D$38^A18912)</f>
        <v>36.99970102</v>
      </c>
      <c r="C18912" s="8">
        <f t="array" ref="C18912">PRODUCT(1-'Sparkling Model'!D$2:D$38^A18912)</f>
        <v>0.9997010463</v>
      </c>
    </row>
    <row r="18913">
      <c r="A18913" s="6">
        <v>18911.0</v>
      </c>
      <c r="B18913" s="17">
        <f t="array" ref="B18913">SUM(1-'Sparkling Model'!D$2:D$38^A18913)</f>
        <v>36.99970116</v>
      </c>
      <c r="C18913" s="8">
        <f t="array" ref="C18913">PRODUCT(1-'Sparkling Model'!D$2:D$38^A18913)</f>
        <v>0.9997011932</v>
      </c>
    </row>
    <row r="18914">
      <c r="A18914" s="6">
        <v>18912.0</v>
      </c>
      <c r="B18914" s="17">
        <f t="array" ref="B18914">SUM(1-'Sparkling Model'!D$2:D$38^A18914)</f>
        <v>36.99970131</v>
      </c>
      <c r="C18914" s="8">
        <f t="array" ref="C18914">PRODUCT(1-'Sparkling Model'!D$2:D$38^A18914)</f>
        <v>0.99970134</v>
      </c>
    </row>
    <row r="18915">
      <c r="A18915" s="6">
        <v>18913.0</v>
      </c>
      <c r="B18915" s="17">
        <f t="array" ref="B18915">SUM(1-'Sparkling Model'!D$2:D$38^A18915)</f>
        <v>36.99970146</v>
      </c>
      <c r="C18915" s="8">
        <f t="array" ref="C18915">PRODUCT(1-'Sparkling Model'!D$2:D$38^A18915)</f>
        <v>0.9997014868</v>
      </c>
    </row>
    <row r="18916">
      <c r="A18916" s="6">
        <v>18914.0</v>
      </c>
      <c r="B18916" s="17">
        <f t="array" ref="B18916">SUM(1-'Sparkling Model'!D$2:D$38^A18916)</f>
        <v>36.9997016</v>
      </c>
      <c r="C18916" s="8">
        <f t="array" ref="C18916">PRODUCT(1-'Sparkling Model'!D$2:D$38^A18916)</f>
        <v>0.9997016335</v>
      </c>
    </row>
    <row r="18917">
      <c r="A18917" s="6">
        <v>18915.0</v>
      </c>
      <c r="B18917" s="17">
        <f t="array" ref="B18917">SUM(1-'Sparkling Model'!D$2:D$38^A18917)</f>
        <v>36.99970175</v>
      </c>
      <c r="C18917" s="8">
        <f t="array" ref="C18917">PRODUCT(1-'Sparkling Model'!D$2:D$38^A18917)</f>
        <v>0.9997017801</v>
      </c>
    </row>
    <row r="18918">
      <c r="A18918" s="6">
        <v>18916.0</v>
      </c>
      <c r="B18918" s="17">
        <f t="array" ref="B18918">SUM(1-'Sparkling Model'!D$2:D$38^A18918)</f>
        <v>36.9997019</v>
      </c>
      <c r="C18918" s="8">
        <f t="array" ref="C18918">PRODUCT(1-'Sparkling Model'!D$2:D$38^A18918)</f>
        <v>0.9997019266</v>
      </c>
    </row>
    <row r="18919">
      <c r="A18919" s="6">
        <v>18917.0</v>
      </c>
      <c r="B18919" s="17">
        <f t="array" ref="B18919">SUM(1-'Sparkling Model'!D$2:D$38^A18919)</f>
        <v>36.99970204</v>
      </c>
      <c r="C18919" s="8">
        <f t="array" ref="C18919">PRODUCT(1-'Sparkling Model'!D$2:D$38^A18919)</f>
        <v>0.9997020731</v>
      </c>
    </row>
    <row r="18920">
      <c r="A18920" s="6">
        <v>18918.0</v>
      </c>
      <c r="B18920" s="17">
        <f t="array" ref="B18920">SUM(1-'Sparkling Model'!D$2:D$38^A18920)</f>
        <v>36.99970219</v>
      </c>
      <c r="C18920" s="8">
        <f t="array" ref="C18920">PRODUCT(1-'Sparkling Model'!D$2:D$38^A18920)</f>
        <v>0.9997022194</v>
      </c>
    </row>
    <row r="18921">
      <c r="A18921" s="6">
        <v>18919.0</v>
      </c>
      <c r="B18921" s="17">
        <f t="array" ref="B18921">SUM(1-'Sparkling Model'!D$2:D$38^A18921)</f>
        <v>36.99970234</v>
      </c>
      <c r="C18921" s="8">
        <f t="array" ref="C18921">PRODUCT(1-'Sparkling Model'!D$2:D$38^A18921)</f>
        <v>0.9997023658</v>
      </c>
    </row>
    <row r="18922">
      <c r="A18922" s="6">
        <v>18920.0</v>
      </c>
      <c r="B18922" s="17">
        <f t="array" ref="B18922">SUM(1-'Sparkling Model'!D$2:D$38^A18922)</f>
        <v>36.99970248</v>
      </c>
      <c r="C18922" s="8">
        <f t="array" ref="C18922">PRODUCT(1-'Sparkling Model'!D$2:D$38^A18922)</f>
        <v>0.999702512</v>
      </c>
    </row>
    <row r="18923">
      <c r="A18923" s="6">
        <v>18921.0</v>
      </c>
      <c r="B18923" s="17">
        <f t="array" ref="B18923">SUM(1-'Sparkling Model'!D$2:D$38^A18923)</f>
        <v>36.99970263</v>
      </c>
      <c r="C18923" s="8">
        <f t="array" ref="C18923">PRODUCT(1-'Sparkling Model'!D$2:D$38^A18923)</f>
        <v>0.9997026582</v>
      </c>
    </row>
    <row r="18924">
      <c r="A18924" s="6">
        <v>18922.0</v>
      </c>
      <c r="B18924" s="17">
        <f t="array" ref="B18924">SUM(1-'Sparkling Model'!D$2:D$38^A18924)</f>
        <v>36.99970277</v>
      </c>
      <c r="C18924" s="8">
        <f t="array" ref="C18924">PRODUCT(1-'Sparkling Model'!D$2:D$38^A18924)</f>
        <v>0.9997028043</v>
      </c>
    </row>
    <row r="18925">
      <c r="A18925" s="6">
        <v>18923.0</v>
      </c>
      <c r="B18925" s="17">
        <f t="array" ref="B18925">SUM(1-'Sparkling Model'!D$2:D$38^A18925)</f>
        <v>36.99970292</v>
      </c>
      <c r="C18925" s="8">
        <f t="array" ref="C18925">PRODUCT(1-'Sparkling Model'!D$2:D$38^A18925)</f>
        <v>0.9997029503</v>
      </c>
    </row>
    <row r="18926">
      <c r="A18926" s="6">
        <v>18924.0</v>
      </c>
      <c r="B18926" s="17">
        <f t="array" ref="B18926">SUM(1-'Sparkling Model'!D$2:D$38^A18926)</f>
        <v>36.99970307</v>
      </c>
      <c r="C18926" s="8">
        <f t="array" ref="C18926">PRODUCT(1-'Sparkling Model'!D$2:D$38^A18926)</f>
        <v>0.9997030963</v>
      </c>
    </row>
    <row r="18927">
      <c r="A18927" s="6">
        <v>18925.0</v>
      </c>
      <c r="B18927" s="17">
        <f t="array" ref="B18927">SUM(1-'Sparkling Model'!D$2:D$38^A18927)</f>
        <v>36.99970321</v>
      </c>
      <c r="C18927" s="8">
        <f t="array" ref="C18927">PRODUCT(1-'Sparkling Model'!D$2:D$38^A18927)</f>
        <v>0.9997032422</v>
      </c>
    </row>
    <row r="18928">
      <c r="A18928" s="6">
        <v>18926.0</v>
      </c>
      <c r="B18928" s="17">
        <f t="array" ref="B18928">SUM(1-'Sparkling Model'!D$2:D$38^A18928)</f>
        <v>36.99970336</v>
      </c>
      <c r="C18928" s="8">
        <f t="array" ref="C18928">PRODUCT(1-'Sparkling Model'!D$2:D$38^A18928)</f>
        <v>0.999703388</v>
      </c>
    </row>
    <row r="18929">
      <c r="A18929" s="6">
        <v>18927.0</v>
      </c>
      <c r="B18929" s="17">
        <f t="array" ref="B18929">SUM(1-'Sparkling Model'!D$2:D$38^A18929)</f>
        <v>36.9997035</v>
      </c>
      <c r="C18929" s="8">
        <f t="array" ref="C18929">PRODUCT(1-'Sparkling Model'!D$2:D$38^A18929)</f>
        <v>0.9997035337</v>
      </c>
    </row>
    <row r="18930">
      <c r="A18930" s="6">
        <v>18928.0</v>
      </c>
      <c r="B18930" s="17">
        <f t="array" ref="B18930">SUM(1-'Sparkling Model'!D$2:D$38^A18930)</f>
        <v>36.99970365</v>
      </c>
      <c r="C18930" s="8">
        <f t="array" ref="C18930">PRODUCT(1-'Sparkling Model'!D$2:D$38^A18930)</f>
        <v>0.9997036794</v>
      </c>
    </row>
    <row r="18931">
      <c r="A18931" s="6">
        <v>18929.0</v>
      </c>
      <c r="B18931" s="17">
        <f t="array" ref="B18931">SUM(1-'Sparkling Model'!D$2:D$38^A18931)</f>
        <v>36.9997038</v>
      </c>
      <c r="C18931" s="8">
        <f t="array" ref="C18931">PRODUCT(1-'Sparkling Model'!D$2:D$38^A18931)</f>
        <v>0.999703825</v>
      </c>
    </row>
    <row r="18932">
      <c r="A18932" s="6">
        <v>18930.0</v>
      </c>
      <c r="B18932" s="17">
        <f t="array" ref="B18932">SUM(1-'Sparkling Model'!D$2:D$38^A18932)</f>
        <v>36.99970394</v>
      </c>
      <c r="C18932" s="8">
        <f t="array" ref="C18932">PRODUCT(1-'Sparkling Model'!D$2:D$38^A18932)</f>
        <v>0.9997039705</v>
      </c>
    </row>
    <row r="18933">
      <c r="A18933" s="6">
        <v>18931.0</v>
      </c>
      <c r="B18933" s="17">
        <f t="array" ref="B18933">SUM(1-'Sparkling Model'!D$2:D$38^A18933)</f>
        <v>36.99970409</v>
      </c>
      <c r="C18933" s="8">
        <f t="array" ref="C18933">PRODUCT(1-'Sparkling Model'!D$2:D$38^A18933)</f>
        <v>0.999704116</v>
      </c>
    </row>
    <row r="18934">
      <c r="A18934" s="6">
        <v>18932.0</v>
      </c>
      <c r="B18934" s="17">
        <f t="array" ref="B18934">SUM(1-'Sparkling Model'!D$2:D$38^A18934)</f>
        <v>36.99970423</v>
      </c>
      <c r="C18934" s="8">
        <f t="array" ref="C18934">PRODUCT(1-'Sparkling Model'!D$2:D$38^A18934)</f>
        <v>0.9997042613</v>
      </c>
    </row>
    <row r="18935">
      <c r="A18935" s="6">
        <v>18933.0</v>
      </c>
      <c r="B18935" s="17">
        <f t="array" ref="B18935">SUM(1-'Sparkling Model'!D$2:D$38^A18935)</f>
        <v>36.99970438</v>
      </c>
      <c r="C18935" s="8">
        <f t="array" ref="C18935">PRODUCT(1-'Sparkling Model'!D$2:D$38^A18935)</f>
        <v>0.9997044067</v>
      </c>
    </row>
    <row r="18936">
      <c r="A18936" s="6">
        <v>18934.0</v>
      </c>
      <c r="B18936" s="17">
        <f t="array" ref="B18936">SUM(1-'Sparkling Model'!D$2:D$38^A18936)</f>
        <v>36.99970452</v>
      </c>
      <c r="C18936" s="8">
        <f t="array" ref="C18936">PRODUCT(1-'Sparkling Model'!D$2:D$38^A18936)</f>
        <v>0.9997045519</v>
      </c>
    </row>
    <row r="18937">
      <c r="A18937" s="6">
        <v>18935.0</v>
      </c>
      <c r="B18937" s="17">
        <f t="array" ref="B18937">SUM(1-'Sparkling Model'!D$2:D$38^A18937)</f>
        <v>36.99970467</v>
      </c>
      <c r="C18937" s="8">
        <f t="array" ref="C18937">PRODUCT(1-'Sparkling Model'!D$2:D$38^A18937)</f>
        <v>0.9997046971</v>
      </c>
    </row>
    <row r="18938">
      <c r="A18938" s="6">
        <v>18936.0</v>
      </c>
      <c r="B18938" s="17">
        <f t="array" ref="B18938">SUM(1-'Sparkling Model'!D$2:D$38^A18938)</f>
        <v>36.99970481</v>
      </c>
      <c r="C18938" s="8">
        <f t="array" ref="C18938">PRODUCT(1-'Sparkling Model'!D$2:D$38^A18938)</f>
        <v>0.9997048422</v>
      </c>
    </row>
    <row r="18939">
      <c r="A18939" s="6">
        <v>18937.0</v>
      </c>
      <c r="B18939" s="17">
        <f t="array" ref="B18939">SUM(1-'Sparkling Model'!D$2:D$38^A18939)</f>
        <v>36.99970496</v>
      </c>
      <c r="C18939" s="8">
        <f t="array" ref="C18939">PRODUCT(1-'Sparkling Model'!D$2:D$38^A18939)</f>
        <v>0.9997049872</v>
      </c>
    </row>
    <row r="18940">
      <c r="A18940" s="6">
        <v>18938.0</v>
      </c>
      <c r="B18940" s="17">
        <f t="array" ref="B18940">SUM(1-'Sparkling Model'!D$2:D$38^A18940)</f>
        <v>36.9997051</v>
      </c>
      <c r="C18940" s="8">
        <f t="array" ref="C18940">PRODUCT(1-'Sparkling Model'!D$2:D$38^A18940)</f>
        <v>0.9997051321</v>
      </c>
    </row>
    <row r="18941">
      <c r="A18941" s="6">
        <v>18939.0</v>
      </c>
      <c r="B18941" s="17">
        <f t="array" ref="B18941">SUM(1-'Sparkling Model'!D$2:D$38^A18941)</f>
        <v>36.99970525</v>
      </c>
      <c r="C18941" s="8">
        <f t="array" ref="C18941">PRODUCT(1-'Sparkling Model'!D$2:D$38^A18941)</f>
        <v>0.999705277</v>
      </c>
    </row>
    <row r="18942">
      <c r="A18942" s="6">
        <v>18940.0</v>
      </c>
      <c r="B18942" s="17">
        <f t="array" ref="B18942">SUM(1-'Sparkling Model'!D$2:D$38^A18942)</f>
        <v>36.99970539</v>
      </c>
      <c r="C18942" s="8">
        <f t="array" ref="C18942">PRODUCT(1-'Sparkling Model'!D$2:D$38^A18942)</f>
        <v>0.9997054218</v>
      </c>
    </row>
    <row r="18943">
      <c r="A18943" s="6">
        <v>18941.0</v>
      </c>
      <c r="B18943" s="17">
        <f t="array" ref="B18943">SUM(1-'Sparkling Model'!D$2:D$38^A18943)</f>
        <v>36.99970554</v>
      </c>
      <c r="C18943" s="8">
        <f t="array" ref="C18943">PRODUCT(1-'Sparkling Model'!D$2:D$38^A18943)</f>
        <v>0.9997055666</v>
      </c>
    </row>
    <row r="18944">
      <c r="A18944" s="6">
        <v>18942.0</v>
      </c>
      <c r="B18944" s="17">
        <f t="array" ref="B18944">SUM(1-'Sparkling Model'!D$2:D$38^A18944)</f>
        <v>36.99970568</v>
      </c>
      <c r="C18944" s="8">
        <f t="array" ref="C18944">PRODUCT(1-'Sparkling Model'!D$2:D$38^A18944)</f>
        <v>0.9997057113</v>
      </c>
    </row>
    <row r="18945">
      <c r="A18945" s="6">
        <v>18943.0</v>
      </c>
      <c r="B18945" s="17">
        <f t="array" ref="B18945">SUM(1-'Sparkling Model'!D$2:D$38^A18945)</f>
        <v>36.99970583</v>
      </c>
      <c r="C18945" s="8">
        <f t="array" ref="C18945">PRODUCT(1-'Sparkling Model'!D$2:D$38^A18945)</f>
        <v>0.9997058559</v>
      </c>
    </row>
    <row r="18946">
      <c r="A18946" s="6">
        <v>18944.0</v>
      </c>
      <c r="B18946" s="17">
        <f t="array" ref="B18946">SUM(1-'Sparkling Model'!D$2:D$38^A18946)</f>
        <v>36.99970597</v>
      </c>
      <c r="C18946" s="8">
        <f t="array" ref="C18946">PRODUCT(1-'Sparkling Model'!D$2:D$38^A18946)</f>
        <v>0.9997060004</v>
      </c>
    </row>
    <row r="18947">
      <c r="A18947" s="6">
        <v>18945.0</v>
      </c>
      <c r="B18947" s="17">
        <f t="array" ref="B18947">SUM(1-'Sparkling Model'!D$2:D$38^A18947)</f>
        <v>36.99970612</v>
      </c>
      <c r="C18947" s="8">
        <f t="array" ref="C18947">PRODUCT(1-'Sparkling Model'!D$2:D$38^A18947)</f>
        <v>0.9997061448</v>
      </c>
    </row>
    <row r="18948">
      <c r="A18948" s="6">
        <v>18946.0</v>
      </c>
      <c r="B18948" s="17">
        <f t="array" ref="B18948">SUM(1-'Sparkling Model'!D$2:D$38^A18948)</f>
        <v>36.99970626</v>
      </c>
      <c r="C18948" s="8">
        <f t="array" ref="C18948">PRODUCT(1-'Sparkling Model'!D$2:D$38^A18948)</f>
        <v>0.9997062892</v>
      </c>
    </row>
    <row r="18949">
      <c r="A18949" s="6">
        <v>18947.0</v>
      </c>
      <c r="B18949" s="17">
        <f t="array" ref="B18949">SUM(1-'Sparkling Model'!D$2:D$38^A18949)</f>
        <v>36.9997064</v>
      </c>
      <c r="C18949" s="8">
        <f t="array" ref="C18949">PRODUCT(1-'Sparkling Model'!D$2:D$38^A18949)</f>
        <v>0.9997064335</v>
      </c>
    </row>
    <row r="18950">
      <c r="A18950" s="6">
        <v>18948.0</v>
      </c>
      <c r="B18950" s="17">
        <f t="array" ref="B18950">SUM(1-'Sparkling Model'!D$2:D$38^A18950)</f>
        <v>36.99970655</v>
      </c>
      <c r="C18950" s="8">
        <f t="array" ref="C18950">PRODUCT(1-'Sparkling Model'!D$2:D$38^A18950)</f>
        <v>0.9997065778</v>
      </c>
    </row>
    <row r="18951">
      <c r="A18951" s="6">
        <v>18949.0</v>
      </c>
      <c r="B18951" s="17">
        <f t="array" ref="B18951">SUM(1-'Sparkling Model'!D$2:D$38^A18951)</f>
        <v>36.99970669</v>
      </c>
      <c r="C18951" s="8">
        <f t="array" ref="C18951">PRODUCT(1-'Sparkling Model'!D$2:D$38^A18951)</f>
        <v>0.999706722</v>
      </c>
    </row>
    <row r="18952">
      <c r="A18952" s="6">
        <v>18950.0</v>
      </c>
      <c r="B18952" s="17">
        <f t="array" ref="B18952">SUM(1-'Sparkling Model'!D$2:D$38^A18952)</f>
        <v>36.99970684</v>
      </c>
      <c r="C18952" s="8">
        <f t="array" ref="C18952">PRODUCT(1-'Sparkling Model'!D$2:D$38^A18952)</f>
        <v>0.9997068661</v>
      </c>
    </row>
    <row r="18953">
      <c r="A18953" s="6">
        <v>18951.0</v>
      </c>
      <c r="B18953" s="17">
        <f t="array" ref="B18953">SUM(1-'Sparkling Model'!D$2:D$38^A18953)</f>
        <v>36.99970698</v>
      </c>
      <c r="C18953" s="8">
        <f t="array" ref="C18953">PRODUCT(1-'Sparkling Model'!D$2:D$38^A18953)</f>
        <v>0.9997070101</v>
      </c>
    </row>
    <row r="18954">
      <c r="A18954" s="6">
        <v>18952.0</v>
      </c>
      <c r="B18954" s="17">
        <f t="array" ref="B18954">SUM(1-'Sparkling Model'!D$2:D$38^A18954)</f>
        <v>36.99970712</v>
      </c>
      <c r="C18954" s="8">
        <f t="array" ref="C18954">PRODUCT(1-'Sparkling Model'!D$2:D$38^A18954)</f>
        <v>0.999707154</v>
      </c>
    </row>
    <row r="18955">
      <c r="A18955" s="6">
        <v>18953.0</v>
      </c>
      <c r="B18955" s="17">
        <f t="array" ref="B18955">SUM(1-'Sparkling Model'!D$2:D$38^A18955)</f>
        <v>36.99970727</v>
      </c>
      <c r="C18955" s="8">
        <f t="array" ref="C18955">PRODUCT(1-'Sparkling Model'!D$2:D$38^A18955)</f>
        <v>0.9997072979</v>
      </c>
    </row>
    <row r="18956">
      <c r="A18956" s="6">
        <v>18954.0</v>
      </c>
      <c r="B18956" s="17">
        <f t="array" ref="B18956">SUM(1-'Sparkling Model'!D$2:D$38^A18956)</f>
        <v>36.99970741</v>
      </c>
      <c r="C18956" s="8">
        <f t="array" ref="C18956">PRODUCT(1-'Sparkling Model'!D$2:D$38^A18956)</f>
        <v>0.9997074417</v>
      </c>
    </row>
    <row r="18957">
      <c r="A18957" s="6">
        <v>18955.0</v>
      </c>
      <c r="B18957" s="17">
        <f t="array" ref="B18957">SUM(1-'Sparkling Model'!D$2:D$38^A18957)</f>
        <v>36.99970756</v>
      </c>
      <c r="C18957" s="8">
        <f t="array" ref="C18957">PRODUCT(1-'Sparkling Model'!D$2:D$38^A18957)</f>
        <v>0.9997075855</v>
      </c>
    </row>
    <row r="18958">
      <c r="A18958" s="6">
        <v>18956.0</v>
      </c>
      <c r="B18958" s="17">
        <f t="array" ref="B18958">SUM(1-'Sparkling Model'!D$2:D$38^A18958)</f>
        <v>36.9997077</v>
      </c>
      <c r="C18958" s="8">
        <f t="array" ref="C18958">PRODUCT(1-'Sparkling Model'!D$2:D$38^A18958)</f>
        <v>0.9997077292</v>
      </c>
    </row>
    <row r="18959">
      <c r="A18959" s="6">
        <v>18957.0</v>
      </c>
      <c r="B18959" s="17">
        <f t="array" ref="B18959">SUM(1-'Sparkling Model'!D$2:D$38^A18959)</f>
        <v>36.99970784</v>
      </c>
      <c r="C18959" s="8">
        <f t="array" ref="C18959">PRODUCT(1-'Sparkling Model'!D$2:D$38^A18959)</f>
        <v>0.9997078728</v>
      </c>
    </row>
    <row r="18960">
      <c r="A18960" s="6">
        <v>18958.0</v>
      </c>
      <c r="B18960" s="17">
        <f t="array" ref="B18960">SUM(1-'Sparkling Model'!D$2:D$38^A18960)</f>
        <v>36.99970799</v>
      </c>
      <c r="C18960" s="8">
        <f t="array" ref="C18960">PRODUCT(1-'Sparkling Model'!D$2:D$38^A18960)</f>
        <v>0.9997080163</v>
      </c>
    </row>
    <row r="18961">
      <c r="A18961" s="6">
        <v>18959.0</v>
      </c>
      <c r="B18961" s="17">
        <f t="array" ref="B18961">SUM(1-'Sparkling Model'!D$2:D$38^A18961)</f>
        <v>36.99970813</v>
      </c>
      <c r="C18961" s="8">
        <f t="array" ref="C18961">PRODUCT(1-'Sparkling Model'!D$2:D$38^A18961)</f>
        <v>0.9997081598</v>
      </c>
    </row>
    <row r="18962">
      <c r="A18962" s="6">
        <v>18960.0</v>
      </c>
      <c r="B18962" s="17">
        <f t="array" ref="B18962">SUM(1-'Sparkling Model'!D$2:D$38^A18962)</f>
        <v>36.99970827</v>
      </c>
      <c r="C18962" s="8">
        <f t="array" ref="C18962">PRODUCT(1-'Sparkling Model'!D$2:D$38^A18962)</f>
        <v>0.9997083032</v>
      </c>
    </row>
    <row r="18963">
      <c r="A18963" s="6">
        <v>18961.0</v>
      </c>
      <c r="B18963" s="17">
        <f t="array" ref="B18963">SUM(1-'Sparkling Model'!D$2:D$38^A18963)</f>
        <v>36.99970842</v>
      </c>
      <c r="C18963" s="8">
        <f t="array" ref="C18963">PRODUCT(1-'Sparkling Model'!D$2:D$38^A18963)</f>
        <v>0.9997084465</v>
      </c>
    </row>
    <row r="18964">
      <c r="A18964" s="6">
        <v>18962.0</v>
      </c>
      <c r="B18964" s="17">
        <f t="array" ref="B18964">SUM(1-'Sparkling Model'!D$2:D$38^A18964)</f>
        <v>36.99970856</v>
      </c>
      <c r="C18964" s="8">
        <f t="array" ref="C18964">PRODUCT(1-'Sparkling Model'!D$2:D$38^A18964)</f>
        <v>0.9997085897</v>
      </c>
    </row>
    <row r="18965">
      <c r="A18965" s="6">
        <v>18963.0</v>
      </c>
      <c r="B18965" s="17">
        <f t="array" ref="B18965">SUM(1-'Sparkling Model'!D$2:D$38^A18965)</f>
        <v>36.9997087</v>
      </c>
      <c r="C18965" s="8">
        <f t="array" ref="C18965">PRODUCT(1-'Sparkling Model'!D$2:D$38^A18965)</f>
        <v>0.9997087329</v>
      </c>
    </row>
    <row r="18966">
      <c r="A18966" s="6">
        <v>18964.0</v>
      </c>
      <c r="B18966" s="17">
        <f t="array" ref="B18966">SUM(1-'Sparkling Model'!D$2:D$38^A18966)</f>
        <v>36.99970885</v>
      </c>
      <c r="C18966" s="8">
        <f t="array" ref="C18966">PRODUCT(1-'Sparkling Model'!D$2:D$38^A18966)</f>
        <v>0.999708876</v>
      </c>
    </row>
    <row r="18967">
      <c r="A18967" s="6">
        <v>18965.0</v>
      </c>
      <c r="B18967" s="17">
        <f t="array" ref="B18967">SUM(1-'Sparkling Model'!D$2:D$38^A18967)</f>
        <v>36.99970899</v>
      </c>
      <c r="C18967" s="8">
        <f t="array" ref="C18967">PRODUCT(1-'Sparkling Model'!D$2:D$38^A18967)</f>
        <v>0.9997090191</v>
      </c>
    </row>
    <row r="18968">
      <c r="A18968" s="6">
        <v>18966.0</v>
      </c>
      <c r="B18968" s="17">
        <f t="array" ref="B18968">SUM(1-'Sparkling Model'!D$2:D$38^A18968)</f>
        <v>36.99970913</v>
      </c>
      <c r="C18968" s="8">
        <f t="array" ref="C18968">PRODUCT(1-'Sparkling Model'!D$2:D$38^A18968)</f>
        <v>0.999709162</v>
      </c>
    </row>
    <row r="18969">
      <c r="A18969" s="6">
        <v>18967.0</v>
      </c>
      <c r="B18969" s="17">
        <f t="array" ref="B18969">SUM(1-'Sparkling Model'!D$2:D$38^A18969)</f>
        <v>36.99970928</v>
      </c>
      <c r="C18969" s="8">
        <f t="array" ref="C18969">PRODUCT(1-'Sparkling Model'!D$2:D$38^A18969)</f>
        <v>0.9997093049</v>
      </c>
    </row>
    <row r="18970">
      <c r="A18970" s="6">
        <v>18968.0</v>
      </c>
      <c r="B18970" s="17">
        <f t="array" ref="B18970">SUM(1-'Sparkling Model'!D$2:D$38^A18970)</f>
        <v>36.99970942</v>
      </c>
      <c r="C18970" s="8">
        <f t="array" ref="C18970">PRODUCT(1-'Sparkling Model'!D$2:D$38^A18970)</f>
        <v>0.9997094478</v>
      </c>
    </row>
    <row r="18971">
      <c r="A18971" s="6">
        <v>18969.0</v>
      </c>
      <c r="B18971" s="17">
        <f t="array" ref="B18971">SUM(1-'Sparkling Model'!D$2:D$38^A18971)</f>
        <v>36.99970956</v>
      </c>
      <c r="C18971" s="8">
        <f t="array" ref="C18971">PRODUCT(1-'Sparkling Model'!D$2:D$38^A18971)</f>
        <v>0.9997095905</v>
      </c>
    </row>
    <row r="18972">
      <c r="A18972" s="6">
        <v>18970.0</v>
      </c>
      <c r="B18972" s="17">
        <f t="array" ref="B18972">SUM(1-'Sparkling Model'!D$2:D$38^A18972)</f>
        <v>36.9997097</v>
      </c>
      <c r="C18972" s="8">
        <f t="array" ref="C18972">PRODUCT(1-'Sparkling Model'!D$2:D$38^A18972)</f>
        <v>0.9997097332</v>
      </c>
    </row>
    <row r="18973">
      <c r="A18973" s="6">
        <v>18971.0</v>
      </c>
      <c r="B18973" s="17">
        <f t="array" ref="B18973">SUM(1-'Sparkling Model'!D$2:D$38^A18973)</f>
        <v>36.99970985</v>
      </c>
      <c r="C18973" s="8">
        <f t="array" ref="C18973">PRODUCT(1-'Sparkling Model'!D$2:D$38^A18973)</f>
        <v>0.9997098758</v>
      </c>
    </row>
    <row r="18974">
      <c r="A18974" s="6">
        <v>18972.0</v>
      </c>
      <c r="B18974" s="17">
        <f t="array" ref="B18974">SUM(1-'Sparkling Model'!D$2:D$38^A18974)</f>
        <v>36.99970999</v>
      </c>
      <c r="C18974" s="8">
        <f t="array" ref="C18974">PRODUCT(1-'Sparkling Model'!D$2:D$38^A18974)</f>
        <v>0.9997100184</v>
      </c>
    </row>
    <row r="18975">
      <c r="A18975" s="6">
        <v>18973.0</v>
      </c>
      <c r="B18975" s="17">
        <f t="array" ref="B18975">SUM(1-'Sparkling Model'!D$2:D$38^A18975)</f>
        <v>36.99971013</v>
      </c>
      <c r="C18975" s="8">
        <f t="array" ref="C18975">PRODUCT(1-'Sparkling Model'!D$2:D$38^A18975)</f>
        <v>0.9997101609</v>
      </c>
    </row>
    <row r="18976">
      <c r="A18976" s="6">
        <v>18974.0</v>
      </c>
      <c r="B18976" s="17">
        <f t="array" ref="B18976">SUM(1-'Sparkling Model'!D$2:D$38^A18976)</f>
        <v>36.99971027</v>
      </c>
      <c r="C18976" s="8">
        <f t="array" ref="C18976">PRODUCT(1-'Sparkling Model'!D$2:D$38^A18976)</f>
        <v>0.9997103033</v>
      </c>
    </row>
    <row r="18977">
      <c r="A18977" s="6">
        <v>18975.0</v>
      </c>
      <c r="B18977" s="17">
        <f t="array" ref="B18977">SUM(1-'Sparkling Model'!D$2:D$38^A18977)</f>
        <v>36.99971042</v>
      </c>
      <c r="C18977" s="8">
        <f t="array" ref="C18977">PRODUCT(1-'Sparkling Model'!D$2:D$38^A18977)</f>
        <v>0.9997104456</v>
      </c>
    </row>
    <row r="18978">
      <c r="A18978" s="6">
        <v>18976.0</v>
      </c>
      <c r="B18978" s="17">
        <f t="array" ref="B18978">SUM(1-'Sparkling Model'!D$2:D$38^A18978)</f>
        <v>36.99971056</v>
      </c>
      <c r="C18978" s="8">
        <f t="array" ref="C18978">PRODUCT(1-'Sparkling Model'!D$2:D$38^A18978)</f>
        <v>0.9997105879</v>
      </c>
    </row>
    <row r="18979">
      <c r="A18979" s="6">
        <v>18977.0</v>
      </c>
      <c r="B18979" s="17">
        <f t="array" ref="B18979">SUM(1-'Sparkling Model'!D$2:D$38^A18979)</f>
        <v>36.9997107</v>
      </c>
      <c r="C18979" s="8">
        <f t="array" ref="C18979">PRODUCT(1-'Sparkling Model'!D$2:D$38^A18979)</f>
        <v>0.9997107301</v>
      </c>
    </row>
    <row r="18980">
      <c r="A18980" s="6">
        <v>18978.0</v>
      </c>
      <c r="B18980" s="17">
        <f t="array" ref="B18980">SUM(1-'Sparkling Model'!D$2:D$38^A18980)</f>
        <v>36.99971084</v>
      </c>
      <c r="C18980" s="8">
        <f t="array" ref="C18980">PRODUCT(1-'Sparkling Model'!D$2:D$38^A18980)</f>
        <v>0.9997108722</v>
      </c>
    </row>
    <row r="18981">
      <c r="A18981" s="6">
        <v>18979.0</v>
      </c>
      <c r="B18981" s="17">
        <f t="array" ref="B18981">SUM(1-'Sparkling Model'!D$2:D$38^A18981)</f>
        <v>36.99971099</v>
      </c>
      <c r="C18981" s="8">
        <f t="array" ref="C18981">PRODUCT(1-'Sparkling Model'!D$2:D$38^A18981)</f>
        <v>0.9997110143</v>
      </c>
    </row>
    <row r="18982">
      <c r="A18982" s="6">
        <v>18980.0</v>
      </c>
      <c r="B18982" s="17">
        <f t="array" ref="B18982">SUM(1-'Sparkling Model'!D$2:D$38^A18982)</f>
        <v>36.99971113</v>
      </c>
      <c r="C18982" s="8">
        <f t="array" ref="C18982">PRODUCT(1-'Sparkling Model'!D$2:D$38^A18982)</f>
        <v>0.9997111563</v>
      </c>
    </row>
    <row r="18983">
      <c r="A18983" s="6">
        <v>18981.0</v>
      </c>
      <c r="B18983" s="17">
        <f t="array" ref="B18983">SUM(1-'Sparkling Model'!D$2:D$38^A18983)</f>
        <v>36.99971127</v>
      </c>
      <c r="C18983" s="8">
        <f t="array" ref="C18983">PRODUCT(1-'Sparkling Model'!D$2:D$38^A18983)</f>
        <v>0.9997112982</v>
      </c>
    </row>
    <row r="18984">
      <c r="A18984" s="6">
        <v>18982.0</v>
      </c>
      <c r="B18984" s="17">
        <f t="array" ref="B18984">SUM(1-'Sparkling Model'!D$2:D$38^A18984)</f>
        <v>36.99971141</v>
      </c>
      <c r="C18984" s="8">
        <f t="array" ref="C18984">PRODUCT(1-'Sparkling Model'!D$2:D$38^A18984)</f>
        <v>0.99971144</v>
      </c>
    </row>
    <row r="18985">
      <c r="A18985" s="6">
        <v>18983.0</v>
      </c>
      <c r="B18985" s="17">
        <f t="array" ref="B18985">SUM(1-'Sparkling Model'!D$2:D$38^A18985)</f>
        <v>36.99971155</v>
      </c>
      <c r="C18985" s="8">
        <f t="array" ref="C18985">PRODUCT(1-'Sparkling Model'!D$2:D$38^A18985)</f>
        <v>0.9997115818</v>
      </c>
    </row>
    <row r="18986">
      <c r="A18986" s="6">
        <v>18984.0</v>
      </c>
      <c r="B18986" s="17">
        <f t="array" ref="B18986">SUM(1-'Sparkling Model'!D$2:D$38^A18986)</f>
        <v>36.9997117</v>
      </c>
      <c r="C18986" s="8">
        <f t="array" ref="C18986">PRODUCT(1-'Sparkling Model'!D$2:D$38^A18986)</f>
        <v>0.9997117235</v>
      </c>
    </row>
    <row r="18987">
      <c r="A18987" s="6">
        <v>18985.0</v>
      </c>
      <c r="B18987" s="17">
        <f t="array" ref="B18987">SUM(1-'Sparkling Model'!D$2:D$38^A18987)</f>
        <v>36.99971184</v>
      </c>
      <c r="C18987" s="8">
        <f t="array" ref="C18987">PRODUCT(1-'Sparkling Model'!D$2:D$38^A18987)</f>
        <v>0.9997118652</v>
      </c>
    </row>
    <row r="18988">
      <c r="A18988" s="6">
        <v>18986.0</v>
      </c>
      <c r="B18988" s="17">
        <f t="array" ref="B18988">SUM(1-'Sparkling Model'!D$2:D$38^A18988)</f>
        <v>36.99971198</v>
      </c>
      <c r="C18988" s="8">
        <f t="array" ref="C18988">PRODUCT(1-'Sparkling Model'!D$2:D$38^A18988)</f>
        <v>0.9997120067</v>
      </c>
    </row>
    <row r="18989">
      <c r="A18989" s="6">
        <v>18987.0</v>
      </c>
      <c r="B18989" s="17">
        <f t="array" ref="B18989">SUM(1-'Sparkling Model'!D$2:D$38^A18989)</f>
        <v>36.99971212</v>
      </c>
      <c r="C18989" s="8">
        <f t="array" ref="C18989">PRODUCT(1-'Sparkling Model'!D$2:D$38^A18989)</f>
        <v>0.9997121482</v>
      </c>
    </row>
    <row r="18990">
      <c r="A18990" s="6">
        <v>18988.0</v>
      </c>
      <c r="B18990" s="17">
        <f t="array" ref="B18990">SUM(1-'Sparkling Model'!D$2:D$38^A18990)</f>
        <v>36.99971226</v>
      </c>
      <c r="C18990" s="8">
        <f t="array" ref="C18990">PRODUCT(1-'Sparkling Model'!D$2:D$38^A18990)</f>
        <v>0.9997122897</v>
      </c>
    </row>
    <row r="18991">
      <c r="A18991" s="6">
        <v>18989.0</v>
      </c>
      <c r="B18991" s="17">
        <f t="array" ref="B18991">SUM(1-'Sparkling Model'!D$2:D$38^A18991)</f>
        <v>36.9997124</v>
      </c>
      <c r="C18991" s="8">
        <f t="array" ref="C18991">PRODUCT(1-'Sparkling Model'!D$2:D$38^A18991)</f>
        <v>0.999712431</v>
      </c>
    </row>
    <row r="18992">
      <c r="A18992" s="6">
        <v>18990.0</v>
      </c>
      <c r="B18992" s="17">
        <f t="array" ref="B18992">SUM(1-'Sparkling Model'!D$2:D$38^A18992)</f>
        <v>36.99971254</v>
      </c>
      <c r="C18992" s="8">
        <f t="array" ref="C18992">PRODUCT(1-'Sparkling Model'!D$2:D$38^A18992)</f>
        <v>0.9997125723</v>
      </c>
    </row>
    <row r="18993">
      <c r="A18993" s="6">
        <v>18991.0</v>
      </c>
      <c r="B18993" s="17">
        <f t="array" ref="B18993">SUM(1-'Sparkling Model'!D$2:D$38^A18993)</f>
        <v>36.99971269</v>
      </c>
      <c r="C18993" s="8">
        <f t="array" ref="C18993">PRODUCT(1-'Sparkling Model'!D$2:D$38^A18993)</f>
        <v>0.9997127135</v>
      </c>
    </row>
    <row r="18994">
      <c r="A18994" s="6">
        <v>18992.0</v>
      </c>
      <c r="B18994" s="17">
        <f t="array" ref="B18994">SUM(1-'Sparkling Model'!D$2:D$38^A18994)</f>
        <v>36.99971283</v>
      </c>
      <c r="C18994" s="8">
        <f t="array" ref="C18994">PRODUCT(1-'Sparkling Model'!D$2:D$38^A18994)</f>
        <v>0.9997128547</v>
      </c>
    </row>
    <row r="18995">
      <c r="A18995" s="6">
        <v>18993.0</v>
      </c>
      <c r="B18995" s="17">
        <f t="array" ref="B18995">SUM(1-'Sparkling Model'!D$2:D$38^A18995)</f>
        <v>36.99971297</v>
      </c>
      <c r="C18995" s="8">
        <f t="array" ref="C18995">PRODUCT(1-'Sparkling Model'!D$2:D$38^A18995)</f>
        <v>0.9997129958</v>
      </c>
    </row>
    <row r="18996">
      <c r="A18996" s="6">
        <v>18994.0</v>
      </c>
      <c r="B18996" s="17">
        <f t="array" ref="B18996">SUM(1-'Sparkling Model'!D$2:D$38^A18996)</f>
        <v>36.99971311</v>
      </c>
      <c r="C18996" s="8">
        <f t="array" ref="C18996">PRODUCT(1-'Sparkling Model'!D$2:D$38^A18996)</f>
        <v>0.9997131368</v>
      </c>
    </row>
    <row r="18997">
      <c r="A18997" s="6">
        <v>18995.0</v>
      </c>
      <c r="B18997" s="17">
        <f t="array" ref="B18997">SUM(1-'Sparkling Model'!D$2:D$38^A18997)</f>
        <v>36.99971325</v>
      </c>
      <c r="C18997" s="8">
        <f t="array" ref="C18997">PRODUCT(1-'Sparkling Model'!D$2:D$38^A18997)</f>
        <v>0.9997132777</v>
      </c>
    </row>
    <row r="18998">
      <c r="A18998" s="6">
        <v>18996.0</v>
      </c>
      <c r="B18998" s="17">
        <f t="array" ref="B18998">SUM(1-'Sparkling Model'!D$2:D$38^A18998)</f>
        <v>36.99971339</v>
      </c>
      <c r="C18998" s="8">
        <f t="array" ref="C18998">PRODUCT(1-'Sparkling Model'!D$2:D$38^A18998)</f>
        <v>0.9997134186</v>
      </c>
    </row>
    <row r="18999">
      <c r="A18999" s="6">
        <v>18997.0</v>
      </c>
      <c r="B18999" s="17">
        <f t="array" ref="B18999">SUM(1-'Sparkling Model'!D$2:D$38^A18999)</f>
        <v>36.99971353</v>
      </c>
      <c r="C18999" s="8">
        <f t="array" ref="C18999">PRODUCT(1-'Sparkling Model'!D$2:D$38^A18999)</f>
        <v>0.9997135594</v>
      </c>
    </row>
    <row r="19000">
      <c r="A19000" s="6">
        <v>18998.0</v>
      </c>
      <c r="B19000" s="17">
        <f t="array" ref="B19000">SUM(1-'Sparkling Model'!D$2:D$38^A19000)</f>
        <v>36.99971367</v>
      </c>
      <c r="C19000" s="8">
        <f t="array" ref="C19000">PRODUCT(1-'Sparkling Model'!D$2:D$38^A19000)</f>
        <v>0.9997137001</v>
      </c>
    </row>
    <row r="19001">
      <c r="A19001" s="6">
        <v>18999.0</v>
      </c>
      <c r="B19001" s="17">
        <f t="array" ref="B19001">SUM(1-'Sparkling Model'!D$2:D$38^A19001)</f>
        <v>36.99971381</v>
      </c>
      <c r="C19001" s="8">
        <f t="array" ref="C19001">PRODUCT(1-'Sparkling Model'!D$2:D$38^A19001)</f>
        <v>0.9997138408</v>
      </c>
    </row>
    <row r="19002">
      <c r="A19002" s="6">
        <v>19000.0</v>
      </c>
      <c r="B19002" s="17">
        <f t="array" ref="B19002">SUM(1-'Sparkling Model'!D$2:D$38^A19002)</f>
        <v>36.99971395</v>
      </c>
      <c r="C19002" s="8">
        <f t="array" ref="C19002">PRODUCT(1-'Sparkling Model'!D$2:D$38^A19002)</f>
        <v>0.9997139814</v>
      </c>
    </row>
    <row r="19003">
      <c r="A19003" s="6">
        <v>19001.0</v>
      </c>
      <c r="B19003" s="17">
        <f t="array" ref="B19003">SUM(1-'Sparkling Model'!D$2:D$38^A19003)</f>
        <v>36.99971409</v>
      </c>
      <c r="C19003" s="8">
        <f t="array" ref="C19003">PRODUCT(1-'Sparkling Model'!D$2:D$38^A19003)</f>
        <v>0.9997141219</v>
      </c>
    </row>
    <row r="19004">
      <c r="A19004" s="6">
        <v>19002.0</v>
      </c>
      <c r="B19004" s="17">
        <f t="array" ref="B19004">SUM(1-'Sparkling Model'!D$2:D$38^A19004)</f>
        <v>36.99971423</v>
      </c>
      <c r="C19004" s="8">
        <f t="array" ref="C19004">PRODUCT(1-'Sparkling Model'!D$2:D$38^A19004)</f>
        <v>0.9997142624</v>
      </c>
    </row>
    <row r="19005">
      <c r="A19005" s="6">
        <v>19003.0</v>
      </c>
      <c r="B19005" s="17">
        <f t="array" ref="B19005">SUM(1-'Sparkling Model'!D$2:D$38^A19005)</f>
        <v>36.99971438</v>
      </c>
      <c r="C19005" s="8">
        <f t="array" ref="C19005">PRODUCT(1-'Sparkling Model'!D$2:D$38^A19005)</f>
        <v>0.9997144028</v>
      </c>
    </row>
    <row r="19006">
      <c r="A19006" s="6">
        <v>19004.0</v>
      </c>
      <c r="B19006" s="17">
        <f t="array" ref="B19006">SUM(1-'Sparkling Model'!D$2:D$38^A19006)</f>
        <v>36.99971452</v>
      </c>
      <c r="C19006" s="8">
        <f t="array" ref="C19006">PRODUCT(1-'Sparkling Model'!D$2:D$38^A19006)</f>
        <v>0.9997145431</v>
      </c>
    </row>
    <row r="19007">
      <c r="A19007" s="6">
        <v>19005.0</v>
      </c>
      <c r="B19007" s="17">
        <f t="array" ref="B19007">SUM(1-'Sparkling Model'!D$2:D$38^A19007)</f>
        <v>36.99971466</v>
      </c>
      <c r="C19007" s="8">
        <f t="array" ref="C19007">PRODUCT(1-'Sparkling Model'!D$2:D$38^A19007)</f>
        <v>0.9997146834</v>
      </c>
    </row>
    <row r="19008">
      <c r="A19008" s="6">
        <v>19006.0</v>
      </c>
      <c r="B19008" s="17">
        <f t="array" ref="B19008">SUM(1-'Sparkling Model'!D$2:D$38^A19008)</f>
        <v>36.9997148</v>
      </c>
      <c r="C19008" s="8">
        <f t="array" ref="C19008">PRODUCT(1-'Sparkling Model'!D$2:D$38^A19008)</f>
        <v>0.9997148235</v>
      </c>
    </row>
    <row r="19009">
      <c r="A19009" s="6">
        <v>19007.0</v>
      </c>
      <c r="B19009" s="17">
        <f t="array" ref="B19009">SUM(1-'Sparkling Model'!D$2:D$38^A19009)</f>
        <v>36.99971494</v>
      </c>
      <c r="C19009" s="8">
        <f t="array" ref="C19009">PRODUCT(1-'Sparkling Model'!D$2:D$38^A19009)</f>
        <v>0.9997149636</v>
      </c>
    </row>
    <row r="19010">
      <c r="A19010" s="6">
        <v>19008.0</v>
      </c>
      <c r="B19010" s="17">
        <f t="array" ref="B19010">SUM(1-'Sparkling Model'!D$2:D$38^A19010)</f>
        <v>36.99971508</v>
      </c>
      <c r="C19010" s="8">
        <f t="array" ref="C19010">PRODUCT(1-'Sparkling Model'!D$2:D$38^A19010)</f>
        <v>0.9997151037</v>
      </c>
    </row>
    <row r="19011">
      <c r="A19011" s="6">
        <v>19009.0</v>
      </c>
      <c r="B19011" s="17">
        <f t="array" ref="B19011">SUM(1-'Sparkling Model'!D$2:D$38^A19011)</f>
        <v>36.99971522</v>
      </c>
      <c r="C19011" s="8">
        <f t="array" ref="C19011">PRODUCT(1-'Sparkling Model'!D$2:D$38^A19011)</f>
        <v>0.9997152437</v>
      </c>
    </row>
    <row r="19012">
      <c r="A19012" s="6">
        <v>19010.0</v>
      </c>
      <c r="B19012" s="17">
        <f t="array" ref="B19012">SUM(1-'Sparkling Model'!D$2:D$38^A19012)</f>
        <v>36.99971536</v>
      </c>
      <c r="C19012" s="8">
        <f t="array" ref="C19012">PRODUCT(1-'Sparkling Model'!D$2:D$38^A19012)</f>
        <v>0.9997153836</v>
      </c>
    </row>
    <row r="19013">
      <c r="A19013" s="6">
        <v>19011.0</v>
      </c>
      <c r="B19013" s="17">
        <f t="array" ref="B19013">SUM(1-'Sparkling Model'!D$2:D$38^A19013)</f>
        <v>36.9997155</v>
      </c>
      <c r="C19013" s="8">
        <f t="array" ref="C19013">PRODUCT(1-'Sparkling Model'!D$2:D$38^A19013)</f>
        <v>0.9997155234</v>
      </c>
    </row>
    <row r="19014">
      <c r="A19014" s="6">
        <v>19012.0</v>
      </c>
      <c r="B19014" s="17">
        <f t="array" ref="B19014">SUM(1-'Sparkling Model'!D$2:D$38^A19014)</f>
        <v>36.99971564</v>
      </c>
      <c r="C19014" s="8">
        <f t="array" ref="C19014">PRODUCT(1-'Sparkling Model'!D$2:D$38^A19014)</f>
        <v>0.9997156632</v>
      </c>
    </row>
    <row r="19015">
      <c r="A19015" s="6">
        <v>19013.0</v>
      </c>
      <c r="B19015" s="17">
        <f t="array" ref="B19015">SUM(1-'Sparkling Model'!D$2:D$38^A19015)</f>
        <v>36.99971578</v>
      </c>
      <c r="C19015" s="8">
        <f t="array" ref="C19015">PRODUCT(1-'Sparkling Model'!D$2:D$38^A19015)</f>
        <v>0.9997158029</v>
      </c>
    </row>
    <row r="19016">
      <c r="A19016" s="6">
        <v>19014.0</v>
      </c>
      <c r="B19016" s="17">
        <f t="array" ref="B19016">SUM(1-'Sparkling Model'!D$2:D$38^A19016)</f>
        <v>36.99971592</v>
      </c>
      <c r="C19016" s="8">
        <f t="array" ref="C19016">PRODUCT(1-'Sparkling Model'!D$2:D$38^A19016)</f>
        <v>0.9997159425</v>
      </c>
    </row>
    <row r="19017">
      <c r="A19017" s="6">
        <v>19015.0</v>
      </c>
      <c r="B19017" s="17">
        <f t="array" ref="B19017">SUM(1-'Sparkling Model'!D$2:D$38^A19017)</f>
        <v>36.99971605</v>
      </c>
      <c r="C19017" s="8">
        <f t="array" ref="C19017">PRODUCT(1-'Sparkling Model'!D$2:D$38^A19017)</f>
        <v>0.9997160821</v>
      </c>
    </row>
    <row r="19018">
      <c r="A19018" s="6">
        <v>19016.0</v>
      </c>
      <c r="B19018" s="17">
        <f t="array" ref="B19018">SUM(1-'Sparkling Model'!D$2:D$38^A19018)</f>
        <v>36.99971619</v>
      </c>
      <c r="C19018" s="8">
        <f t="array" ref="C19018">PRODUCT(1-'Sparkling Model'!D$2:D$38^A19018)</f>
        <v>0.9997162216</v>
      </c>
    </row>
    <row r="19019">
      <c r="A19019" s="6">
        <v>19017.0</v>
      </c>
      <c r="B19019" s="17">
        <f t="array" ref="B19019">SUM(1-'Sparkling Model'!D$2:D$38^A19019)</f>
        <v>36.99971633</v>
      </c>
      <c r="C19019" s="8">
        <f t="array" ref="C19019">PRODUCT(1-'Sparkling Model'!D$2:D$38^A19019)</f>
        <v>0.999716361</v>
      </c>
    </row>
    <row r="19020">
      <c r="A19020" s="6">
        <v>19018.0</v>
      </c>
      <c r="B19020" s="17">
        <f t="array" ref="B19020">SUM(1-'Sparkling Model'!D$2:D$38^A19020)</f>
        <v>36.99971647</v>
      </c>
      <c r="C19020" s="8">
        <f t="array" ref="C19020">PRODUCT(1-'Sparkling Model'!D$2:D$38^A19020)</f>
        <v>0.9997165004</v>
      </c>
    </row>
    <row r="19021">
      <c r="A19021" s="6">
        <v>19019.0</v>
      </c>
      <c r="B19021" s="17">
        <f t="array" ref="B19021">SUM(1-'Sparkling Model'!D$2:D$38^A19021)</f>
        <v>36.99971661</v>
      </c>
      <c r="C19021" s="8">
        <f t="array" ref="C19021">PRODUCT(1-'Sparkling Model'!D$2:D$38^A19021)</f>
        <v>0.9997166396</v>
      </c>
    </row>
    <row r="19022">
      <c r="A19022" s="6">
        <v>19020.0</v>
      </c>
      <c r="B19022" s="17">
        <f t="array" ref="B19022">SUM(1-'Sparkling Model'!D$2:D$38^A19022)</f>
        <v>36.99971675</v>
      </c>
      <c r="C19022" s="8">
        <f t="array" ref="C19022">PRODUCT(1-'Sparkling Model'!D$2:D$38^A19022)</f>
        <v>0.9997167789</v>
      </c>
    </row>
    <row r="19023">
      <c r="A19023" s="6">
        <v>19021.0</v>
      </c>
      <c r="B19023" s="17">
        <f t="array" ref="B19023">SUM(1-'Sparkling Model'!D$2:D$38^A19023)</f>
        <v>36.99971689</v>
      </c>
      <c r="C19023" s="8">
        <f t="array" ref="C19023">PRODUCT(1-'Sparkling Model'!D$2:D$38^A19023)</f>
        <v>0.999716918</v>
      </c>
    </row>
    <row r="19024">
      <c r="A19024" s="6">
        <v>19022.0</v>
      </c>
      <c r="B19024" s="17">
        <f t="array" ref="B19024">SUM(1-'Sparkling Model'!D$2:D$38^A19024)</f>
        <v>36.99971703</v>
      </c>
      <c r="C19024" s="8">
        <f t="array" ref="C19024">PRODUCT(1-'Sparkling Model'!D$2:D$38^A19024)</f>
        <v>0.9997170571</v>
      </c>
    </row>
    <row r="19025">
      <c r="A19025" s="6">
        <v>19023.0</v>
      </c>
      <c r="B19025" s="17">
        <f t="array" ref="B19025">SUM(1-'Sparkling Model'!D$2:D$38^A19025)</f>
        <v>36.99971717</v>
      </c>
      <c r="C19025" s="8">
        <f t="array" ref="C19025">PRODUCT(1-'Sparkling Model'!D$2:D$38^A19025)</f>
        <v>0.9997171961</v>
      </c>
    </row>
    <row r="19026">
      <c r="A19026" s="6">
        <v>19024.0</v>
      </c>
      <c r="B19026" s="17">
        <f t="array" ref="B19026">SUM(1-'Sparkling Model'!D$2:D$38^A19026)</f>
        <v>36.99971731</v>
      </c>
      <c r="C19026" s="8">
        <f t="array" ref="C19026">PRODUCT(1-'Sparkling Model'!D$2:D$38^A19026)</f>
        <v>0.9997173351</v>
      </c>
    </row>
    <row r="19027">
      <c r="A19027" s="6">
        <v>19025.0</v>
      </c>
      <c r="B19027" s="17">
        <f t="array" ref="B19027">SUM(1-'Sparkling Model'!D$2:D$38^A19027)</f>
        <v>36.99971745</v>
      </c>
      <c r="C19027" s="8">
        <f t="array" ref="C19027">PRODUCT(1-'Sparkling Model'!D$2:D$38^A19027)</f>
        <v>0.9997174739</v>
      </c>
    </row>
    <row r="19028">
      <c r="A19028" s="6">
        <v>19026.0</v>
      </c>
      <c r="B19028" s="17">
        <f t="array" ref="B19028">SUM(1-'Sparkling Model'!D$2:D$38^A19028)</f>
        <v>36.99971759</v>
      </c>
      <c r="C19028" s="8">
        <f t="array" ref="C19028">PRODUCT(1-'Sparkling Model'!D$2:D$38^A19028)</f>
        <v>0.9997176127</v>
      </c>
    </row>
    <row r="19029">
      <c r="A19029" s="6">
        <v>19027.0</v>
      </c>
      <c r="B19029" s="17">
        <f t="array" ref="B19029">SUM(1-'Sparkling Model'!D$2:D$38^A19029)</f>
        <v>36.99971772</v>
      </c>
      <c r="C19029" s="8">
        <f t="array" ref="C19029">PRODUCT(1-'Sparkling Model'!D$2:D$38^A19029)</f>
        <v>0.9997177515</v>
      </c>
    </row>
    <row r="19030">
      <c r="A19030" s="6">
        <v>19028.0</v>
      </c>
      <c r="B19030" s="17">
        <f t="array" ref="B19030">SUM(1-'Sparkling Model'!D$2:D$38^A19030)</f>
        <v>36.99971786</v>
      </c>
      <c r="C19030" s="8">
        <f t="array" ref="C19030">PRODUCT(1-'Sparkling Model'!D$2:D$38^A19030)</f>
        <v>0.9997178902</v>
      </c>
    </row>
    <row r="19031">
      <c r="A19031" s="6">
        <v>19029.0</v>
      </c>
      <c r="B19031" s="17">
        <f t="array" ref="B19031">SUM(1-'Sparkling Model'!D$2:D$38^A19031)</f>
        <v>36.999718</v>
      </c>
      <c r="C19031" s="8">
        <f t="array" ref="C19031">PRODUCT(1-'Sparkling Model'!D$2:D$38^A19031)</f>
        <v>0.9997180288</v>
      </c>
    </row>
    <row r="19032">
      <c r="A19032" s="6">
        <v>19030.0</v>
      </c>
      <c r="B19032" s="17">
        <f t="array" ref="B19032">SUM(1-'Sparkling Model'!D$2:D$38^A19032)</f>
        <v>36.99971814</v>
      </c>
      <c r="C19032" s="8">
        <f t="array" ref="C19032">PRODUCT(1-'Sparkling Model'!D$2:D$38^A19032)</f>
        <v>0.9997181673</v>
      </c>
    </row>
    <row r="19033">
      <c r="A19033" s="6">
        <v>19031.0</v>
      </c>
      <c r="B19033" s="17">
        <f t="array" ref="B19033">SUM(1-'Sparkling Model'!D$2:D$38^A19033)</f>
        <v>36.99971828</v>
      </c>
      <c r="C19033" s="8">
        <f t="array" ref="C19033">PRODUCT(1-'Sparkling Model'!D$2:D$38^A19033)</f>
        <v>0.9997183058</v>
      </c>
    </row>
    <row r="19034">
      <c r="A19034" s="6">
        <v>19032.0</v>
      </c>
      <c r="B19034" s="17">
        <f t="array" ref="B19034">SUM(1-'Sparkling Model'!D$2:D$38^A19034)</f>
        <v>36.99971842</v>
      </c>
      <c r="C19034" s="8">
        <f t="array" ref="C19034">PRODUCT(1-'Sparkling Model'!D$2:D$38^A19034)</f>
        <v>0.9997184442</v>
      </c>
    </row>
    <row r="19035">
      <c r="A19035" s="6">
        <v>19033.0</v>
      </c>
      <c r="B19035" s="17">
        <f t="array" ref="B19035">SUM(1-'Sparkling Model'!D$2:D$38^A19035)</f>
        <v>36.99971856</v>
      </c>
      <c r="C19035" s="8">
        <f t="array" ref="C19035">PRODUCT(1-'Sparkling Model'!D$2:D$38^A19035)</f>
        <v>0.9997185825</v>
      </c>
    </row>
    <row r="19036">
      <c r="A19036" s="6">
        <v>19034.0</v>
      </c>
      <c r="B19036" s="17">
        <f t="array" ref="B19036">SUM(1-'Sparkling Model'!D$2:D$38^A19036)</f>
        <v>36.99971869</v>
      </c>
      <c r="C19036" s="8">
        <f t="array" ref="C19036">PRODUCT(1-'Sparkling Model'!D$2:D$38^A19036)</f>
        <v>0.9997187208</v>
      </c>
    </row>
    <row r="19037">
      <c r="A19037" s="6">
        <v>19035.0</v>
      </c>
      <c r="B19037" s="17">
        <f t="array" ref="B19037">SUM(1-'Sparkling Model'!D$2:D$38^A19037)</f>
        <v>36.99971883</v>
      </c>
      <c r="C19037" s="8">
        <f t="array" ref="C19037">PRODUCT(1-'Sparkling Model'!D$2:D$38^A19037)</f>
        <v>0.999718859</v>
      </c>
    </row>
    <row r="19038">
      <c r="A19038" s="6">
        <v>19036.0</v>
      </c>
      <c r="B19038" s="17">
        <f t="array" ref="B19038">SUM(1-'Sparkling Model'!D$2:D$38^A19038)</f>
        <v>36.99971897</v>
      </c>
      <c r="C19038" s="8">
        <f t="array" ref="C19038">PRODUCT(1-'Sparkling Model'!D$2:D$38^A19038)</f>
        <v>0.9997189971</v>
      </c>
    </row>
    <row r="19039">
      <c r="A19039" s="6">
        <v>19037.0</v>
      </c>
      <c r="B19039" s="17">
        <f t="array" ref="B19039">SUM(1-'Sparkling Model'!D$2:D$38^A19039)</f>
        <v>36.99971911</v>
      </c>
      <c r="C19039" s="8">
        <f t="array" ref="C19039">PRODUCT(1-'Sparkling Model'!D$2:D$38^A19039)</f>
        <v>0.9997191351</v>
      </c>
    </row>
    <row r="19040">
      <c r="A19040" s="6">
        <v>19038.0</v>
      </c>
      <c r="B19040" s="17">
        <f t="array" ref="B19040">SUM(1-'Sparkling Model'!D$2:D$38^A19040)</f>
        <v>36.99971925</v>
      </c>
      <c r="C19040" s="8">
        <f t="array" ref="C19040">PRODUCT(1-'Sparkling Model'!D$2:D$38^A19040)</f>
        <v>0.9997192731</v>
      </c>
    </row>
    <row r="19041">
      <c r="A19041" s="6">
        <v>19039.0</v>
      </c>
      <c r="B19041" s="17">
        <f t="array" ref="B19041">SUM(1-'Sparkling Model'!D$2:D$38^A19041)</f>
        <v>36.99971938</v>
      </c>
      <c r="C19041" s="8">
        <f t="array" ref="C19041">PRODUCT(1-'Sparkling Model'!D$2:D$38^A19041)</f>
        <v>0.9997194111</v>
      </c>
    </row>
    <row r="19042">
      <c r="A19042" s="6">
        <v>19040.0</v>
      </c>
      <c r="B19042" s="17">
        <f t="array" ref="B19042">SUM(1-'Sparkling Model'!D$2:D$38^A19042)</f>
        <v>36.99971952</v>
      </c>
      <c r="C19042" s="8">
        <f t="array" ref="C19042">PRODUCT(1-'Sparkling Model'!D$2:D$38^A19042)</f>
        <v>0.9997195489</v>
      </c>
    </row>
    <row r="19043">
      <c r="A19043" s="6">
        <v>19041.0</v>
      </c>
      <c r="B19043" s="17">
        <f t="array" ref="B19043">SUM(1-'Sparkling Model'!D$2:D$38^A19043)</f>
        <v>36.99971966</v>
      </c>
      <c r="C19043" s="8">
        <f t="array" ref="C19043">PRODUCT(1-'Sparkling Model'!D$2:D$38^A19043)</f>
        <v>0.9997196867</v>
      </c>
    </row>
    <row r="19044">
      <c r="A19044" s="6">
        <v>19042.0</v>
      </c>
      <c r="B19044" s="17">
        <f t="array" ref="B19044">SUM(1-'Sparkling Model'!D$2:D$38^A19044)</f>
        <v>36.9997198</v>
      </c>
      <c r="C19044" s="8">
        <f t="array" ref="C19044">PRODUCT(1-'Sparkling Model'!D$2:D$38^A19044)</f>
        <v>0.9997198244</v>
      </c>
    </row>
    <row r="19045">
      <c r="A19045" s="6">
        <v>19043.0</v>
      </c>
      <c r="B19045" s="17">
        <f t="array" ref="B19045">SUM(1-'Sparkling Model'!D$2:D$38^A19045)</f>
        <v>36.99971994</v>
      </c>
      <c r="C19045" s="8">
        <f t="array" ref="C19045">PRODUCT(1-'Sparkling Model'!D$2:D$38^A19045)</f>
        <v>0.9997199621</v>
      </c>
    </row>
    <row r="19046">
      <c r="A19046" s="6">
        <v>19044.0</v>
      </c>
      <c r="B19046" s="17">
        <f t="array" ref="B19046">SUM(1-'Sparkling Model'!D$2:D$38^A19046)</f>
        <v>36.99972007</v>
      </c>
      <c r="C19046" s="8">
        <f t="array" ref="C19046">PRODUCT(1-'Sparkling Model'!D$2:D$38^A19046)</f>
        <v>0.9997200997</v>
      </c>
    </row>
    <row r="19047">
      <c r="A19047" s="6">
        <v>19045.0</v>
      </c>
      <c r="B19047" s="17">
        <f t="array" ref="B19047">SUM(1-'Sparkling Model'!D$2:D$38^A19047)</f>
        <v>36.99972021</v>
      </c>
      <c r="C19047" s="8">
        <f t="array" ref="C19047">PRODUCT(1-'Sparkling Model'!D$2:D$38^A19047)</f>
        <v>0.9997202372</v>
      </c>
    </row>
    <row r="19048">
      <c r="A19048" s="6">
        <v>19046.0</v>
      </c>
      <c r="B19048" s="17">
        <f t="array" ref="B19048">SUM(1-'Sparkling Model'!D$2:D$38^A19048)</f>
        <v>36.99972035</v>
      </c>
      <c r="C19048" s="8">
        <f t="array" ref="C19048">PRODUCT(1-'Sparkling Model'!D$2:D$38^A19048)</f>
        <v>0.9997203746</v>
      </c>
    </row>
    <row r="19049">
      <c r="A19049" s="6">
        <v>19047.0</v>
      </c>
      <c r="B19049" s="17">
        <f t="array" ref="B19049">SUM(1-'Sparkling Model'!D$2:D$38^A19049)</f>
        <v>36.99972049</v>
      </c>
      <c r="C19049" s="8">
        <f t="array" ref="C19049">PRODUCT(1-'Sparkling Model'!D$2:D$38^A19049)</f>
        <v>0.999720512</v>
      </c>
    </row>
    <row r="19050">
      <c r="A19050" s="6">
        <v>19048.0</v>
      </c>
      <c r="B19050" s="17">
        <f t="array" ref="B19050">SUM(1-'Sparkling Model'!D$2:D$38^A19050)</f>
        <v>36.99972062</v>
      </c>
      <c r="C19050" s="8">
        <f t="array" ref="C19050">PRODUCT(1-'Sparkling Model'!D$2:D$38^A19050)</f>
        <v>0.9997206493</v>
      </c>
    </row>
    <row r="19051">
      <c r="A19051" s="6">
        <v>19049.0</v>
      </c>
      <c r="B19051" s="17">
        <f t="array" ref="B19051">SUM(1-'Sparkling Model'!D$2:D$38^A19051)</f>
        <v>36.99972076</v>
      </c>
      <c r="C19051" s="8">
        <f t="array" ref="C19051">PRODUCT(1-'Sparkling Model'!D$2:D$38^A19051)</f>
        <v>0.9997207866</v>
      </c>
    </row>
    <row r="19052">
      <c r="A19052" s="6">
        <v>19050.0</v>
      </c>
      <c r="B19052" s="17">
        <f t="array" ref="B19052">SUM(1-'Sparkling Model'!D$2:D$38^A19052)</f>
        <v>36.9997209</v>
      </c>
      <c r="C19052" s="8">
        <f t="array" ref="C19052">PRODUCT(1-'Sparkling Model'!D$2:D$38^A19052)</f>
        <v>0.9997209237</v>
      </c>
    </row>
    <row r="19053">
      <c r="A19053" s="6">
        <v>19051.0</v>
      </c>
      <c r="B19053" s="17">
        <f t="array" ref="B19053">SUM(1-'Sparkling Model'!D$2:D$38^A19053)</f>
        <v>36.99972103</v>
      </c>
      <c r="C19053" s="8">
        <f t="array" ref="C19053">PRODUCT(1-'Sparkling Model'!D$2:D$38^A19053)</f>
        <v>0.9997210609</v>
      </c>
    </row>
    <row r="19054">
      <c r="A19054" s="6">
        <v>19052.0</v>
      </c>
      <c r="B19054" s="17">
        <f t="array" ref="B19054">SUM(1-'Sparkling Model'!D$2:D$38^A19054)</f>
        <v>36.99972117</v>
      </c>
      <c r="C19054" s="8">
        <f t="array" ref="C19054">PRODUCT(1-'Sparkling Model'!D$2:D$38^A19054)</f>
        <v>0.9997211979</v>
      </c>
    </row>
    <row r="19055">
      <c r="A19055" s="6">
        <v>19053.0</v>
      </c>
      <c r="B19055" s="17">
        <f t="array" ref="B19055">SUM(1-'Sparkling Model'!D$2:D$38^A19055)</f>
        <v>36.99972131</v>
      </c>
      <c r="C19055" s="8">
        <f t="array" ref="C19055">PRODUCT(1-'Sparkling Model'!D$2:D$38^A19055)</f>
        <v>0.9997213349</v>
      </c>
    </row>
    <row r="19056">
      <c r="A19056" s="6">
        <v>19054.0</v>
      </c>
      <c r="B19056" s="17">
        <f t="array" ref="B19056">SUM(1-'Sparkling Model'!D$2:D$38^A19056)</f>
        <v>36.99972145</v>
      </c>
      <c r="C19056" s="8">
        <f t="array" ref="C19056">PRODUCT(1-'Sparkling Model'!D$2:D$38^A19056)</f>
        <v>0.9997214718</v>
      </c>
    </row>
    <row r="19057">
      <c r="A19057" s="6">
        <v>19055.0</v>
      </c>
      <c r="B19057" s="17">
        <f t="array" ref="B19057">SUM(1-'Sparkling Model'!D$2:D$38^A19057)</f>
        <v>36.99972158</v>
      </c>
      <c r="C19057" s="8">
        <f t="array" ref="C19057">PRODUCT(1-'Sparkling Model'!D$2:D$38^A19057)</f>
        <v>0.9997216086</v>
      </c>
    </row>
    <row r="19058">
      <c r="A19058" s="6">
        <v>19056.0</v>
      </c>
      <c r="B19058" s="17">
        <f t="array" ref="B19058">SUM(1-'Sparkling Model'!D$2:D$38^A19058)</f>
        <v>36.99972172</v>
      </c>
      <c r="C19058" s="8">
        <f t="array" ref="C19058">PRODUCT(1-'Sparkling Model'!D$2:D$38^A19058)</f>
        <v>0.9997217454</v>
      </c>
    </row>
    <row r="19059">
      <c r="A19059" s="6">
        <v>19057.0</v>
      </c>
      <c r="B19059" s="17">
        <f t="array" ref="B19059">SUM(1-'Sparkling Model'!D$2:D$38^A19059)</f>
        <v>36.99972186</v>
      </c>
      <c r="C19059" s="8">
        <f t="array" ref="C19059">PRODUCT(1-'Sparkling Model'!D$2:D$38^A19059)</f>
        <v>0.9997218821</v>
      </c>
    </row>
    <row r="19060">
      <c r="A19060" s="6">
        <v>19058.0</v>
      </c>
      <c r="B19060" s="17">
        <f t="array" ref="B19060">SUM(1-'Sparkling Model'!D$2:D$38^A19060)</f>
        <v>36.99972199</v>
      </c>
      <c r="C19060" s="8">
        <f t="array" ref="C19060">PRODUCT(1-'Sparkling Model'!D$2:D$38^A19060)</f>
        <v>0.9997220187</v>
      </c>
    </row>
    <row r="19061">
      <c r="A19061" s="6">
        <v>19059.0</v>
      </c>
      <c r="B19061" s="17">
        <f t="array" ref="B19061">SUM(1-'Sparkling Model'!D$2:D$38^A19061)</f>
        <v>36.99972213</v>
      </c>
      <c r="C19061" s="8">
        <f t="array" ref="C19061">PRODUCT(1-'Sparkling Model'!D$2:D$38^A19061)</f>
        <v>0.9997221553</v>
      </c>
    </row>
    <row r="19062">
      <c r="A19062" s="6">
        <v>19060.0</v>
      </c>
      <c r="B19062" s="17">
        <f t="array" ref="B19062">SUM(1-'Sparkling Model'!D$2:D$38^A19062)</f>
        <v>36.99972227</v>
      </c>
      <c r="C19062" s="8">
        <f t="array" ref="C19062">PRODUCT(1-'Sparkling Model'!D$2:D$38^A19062)</f>
        <v>0.9997222918</v>
      </c>
    </row>
    <row r="19063">
      <c r="A19063" s="6">
        <v>19061.0</v>
      </c>
      <c r="B19063" s="17">
        <f t="array" ref="B19063">SUM(1-'Sparkling Model'!D$2:D$38^A19063)</f>
        <v>36.9997224</v>
      </c>
      <c r="C19063" s="8">
        <f t="array" ref="C19063">PRODUCT(1-'Sparkling Model'!D$2:D$38^A19063)</f>
        <v>0.9997224283</v>
      </c>
    </row>
    <row r="19064">
      <c r="A19064" s="6">
        <v>19062.0</v>
      </c>
      <c r="B19064" s="17">
        <f t="array" ref="B19064">SUM(1-'Sparkling Model'!D$2:D$38^A19064)</f>
        <v>36.99972254</v>
      </c>
      <c r="C19064" s="8">
        <f t="array" ref="C19064">PRODUCT(1-'Sparkling Model'!D$2:D$38^A19064)</f>
        <v>0.9997225646</v>
      </c>
    </row>
    <row r="19065">
      <c r="A19065" s="6">
        <v>19063.0</v>
      </c>
      <c r="B19065" s="17">
        <f t="array" ref="B19065">SUM(1-'Sparkling Model'!D$2:D$38^A19065)</f>
        <v>36.99972267</v>
      </c>
      <c r="C19065" s="8">
        <f t="array" ref="C19065">PRODUCT(1-'Sparkling Model'!D$2:D$38^A19065)</f>
        <v>0.9997227009</v>
      </c>
    </row>
    <row r="19066">
      <c r="A19066" s="6">
        <v>19064.0</v>
      </c>
      <c r="B19066" s="17">
        <f t="array" ref="B19066">SUM(1-'Sparkling Model'!D$2:D$38^A19066)</f>
        <v>36.99972281</v>
      </c>
      <c r="C19066" s="8">
        <f t="array" ref="C19066">PRODUCT(1-'Sparkling Model'!D$2:D$38^A19066)</f>
        <v>0.9997228372</v>
      </c>
    </row>
    <row r="19067">
      <c r="A19067" s="6">
        <v>19065.0</v>
      </c>
      <c r="B19067" s="17">
        <f t="array" ref="B19067">SUM(1-'Sparkling Model'!D$2:D$38^A19067)</f>
        <v>36.99972295</v>
      </c>
      <c r="C19067" s="8">
        <f t="array" ref="C19067">PRODUCT(1-'Sparkling Model'!D$2:D$38^A19067)</f>
        <v>0.9997229733</v>
      </c>
    </row>
    <row r="19068">
      <c r="A19068" s="6">
        <v>19066.0</v>
      </c>
      <c r="B19068" s="17">
        <f t="array" ref="B19068">SUM(1-'Sparkling Model'!D$2:D$38^A19068)</f>
        <v>36.99972308</v>
      </c>
      <c r="C19068" s="8">
        <f t="array" ref="C19068">PRODUCT(1-'Sparkling Model'!D$2:D$38^A19068)</f>
        <v>0.9997231094</v>
      </c>
    </row>
    <row r="19069">
      <c r="A19069" s="6">
        <v>19067.0</v>
      </c>
      <c r="B19069" s="17">
        <f t="array" ref="B19069">SUM(1-'Sparkling Model'!D$2:D$38^A19069)</f>
        <v>36.99972322</v>
      </c>
      <c r="C19069" s="8">
        <f t="array" ref="C19069">PRODUCT(1-'Sparkling Model'!D$2:D$38^A19069)</f>
        <v>0.9997232455</v>
      </c>
    </row>
    <row r="19070">
      <c r="A19070" s="6">
        <v>19068.0</v>
      </c>
      <c r="B19070" s="17">
        <f t="array" ref="B19070">SUM(1-'Sparkling Model'!D$2:D$38^A19070)</f>
        <v>36.99972336</v>
      </c>
      <c r="C19070" s="8">
        <f t="array" ref="C19070">PRODUCT(1-'Sparkling Model'!D$2:D$38^A19070)</f>
        <v>0.9997233815</v>
      </c>
    </row>
    <row r="19071">
      <c r="A19071" s="6">
        <v>19069.0</v>
      </c>
      <c r="B19071" s="17">
        <f t="array" ref="B19071">SUM(1-'Sparkling Model'!D$2:D$38^A19071)</f>
        <v>36.99972349</v>
      </c>
      <c r="C19071" s="8">
        <f t="array" ref="C19071">PRODUCT(1-'Sparkling Model'!D$2:D$38^A19071)</f>
        <v>0.9997235174</v>
      </c>
    </row>
    <row r="19072">
      <c r="A19072" s="6">
        <v>19070.0</v>
      </c>
      <c r="B19072" s="17">
        <f t="array" ref="B19072">SUM(1-'Sparkling Model'!D$2:D$38^A19072)</f>
        <v>36.99972363</v>
      </c>
      <c r="C19072" s="8">
        <f t="array" ref="C19072">PRODUCT(1-'Sparkling Model'!D$2:D$38^A19072)</f>
        <v>0.9997236532</v>
      </c>
    </row>
    <row r="19073">
      <c r="A19073" s="6">
        <v>19071.0</v>
      </c>
      <c r="B19073" s="17">
        <f t="array" ref="B19073">SUM(1-'Sparkling Model'!D$2:D$38^A19073)</f>
        <v>36.99972376</v>
      </c>
      <c r="C19073" s="8">
        <f t="array" ref="C19073">PRODUCT(1-'Sparkling Model'!D$2:D$38^A19073)</f>
        <v>0.999723789</v>
      </c>
    </row>
    <row r="19074">
      <c r="A19074" s="6">
        <v>19072.0</v>
      </c>
      <c r="B19074" s="17">
        <f t="array" ref="B19074">SUM(1-'Sparkling Model'!D$2:D$38^A19074)</f>
        <v>36.9997239</v>
      </c>
      <c r="C19074" s="8">
        <f t="array" ref="C19074">PRODUCT(1-'Sparkling Model'!D$2:D$38^A19074)</f>
        <v>0.9997239247</v>
      </c>
    </row>
    <row r="19075">
      <c r="A19075" s="6">
        <v>19073.0</v>
      </c>
      <c r="B19075" s="17">
        <f t="array" ref="B19075">SUM(1-'Sparkling Model'!D$2:D$38^A19075)</f>
        <v>36.99972403</v>
      </c>
      <c r="C19075" s="8">
        <f t="array" ref="C19075">PRODUCT(1-'Sparkling Model'!D$2:D$38^A19075)</f>
        <v>0.9997240603</v>
      </c>
    </row>
    <row r="19076">
      <c r="A19076" s="6">
        <v>19074.0</v>
      </c>
      <c r="B19076" s="17">
        <f t="array" ref="B19076">SUM(1-'Sparkling Model'!D$2:D$38^A19076)</f>
        <v>36.99972417</v>
      </c>
      <c r="C19076" s="8">
        <f t="array" ref="C19076">PRODUCT(1-'Sparkling Model'!D$2:D$38^A19076)</f>
        <v>0.9997241959</v>
      </c>
    </row>
    <row r="19077">
      <c r="A19077" s="6">
        <v>19075.0</v>
      </c>
      <c r="B19077" s="17">
        <f t="array" ref="B19077">SUM(1-'Sparkling Model'!D$2:D$38^A19077)</f>
        <v>36.99972431</v>
      </c>
      <c r="C19077" s="8">
        <f t="array" ref="C19077">PRODUCT(1-'Sparkling Model'!D$2:D$38^A19077)</f>
        <v>0.9997243314</v>
      </c>
    </row>
    <row r="19078">
      <c r="A19078" s="6">
        <v>19076.0</v>
      </c>
      <c r="B19078" s="17">
        <f t="array" ref="B19078">SUM(1-'Sparkling Model'!D$2:D$38^A19078)</f>
        <v>36.99972444</v>
      </c>
      <c r="C19078" s="8">
        <f t="array" ref="C19078">PRODUCT(1-'Sparkling Model'!D$2:D$38^A19078)</f>
        <v>0.9997244668</v>
      </c>
    </row>
    <row r="19079">
      <c r="A19079" s="6">
        <v>19077.0</v>
      </c>
      <c r="B19079" s="17">
        <f t="array" ref="B19079">SUM(1-'Sparkling Model'!D$2:D$38^A19079)</f>
        <v>36.99972458</v>
      </c>
      <c r="C19079" s="8">
        <f t="array" ref="C19079">PRODUCT(1-'Sparkling Model'!D$2:D$38^A19079)</f>
        <v>0.9997246022</v>
      </c>
    </row>
    <row r="19080">
      <c r="A19080" s="6">
        <v>19078.0</v>
      </c>
      <c r="B19080" s="17">
        <f t="array" ref="B19080">SUM(1-'Sparkling Model'!D$2:D$38^A19080)</f>
        <v>36.99972471</v>
      </c>
      <c r="C19080" s="8">
        <f t="array" ref="C19080">PRODUCT(1-'Sparkling Model'!D$2:D$38^A19080)</f>
        <v>0.9997247375</v>
      </c>
    </row>
    <row r="19081">
      <c r="A19081" s="6">
        <v>19079.0</v>
      </c>
      <c r="B19081" s="17">
        <f t="array" ref="B19081">SUM(1-'Sparkling Model'!D$2:D$38^A19081)</f>
        <v>36.99972485</v>
      </c>
      <c r="C19081" s="8">
        <f t="array" ref="C19081">PRODUCT(1-'Sparkling Model'!D$2:D$38^A19081)</f>
        <v>0.9997248727</v>
      </c>
    </row>
    <row r="19082">
      <c r="A19082" s="6">
        <v>19080.0</v>
      </c>
      <c r="B19082" s="17">
        <f t="array" ref="B19082">SUM(1-'Sparkling Model'!D$2:D$38^A19082)</f>
        <v>36.99972498</v>
      </c>
      <c r="C19082" s="8">
        <f t="array" ref="C19082">PRODUCT(1-'Sparkling Model'!D$2:D$38^A19082)</f>
        <v>0.9997250079</v>
      </c>
    </row>
    <row r="19083">
      <c r="A19083" s="6">
        <v>19081.0</v>
      </c>
      <c r="B19083" s="17">
        <f t="array" ref="B19083">SUM(1-'Sparkling Model'!D$2:D$38^A19083)</f>
        <v>36.99972512</v>
      </c>
      <c r="C19083" s="8">
        <f t="array" ref="C19083">PRODUCT(1-'Sparkling Model'!D$2:D$38^A19083)</f>
        <v>0.999725143</v>
      </c>
    </row>
    <row r="19084">
      <c r="A19084" s="6">
        <v>19082.0</v>
      </c>
      <c r="B19084" s="17">
        <f t="array" ref="B19084">SUM(1-'Sparkling Model'!D$2:D$38^A19084)</f>
        <v>36.99972525</v>
      </c>
      <c r="C19084" s="8">
        <f t="array" ref="C19084">PRODUCT(1-'Sparkling Model'!D$2:D$38^A19084)</f>
        <v>0.999725278</v>
      </c>
    </row>
    <row r="19085">
      <c r="A19085" s="6">
        <v>19083.0</v>
      </c>
      <c r="B19085" s="17">
        <f t="array" ref="B19085">SUM(1-'Sparkling Model'!D$2:D$38^A19085)</f>
        <v>36.99972539</v>
      </c>
      <c r="C19085" s="8">
        <f t="array" ref="C19085">PRODUCT(1-'Sparkling Model'!D$2:D$38^A19085)</f>
        <v>0.999725413</v>
      </c>
    </row>
    <row r="19086">
      <c r="A19086" s="6">
        <v>19084.0</v>
      </c>
      <c r="B19086" s="17">
        <f t="array" ref="B19086">SUM(1-'Sparkling Model'!D$2:D$38^A19086)</f>
        <v>36.99972552</v>
      </c>
      <c r="C19086" s="8">
        <f t="array" ref="C19086">PRODUCT(1-'Sparkling Model'!D$2:D$38^A19086)</f>
        <v>0.9997255479</v>
      </c>
    </row>
    <row r="19087">
      <c r="A19087" s="6">
        <v>19085.0</v>
      </c>
      <c r="B19087" s="17">
        <f t="array" ref="B19087">SUM(1-'Sparkling Model'!D$2:D$38^A19087)</f>
        <v>36.99972566</v>
      </c>
      <c r="C19087" s="8">
        <f t="array" ref="C19087">PRODUCT(1-'Sparkling Model'!D$2:D$38^A19087)</f>
        <v>0.9997256827</v>
      </c>
    </row>
    <row r="19088">
      <c r="A19088" s="6">
        <v>19086.0</v>
      </c>
      <c r="B19088" s="17">
        <f t="array" ref="B19088">SUM(1-'Sparkling Model'!D$2:D$38^A19088)</f>
        <v>36.99972579</v>
      </c>
      <c r="C19088" s="8">
        <f t="array" ref="C19088">PRODUCT(1-'Sparkling Model'!D$2:D$38^A19088)</f>
        <v>0.9997258175</v>
      </c>
    </row>
    <row r="19089">
      <c r="A19089" s="6">
        <v>19087.0</v>
      </c>
      <c r="B19089" s="17">
        <f t="array" ref="B19089">SUM(1-'Sparkling Model'!D$2:D$38^A19089)</f>
        <v>36.99972593</v>
      </c>
      <c r="C19089" s="8">
        <f t="array" ref="C19089">PRODUCT(1-'Sparkling Model'!D$2:D$38^A19089)</f>
        <v>0.9997259522</v>
      </c>
    </row>
    <row r="19090">
      <c r="A19090" s="6">
        <v>19088.0</v>
      </c>
      <c r="B19090" s="17">
        <f t="array" ref="B19090">SUM(1-'Sparkling Model'!D$2:D$38^A19090)</f>
        <v>36.99972606</v>
      </c>
      <c r="C19090" s="8">
        <f t="array" ref="C19090">PRODUCT(1-'Sparkling Model'!D$2:D$38^A19090)</f>
        <v>0.9997260868</v>
      </c>
    </row>
    <row r="19091">
      <c r="A19091" s="6">
        <v>19089.0</v>
      </c>
      <c r="B19091" s="17">
        <f t="array" ref="B19091">SUM(1-'Sparkling Model'!D$2:D$38^A19091)</f>
        <v>36.9997262</v>
      </c>
      <c r="C19091" s="8">
        <f t="array" ref="C19091">PRODUCT(1-'Sparkling Model'!D$2:D$38^A19091)</f>
        <v>0.9997262214</v>
      </c>
    </row>
    <row r="19092">
      <c r="A19092" s="6">
        <v>19090.0</v>
      </c>
      <c r="B19092" s="17">
        <f t="array" ref="B19092">SUM(1-'Sparkling Model'!D$2:D$38^A19092)</f>
        <v>36.99972633</v>
      </c>
      <c r="C19092" s="8">
        <f t="array" ref="C19092">PRODUCT(1-'Sparkling Model'!D$2:D$38^A19092)</f>
        <v>0.9997263559</v>
      </c>
    </row>
    <row r="19093">
      <c r="A19093" s="6">
        <v>19091.0</v>
      </c>
      <c r="B19093" s="17">
        <f t="array" ref="B19093">SUM(1-'Sparkling Model'!D$2:D$38^A19093)</f>
        <v>36.99972646</v>
      </c>
      <c r="C19093" s="8">
        <f t="array" ref="C19093">PRODUCT(1-'Sparkling Model'!D$2:D$38^A19093)</f>
        <v>0.9997264903</v>
      </c>
    </row>
    <row r="19094">
      <c r="A19094" s="6">
        <v>19092.0</v>
      </c>
      <c r="B19094" s="17">
        <f t="array" ref="B19094">SUM(1-'Sparkling Model'!D$2:D$38^A19094)</f>
        <v>36.9997266</v>
      </c>
      <c r="C19094" s="8">
        <f t="array" ref="C19094">PRODUCT(1-'Sparkling Model'!D$2:D$38^A19094)</f>
        <v>0.9997266247</v>
      </c>
    </row>
    <row r="19095">
      <c r="A19095" s="6">
        <v>19093.0</v>
      </c>
      <c r="B19095" s="17">
        <f t="array" ref="B19095">SUM(1-'Sparkling Model'!D$2:D$38^A19095)</f>
        <v>36.99972673</v>
      </c>
      <c r="C19095" s="8">
        <f t="array" ref="C19095">PRODUCT(1-'Sparkling Model'!D$2:D$38^A19095)</f>
        <v>0.999726759</v>
      </c>
    </row>
    <row r="19096">
      <c r="A19096" s="6">
        <v>19094.0</v>
      </c>
      <c r="B19096" s="17">
        <f t="array" ref="B19096">SUM(1-'Sparkling Model'!D$2:D$38^A19096)</f>
        <v>36.99972687</v>
      </c>
      <c r="C19096" s="8">
        <f t="array" ref="C19096">PRODUCT(1-'Sparkling Model'!D$2:D$38^A19096)</f>
        <v>0.9997268932</v>
      </c>
    </row>
    <row r="19097">
      <c r="A19097" s="6">
        <v>19095.0</v>
      </c>
      <c r="B19097" s="17">
        <f t="array" ref="B19097">SUM(1-'Sparkling Model'!D$2:D$38^A19097)</f>
        <v>36.999727</v>
      </c>
      <c r="C19097" s="8">
        <f t="array" ref="C19097">PRODUCT(1-'Sparkling Model'!D$2:D$38^A19097)</f>
        <v>0.9997270274</v>
      </c>
    </row>
    <row r="19098">
      <c r="A19098" s="6">
        <v>19096.0</v>
      </c>
      <c r="B19098" s="17">
        <f t="array" ref="B19098">SUM(1-'Sparkling Model'!D$2:D$38^A19098)</f>
        <v>36.99972714</v>
      </c>
      <c r="C19098" s="8">
        <f t="array" ref="C19098">PRODUCT(1-'Sparkling Model'!D$2:D$38^A19098)</f>
        <v>0.9997271615</v>
      </c>
    </row>
    <row r="19099">
      <c r="A19099" s="6">
        <v>19097.0</v>
      </c>
      <c r="B19099" s="17">
        <f t="array" ref="B19099">SUM(1-'Sparkling Model'!D$2:D$38^A19099)</f>
        <v>36.99972727</v>
      </c>
      <c r="C19099" s="8">
        <f t="array" ref="C19099">PRODUCT(1-'Sparkling Model'!D$2:D$38^A19099)</f>
        <v>0.9997272956</v>
      </c>
    </row>
    <row r="19100">
      <c r="A19100" s="6">
        <v>19098.0</v>
      </c>
      <c r="B19100" s="17">
        <f t="array" ref="B19100">SUM(1-'Sparkling Model'!D$2:D$38^A19100)</f>
        <v>36.9997274</v>
      </c>
      <c r="C19100" s="8">
        <f t="array" ref="C19100">PRODUCT(1-'Sparkling Model'!D$2:D$38^A19100)</f>
        <v>0.9997274295</v>
      </c>
    </row>
    <row r="19101">
      <c r="A19101" s="6">
        <v>19099.0</v>
      </c>
      <c r="B19101" s="17">
        <f t="array" ref="B19101">SUM(1-'Sparkling Model'!D$2:D$38^A19101)</f>
        <v>36.99972754</v>
      </c>
      <c r="C19101" s="8">
        <f t="array" ref="C19101">PRODUCT(1-'Sparkling Model'!D$2:D$38^A19101)</f>
        <v>0.9997275635</v>
      </c>
    </row>
    <row r="19102">
      <c r="A19102" s="6">
        <v>19100.0</v>
      </c>
      <c r="B19102" s="17">
        <f t="array" ref="B19102">SUM(1-'Sparkling Model'!D$2:D$38^A19102)</f>
        <v>36.99972767</v>
      </c>
      <c r="C19102" s="8">
        <f t="array" ref="C19102">PRODUCT(1-'Sparkling Model'!D$2:D$38^A19102)</f>
        <v>0.9997276973</v>
      </c>
    </row>
    <row r="19103">
      <c r="A19103" s="6">
        <v>19101.0</v>
      </c>
      <c r="B19103" s="17">
        <f t="array" ref="B19103">SUM(1-'Sparkling Model'!D$2:D$38^A19103)</f>
        <v>36.99972781</v>
      </c>
      <c r="C19103" s="8">
        <f t="array" ref="C19103">PRODUCT(1-'Sparkling Model'!D$2:D$38^A19103)</f>
        <v>0.9997278311</v>
      </c>
    </row>
    <row r="19104">
      <c r="A19104" s="6">
        <v>19102.0</v>
      </c>
      <c r="B19104" s="17">
        <f t="array" ref="B19104">SUM(1-'Sparkling Model'!D$2:D$38^A19104)</f>
        <v>36.99972794</v>
      </c>
      <c r="C19104" s="8">
        <f t="array" ref="C19104">PRODUCT(1-'Sparkling Model'!D$2:D$38^A19104)</f>
        <v>0.9997279648</v>
      </c>
    </row>
    <row r="19105">
      <c r="A19105" s="6">
        <v>19103.0</v>
      </c>
      <c r="B19105" s="17">
        <f t="array" ref="B19105">SUM(1-'Sparkling Model'!D$2:D$38^A19105)</f>
        <v>36.99972807</v>
      </c>
      <c r="C19105" s="8">
        <f t="array" ref="C19105">PRODUCT(1-'Sparkling Model'!D$2:D$38^A19105)</f>
        <v>0.9997280984</v>
      </c>
    </row>
    <row r="19106">
      <c r="A19106" s="6">
        <v>19104.0</v>
      </c>
      <c r="B19106" s="17">
        <f t="array" ref="B19106">SUM(1-'Sparkling Model'!D$2:D$38^A19106)</f>
        <v>36.99972821</v>
      </c>
      <c r="C19106" s="8">
        <f t="array" ref="C19106">PRODUCT(1-'Sparkling Model'!D$2:D$38^A19106)</f>
        <v>0.999728232</v>
      </c>
    </row>
    <row r="19107">
      <c r="A19107" s="6">
        <v>19105.0</v>
      </c>
      <c r="B19107" s="17">
        <f t="array" ref="B19107">SUM(1-'Sparkling Model'!D$2:D$38^A19107)</f>
        <v>36.99972834</v>
      </c>
      <c r="C19107" s="8">
        <f t="array" ref="C19107">PRODUCT(1-'Sparkling Model'!D$2:D$38^A19107)</f>
        <v>0.9997283655</v>
      </c>
    </row>
    <row r="19108">
      <c r="A19108" s="6">
        <v>19106.0</v>
      </c>
      <c r="B19108" s="17">
        <f t="array" ref="B19108">SUM(1-'Sparkling Model'!D$2:D$38^A19108)</f>
        <v>36.99972847</v>
      </c>
      <c r="C19108" s="8">
        <f t="array" ref="C19108">PRODUCT(1-'Sparkling Model'!D$2:D$38^A19108)</f>
        <v>0.999728499</v>
      </c>
    </row>
    <row r="19109">
      <c r="A19109" s="6">
        <v>19107.0</v>
      </c>
      <c r="B19109" s="17">
        <f t="array" ref="B19109">SUM(1-'Sparkling Model'!D$2:D$38^A19109)</f>
        <v>36.99972861</v>
      </c>
      <c r="C19109" s="8">
        <f t="array" ref="C19109">PRODUCT(1-'Sparkling Model'!D$2:D$38^A19109)</f>
        <v>0.9997286324</v>
      </c>
    </row>
    <row r="19110">
      <c r="A19110" s="6">
        <v>19108.0</v>
      </c>
      <c r="B19110" s="17">
        <f t="array" ref="B19110">SUM(1-'Sparkling Model'!D$2:D$38^A19110)</f>
        <v>36.99972874</v>
      </c>
      <c r="C19110" s="8">
        <f t="array" ref="C19110">PRODUCT(1-'Sparkling Model'!D$2:D$38^A19110)</f>
        <v>0.9997287657</v>
      </c>
    </row>
    <row r="19111">
      <c r="A19111" s="6">
        <v>19109.0</v>
      </c>
      <c r="B19111" s="17">
        <f t="array" ref="B19111">SUM(1-'Sparkling Model'!D$2:D$38^A19111)</f>
        <v>36.99972887</v>
      </c>
      <c r="C19111" s="8">
        <f t="array" ref="C19111">PRODUCT(1-'Sparkling Model'!D$2:D$38^A19111)</f>
        <v>0.9997288989</v>
      </c>
    </row>
    <row r="19112">
      <c r="A19112" s="6">
        <v>19110.0</v>
      </c>
      <c r="B19112" s="17">
        <f t="array" ref="B19112">SUM(1-'Sparkling Model'!D$2:D$38^A19112)</f>
        <v>36.99972901</v>
      </c>
      <c r="C19112" s="8">
        <f t="array" ref="C19112">PRODUCT(1-'Sparkling Model'!D$2:D$38^A19112)</f>
        <v>0.9997290321</v>
      </c>
    </row>
    <row r="19113">
      <c r="A19113" s="6">
        <v>19111.0</v>
      </c>
      <c r="B19113" s="17">
        <f t="array" ref="B19113">SUM(1-'Sparkling Model'!D$2:D$38^A19113)</f>
        <v>36.99972914</v>
      </c>
      <c r="C19113" s="8">
        <f t="array" ref="C19113">PRODUCT(1-'Sparkling Model'!D$2:D$38^A19113)</f>
        <v>0.9997291652</v>
      </c>
    </row>
    <row r="19114">
      <c r="A19114" s="6">
        <v>19112.0</v>
      </c>
      <c r="B19114" s="17">
        <f t="array" ref="B19114">SUM(1-'Sparkling Model'!D$2:D$38^A19114)</f>
        <v>36.99972927</v>
      </c>
      <c r="C19114" s="8">
        <f t="array" ref="C19114">PRODUCT(1-'Sparkling Model'!D$2:D$38^A19114)</f>
        <v>0.9997292983</v>
      </c>
    </row>
    <row r="19115">
      <c r="A19115" s="6">
        <v>19113.0</v>
      </c>
      <c r="B19115" s="17">
        <f t="array" ref="B19115">SUM(1-'Sparkling Model'!D$2:D$38^A19115)</f>
        <v>36.99972941</v>
      </c>
      <c r="C19115" s="8">
        <f t="array" ref="C19115">PRODUCT(1-'Sparkling Model'!D$2:D$38^A19115)</f>
        <v>0.9997294313</v>
      </c>
    </row>
    <row r="19116">
      <c r="A19116" s="6">
        <v>19114.0</v>
      </c>
      <c r="B19116" s="17">
        <f t="array" ref="B19116">SUM(1-'Sparkling Model'!D$2:D$38^A19116)</f>
        <v>36.99972954</v>
      </c>
      <c r="C19116" s="8">
        <f t="array" ref="C19116">PRODUCT(1-'Sparkling Model'!D$2:D$38^A19116)</f>
        <v>0.9997295642</v>
      </c>
    </row>
    <row r="19117">
      <c r="A19117" s="6">
        <v>19115.0</v>
      </c>
      <c r="B19117" s="17">
        <f t="array" ref="B19117">SUM(1-'Sparkling Model'!D$2:D$38^A19117)</f>
        <v>36.99972967</v>
      </c>
      <c r="C19117" s="8">
        <f t="array" ref="C19117">PRODUCT(1-'Sparkling Model'!D$2:D$38^A19117)</f>
        <v>0.9997296971</v>
      </c>
    </row>
    <row r="19118">
      <c r="A19118" s="6">
        <v>19116.0</v>
      </c>
      <c r="B19118" s="17">
        <f t="array" ref="B19118">SUM(1-'Sparkling Model'!D$2:D$38^A19118)</f>
        <v>36.99972981</v>
      </c>
      <c r="C19118" s="8">
        <f t="array" ref="C19118">PRODUCT(1-'Sparkling Model'!D$2:D$38^A19118)</f>
        <v>0.9997298299</v>
      </c>
    </row>
    <row r="19119">
      <c r="A19119" s="6">
        <v>19117.0</v>
      </c>
      <c r="B19119" s="17">
        <f t="array" ref="B19119">SUM(1-'Sparkling Model'!D$2:D$38^A19119)</f>
        <v>36.99972994</v>
      </c>
      <c r="C19119" s="8">
        <f t="array" ref="C19119">PRODUCT(1-'Sparkling Model'!D$2:D$38^A19119)</f>
        <v>0.9997299626</v>
      </c>
    </row>
    <row r="19120">
      <c r="A19120" s="6">
        <v>19118.0</v>
      </c>
      <c r="B19120" s="17">
        <f t="array" ref="B19120">SUM(1-'Sparkling Model'!D$2:D$38^A19120)</f>
        <v>36.99973007</v>
      </c>
      <c r="C19120" s="8">
        <f t="array" ref="C19120">PRODUCT(1-'Sparkling Model'!D$2:D$38^A19120)</f>
        <v>0.9997300952</v>
      </c>
    </row>
    <row r="19121">
      <c r="A19121" s="6">
        <v>19119.0</v>
      </c>
      <c r="B19121" s="17">
        <f t="array" ref="B19121">SUM(1-'Sparkling Model'!D$2:D$38^A19121)</f>
        <v>36.9997302</v>
      </c>
      <c r="C19121" s="8">
        <f t="array" ref="C19121">PRODUCT(1-'Sparkling Model'!D$2:D$38^A19121)</f>
        <v>0.9997302278</v>
      </c>
    </row>
    <row r="19122">
      <c r="A19122" s="6">
        <v>19120.0</v>
      </c>
      <c r="B19122" s="17">
        <f t="array" ref="B19122">SUM(1-'Sparkling Model'!D$2:D$38^A19122)</f>
        <v>36.99973034</v>
      </c>
      <c r="C19122" s="8">
        <f t="array" ref="C19122">PRODUCT(1-'Sparkling Model'!D$2:D$38^A19122)</f>
        <v>0.9997303604</v>
      </c>
    </row>
    <row r="19123">
      <c r="A19123" s="6">
        <v>19121.0</v>
      </c>
      <c r="B19123" s="17">
        <f t="array" ref="B19123">SUM(1-'Sparkling Model'!D$2:D$38^A19123)</f>
        <v>36.99973047</v>
      </c>
      <c r="C19123" s="8">
        <f t="array" ref="C19123">PRODUCT(1-'Sparkling Model'!D$2:D$38^A19123)</f>
        <v>0.9997304928</v>
      </c>
    </row>
    <row r="19124">
      <c r="A19124" s="6">
        <v>19122.0</v>
      </c>
      <c r="B19124" s="17">
        <f t="array" ref="B19124">SUM(1-'Sparkling Model'!D$2:D$38^A19124)</f>
        <v>36.9997306</v>
      </c>
      <c r="C19124" s="8">
        <f t="array" ref="C19124">PRODUCT(1-'Sparkling Model'!D$2:D$38^A19124)</f>
        <v>0.9997306252</v>
      </c>
    </row>
    <row r="19125">
      <c r="A19125" s="6">
        <v>19123.0</v>
      </c>
      <c r="B19125" s="17">
        <f t="array" ref="B19125">SUM(1-'Sparkling Model'!D$2:D$38^A19125)</f>
        <v>36.99973073</v>
      </c>
      <c r="C19125" s="8">
        <f t="array" ref="C19125">PRODUCT(1-'Sparkling Model'!D$2:D$38^A19125)</f>
        <v>0.9997307576</v>
      </c>
    </row>
    <row r="19126">
      <c r="A19126" s="6">
        <v>19124.0</v>
      </c>
      <c r="B19126" s="17">
        <f t="array" ref="B19126">SUM(1-'Sparkling Model'!D$2:D$38^A19126)</f>
        <v>36.99973087</v>
      </c>
      <c r="C19126" s="8">
        <f t="array" ref="C19126">PRODUCT(1-'Sparkling Model'!D$2:D$38^A19126)</f>
        <v>0.9997308899</v>
      </c>
    </row>
    <row r="19127">
      <c r="A19127" s="6">
        <v>19125.0</v>
      </c>
      <c r="B19127" s="17">
        <f t="array" ref="B19127">SUM(1-'Sparkling Model'!D$2:D$38^A19127)</f>
        <v>36.999731</v>
      </c>
      <c r="C19127" s="8">
        <f t="array" ref="C19127">PRODUCT(1-'Sparkling Model'!D$2:D$38^A19127)</f>
        <v>0.9997310221</v>
      </c>
    </row>
    <row r="19128">
      <c r="A19128" s="6">
        <v>19126.0</v>
      </c>
      <c r="B19128" s="17">
        <f t="array" ref="B19128">SUM(1-'Sparkling Model'!D$2:D$38^A19128)</f>
        <v>36.99973113</v>
      </c>
      <c r="C19128" s="8">
        <f t="array" ref="C19128">PRODUCT(1-'Sparkling Model'!D$2:D$38^A19128)</f>
        <v>0.9997311542</v>
      </c>
    </row>
    <row r="19129">
      <c r="A19129" s="6">
        <v>19127.0</v>
      </c>
      <c r="B19129" s="17">
        <f t="array" ref="B19129">SUM(1-'Sparkling Model'!D$2:D$38^A19129)</f>
        <v>36.99973126</v>
      </c>
      <c r="C19129" s="8">
        <f t="array" ref="C19129">PRODUCT(1-'Sparkling Model'!D$2:D$38^A19129)</f>
        <v>0.9997312863</v>
      </c>
    </row>
    <row r="19130">
      <c r="A19130" s="6">
        <v>19128.0</v>
      </c>
      <c r="B19130" s="17">
        <f t="array" ref="B19130">SUM(1-'Sparkling Model'!D$2:D$38^A19130)</f>
        <v>36.99973139</v>
      </c>
      <c r="C19130" s="8">
        <f t="array" ref="C19130">PRODUCT(1-'Sparkling Model'!D$2:D$38^A19130)</f>
        <v>0.9997314183</v>
      </c>
    </row>
    <row r="19131">
      <c r="A19131" s="6">
        <v>19129.0</v>
      </c>
      <c r="B19131" s="17">
        <f t="array" ref="B19131">SUM(1-'Sparkling Model'!D$2:D$38^A19131)</f>
        <v>36.99973153</v>
      </c>
      <c r="C19131" s="8">
        <f t="array" ref="C19131">PRODUCT(1-'Sparkling Model'!D$2:D$38^A19131)</f>
        <v>0.9997315502</v>
      </c>
    </row>
    <row r="19132">
      <c r="A19132" s="6">
        <v>19130.0</v>
      </c>
      <c r="B19132" s="17">
        <f t="array" ref="B19132">SUM(1-'Sparkling Model'!D$2:D$38^A19132)</f>
        <v>36.99973166</v>
      </c>
      <c r="C19132" s="8">
        <f t="array" ref="C19132">PRODUCT(1-'Sparkling Model'!D$2:D$38^A19132)</f>
        <v>0.9997316821</v>
      </c>
    </row>
    <row r="19133">
      <c r="A19133" s="6">
        <v>19131.0</v>
      </c>
      <c r="B19133" s="17">
        <f t="array" ref="B19133">SUM(1-'Sparkling Model'!D$2:D$38^A19133)</f>
        <v>36.99973179</v>
      </c>
      <c r="C19133" s="8">
        <f t="array" ref="C19133">PRODUCT(1-'Sparkling Model'!D$2:D$38^A19133)</f>
        <v>0.9997318139</v>
      </c>
    </row>
    <row r="19134">
      <c r="A19134" s="6">
        <v>19132.0</v>
      </c>
      <c r="B19134" s="17">
        <f t="array" ref="B19134">SUM(1-'Sparkling Model'!D$2:D$38^A19134)</f>
        <v>36.99973192</v>
      </c>
      <c r="C19134" s="8">
        <f t="array" ref="C19134">PRODUCT(1-'Sparkling Model'!D$2:D$38^A19134)</f>
        <v>0.9997319457</v>
      </c>
    </row>
    <row r="19135">
      <c r="A19135" s="6">
        <v>19133.0</v>
      </c>
      <c r="B19135" s="17">
        <f t="array" ref="B19135">SUM(1-'Sparkling Model'!D$2:D$38^A19135)</f>
        <v>36.99973205</v>
      </c>
      <c r="C19135" s="8">
        <f t="array" ref="C19135">PRODUCT(1-'Sparkling Model'!D$2:D$38^A19135)</f>
        <v>0.9997320774</v>
      </c>
    </row>
    <row r="19136">
      <c r="A19136" s="6">
        <v>19134.0</v>
      </c>
      <c r="B19136" s="17">
        <f t="array" ref="B19136">SUM(1-'Sparkling Model'!D$2:D$38^A19136)</f>
        <v>36.99973218</v>
      </c>
      <c r="C19136" s="8">
        <f t="array" ref="C19136">PRODUCT(1-'Sparkling Model'!D$2:D$38^A19136)</f>
        <v>0.999732209</v>
      </c>
    </row>
    <row r="19137">
      <c r="A19137" s="6">
        <v>19135.0</v>
      </c>
      <c r="B19137" s="17">
        <f t="array" ref="B19137">SUM(1-'Sparkling Model'!D$2:D$38^A19137)</f>
        <v>36.99973232</v>
      </c>
      <c r="C19137" s="8">
        <f t="array" ref="C19137">PRODUCT(1-'Sparkling Model'!D$2:D$38^A19137)</f>
        <v>0.9997323406</v>
      </c>
    </row>
    <row r="19138">
      <c r="A19138" s="6">
        <v>19136.0</v>
      </c>
      <c r="B19138" s="17">
        <f t="array" ref="B19138">SUM(1-'Sparkling Model'!D$2:D$38^A19138)</f>
        <v>36.99973245</v>
      </c>
      <c r="C19138" s="8">
        <f t="array" ref="C19138">PRODUCT(1-'Sparkling Model'!D$2:D$38^A19138)</f>
        <v>0.999732472</v>
      </c>
    </row>
    <row r="19139">
      <c r="A19139" s="6">
        <v>19137.0</v>
      </c>
      <c r="B19139" s="17">
        <f t="array" ref="B19139">SUM(1-'Sparkling Model'!D$2:D$38^A19139)</f>
        <v>36.99973258</v>
      </c>
      <c r="C19139" s="8">
        <f t="array" ref="C19139">PRODUCT(1-'Sparkling Model'!D$2:D$38^A19139)</f>
        <v>0.9997326035</v>
      </c>
    </row>
    <row r="19140">
      <c r="A19140" s="6">
        <v>19138.0</v>
      </c>
      <c r="B19140" s="17">
        <f t="array" ref="B19140">SUM(1-'Sparkling Model'!D$2:D$38^A19140)</f>
        <v>36.99973271</v>
      </c>
      <c r="C19140" s="8">
        <f t="array" ref="C19140">PRODUCT(1-'Sparkling Model'!D$2:D$38^A19140)</f>
        <v>0.9997327348</v>
      </c>
    </row>
    <row r="19141">
      <c r="A19141" s="6">
        <v>19139.0</v>
      </c>
      <c r="B19141" s="17">
        <f t="array" ref="B19141">SUM(1-'Sparkling Model'!D$2:D$38^A19141)</f>
        <v>36.99973284</v>
      </c>
      <c r="C19141" s="8">
        <f t="array" ref="C19141">PRODUCT(1-'Sparkling Model'!D$2:D$38^A19141)</f>
        <v>0.9997328661</v>
      </c>
    </row>
    <row r="19142">
      <c r="A19142" s="6">
        <v>19140.0</v>
      </c>
      <c r="B19142" s="17">
        <f t="array" ref="B19142">SUM(1-'Sparkling Model'!D$2:D$38^A19142)</f>
        <v>36.99973297</v>
      </c>
      <c r="C19142" s="8">
        <f t="array" ref="C19142">PRODUCT(1-'Sparkling Model'!D$2:D$38^A19142)</f>
        <v>0.9997329974</v>
      </c>
    </row>
    <row r="19143">
      <c r="A19143" s="6">
        <v>19141.0</v>
      </c>
      <c r="B19143" s="17">
        <f t="array" ref="B19143">SUM(1-'Sparkling Model'!D$2:D$38^A19143)</f>
        <v>36.9997331</v>
      </c>
      <c r="C19143" s="8">
        <f t="array" ref="C19143">PRODUCT(1-'Sparkling Model'!D$2:D$38^A19143)</f>
        <v>0.9997331285</v>
      </c>
    </row>
    <row r="19144">
      <c r="A19144" s="6">
        <v>19142.0</v>
      </c>
      <c r="B19144" s="17">
        <f t="array" ref="B19144">SUM(1-'Sparkling Model'!D$2:D$38^A19144)</f>
        <v>36.99973324</v>
      </c>
      <c r="C19144" s="8">
        <f t="array" ref="C19144">PRODUCT(1-'Sparkling Model'!D$2:D$38^A19144)</f>
        <v>0.9997332596</v>
      </c>
    </row>
    <row r="19145">
      <c r="A19145" s="6">
        <v>19143.0</v>
      </c>
      <c r="B19145" s="17">
        <f t="array" ref="B19145">SUM(1-'Sparkling Model'!D$2:D$38^A19145)</f>
        <v>36.99973337</v>
      </c>
      <c r="C19145" s="8">
        <f t="array" ref="C19145">PRODUCT(1-'Sparkling Model'!D$2:D$38^A19145)</f>
        <v>0.9997333907</v>
      </c>
    </row>
    <row r="19146">
      <c r="A19146" s="6">
        <v>19144.0</v>
      </c>
      <c r="B19146" s="17">
        <f t="array" ref="B19146">SUM(1-'Sparkling Model'!D$2:D$38^A19146)</f>
        <v>36.9997335</v>
      </c>
      <c r="C19146" s="8">
        <f t="array" ref="C19146">PRODUCT(1-'Sparkling Model'!D$2:D$38^A19146)</f>
        <v>0.9997335217</v>
      </c>
    </row>
    <row r="19147">
      <c r="A19147" s="6">
        <v>19145.0</v>
      </c>
      <c r="B19147" s="17">
        <f t="array" ref="B19147">SUM(1-'Sparkling Model'!D$2:D$38^A19147)</f>
        <v>36.99973363</v>
      </c>
      <c r="C19147" s="8">
        <f t="array" ref="C19147">PRODUCT(1-'Sparkling Model'!D$2:D$38^A19147)</f>
        <v>0.9997336526</v>
      </c>
    </row>
    <row r="19148">
      <c r="A19148" s="6">
        <v>19146.0</v>
      </c>
      <c r="B19148" s="17">
        <f t="array" ref="B19148">SUM(1-'Sparkling Model'!D$2:D$38^A19148)</f>
        <v>36.99973376</v>
      </c>
      <c r="C19148" s="8">
        <f t="array" ref="C19148">PRODUCT(1-'Sparkling Model'!D$2:D$38^A19148)</f>
        <v>0.9997337834</v>
      </c>
    </row>
    <row r="19149">
      <c r="A19149" s="6">
        <v>19147.0</v>
      </c>
      <c r="B19149" s="17">
        <f t="array" ref="B19149">SUM(1-'Sparkling Model'!D$2:D$38^A19149)</f>
        <v>36.99973389</v>
      </c>
      <c r="C19149" s="8">
        <f t="array" ref="C19149">PRODUCT(1-'Sparkling Model'!D$2:D$38^A19149)</f>
        <v>0.9997339142</v>
      </c>
    </row>
    <row r="19150">
      <c r="A19150" s="6">
        <v>19148.0</v>
      </c>
      <c r="B19150" s="17">
        <f t="array" ref="B19150">SUM(1-'Sparkling Model'!D$2:D$38^A19150)</f>
        <v>36.99973402</v>
      </c>
      <c r="C19150" s="8">
        <f t="array" ref="C19150">PRODUCT(1-'Sparkling Model'!D$2:D$38^A19150)</f>
        <v>0.9997340449</v>
      </c>
    </row>
    <row r="19151">
      <c r="A19151" s="6">
        <v>19149.0</v>
      </c>
      <c r="B19151" s="17">
        <f t="array" ref="B19151">SUM(1-'Sparkling Model'!D$2:D$38^A19151)</f>
        <v>36.99973415</v>
      </c>
      <c r="C19151" s="8">
        <f t="array" ref="C19151">PRODUCT(1-'Sparkling Model'!D$2:D$38^A19151)</f>
        <v>0.9997341756</v>
      </c>
    </row>
    <row r="19152">
      <c r="A19152" s="6">
        <v>19150.0</v>
      </c>
      <c r="B19152" s="17">
        <f t="array" ref="B19152">SUM(1-'Sparkling Model'!D$2:D$38^A19152)</f>
        <v>36.99973428</v>
      </c>
      <c r="C19152" s="8">
        <f t="array" ref="C19152">PRODUCT(1-'Sparkling Model'!D$2:D$38^A19152)</f>
        <v>0.9997343062</v>
      </c>
    </row>
    <row r="19153">
      <c r="A19153" s="6">
        <v>19151.0</v>
      </c>
      <c r="B19153" s="17">
        <f t="array" ref="B19153">SUM(1-'Sparkling Model'!D$2:D$38^A19153)</f>
        <v>36.99973441</v>
      </c>
      <c r="C19153" s="8">
        <f t="array" ref="C19153">PRODUCT(1-'Sparkling Model'!D$2:D$38^A19153)</f>
        <v>0.9997344367</v>
      </c>
    </row>
    <row r="19154">
      <c r="A19154" s="6">
        <v>19152.0</v>
      </c>
      <c r="B19154" s="17">
        <f t="array" ref="B19154">SUM(1-'Sparkling Model'!D$2:D$38^A19154)</f>
        <v>36.99973454</v>
      </c>
      <c r="C19154" s="8">
        <f t="array" ref="C19154">PRODUCT(1-'Sparkling Model'!D$2:D$38^A19154)</f>
        <v>0.9997345672</v>
      </c>
    </row>
    <row r="19155">
      <c r="A19155" s="6">
        <v>19153.0</v>
      </c>
      <c r="B19155" s="17">
        <f t="array" ref="B19155">SUM(1-'Sparkling Model'!D$2:D$38^A19155)</f>
        <v>36.99973467</v>
      </c>
      <c r="C19155" s="8">
        <f t="array" ref="C19155">PRODUCT(1-'Sparkling Model'!D$2:D$38^A19155)</f>
        <v>0.9997346975</v>
      </c>
    </row>
    <row r="19156">
      <c r="A19156" s="6">
        <v>19154.0</v>
      </c>
      <c r="B19156" s="17">
        <f t="array" ref="B19156">SUM(1-'Sparkling Model'!D$2:D$38^A19156)</f>
        <v>36.9997348</v>
      </c>
      <c r="C19156" s="8">
        <f t="array" ref="C19156">PRODUCT(1-'Sparkling Model'!D$2:D$38^A19156)</f>
        <v>0.9997348279</v>
      </c>
    </row>
    <row r="19157">
      <c r="A19157" s="6">
        <v>19155.0</v>
      </c>
      <c r="B19157" s="17">
        <f t="array" ref="B19157">SUM(1-'Sparkling Model'!D$2:D$38^A19157)</f>
        <v>36.99973493</v>
      </c>
      <c r="C19157" s="8">
        <f t="array" ref="C19157">PRODUCT(1-'Sparkling Model'!D$2:D$38^A19157)</f>
        <v>0.9997349582</v>
      </c>
    </row>
    <row r="19158">
      <c r="A19158" s="6">
        <v>19156.0</v>
      </c>
      <c r="B19158" s="17">
        <f t="array" ref="B19158">SUM(1-'Sparkling Model'!D$2:D$38^A19158)</f>
        <v>36.99973506</v>
      </c>
      <c r="C19158" s="8">
        <f t="array" ref="C19158">PRODUCT(1-'Sparkling Model'!D$2:D$38^A19158)</f>
        <v>0.9997350884</v>
      </c>
    </row>
    <row r="19159">
      <c r="A19159" s="6">
        <v>19157.0</v>
      </c>
      <c r="B19159" s="17">
        <f t="array" ref="B19159">SUM(1-'Sparkling Model'!D$2:D$38^A19159)</f>
        <v>36.99973519</v>
      </c>
      <c r="C19159" s="8">
        <f t="array" ref="C19159">PRODUCT(1-'Sparkling Model'!D$2:D$38^A19159)</f>
        <v>0.9997352185</v>
      </c>
    </row>
    <row r="19160">
      <c r="A19160" s="6">
        <v>19158.0</v>
      </c>
      <c r="B19160" s="17">
        <f t="array" ref="B19160">SUM(1-'Sparkling Model'!D$2:D$38^A19160)</f>
        <v>36.99973532</v>
      </c>
      <c r="C19160" s="8">
        <f t="array" ref="C19160">PRODUCT(1-'Sparkling Model'!D$2:D$38^A19160)</f>
        <v>0.9997353486</v>
      </c>
    </row>
    <row r="19161">
      <c r="A19161" s="6">
        <v>19159.0</v>
      </c>
      <c r="B19161" s="17">
        <f t="array" ref="B19161">SUM(1-'Sparkling Model'!D$2:D$38^A19161)</f>
        <v>36.99973545</v>
      </c>
      <c r="C19161" s="8">
        <f t="array" ref="C19161">PRODUCT(1-'Sparkling Model'!D$2:D$38^A19161)</f>
        <v>0.9997354786</v>
      </c>
    </row>
    <row r="19162">
      <c r="A19162" s="6">
        <v>19160.0</v>
      </c>
      <c r="B19162" s="17">
        <f t="array" ref="B19162">SUM(1-'Sparkling Model'!D$2:D$38^A19162)</f>
        <v>36.99973558</v>
      </c>
      <c r="C19162" s="8">
        <f t="array" ref="C19162">PRODUCT(1-'Sparkling Model'!D$2:D$38^A19162)</f>
        <v>0.9997356085</v>
      </c>
    </row>
    <row r="19163">
      <c r="A19163" s="6">
        <v>19161.0</v>
      </c>
      <c r="B19163" s="17">
        <f t="array" ref="B19163">SUM(1-'Sparkling Model'!D$2:D$38^A19163)</f>
        <v>36.99973571</v>
      </c>
      <c r="C19163" s="8">
        <f t="array" ref="C19163">PRODUCT(1-'Sparkling Model'!D$2:D$38^A19163)</f>
        <v>0.9997357384</v>
      </c>
    </row>
    <row r="19164">
      <c r="A19164" s="6">
        <v>19162.0</v>
      </c>
      <c r="B19164" s="17">
        <f t="array" ref="B19164">SUM(1-'Sparkling Model'!D$2:D$38^A19164)</f>
        <v>36.99973584</v>
      </c>
      <c r="C19164" s="8">
        <f t="array" ref="C19164">PRODUCT(1-'Sparkling Model'!D$2:D$38^A19164)</f>
        <v>0.9997358682</v>
      </c>
    </row>
    <row r="19165">
      <c r="A19165" s="6">
        <v>19163.0</v>
      </c>
      <c r="B19165" s="17">
        <f t="array" ref="B19165">SUM(1-'Sparkling Model'!D$2:D$38^A19165)</f>
        <v>36.99973597</v>
      </c>
      <c r="C19165" s="8">
        <f t="array" ref="C19165">PRODUCT(1-'Sparkling Model'!D$2:D$38^A19165)</f>
        <v>0.999735998</v>
      </c>
    </row>
    <row r="19166">
      <c r="A19166" s="6">
        <v>19164.0</v>
      </c>
      <c r="B19166" s="17">
        <f t="array" ref="B19166">SUM(1-'Sparkling Model'!D$2:D$38^A19166)</f>
        <v>36.9997361</v>
      </c>
      <c r="C19166" s="8">
        <f t="array" ref="C19166">PRODUCT(1-'Sparkling Model'!D$2:D$38^A19166)</f>
        <v>0.9997361277</v>
      </c>
    </row>
    <row r="19167">
      <c r="A19167" s="6">
        <v>19165.0</v>
      </c>
      <c r="B19167" s="17">
        <f t="array" ref="B19167">SUM(1-'Sparkling Model'!D$2:D$38^A19167)</f>
        <v>36.99973623</v>
      </c>
      <c r="C19167" s="8">
        <f t="array" ref="C19167">PRODUCT(1-'Sparkling Model'!D$2:D$38^A19167)</f>
        <v>0.9997362573</v>
      </c>
    </row>
    <row r="19168">
      <c r="A19168" s="6">
        <v>19166.0</v>
      </c>
      <c r="B19168" s="17">
        <f t="array" ref="B19168">SUM(1-'Sparkling Model'!D$2:D$38^A19168)</f>
        <v>36.99973636</v>
      </c>
      <c r="C19168" s="8">
        <f t="array" ref="C19168">PRODUCT(1-'Sparkling Model'!D$2:D$38^A19168)</f>
        <v>0.9997363869</v>
      </c>
    </row>
    <row r="19169">
      <c r="A19169" s="6">
        <v>19167.0</v>
      </c>
      <c r="B19169" s="17">
        <f t="array" ref="B19169">SUM(1-'Sparkling Model'!D$2:D$38^A19169)</f>
        <v>36.99973649</v>
      </c>
      <c r="C19169" s="8">
        <f t="array" ref="C19169">PRODUCT(1-'Sparkling Model'!D$2:D$38^A19169)</f>
        <v>0.9997365164</v>
      </c>
    </row>
    <row r="19170">
      <c r="A19170" s="6">
        <v>19168.0</v>
      </c>
      <c r="B19170" s="17">
        <f t="array" ref="B19170">SUM(1-'Sparkling Model'!D$2:D$38^A19170)</f>
        <v>36.99973662</v>
      </c>
      <c r="C19170" s="8">
        <f t="array" ref="C19170">PRODUCT(1-'Sparkling Model'!D$2:D$38^A19170)</f>
        <v>0.9997366458</v>
      </c>
    </row>
    <row r="19171">
      <c r="A19171" s="6">
        <v>19169.0</v>
      </c>
      <c r="B19171" s="17">
        <f t="array" ref="B19171">SUM(1-'Sparkling Model'!D$2:D$38^A19171)</f>
        <v>36.99973675</v>
      </c>
      <c r="C19171" s="8">
        <f t="array" ref="C19171">PRODUCT(1-'Sparkling Model'!D$2:D$38^A19171)</f>
        <v>0.9997367752</v>
      </c>
    </row>
    <row r="19172">
      <c r="A19172" s="6">
        <v>19170.0</v>
      </c>
      <c r="B19172" s="17">
        <f t="array" ref="B19172">SUM(1-'Sparkling Model'!D$2:D$38^A19172)</f>
        <v>36.99973688</v>
      </c>
      <c r="C19172" s="8">
        <f t="array" ref="C19172">PRODUCT(1-'Sparkling Model'!D$2:D$38^A19172)</f>
        <v>0.9997369045</v>
      </c>
    </row>
    <row r="19173">
      <c r="A19173" s="6">
        <v>19171.0</v>
      </c>
      <c r="B19173" s="17">
        <f t="array" ref="B19173">SUM(1-'Sparkling Model'!D$2:D$38^A19173)</f>
        <v>36.99973701</v>
      </c>
      <c r="C19173" s="8">
        <f t="array" ref="C19173">PRODUCT(1-'Sparkling Model'!D$2:D$38^A19173)</f>
        <v>0.9997370338</v>
      </c>
    </row>
    <row r="19174">
      <c r="A19174" s="6">
        <v>19172.0</v>
      </c>
      <c r="B19174" s="17">
        <f t="array" ref="B19174">SUM(1-'Sparkling Model'!D$2:D$38^A19174)</f>
        <v>36.99973714</v>
      </c>
      <c r="C19174" s="8">
        <f t="array" ref="C19174">PRODUCT(1-'Sparkling Model'!D$2:D$38^A19174)</f>
        <v>0.9997371629</v>
      </c>
    </row>
    <row r="19175">
      <c r="A19175" s="6">
        <v>19173.0</v>
      </c>
      <c r="B19175" s="17">
        <f t="array" ref="B19175">SUM(1-'Sparkling Model'!D$2:D$38^A19175)</f>
        <v>36.99973727</v>
      </c>
      <c r="C19175" s="8">
        <f t="array" ref="C19175">PRODUCT(1-'Sparkling Model'!D$2:D$38^A19175)</f>
        <v>0.9997372921</v>
      </c>
    </row>
    <row r="19176">
      <c r="A19176" s="6">
        <v>19174.0</v>
      </c>
      <c r="B19176" s="17">
        <f t="array" ref="B19176">SUM(1-'Sparkling Model'!D$2:D$38^A19176)</f>
        <v>36.9997374</v>
      </c>
      <c r="C19176" s="8">
        <f t="array" ref="C19176">PRODUCT(1-'Sparkling Model'!D$2:D$38^A19176)</f>
        <v>0.9997374211</v>
      </c>
    </row>
    <row r="19177">
      <c r="A19177" s="6">
        <v>19175.0</v>
      </c>
      <c r="B19177" s="17">
        <f t="array" ref="B19177">SUM(1-'Sparkling Model'!D$2:D$38^A19177)</f>
        <v>36.99973753</v>
      </c>
      <c r="C19177" s="8">
        <f t="array" ref="C19177">PRODUCT(1-'Sparkling Model'!D$2:D$38^A19177)</f>
        <v>0.9997375501</v>
      </c>
    </row>
    <row r="19178">
      <c r="A19178" s="6">
        <v>19176.0</v>
      </c>
      <c r="B19178" s="17">
        <f t="array" ref="B19178">SUM(1-'Sparkling Model'!D$2:D$38^A19178)</f>
        <v>36.99973766</v>
      </c>
      <c r="C19178" s="8">
        <f t="array" ref="C19178">PRODUCT(1-'Sparkling Model'!D$2:D$38^A19178)</f>
        <v>0.999737679</v>
      </c>
    </row>
    <row r="19179">
      <c r="A19179" s="6">
        <v>19177.0</v>
      </c>
      <c r="B19179" s="17">
        <f t="array" ref="B19179">SUM(1-'Sparkling Model'!D$2:D$38^A19179)</f>
        <v>36.99973778</v>
      </c>
      <c r="C19179" s="8">
        <f t="array" ref="C19179">PRODUCT(1-'Sparkling Model'!D$2:D$38^A19179)</f>
        <v>0.9997378079</v>
      </c>
    </row>
    <row r="19180">
      <c r="A19180" s="6">
        <v>19178.0</v>
      </c>
      <c r="B19180" s="17">
        <f t="array" ref="B19180">SUM(1-'Sparkling Model'!D$2:D$38^A19180)</f>
        <v>36.99973791</v>
      </c>
      <c r="C19180" s="8">
        <f t="array" ref="C19180">PRODUCT(1-'Sparkling Model'!D$2:D$38^A19180)</f>
        <v>0.9997379367</v>
      </c>
    </row>
    <row r="19181">
      <c r="A19181" s="6">
        <v>19179.0</v>
      </c>
      <c r="B19181" s="17">
        <f t="array" ref="B19181">SUM(1-'Sparkling Model'!D$2:D$38^A19181)</f>
        <v>36.99973804</v>
      </c>
      <c r="C19181" s="8">
        <f t="array" ref="C19181">PRODUCT(1-'Sparkling Model'!D$2:D$38^A19181)</f>
        <v>0.9997380654</v>
      </c>
    </row>
    <row r="19182">
      <c r="A19182" s="6">
        <v>19180.0</v>
      </c>
      <c r="B19182" s="17">
        <f t="array" ref="B19182">SUM(1-'Sparkling Model'!D$2:D$38^A19182)</f>
        <v>36.99973817</v>
      </c>
      <c r="C19182" s="8">
        <f t="array" ref="C19182">PRODUCT(1-'Sparkling Model'!D$2:D$38^A19182)</f>
        <v>0.9997381941</v>
      </c>
    </row>
    <row r="19183">
      <c r="A19183" s="6">
        <v>19181.0</v>
      </c>
      <c r="B19183" s="17">
        <f t="array" ref="B19183">SUM(1-'Sparkling Model'!D$2:D$38^A19183)</f>
        <v>36.9997383</v>
      </c>
      <c r="C19183" s="8">
        <f t="array" ref="C19183">PRODUCT(1-'Sparkling Model'!D$2:D$38^A19183)</f>
        <v>0.9997383227</v>
      </c>
    </row>
    <row r="19184">
      <c r="A19184" s="6">
        <v>19182.0</v>
      </c>
      <c r="B19184" s="17">
        <f t="array" ref="B19184">SUM(1-'Sparkling Model'!D$2:D$38^A19184)</f>
        <v>36.99973843</v>
      </c>
      <c r="C19184" s="8">
        <f t="array" ref="C19184">PRODUCT(1-'Sparkling Model'!D$2:D$38^A19184)</f>
        <v>0.9997384513</v>
      </c>
    </row>
    <row r="19185">
      <c r="A19185" s="6">
        <v>19183.0</v>
      </c>
      <c r="B19185" s="17">
        <f t="array" ref="B19185">SUM(1-'Sparkling Model'!D$2:D$38^A19185)</f>
        <v>36.99973856</v>
      </c>
      <c r="C19185" s="8">
        <f t="array" ref="C19185">PRODUCT(1-'Sparkling Model'!D$2:D$38^A19185)</f>
        <v>0.9997385798</v>
      </c>
    </row>
    <row r="19186">
      <c r="A19186" s="6">
        <v>19184.0</v>
      </c>
      <c r="B19186" s="17">
        <f t="array" ref="B19186">SUM(1-'Sparkling Model'!D$2:D$38^A19186)</f>
        <v>36.99973868</v>
      </c>
      <c r="C19186" s="8">
        <f t="array" ref="C19186">PRODUCT(1-'Sparkling Model'!D$2:D$38^A19186)</f>
        <v>0.9997387082</v>
      </c>
    </row>
    <row r="19187">
      <c r="A19187" s="6">
        <v>19185.0</v>
      </c>
      <c r="B19187" s="17">
        <f t="array" ref="B19187">SUM(1-'Sparkling Model'!D$2:D$38^A19187)</f>
        <v>36.99973881</v>
      </c>
      <c r="C19187" s="8">
        <f t="array" ref="C19187">PRODUCT(1-'Sparkling Model'!D$2:D$38^A19187)</f>
        <v>0.9997388365</v>
      </c>
    </row>
    <row r="19188">
      <c r="A19188" s="6">
        <v>19186.0</v>
      </c>
      <c r="B19188" s="17">
        <f t="array" ref="B19188">SUM(1-'Sparkling Model'!D$2:D$38^A19188)</f>
        <v>36.99973894</v>
      </c>
      <c r="C19188" s="8">
        <f t="array" ref="C19188">PRODUCT(1-'Sparkling Model'!D$2:D$38^A19188)</f>
        <v>0.9997389648</v>
      </c>
    </row>
    <row r="19189">
      <c r="A19189" s="6">
        <v>19187.0</v>
      </c>
      <c r="B19189" s="17">
        <f t="array" ref="B19189">SUM(1-'Sparkling Model'!D$2:D$38^A19189)</f>
        <v>36.99973907</v>
      </c>
      <c r="C19189" s="8">
        <f t="array" ref="C19189">PRODUCT(1-'Sparkling Model'!D$2:D$38^A19189)</f>
        <v>0.9997390931</v>
      </c>
    </row>
    <row r="19190">
      <c r="A19190" s="6">
        <v>19188.0</v>
      </c>
      <c r="B19190" s="17">
        <f t="array" ref="B19190">SUM(1-'Sparkling Model'!D$2:D$38^A19190)</f>
        <v>36.9997392</v>
      </c>
      <c r="C19190" s="8">
        <f t="array" ref="C19190">PRODUCT(1-'Sparkling Model'!D$2:D$38^A19190)</f>
        <v>0.9997392212</v>
      </c>
    </row>
    <row r="19191">
      <c r="A19191" s="6">
        <v>19189.0</v>
      </c>
      <c r="B19191" s="17">
        <f t="array" ref="B19191">SUM(1-'Sparkling Model'!D$2:D$38^A19191)</f>
        <v>36.99973933</v>
      </c>
      <c r="C19191" s="8">
        <f t="array" ref="C19191">PRODUCT(1-'Sparkling Model'!D$2:D$38^A19191)</f>
        <v>0.9997393493</v>
      </c>
    </row>
    <row r="19192">
      <c r="A19192" s="6">
        <v>19190.0</v>
      </c>
      <c r="B19192" s="17">
        <f t="array" ref="B19192">SUM(1-'Sparkling Model'!D$2:D$38^A19192)</f>
        <v>36.99973945</v>
      </c>
      <c r="C19192" s="8">
        <f t="array" ref="C19192">PRODUCT(1-'Sparkling Model'!D$2:D$38^A19192)</f>
        <v>0.9997394774</v>
      </c>
    </row>
    <row r="19193">
      <c r="A19193" s="6">
        <v>19191.0</v>
      </c>
      <c r="B19193" s="17">
        <f t="array" ref="B19193">SUM(1-'Sparkling Model'!D$2:D$38^A19193)</f>
        <v>36.99973958</v>
      </c>
      <c r="C19193" s="8">
        <f t="array" ref="C19193">PRODUCT(1-'Sparkling Model'!D$2:D$38^A19193)</f>
        <v>0.9997396054</v>
      </c>
    </row>
    <row r="19194">
      <c r="A19194" s="6">
        <v>19192.0</v>
      </c>
      <c r="B19194" s="17">
        <f t="array" ref="B19194">SUM(1-'Sparkling Model'!D$2:D$38^A19194)</f>
        <v>36.99973971</v>
      </c>
      <c r="C19194" s="8">
        <f t="array" ref="C19194">PRODUCT(1-'Sparkling Model'!D$2:D$38^A19194)</f>
        <v>0.9997397333</v>
      </c>
    </row>
    <row r="19195">
      <c r="A19195" s="6">
        <v>19193.0</v>
      </c>
      <c r="B19195" s="17">
        <f t="array" ref="B19195">SUM(1-'Sparkling Model'!D$2:D$38^A19195)</f>
        <v>36.99973984</v>
      </c>
      <c r="C19195" s="8">
        <f t="array" ref="C19195">PRODUCT(1-'Sparkling Model'!D$2:D$38^A19195)</f>
        <v>0.9997398611</v>
      </c>
    </row>
    <row r="19196">
      <c r="A19196" s="6">
        <v>19194.0</v>
      </c>
      <c r="B19196" s="17">
        <f t="array" ref="B19196">SUM(1-'Sparkling Model'!D$2:D$38^A19196)</f>
        <v>36.99973997</v>
      </c>
      <c r="C19196" s="8">
        <f t="array" ref="C19196">PRODUCT(1-'Sparkling Model'!D$2:D$38^A19196)</f>
        <v>0.9997399889</v>
      </c>
    </row>
    <row r="19197">
      <c r="A19197" s="6">
        <v>19195.0</v>
      </c>
      <c r="B19197" s="17">
        <f t="array" ref="B19197">SUM(1-'Sparkling Model'!D$2:D$38^A19197)</f>
        <v>36.99974009</v>
      </c>
      <c r="C19197" s="8">
        <f t="array" ref="C19197">PRODUCT(1-'Sparkling Model'!D$2:D$38^A19197)</f>
        <v>0.9997401167</v>
      </c>
    </row>
    <row r="19198">
      <c r="A19198" s="6">
        <v>19196.0</v>
      </c>
      <c r="B19198" s="17">
        <f t="array" ref="B19198">SUM(1-'Sparkling Model'!D$2:D$38^A19198)</f>
        <v>36.99974022</v>
      </c>
      <c r="C19198" s="8">
        <f t="array" ref="C19198">PRODUCT(1-'Sparkling Model'!D$2:D$38^A19198)</f>
        <v>0.9997402443</v>
      </c>
    </row>
    <row r="19199">
      <c r="A19199" s="6">
        <v>19197.0</v>
      </c>
      <c r="B19199" s="17">
        <f t="array" ref="B19199">SUM(1-'Sparkling Model'!D$2:D$38^A19199)</f>
        <v>36.99974035</v>
      </c>
      <c r="C19199" s="8">
        <f t="array" ref="C19199">PRODUCT(1-'Sparkling Model'!D$2:D$38^A19199)</f>
        <v>0.9997403719</v>
      </c>
    </row>
    <row r="19200">
      <c r="A19200" s="6">
        <v>19198.0</v>
      </c>
      <c r="B19200" s="17">
        <f t="array" ref="B19200">SUM(1-'Sparkling Model'!D$2:D$38^A19200)</f>
        <v>36.99974048</v>
      </c>
      <c r="C19200" s="8">
        <f t="array" ref="C19200">PRODUCT(1-'Sparkling Model'!D$2:D$38^A19200)</f>
        <v>0.9997404995</v>
      </c>
    </row>
    <row r="19201">
      <c r="A19201" s="6">
        <v>19199.0</v>
      </c>
      <c r="B19201" s="17">
        <f t="array" ref="B19201">SUM(1-'Sparkling Model'!D$2:D$38^A19201)</f>
        <v>36.9997406</v>
      </c>
      <c r="C19201" s="8">
        <f t="array" ref="C19201">PRODUCT(1-'Sparkling Model'!D$2:D$38^A19201)</f>
        <v>0.999740627</v>
      </c>
    </row>
    <row r="19202">
      <c r="A19202" s="6">
        <v>19200.0</v>
      </c>
      <c r="B19202" s="17">
        <f t="array" ref="B19202">SUM(1-'Sparkling Model'!D$2:D$38^A19202)</f>
        <v>36.99974073</v>
      </c>
      <c r="C19202" s="8">
        <f t="array" ref="C19202">PRODUCT(1-'Sparkling Model'!D$2:D$38^A19202)</f>
        <v>0.9997407544</v>
      </c>
    </row>
    <row r="19203">
      <c r="A19203" s="6">
        <v>19201.0</v>
      </c>
      <c r="B19203" s="17">
        <f t="array" ref="B19203">SUM(1-'Sparkling Model'!D$2:D$38^A19203)</f>
        <v>36.99974086</v>
      </c>
      <c r="C19203" s="8">
        <f t="array" ref="C19203">PRODUCT(1-'Sparkling Model'!D$2:D$38^A19203)</f>
        <v>0.9997408817</v>
      </c>
    </row>
    <row r="19204">
      <c r="A19204" s="6">
        <v>19202.0</v>
      </c>
      <c r="B19204" s="17">
        <f t="array" ref="B19204">SUM(1-'Sparkling Model'!D$2:D$38^A19204)</f>
        <v>36.99974099</v>
      </c>
      <c r="C19204" s="8">
        <f t="array" ref="C19204">PRODUCT(1-'Sparkling Model'!D$2:D$38^A19204)</f>
        <v>0.999741009</v>
      </c>
    </row>
    <row r="19205">
      <c r="A19205" s="6">
        <v>19203.0</v>
      </c>
      <c r="B19205" s="17">
        <f t="array" ref="B19205">SUM(1-'Sparkling Model'!D$2:D$38^A19205)</f>
        <v>36.99974111</v>
      </c>
      <c r="C19205" s="8">
        <f t="array" ref="C19205">PRODUCT(1-'Sparkling Model'!D$2:D$38^A19205)</f>
        <v>0.9997411362</v>
      </c>
    </row>
    <row r="19206">
      <c r="A19206" s="6">
        <v>19204.0</v>
      </c>
      <c r="B19206" s="17">
        <f t="array" ref="B19206">SUM(1-'Sparkling Model'!D$2:D$38^A19206)</f>
        <v>36.99974124</v>
      </c>
      <c r="C19206" s="8">
        <f t="array" ref="C19206">PRODUCT(1-'Sparkling Model'!D$2:D$38^A19206)</f>
        <v>0.9997412634</v>
      </c>
    </row>
    <row r="19207">
      <c r="A19207" s="6">
        <v>19205.0</v>
      </c>
      <c r="B19207" s="17">
        <f t="array" ref="B19207">SUM(1-'Sparkling Model'!D$2:D$38^A19207)</f>
        <v>36.99974137</v>
      </c>
      <c r="C19207" s="8">
        <f t="array" ref="C19207">PRODUCT(1-'Sparkling Model'!D$2:D$38^A19207)</f>
        <v>0.9997413905</v>
      </c>
    </row>
    <row r="19208">
      <c r="A19208" s="6">
        <v>19206.0</v>
      </c>
      <c r="B19208" s="17">
        <f t="array" ref="B19208">SUM(1-'Sparkling Model'!D$2:D$38^A19208)</f>
        <v>36.99974149</v>
      </c>
      <c r="C19208" s="8">
        <f t="array" ref="C19208">PRODUCT(1-'Sparkling Model'!D$2:D$38^A19208)</f>
        <v>0.9997415175</v>
      </c>
    </row>
    <row r="19209">
      <c r="A19209" s="6">
        <v>19207.0</v>
      </c>
      <c r="B19209" s="17">
        <f t="array" ref="B19209">SUM(1-'Sparkling Model'!D$2:D$38^A19209)</f>
        <v>36.99974162</v>
      </c>
      <c r="C19209" s="8">
        <f t="array" ref="C19209">PRODUCT(1-'Sparkling Model'!D$2:D$38^A19209)</f>
        <v>0.9997416445</v>
      </c>
    </row>
    <row r="19210">
      <c r="A19210" s="6">
        <v>19208.0</v>
      </c>
      <c r="B19210" s="17">
        <f t="array" ref="B19210">SUM(1-'Sparkling Model'!D$2:D$38^A19210)</f>
        <v>36.99974175</v>
      </c>
      <c r="C19210" s="8">
        <f t="array" ref="C19210">PRODUCT(1-'Sparkling Model'!D$2:D$38^A19210)</f>
        <v>0.9997417714</v>
      </c>
    </row>
    <row r="19211">
      <c r="A19211" s="6">
        <v>19209.0</v>
      </c>
      <c r="B19211" s="17">
        <f t="array" ref="B19211">SUM(1-'Sparkling Model'!D$2:D$38^A19211)</f>
        <v>36.99974188</v>
      </c>
      <c r="C19211" s="8">
        <f t="array" ref="C19211">PRODUCT(1-'Sparkling Model'!D$2:D$38^A19211)</f>
        <v>0.9997418983</v>
      </c>
    </row>
    <row r="19212">
      <c r="A19212" s="6">
        <v>19210.0</v>
      </c>
      <c r="B19212" s="17">
        <f t="array" ref="B19212">SUM(1-'Sparkling Model'!D$2:D$38^A19212)</f>
        <v>36.999742</v>
      </c>
      <c r="C19212" s="8">
        <f t="array" ref="C19212">PRODUCT(1-'Sparkling Model'!D$2:D$38^A19212)</f>
        <v>0.9997420251</v>
      </c>
    </row>
    <row r="19213">
      <c r="A19213" s="6">
        <v>19211.0</v>
      </c>
      <c r="B19213" s="17">
        <f t="array" ref="B19213">SUM(1-'Sparkling Model'!D$2:D$38^A19213)</f>
        <v>36.99974213</v>
      </c>
      <c r="C19213" s="8">
        <f t="array" ref="C19213">PRODUCT(1-'Sparkling Model'!D$2:D$38^A19213)</f>
        <v>0.9997421518</v>
      </c>
    </row>
    <row r="19214">
      <c r="A19214" s="6">
        <v>19212.0</v>
      </c>
      <c r="B19214" s="17">
        <f t="array" ref="B19214">SUM(1-'Sparkling Model'!D$2:D$38^A19214)</f>
        <v>36.99974226</v>
      </c>
      <c r="C19214" s="8">
        <f t="array" ref="C19214">PRODUCT(1-'Sparkling Model'!D$2:D$38^A19214)</f>
        <v>0.9997422785</v>
      </c>
    </row>
    <row r="19215">
      <c r="A19215" s="6">
        <v>19213.0</v>
      </c>
      <c r="B19215" s="17">
        <f t="array" ref="B19215">SUM(1-'Sparkling Model'!D$2:D$38^A19215)</f>
        <v>36.99974238</v>
      </c>
      <c r="C19215" s="8">
        <f t="array" ref="C19215">PRODUCT(1-'Sparkling Model'!D$2:D$38^A19215)</f>
        <v>0.9997424051</v>
      </c>
    </row>
    <row r="19216">
      <c r="A19216" s="6">
        <v>19214.0</v>
      </c>
      <c r="B19216" s="17">
        <f t="array" ref="B19216">SUM(1-'Sparkling Model'!D$2:D$38^A19216)</f>
        <v>36.99974251</v>
      </c>
      <c r="C19216" s="8">
        <f t="array" ref="C19216">PRODUCT(1-'Sparkling Model'!D$2:D$38^A19216)</f>
        <v>0.9997425316</v>
      </c>
    </row>
    <row r="19217">
      <c r="A19217" s="6">
        <v>19215.0</v>
      </c>
      <c r="B19217" s="17">
        <f t="array" ref="B19217">SUM(1-'Sparkling Model'!D$2:D$38^A19217)</f>
        <v>36.99974264</v>
      </c>
      <c r="C19217" s="8">
        <f t="array" ref="C19217">PRODUCT(1-'Sparkling Model'!D$2:D$38^A19217)</f>
        <v>0.9997426581</v>
      </c>
    </row>
    <row r="19218">
      <c r="A19218" s="6">
        <v>19216.0</v>
      </c>
      <c r="B19218" s="17">
        <f t="array" ref="B19218">SUM(1-'Sparkling Model'!D$2:D$38^A19218)</f>
        <v>36.99974276</v>
      </c>
      <c r="C19218" s="8">
        <f t="array" ref="C19218">PRODUCT(1-'Sparkling Model'!D$2:D$38^A19218)</f>
        <v>0.9997427845</v>
      </c>
    </row>
    <row r="19219">
      <c r="A19219" s="6">
        <v>19217.0</v>
      </c>
      <c r="B19219" s="17">
        <f t="array" ref="B19219">SUM(1-'Sparkling Model'!D$2:D$38^A19219)</f>
        <v>36.99974289</v>
      </c>
      <c r="C19219" s="8">
        <f t="array" ref="C19219">PRODUCT(1-'Sparkling Model'!D$2:D$38^A19219)</f>
        <v>0.9997429109</v>
      </c>
    </row>
    <row r="19220">
      <c r="A19220" s="6">
        <v>19218.0</v>
      </c>
      <c r="B19220" s="17">
        <f t="array" ref="B19220">SUM(1-'Sparkling Model'!D$2:D$38^A19220)</f>
        <v>36.99974301</v>
      </c>
      <c r="C19220" s="8">
        <f t="array" ref="C19220">PRODUCT(1-'Sparkling Model'!D$2:D$38^A19220)</f>
        <v>0.9997430371</v>
      </c>
    </row>
    <row r="19221">
      <c r="A19221" s="6">
        <v>19219.0</v>
      </c>
      <c r="B19221" s="17">
        <f t="array" ref="B19221">SUM(1-'Sparkling Model'!D$2:D$38^A19221)</f>
        <v>36.99974314</v>
      </c>
      <c r="C19221" s="8">
        <f t="array" ref="C19221">PRODUCT(1-'Sparkling Model'!D$2:D$38^A19221)</f>
        <v>0.9997431634</v>
      </c>
    </row>
    <row r="19222">
      <c r="A19222" s="6">
        <v>19220.0</v>
      </c>
      <c r="B19222" s="17">
        <f t="array" ref="B19222">SUM(1-'Sparkling Model'!D$2:D$38^A19222)</f>
        <v>36.99974327</v>
      </c>
      <c r="C19222" s="8">
        <f t="array" ref="C19222">PRODUCT(1-'Sparkling Model'!D$2:D$38^A19222)</f>
        <v>0.9997432895</v>
      </c>
    </row>
    <row r="19223">
      <c r="A19223" s="6">
        <v>19221.0</v>
      </c>
      <c r="B19223" s="17">
        <f t="array" ref="B19223">SUM(1-'Sparkling Model'!D$2:D$38^A19223)</f>
        <v>36.99974339</v>
      </c>
      <c r="C19223" s="8">
        <f t="array" ref="C19223">PRODUCT(1-'Sparkling Model'!D$2:D$38^A19223)</f>
        <v>0.9997434156</v>
      </c>
    </row>
    <row r="19224">
      <c r="A19224" s="6">
        <v>19222.0</v>
      </c>
      <c r="B19224" s="17">
        <f t="array" ref="B19224">SUM(1-'Sparkling Model'!D$2:D$38^A19224)</f>
        <v>36.99974352</v>
      </c>
      <c r="C19224" s="8">
        <f t="array" ref="C19224">PRODUCT(1-'Sparkling Model'!D$2:D$38^A19224)</f>
        <v>0.9997435417</v>
      </c>
    </row>
    <row r="19225">
      <c r="A19225" s="6">
        <v>19223.0</v>
      </c>
      <c r="B19225" s="17">
        <f t="array" ref="B19225">SUM(1-'Sparkling Model'!D$2:D$38^A19225)</f>
        <v>36.99974365</v>
      </c>
      <c r="C19225" s="8">
        <f t="array" ref="C19225">PRODUCT(1-'Sparkling Model'!D$2:D$38^A19225)</f>
        <v>0.9997436677</v>
      </c>
    </row>
    <row r="19226">
      <c r="A19226" s="6">
        <v>19224.0</v>
      </c>
      <c r="B19226" s="17">
        <f t="array" ref="B19226">SUM(1-'Sparkling Model'!D$2:D$38^A19226)</f>
        <v>36.99974377</v>
      </c>
      <c r="C19226" s="8">
        <f t="array" ref="C19226">PRODUCT(1-'Sparkling Model'!D$2:D$38^A19226)</f>
        <v>0.9997437936</v>
      </c>
    </row>
    <row r="19227">
      <c r="A19227" s="6">
        <v>19225.0</v>
      </c>
      <c r="B19227" s="17">
        <f t="array" ref="B19227">SUM(1-'Sparkling Model'!D$2:D$38^A19227)</f>
        <v>36.9997439</v>
      </c>
      <c r="C19227" s="8">
        <f t="array" ref="C19227">PRODUCT(1-'Sparkling Model'!D$2:D$38^A19227)</f>
        <v>0.9997439194</v>
      </c>
    </row>
    <row r="19228">
      <c r="A19228" s="6">
        <v>19226.0</v>
      </c>
      <c r="B19228" s="17">
        <f t="array" ref="B19228">SUM(1-'Sparkling Model'!D$2:D$38^A19228)</f>
        <v>36.99974402</v>
      </c>
      <c r="C19228" s="8">
        <f t="array" ref="C19228">PRODUCT(1-'Sparkling Model'!D$2:D$38^A19228)</f>
        <v>0.9997440452</v>
      </c>
    </row>
    <row r="19229">
      <c r="A19229" s="6">
        <v>19227.0</v>
      </c>
      <c r="B19229" s="17">
        <f t="array" ref="B19229">SUM(1-'Sparkling Model'!D$2:D$38^A19229)</f>
        <v>36.99974415</v>
      </c>
      <c r="C19229" s="8">
        <f t="array" ref="C19229">PRODUCT(1-'Sparkling Model'!D$2:D$38^A19229)</f>
        <v>0.999744171</v>
      </c>
    </row>
    <row r="19230">
      <c r="A19230" s="6">
        <v>19228.0</v>
      </c>
      <c r="B19230" s="17">
        <f t="array" ref="B19230">SUM(1-'Sparkling Model'!D$2:D$38^A19230)</f>
        <v>36.99974427</v>
      </c>
      <c r="C19230" s="8">
        <f t="array" ref="C19230">PRODUCT(1-'Sparkling Model'!D$2:D$38^A19230)</f>
        <v>0.9997442966</v>
      </c>
    </row>
    <row r="19231">
      <c r="A19231" s="6">
        <v>19229.0</v>
      </c>
      <c r="B19231" s="17">
        <f t="array" ref="B19231">SUM(1-'Sparkling Model'!D$2:D$38^A19231)</f>
        <v>36.9997444</v>
      </c>
      <c r="C19231" s="8">
        <f t="array" ref="C19231">PRODUCT(1-'Sparkling Model'!D$2:D$38^A19231)</f>
        <v>0.9997444223</v>
      </c>
    </row>
    <row r="19232">
      <c r="A19232" s="6">
        <v>19230.0</v>
      </c>
      <c r="B19232" s="17">
        <f t="array" ref="B19232">SUM(1-'Sparkling Model'!D$2:D$38^A19232)</f>
        <v>36.99974453</v>
      </c>
      <c r="C19232" s="8">
        <f t="array" ref="C19232">PRODUCT(1-'Sparkling Model'!D$2:D$38^A19232)</f>
        <v>0.9997445478</v>
      </c>
    </row>
    <row r="19233">
      <c r="A19233" s="6">
        <v>19231.0</v>
      </c>
      <c r="B19233" s="17">
        <f t="array" ref="B19233">SUM(1-'Sparkling Model'!D$2:D$38^A19233)</f>
        <v>36.99974465</v>
      </c>
      <c r="C19233" s="8">
        <f t="array" ref="C19233">PRODUCT(1-'Sparkling Model'!D$2:D$38^A19233)</f>
        <v>0.9997446733</v>
      </c>
    </row>
    <row r="19234">
      <c r="A19234" s="6">
        <v>19232.0</v>
      </c>
      <c r="B19234" s="17">
        <f t="array" ref="B19234">SUM(1-'Sparkling Model'!D$2:D$38^A19234)</f>
        <v>36.99974478</v>
      </c>
      <c r="C19234" s="8">
        <f t="array" ref="C19234">PRODUCT(1-'Sparkling Model'!D$2:D$38^A19234)</f>
        <v>0.9997447987</v>
      </c>
    </row>
    <row r="19235">
      <c r="A19235" s="6">
        <v>19233.0</v>
      </c>
      <c r="B19235" s="17">
        <f t="array" ref="B19235">SUM(1-'Sparkling Model'!D$2:D$38^A19235)</f>
        <v>36.9997449</v>
      </c>
      <c r="C19235" s="8">
        <f t="array" ref="C19235">PRODUCT(1-'Sparkling Model'!D$2:D$38^A19235)</f>
        <v>0.9997449241</v>
      </c>
    </row>
    <row r="19236">
      <c r="A19236" s="6">
        <v>19234.0</v>
      </c>
      <c r="B19236" s="17">
        <f t="array" ref="B19236">SUM(1-'Sparkling Model'!D$2:D$38^A19236)</f>
        <v>36.99974503</v>
      </c>
      <c r="C19236" s="8">
        <f t="array" ref="C19236">PRODUCT(1-'Sparkling Model'!D$2:D$38^A19236)</f>
        <v>0.9997450494</v>
      </c>
    </row>
    <row r="19237">
      <c r="A19237" s="6">
        <v>19235.0</v>
      </c>
      <c r="B19237" s="17">
        <f t="array" ref="B19237">SUM(1-'Sparkling Model'!D$2:D$38^A19237)</f>
        <v>36.99974515</v>
      </c>
      <c r="C19237" s="8">
        <f t="array" ref="C19237">PRODUCT(1-'Sparkling Model'!D$2:D$38^A19237)</f>
        <v>0.9997451746</v>
      </c>
    </row>
    <row r="19238">
      <c r="A19238" s="6">
        <v>19236.0</v>
      </c>
      <c r="B19238" s="17">
        <f t="array" ref="B19238">SUM(1-'Sparkling Model'!D$2:D$38^A19238)</f>
        <v>36.99974528</v>
      </c>
      <c r="C19238" s="8">
        <f t="array" ref="C19238">PRODUCT(1-'Sparkling Model'!D$2:D$38^A19238)</f>
        <v>0.9997452998</v>
      </c>
    </row>
    <row r="19239">
      <c r="A19239" s="6">
        <v>19237.0</v>
      </c>
      <c r="B19239" s="17">
        <f t="array" ref="B19239">SUM(1-'Sparkling Model'!D$2:D$38^A19239)</f>
        <v>36.9997454</v>
      </c>
      <c r="C19239" s="8">
        <f t="array" ref="C19239">PRODUCT(1-'Sparkling Model'!D$2:D$38^A19239)</f>
        <v>0.9997454249</v>
      </c>
    </row>
    <row r="19240">
      <c r="A19240" s="6">
        <v>19238.0</v>
      </c>
      <c r="B19240" s="17">
        <f t="array" ref="B19240">SUM(1-'Sparkling Model'!D$2:D$38^A19240)</f>
        <v>36.99974553</v>
      </c>
      <c r="C19240" s="8">
        <f t="array" ref="C19240">PRODUCT(1-'Sparkling Model'!D$2:D$38^A19240)</f>
        <v>0.99974555</v>
      </c>
    </row>
    <row r="19241">
      <c r="A19241" s="6">
        <v>19239.0</v>
      </c>
      <c r="B19241" s="17">
        <f t="array" ref="B19241">SUM(1-'Sparkling Model'!D$2:D$38^A19241)</f>
        <v>36.99974565</v>
      </c>
      <c r="C19241" s="8">
        <f t="array" ref="C19241">PRODUCT(1-'Sparkling Model'!D$2:D$38^A19241)</f>
        <v>0.999745675</v>
      </c>
    </row>
    <row r="19242">
      <c r="A19242" s="6">
        <v>19240.0</v>
      </c>
      <c r="B19242" s="17">
        <f t="array" ref="B19242">SUM(1-'Sparkling Model'!D$2:D$38^A19242)</f>
        <v>36.99974578</v>
      </c>
      <c r="C19242" s="8">
        <f t="array" ref="C19242">PRODUCT(1-'Sparkling Model'!D$2:D$38^A19242)</f>
        <v>0.9997457999</v>
      </c>
    </row>
    <row r="19243">
      <c r="A19243" s="6">
        <v>19241.0</v>
      </c>
      <c r="B19243" s="17">
        <f t="array" ref="B19243">SUM(1-'Sparkling Model'!D$2:D$38^A19243)</f>
        <v>36.9997459</v>
      </c>
      <c r="C19243" s="8">
        <f t="array" ref="C19243">PRODUCT(1-'Sparkling Model'!D$2:D$38^A19243)</f>
        <v>0.9997459248</v>
      </c>
    </row>
    <row r="19244">
      <c r="A19244" s="6">
        <v>19242.0</v>
      </c>
      <c r="B19244" s="17">
        <f t="array" ref="B19244">SUM(1-'Sparkling Model'!D$2:D$38^A19244)</f>
        <v>36.99974603</v>
      </c>
      <c r="C19244" s="8">
        <f t="array" ref="C19244">PRODUCT(1-'Sparkling Model'!D$2:D$38^A19244)</f>
        <v>0.9997460496</v>
      </c>
    </row>
    <row r="19245">
      <c r="A19245" s="6">
        <v>19243.0</v>
      </c>
      <c r="B19245" s="17">
        <f t="array" ref="B19245">SUM(1-'Sparkling Model'!D$2:D$38^A19245)</f>
        <v>36.99974615</v>
      </c>
      <c r="C19245" s="8">
        <f t="array" ref="C19245">PRODUCT(1-'Sparkling Model'!D$2:D$38^A19245)</f>
        <v>0.9997461743</v>
      </c>
    </row>
    <row r="19246">
      <c r="A19246" s="6">
        <v>19244.0</v>
      </c>
      <c r="B19246" s="17">
        <f t="array" ref="B19246">SUM(1-'Sparkling Model'!D$2:D$38^A19246)</f>
        <v>36.99974628</v>
      </c>
      <c r="C19246" s="8">
        <f t="array" ref="C19246">PRODUCT(1-'Sparkling Model'!D$2:D$38^A19246)</f>
        <v>0.999746299</v>
      </c>
    </row>
    <row r="19247">
      <c r="A19247" s="6">
        <v>19245.0</v>
      </c>
      <c r="B19247" s="17">
        <f t="array" ref="B19247">SUM(1-'Sparkling Model'!D$2:D$38^A19247)</f>
        <v>36.9997464</v>
      </c>
      <c r="C19247" s="8">
        <f t="array" ref="C19247">PRODUCT(1-'Sparkling Model'!D$2:D$38^A19247)</f>
        <v>0.9997464236</v>
      </c>
    </row>
    <row r="19248">
      <c r="A19248" s="6">
        <v>19246.0</v>
      </c>
      <c r="B19248" s="17">
        <f t="array" ref="B19248">SUM(1-'Sparkling Model'!D$2:D$38^A19248)</f>
        <v>36.99974653</v>
      </c>
      <c r="C19248" s="8">
        <f t="array" ref="C19248">PRODUCT(1-'Sparkling Model'!D$2:D$38^A19248)</f>
        <v>0.9997465482</v>
      </c>
    </row>
    <row r="19249">
      <c r="A19249" s="6">
        <v>19247.0</v>
      </c>
      <c r="B19249" s="17">
        <f t="array" ref="B19249">SUM(1-'Sparkling Model'!D$2:D$38^A19249)</f>
        <v>36.99974665</v>
      </c>
      <c r="C19249" s="8">
        <f t="array" ref="C19249">PRODUCT(1-'Sparkling Model'!D$2:D$38^A19249)</f>
        <v>0.9997466727</v>
      </c>
    </row>
    <row r="19250">
      <c r="A19250" s="6">
        <v>19248.0</v>
      </c>
      <c r="B19250" s="17">
        <f t="array" ref="B19250">SUM(1-'Sparkling Model'!D$2:D$38^A19250)</f>
        <v>36.99974678</v>
      </c>
      <c r="C19250" s="8">
        <f t="array" ref="C19250">PRODUCT(1-'Sparkling Model'!D$2:D$38^A19250)</f>
        <v>0.9997467971</v>
      </c>
    </row>
    <row r="19251">
      <c r="A19251" s="6">
        <v>19249.0</v>
      </c>
      <c r="B19251" s="17">
        <f t="array" ref="B19251">SUM(1-'Sparkling Model'!D$2:D$38^A19251)</f>
        <v>36.9997469</v>
      </c>
      <c r="C19251" s="8">
        <f t="array" ref="C19251">PRODUCT(1-'Sparkling Model'!D$2:D$38^A19251)</f>
        <v>0.9997469215</v>
      </c>
    </row>
    <row r="19252">
      <c r="A19252" s="6">
        <v>19250.0</v>
      </c>
      <c r="B19252" s="17">
        <f t="array" ref="B19252">SUM(1-'Sparkling Model'!D$2:D$38^A19252)</f>
        <v>36.99974702</v>
      </c>
      <c r="C19252" s="8">
        <f t="array" ref="C19252">PRODUCT(1-'Sparkling Model'!D$2:D$38^A19252)</f>
        <v>0.9997470458</v>
      </c>
    </row>
    <row r="19253">
      <c r="A19253" s="6">
        <v>19251.0</v>
      </c>
      <c r="B19253" s="17">
        <f t="array" ref="B19253">SUM(1-'Sparkling Model'!D$2:D$38^A19253)</f>
        <v>36.99974715</v>
      </c>
      <c r="C19253" s="8">
        <f t="array" ref="C19253">PRODUCT(1-'Sparkling Model'!D$2:D$38^A19253)</f>
        <v>0.9997471701</v>
      </c>
    </row>
    <row r="19254">
      <c r="A19254" s="6">
        <v>19252.0</v>
      </c>
      <c r="B19254" s="17">
        <f t="array" ref="B19254">SUM(1-'Sparkling Model'!D$2:D$38^A19254)</f>
        <v>36.99974727</v>
      </c>
      <c r="C19254" s="8">
        <f t="array" ref="C19254">PRODUCT(1-'Sparkling Model'!D$2:D$38^A19254)</f>
        <v>0.9997472943</v>
      </c>
    </row>
    <row r="19255">
      <c r="A19255" s="6">
        <v>19253.0</v>
      </c>
      <c r="B19255" s="17">
        <f t="array" ref="B19255">SUM(1-'Sparkling Model'!D$2:D$38^A19255)</f>
        <v>36.9997474</v>
      </c>
      <c r="C19255" s="8">
        <f t="array" ref="C19255">PRODUCT(1-'Sparkling Model'!D$2:D$38^A19255)</f>
        <v>0.9997474184</v>
      </c>
    </row>
    <row r="19256">
      <c r="A19256" s="6">
        <v>19254.0</v>
      </c>
      <c r="B19256" s="17">
        <f t="array" ref="B19256">SUM(1-'Sparkling Model'!D$2:D$38^A19256)</f>
        <v>36.99974752</v>
      </c>
      <c r="C19256" s="8">
        <f t="array" ref="C19256">PRODUCT(1-'Sparkling Model'!D$2:D$38^A19256)</f>
        <v>0.9997475425</v>
      </c>
    </row>
    <row r="19257">
      <c r="A19257" s="6">
        <v>19255.0</v>
      </c>
      <c r="B19257" s="17">
        <f t="array" ref="B19257">SUM(1-'Sparkling Model'!D$2:D$38^A19257)</f>
        <v>36.99974764</v>
      </c>
      <c r="C19257" s="8">
        <f t="array" ref="C19257">PRODUCT(1-'Sparkling Model'!D$2:D$38^A19257)</f>
        <v>0.9997476665</v>
      </c>
    </row>
    <row r="19258">
      <c r="A19258" s="6">
        <v>19256.0</v>
      </c>
      <c r="B19258" s="17">
        <f t="array" ref="B19258">SUM(1-'Sparkling Model'!D$2:D$38^A19258)</f>
        <v>36.99974777</v>
      </c>
      <c r="C19258" s="8">
        <f t="array" ref="C19258">PRODUCT(1-'Sparkling Model'!D$2:D$38^A19258)</f>
        <v>0.9997477904</v>
      </c>
    </row>
    <row r="19259">
      <c r="A19259" s="6">
        <v>19257.0</v>
      </c>
      <c r="B19259" s="17">
        <f t="array" ref="B19259">SUM(1-'Sparkling Model'!D$2:D$38^A19259)</f>
        <v>36.99974789</v>
      </c>
      <c r="C19259" s="8">
        <f t="array" ref="C19259">PRODUCT(1-'Sparkling Model'!D$2:D$38^A19259)</f>
        <v>0.9997479143</v>
      </c>
    </row>
    <row r="19260">
      <c r="A19260" s="6">
        <v>19258.0</v>
      </c>
      <c r="B19260" s="17">
        <f t="array" ref="B19260">SUM(1-'Sparkling Model'!D$2:D$38^A19260)</f>
        <v>36.99974802</v>
      </c>
      <c r="C19260" s="8">
        <f t="array" ref="C19260">PRODUCT(1-'Sparkling Model'!D$2:D$38^A19260)</f>
        <v>0.9997480382</v>
      </c>
    </row>
    <row r="19261">
      <c r="A19261" s="6">
        <v>19259.0</v>
      </c>
      <c r="B19261" s="17">
        <f t="array" ref="B19261">SUM(1-'Sparkling Model'!D$2:D$38^A19261)</f>
        <v>36.99974814</v>
      </c>
      <c r="C19261" s="8">
        <f t="array" ref="C19261">PRODUCT(1-'Sparkling Model'!D$2:D$38^A19261)</f>
        <v>0.9997481619</v>
      </c>
    </row>
    <row r="19262">
      <c r="A19262" s="6">
        <v>19260.0</v>
      </c>
      <c r="B19262" s="17">
        <f t="array" ref="B19262">SUM(1-'Sparkling Model'!D$2:D$38^A19262)</f>
        <v>36.99974826</v>
      </c>
      <c r="C19262" s="8">
        <f t="array" ref="C19262">PRODUCT(1-'Sparkling Model'!D$2:D$38^A19262)</f>
        <v>0.9997482856</v>
      </c>
    </row>
    <row r="19263">
      <c r="A19263" s="6">
        <v>19261.0</v>
      </c>
      <c r="B19263" s="17">
        <f t="array" ref="B19263">SUM(1-'Sparkling Model'!D$2:D$38^A19263)</f>
        <v>36.99974839</v>
      </c>
      <c r="C19263" s="8">
        <f t="array" ref="C19263">PRODUCT(1-'Sparkling Model'!D$2:D$38^A19263)</f>
        <v>0.9997484093</v>
      </c>
    </row>
    <row r="19264">
      <c r="A19264" s="6">
        <v>19262.0</v>
      </c>
      <c r="B19264" s="17">
        <f t="array" ref="B19264">SUM(1-'Sparkling Model'!D$2:D$38^A19264)</f>
        <v>36.99974851</v>
      </c>
      <c r="C19264" s="8">
        <f t="array" ref="C19264">PRODUCT(1-'Sparkling Model'!D$2:D$38^A19264)</f>
        <v>0.9997485329</v>
      </c>
    </row>
    <row r="19265">
      <c r="A19265" s="6">
        <v>19263.0</v>
      </c>
      <c r="B19265" s="17">
        <f t="array" ref="B19265">SUM(1-'Sparkling Model'!D$2:D$38^A19265)</f>
        <v>36.99974863</v>
      </c>
      <c r="C19265" s="8">
        <f t="array" ref="C19265">PRODUCT(1-'Sparkling Model'!D$2:D$38^A19265)</f>
        <v>0.9997486564</v>
      </c>
    </row>
    <row r="19266">
      <c r="A19266" s="6">
        <v>19264.0</v>
      </c>
      <c r="B19266" s="17">
        <f t="array" ref="B19266">SUM(1-'Sparkling Model'!D$2:D$38^A19266)</f>
        <v>36.99974876</v>
      </c>
      <c r="C19266" s="8">
        <f t="array" ref="C19266">PRODUCT(1-'Sparkling Model'!D$2:D$38^A19266)</f>
        <v>0.9997487799</v>
      </c>
    </row>
    <row r="19267">
      <c r="A19267" s="6">
        <v>19265.0</v>
      </c>
      <c r="B19267" s="17">
        <f t="array" ref="B19267">SUM(1-'Sparkling Model'!D$2:D$38^A19267)</f>
        <v>36.99974888</v>
      </c>
      <c r="C19267" s="8">
        <f t="array" ref="C19267">PRODUCT(1-'Sparkling Model'!D$2:D$38^A19267)</f>
        <v>0.9997489033</v>
      </c>
    </row>
    <row r="19268">
      <c r="A19268" s="6">
        <v>19266.0</v>
      </c>
      <c r="B19268" s="17">
        <f t="array" ref="B19268">SUM(1-'Sparkling Model'!D$2:D$38^A19268)</f>
        <v>36.99974901</v>
      </c>
      <c r="C19268" s="8">
        <f t="array" ref="C19268">PRODUCT(1-'Sparkling Model'!D$2:D$38^A19268)</f>
        <v>0.9997490266</v>
      </c>
    </row>
    <row r="19269">
      <c r="A19269" s="6">
        <v>19267.0</v>
      </c>
      <c r="B19269" s="17">
        <f t="array" ref="B19269">SUM(1-'Sparkling Model'!D$2:D$38^A19269)</f>
        <v>36.99974913</v>
      </c>
      <c r="C19269" s="8">
        <f t="array" ref="C19269">PRODUCT(1-'Sparkling Model'!D$2:D$38^A19269)</f>
        <v>0.9997491499</v>
      </c>
    </row>
    <row r="19270">
      <c r="A19270" s="6">
        <v>19268.0</v>
      </c>
      <c r="B19270" s="17">
        <f t="array" ref="B19270">SUM(1-'Sparkling Model'!D$2:D$38^A19270)</f>
        <v>36.99974925</v>
      </c>
      <c r="C19270" s="8">
        <f t="array" ref="C19270">PRODUCT(1-'Sparkling Model'!D$2:D$38^A19270)</f>
        <v>0.9997492731</v>
      </c>
    </row>
    <row r="19271">
      <c r="A19271" s="6">
        <v>19269.0</v>
      </c>
      <c r="B19271" s="17">
        <f t="array" ref="B19271">SUM(1-'Sparkling Model'!D$2:D$38^A19271)</f>
        <v>36.99974937</v>
      </c>
      <c r="C19271" s="8">
        <f t="array" ref="C19271">PRODUCT(1-'Sparkling Model'!D$2:D$38^A19271)</f>
        <v>0.9997493963</v>
      </c>
    </row>
    <row r="19272">
      <c r="A19272" s="6">
        <v>19270.0</v>
      </c>
      <c r="B19272" s="17">
        <f t="array" ref="B19272">SUM(1-'Sparkling Model'!D$2:D$38^A19272)</f>
        <v>36.9997495</v>
      </c>
      <c r="C19272" s="8">
        <f t="array" ref="C19272">PRODUCT(1-'Sparkling Model'!D$2:D$38^A19272)</f>
        <v>0.9997495194</v>
      </c>
    </row>
    <row r="19273">
      <c r="A19273" s="6">
        <v>19271.0</v>
      </c>
      <c r="B19273" s="17">
        <f t="array" ref="B19273">SUM(1-'Sparkling Model'!D$2:D$38^A19273)</f>
        <v>36.99974962</v>
      </c>
      <c r="C19273" s="8">
        <f t="array" ref="C19273">PRODUCT(1-'Sparkling Model'!D$2:D$38^A19273)</f>
        <v>0.9997496424</v>
      </c>
    </row>
    <row r="19274">
      <c r="A19274" s="6">
        <v>19272.0</v>
      </c>
      <c r="B19274" s="17">
        <f t="array" ref="B19274">SUM(1-'Sparkling Model'!D$2:D$38^A19274)</f>
        <v>36.99974974</v>
      </c>
      <c r="C19274" s="8">
        <f t="array" ref="C19274">PRODUCT(1-'Sparkling Model'!D$2:D$38^A19274)</f>
        <v>0.9997497654</v>
      </c>
    </row>
    <row r="19275">
      <c r="A19275" s="6">
        <v>19273.0</v>
      </c>
      <c r="B19275" s="17">
        <f t="array" ref="B19275">SUM(1-'Sparkling Model'!D$2:D$38^A19275)</f>
        <v>36.99974987</v>
      </c>
      <c r="C19275" s="8">
        <f t="array" ref="C19275">PRODUCT(1-'Sparkling Model'!D$2:D$38^A19275)</f>
        <v>0.9997498883</v>
      </c>
    </row>
    <row r="19276">
      <c r="A19276" s="6">
        <v>19274.0</v>
      </c>
      <c r="B19276" s="17">
        <f t="array" ref="B19276">SUM(1-'Sparkling Model'!D$2:D$38^A19276)</f>
        <v>36.99974999</v>
      </c>
      <c r="C19276" s="8">
        <f t="array" ref="C19276">PRODUCT(1-'Sparkling Model'!D$2:D$38^A19276)</f>
        <v>0.9997500112</v>
      </c>
    </row>
    <row r="19277">
      <c r="A19277" s="6">
        <v>19275.0</v>
      </c>
      <c r="B19277" s="17">
        <f t="array" ref="B19277">SUM(1-'Sparkling Model'!D$2:D$38^A19277)</f>
        <v>36.99975011</v>
      </c>
      <c r="C19277" s="8">
        <f t="array" ref="C19277">PRODUCT(1-'Sparkling Model'!D$2:D$38^A19277)</f>
        <v>0.999750134</v>
      </c>
    </row>
    <row r="19278">
      <c r="A19278" s="6">
        <v>19276.0</v>
      </c>
      <c r="B19278" s="17">
        <f t="array" ref="B19278">SUM(1-'Sparkling Model'!D$2:D$38^A19278)</f>
        <v>36.99975024</v>
      </c>
      <c r="C19278" s="8">
        <f t="array" ref="C19278">PRODUCT(1-'Sparkling Model'!D$2:D$38^A19278)</f>
        <v>0.9997502567</v>
      </c>
    </row>
    <row r="19279">
      <c r="A19279" s="6">
        <v>19277.0</v>
      </c>
      <c r="B19279" s="17">
        <f t="array" ref="B19279">SUM(1-'Sparkling Model'!D$2:D$38^A19279)</f>
        <v>36.99975036</v>
      </c>
      <c r="C19279" s="8">
        <f t="array" ref="C19279">PRODUCT(1-'Sparkling Model'!D$2:D$38^A19279)</f>
        <v>0.9997503794</v>
      </c>
    </row>
    <row r="19280">
      <c r="A19280" s="6">
        <v>19278.0</v>
      </c>
      <c r="B19280" s="17">
        <f t="array" ref="B19280">SUM(1-'Sparkling Model'!D$2:D$38^A19280)</f>
        <v>36.99975048</v>
      </c>
      <c r="C19280" s="8">
        <f t="array" ref="C19280">PRODUCT(1-'Sparkling Model'!D$2:D$38^A19280)</f>
        <v>0.999750502</v>
      </c>
    </row>
    <row r="19281">
      <c r="A19281" s="6">
        <v>19279.0</v>
      </c>
      <c r="B19281" s="17">
        <f t="array" ref="B19281">SUM(1-'Sparkling Model'!D$2:D$38^A19281)</f>
        <v>36.9997506</v>
      </c>
      <c r="C19281" s="8">
        <f t="array" ref="C19281">PRODUCT(1-'Sparkling Model'!D$2:D$38^A19281)</f>
        <v>0.9997506245</v>
      </c>
    </row>
    <row r="19282">
      <c r="A19282" s="6">
        <v>19280.0</v>
      </c>
      <c r="B19282" s="17">
        <f t="array" ref="B19282">SUM(1-'Sparkling Model'!D$2:D$38^A19282)</f>
        <v>36.99975073</v>
      </c>
      <c r="C19282" s="8">
        <f t="array" ref="C19282">PRODUCT(1-'Sparkling Model'!D$2:D$38^A19282)</f>
        <v>0.999750747</v>
      </c>
    </row>
    <row r="19283">
      <c r="A19283" s="6">
        <v>19281.0</v>
      </c>
      <c r="B19283" s="17">
        <f t="array" ref="B19283">SUM(1-'Sparkling Model'!D$2:D$38^A19283)</f>
        <v>36.99975085</v>
      </c>
      <c r="C19283" s="8">
        <f t="array" ref="C19283">PRODUCT(1-'Sparkling Model'!D$2:D$38^A19283)</f>
        <v>0.9997508695</v>
      </c>
    </row>
    <row r="19284">
      <c r="A19284" s="6">
        <v>19282.0</v>
      </c>
      <c r="B19284" s="17">
        <f t="array" ref="B19284">SUM(1-'Sparkling Model'!D$2:D$38^A19284)</f>
        <v>36.99975097</v>
      </c>
      <c r="C19284" s="8">
        <f t="array" ref="C19284">PRODUCT(1-'Sparkling Model'!D$2:D$38^A19284)</f>
        <v>0.9997509919</v>
      </c>
    </row>
    <row r="19285">
      <c r="A19285" s="6">
        <v>19283.0</v>
      </c>
      <c r="B19285" s="17">
        <f t="array" ref="B19285">SUM(1-'Sparkling Model'!D$2:D$38^A19285)</f>
        <v>36.99975109</v>
      </c>
      <c r="C19285" s="8">
        <f t="array" ref="C19285">PRODUCT(1-'Sparkling Model'!D$2:D$38^A19285)</f>
        <v>0.9997511142</v>
      </c>
    </row>
    <row r="19286">
      <c r="A19286" s="6">
        <v>19284.0</v>
      </c>
      <c r="B19286" s="17">
        <f t="array" ref="B19286">SUM(1-'Sparkling Model'!D$2:D$38^A19286)</f>
        <v>36.99975122</v>
      </c>
      <c r="C19286" s="8">
        <f t="array" ref="C19286">PRODUCT(1-'Sparkling Model'!D$2:D$38^A19286)</f>
        <v>0.9997512364</v>
      </c>
    </row>
    <row r="19287">
      <c r="A19287" s="6">
        <v>19285.0</v>
      </c>
      <c r="B19287" s="17">
        <f t="array" ref="B19287">SUM(1-'Sparkling Model'!D$2:D$38^A19287)</f>
        <v>36.99975134</v>
      </c>
      <c r="C19287" s="8">
        <f t="array" ref="C19287">PRODUCT(1-'Sparkling Model'!D$2:D$38^A19287)</f>
        <v>0.9997513586</v>
      </c>
    </row>
    <row r="19288">
      <c r="A19288" s="6">
        <v>19286.0</v>
      </c>
      <c r="B19288" s="17">
        <f t="array" ref="B19288">SUM(1-'Sparkling Model'!D$2:D$38^A19288)</f>
        <v>36.99975146</v>
      </c>
      <c r="C19288" s="8">
        <f t="array" ref="C19288">PRODUCT(1-'Sparkling Model'!D$2:D$38^A19288)</f>
        <v>0.9997514808</v>
      </c>
    </row>
    <row r="19289">
      <c r="A19289" s="6">
        <v>19287.0</v>
      </c>
      <c r="B19289" s="17">
        <f t="array" ref="B19289">SUM(1-'Sparkling Model'!D$2:D$38^A19289)</f>
        <v>36.99975158</v>
      </c>
      <c r="C19289" s="8">
        <f t="array" ref="C19289">PRODUCT(1-'Sparkling Model'!D$2:D$38^A19289)</f>
        <v>0.9997516028</v>
      </c>
    </row>
    <row r="19290">
      <c r="A19290" s="6">
        <v>19288.0</v>
      </c>
      <c r="B19290" s="17">
        <f t="array" ref="B19290">SUM(1-'Sparkling Model'!D$2:D$38^A19290)</f>
        <v>36.9997517</v>
      </c>
      <c r="C19290" s="8">
        <f t="array" ref="C19290">PRODUCT(1-'Sparkling Model'!D$2:D$38^A19290)</f>
        <v>0.9997517248</v>
      </c>
    </row>
    <row r="19291">
      <c r="A19291" s="6">
        <v>19289.0</v>
      </c>
      <c r="B19291" s="17">
        <f t="array" ref="B19291">SUM(1-'Sparkling Model'!D$2:D$38^A19291)</f>
        <v>36.99975183</v>
      </c>
      <c r="C19291" s="8">
        <f t="array" ref="C19291">PRODUCT(1-'Sparkling Model'!D$2:D$38^A19291)</f>
        <v>0.9997518468</v>
      </c>
    </row>
    <row r="19292">
      <c r="A19292" s="6">
        <v>19290.0</v>
      </c>
      <c r="B19292" s="17">
        <f t="array" ref="B19292">SUM(1-'Sparkling Model'!D$2:D$38^A19292)</f>
        <v>36.99975195</v>
      </c>
      <c r="C19292" s="8">
        <f t="array" ref="C19292">PRODUCT(1-'Sparkling Model'!D$2:D$38^A19292)</f>
        <v>0.9997519687</v>
      </c>
    </row>
    <row r="19293">
      <c r="A19293" s="6">
        <v>19291.0</v>
      </c>
      <c r="B19293" s="17">
        <f t="array" ref="B19293">SUM(1-'Sparkling Model'!D$2:D$38^A19293)</f>
        <v>36.99975207</v>
      </c>
      <c r="C19293" s="8">
        <f t="array" ref="C19293">PRODUCT(1-'Sparkling Model'!D$2:D$38^A19293)</f>
        <v>0.9997520905</v>
      </c>
    </row>
    <row r="19294">
      <c r="A19294" s="6">
        <v>19292.0</v>
      </c>
      <c r="B19294" s="17">
        <f t="array" ref="B19294">SUM(1-'Sparkling Model'!D$2:D$38^A19294)</f>
        <v>36.99975219</v>
      </c>
      <c r="C19294" s="8">
        <f t="array" ref="C19294">PRODUCT(1-'Sparkling Model'!D$2:D$38^A19294)</f>
        <v>0.9997522123</v>
      </c>
    </row>
    <row r="19295">
      <c r="A19295" s="6">
        <v>19293.0</v>
      </c>
      <c r="B19295" s="17">
        <f t="array" ref="B19295">SUM(1-'Sparkling Model'!D$2:D$38^A19295)</f>
        <v>36.99975231</v>
      </c>
      <c r="C19295" s="8">
        <f t="array" ref="C19295">PRODUCT(1-'Sparkling Model'!D$2:D$38^A19295)</f>
        <v>0.999752334</v>
      </c>
    </row>
    <row r="19296">
      <c r="A19296" s="6">
        <v>19294.0</v>
      </c>
      <c r="B19296" s="17">
        <f t="array" ref="B19296">SUM(1-'Sparkling Model'!D$2:D$38^A19296)</f>
        <v>36.99975243</v>
      </c>
      <c r="C19296" s="8">
        <f t="array" ref="C19296">PRODUCT(1-'Sparkling Model'!D$2:D$38^A19296)</f>
        <v>0.9997524557</v>
      </c>
    </row>
    <row r="19297">
      <c r="A19297" s="6">
        <v>19295.0</v>
      </c>
      <c r="B19297" s="17">
        <f t="array" ref="B19297">SUM(1-'Sparkling Model'!D$2:D$38^A19297)</f>
        <v>36.99975256</v>
      </c>
      <c r="C19297" s="8">
        <f t="array" ref="C19297">PRODUCT(1-'Sparkling Model'!D$2:D$38^A19297)</f>
        <v>0.9997525773</v>
      </c>
    </row>
    <row r="19298">
      <c r="A19298" s="6">
        <v>19296.0</v>
      </c>
      <c r="B19298" s="17">
        <f t="array" ref="B19298">SUM(1-'Sparkling Model'!D$2:D$38^A19298)</f>
        <v>36.99975268</v>
      </c>
      <c r="C19298" s="8">
        <f t="array" ref="C19298">PRODUCT(1-'Sparkling Model'!D$2:D$38^A19298)</f>
        <v>0.9997526988</v>
      </c>
    </row>
    <row r="19299">
      <c r="A19299" s="6">
        <v>19297.0</v>
      </c>
      <c r="B19299" s="17">
        <f t="array" ref="B19299">SUM(1-'Sparkling Model'!D$2:D$38^A19299)</f>
        <v>36.9997528</v>
      </c>
      <c r="C19299" s="8">
        <f t="array" ref="C19299">PRODUCT(1-'Sparkling Model'!D$2:D$38^A19299)</f>
        <v>0.9997528203</v>
      </c>
    </row>
    <row r="19300">
      <c r="A19300" s="6">
        <v>19298.0</v>
      </c>
      <c r="B19300" s="17">
        <f t="array" ref="B19300">SUM(1-'Sparkling Model'!D$2:D$38^A19300)</f>
        <v>36.99975292</v>
      </c>
      <c r="C19300" s="8">
        <f t="array" ref="C19300">PRODUCT(1-'Sparkling Model'!D$2:D$38^A19300)</f>
        <v>0.9997529417</v>
      </c>
    </row>
    <row r="19301">
      <c r="A19301" s="6">
        <v>19299.0</v>
      </c>
      <c r="B19301" s="17">
        <f t="array" ref="B19301">SUM(1-'Sparkling Model'!D$2:D$38^A19301)</f>
        <v>36.99975304</v>
      </c>
      <c r="C19301" s="8">
        <f t="array" ref="C19301">PRODUCT(1-'Sparkling Model'!D$2:D$38^A19301)</f>
        <v>0.999753063</v>
      </c>
    </row>
    <row r="19302">
      <c r="A19302" s="6">
        <v>19300.0</v>
      </c>
      <c r="B19302" s="17">
        <f t="array" ref="B19302">SUM(1-'Sparkling Model'!D$2:D$38^A19302)</f>
        <v>36.99975316</v>
      </c>
      <c r="C19302" s="8">
        <f t="array" ref="C19302">PRODUCT(1-'Sparkling Model'!D$2:D$38^A19302)</f>
        <v>0.9997531843</v>
      </c>
    </row>
    <row r="19303">
      <c r="A19303" s="6">
        <v>19301.0</v>
      </c>
      <c r="B19303" s="17">
        <f t="array" ref="B19303">SUM(1-'Sparkling Model'!D$2:D$38^A19303)</f>
        <v>36.99975328</v>
      </c>
      <c r="C19303" s="8">
        <f t="array" ref="C19303">PRODUCT(1-'Sparkling Model'!D$2:D$38^A19303)</f>
        <v>0.9997533056</v>
      </c>
    </row>
    <row r="19304">
      <c r="A19304" s="6">
        <v>19302.0</v>
      </c>
      <c r="B19304" s="17">
        <f t="array" ref="B19304">SUM(1-'Sparkling Model'!D$2:D$38^A19304)</f>
        <v>36.99975341</v>
      </c>
      <c r="C19304" s="8">
        <f t="array" ref="C19304">PRODUCT(1-'Sparkling Model'!D$2:D$38^A19304)</f>
        <v>0.9997534268</v>
      </c>
    </row>
    <row r="19305">
      <c r="A19305" s="6">
        <v>19303.0</v>
      </c>
      <c r="B19305" s="17">
        <f t="array" ref="B19305">SUM(1-'Sparkling Model'!D$2:D$38^A19305)</f>
        <v>36.99975353</v>
      </c>
      <c r="C19305" s="8">
        <f t="array" ref="C19305">PRODUCT(1-'Sparkling Model'!D$2:D$38^A19305)</f>
        <v>0.9997535479</v>
      </c>
    </row>
    <row r="19306">
      <c r="A19306" s="6">
        <v>19304.0</v>
      </c>
      <c r="B19306" s="17">
        <f t="array" ref="B19306">SUM(1-'Sparkling Model'!D$2:D$38^A19306)</f>
        <v>36.99975365</v>
      </c>
      <c r="C19306" s="8">
        <f t="array" ref="C19306">PRODUCT(1-'Sparkling Model'!D$2:D$38^A19306)</f>
        <v>0.9997536689</v>
      </c>
    </row>
    <row r="19307">
      <c r="A19307" s="6">
        <v>19305.0</v>
      </c>
      <c r="B19307" s="17">
        <f t="array" ref="B19307">SUM(1-'Sparkling Model'!D$2:D$38^A19307)</f>
        <v>36.99975377</v>
      </c>
      <c r="C19307" s="8">
        <f t="array" ref="C19307">PRODUCT(1-'Sparkling Model'!D$2:D$38^A19307)</f>
        <v>0.9997537899</v>
      </c>
    </row>
    <row r="19308">
      <c r="A19308" s="6">
        <v>19306.0</v>
      </c>
      <c r="B19308" s="17">
        <f t="array" ref="B19308">SUM(1-'Sparkling Model'!D$2:D$38^A19308)</f>
        <v>36.99975389</v>
      </c>
      <c r="C19308" s="8">
        <f t="array" ref="C19308">PRODUCT(1-'Sparkling Model'!D$2:D$38^A19308)</f>
        <v>0.9997539109</v>
      </c>
    </row>
    <row r="19309">
      <c r="A19309" s="6">
        <v>19307.0</v>
      </c>
      <c r="B19309" s="17">
        <f t="array" ref="B19309">SUM(1-'Sparkling Model'!D$2:D$38^A19309)</f>
        <v>36.99975401</v>
      </c>
      <c r="C19309" s="8">
        <f t="array" ref="C19309">PRODUCT(1-'Sparkling Model'!D$2:D$38^A19309)</f>
        <v>0.9997540317</v>
      </c>
    </row>
    <row r="19310">
      <c r="A19310" s="6">
        <v>19308.0</v>
      </c>
      <c r="B19310" s="17">
        <f t="array" ref="B19310">SUM(1-'Sparkling Model'!D$2:D$38^A19310)</f>
        <v>36.99975413</v>
      </c>
      <c r="C19310" s="8">
        <f t="array" ref="C19310">PRODUCT(1-'Sparkling Model'!D$2:D$38^A19310)</f>
        <v>0.9997541526</v>
      </c>
    </row>
    <row r="19311">
      <c r="A19311" s="6">
        <v>19309.0</v>
      </c>
      <c r="B19311" s="17">
        <f t="array" ref="B19311">SUM(1-'Sparkling Model'!D$2:D$38^A19311)</f>
        <v>36.99975425</v>
      </c>
      <c r="C19311" s="8">
        <f t="array" ref="C19311">PRODUCT(1-'Sparkling Model'!D$2:D$38^A19311)</f>
        <v>0.9997542733</v>
      </c>
    </row>
    <row r="19312">
      <c r="A19312" s="6">
        <v>19310.0</v>
      </c>
      <c r="B19312" s="17">
        <f t="array" ref="B19312">SUM(1-'Sparkling Model'!D$2:D$38^A19312)</f>
        <v>36.99975437</v>
      </c>
      <c r="C19312" s="8">
        <f t="array" ref="C19312">PRODUCT(1-'Sparkling Model'!D$2:D$38^A19312)</f>
        <v>0.999754394</v>
      </c>
    </row>
    <row r="19313">
      <c r="A19313" s="6">
        <v>19311.0</v>
      </c>
      <c r="B19313" s="17">
        <f t="array" ref="B19313">SUM(1-'Sparkling Model'!D$2:D$38^A19313)</f>
        <v>36.99975449</v>
      </c>
      <c r="C19313" s="8">
        <f t="array" ref="C19313">PRODUCT(1-'Sparkling Model'!D$2:D$38^A19313)</f>
        <v>0.9997545147</v>
      </c>
    </row>
    <row r="19314">
      <c r="A19314" s="6">
        <v>19312.0</v>
      </c>
      <c r="B19314" s="17">
        <f t="array" ref="B19314">SUM(1-'Sparkling Model'!D$2:D$38^A19314)</f>
        <v>36.99975461</v>
      </c>
      <c r="C19314" s="8">
        <f t="array" ref="C19314">PRODUCT(1-'Sparkling Model'!D$2:D$38^A19314)</f>
        <v>0.9997546352</v>
      </c>
    </row>
    <row r="19315">
      <c r="A19315" s="6">
        <v>19313.0</v>
      </c>
      <c r="B19315" s="17">
        <f t="array" ref="B19315">SUM(1-'Sparkling Model'!D$2:D$38^A19315)</f>
        <v>36.99975474</v>
      </c>
      <c r="C19315" s="8">
        <f t="array" ref="C19315">PRODUCT(1-'Sparkling Model'!D$2:D$38^A19315)</f>
        <v>0.9997547558</v>
      </c>
    </row>
    <row r="19316">
      <c r="A19316" s="6">
        <v>19314.0</v>
      </c>
      <c r="B19316" s="17">
        <f t="array" ref="B19316">SUM(1-'Sparkling Model'!D$2:D$38^A19316)</f>
        <v>36.99975486</v>
      </c>
      <c r="C19316" s="8">
        <f t="array" ref="C19316">PRODUCT(1-'Sparkling Model'!D$2:D$38^A19316)</f>
        <v>0.9997548762</v>
      </c>
    </row>
    <row r="19317">
      <c r="A19317" s="6">
        <v>19315.0</v>
      </c>
      <c r="B19317" s="17">
        <f t="array" ref="B19317">SUM(1-'Sparkling Model'!D$2:D$38^A19317)</f>
        <v>36.99975498</v>
      </c>
      <c r="C19317" s="8">
        <f t="array" ref="C19317">PRODUCT(1-'Sparkling Model'!D$2:D$38^A19317)</f>
        <v>0.9997549966</v>
      </c>
    </row>
    <row r="19318">
      <c r="A19318" s="6">
        <v>19316.0</v>
      </c>
      <c r="B19318" s="17">
        <f t="array" ref="B19318">SUM(1-'Sparkling Model'!D$2:D$38^A19318)</f>
        <v>36.9997551</v>
      </c>
      <c r="C19318" s="8">
        <f t="array" ref="C19318">PRODUCT(1-'Sparkling Model'!D$2:D$38^A19318)</f>
        <v>0.999755117</v>
      </c>
    </row>
    <row r="19319">
      <c r="A19319" s="6">
        <v>19317.0</v>
      </c>
      <c r="B19319" s="17">
        <f t="array" ref="B19319">SUM(1-'Sparkling Model'!D$2:D$38^A19319)</f>
        <v>36.99975522</v>
      </c>
      <c r="C19319" s="8">
        <f t="array" ref="C19319">PRODUCT(1-'Sparkling Model'!D$2:D$38^A19319)</f>
        <v>0.9997552373</v>
      </c>
    </row>
    <row r="19320">
      <c r="A19320" s="6">
        <v>19318.0</v>
      </c>
      <c r="B19320" s="17">
        <f t="array" ref="B19320">SUM(1-'Sparkling Model'!D$2:D$38^A19320)</f>
        <v>36.99975534</v>
      </c>
      <c r="C19320" s="8">
        <f t="array" ref="C19320">PRODUCT(1-'Sparkling Model'!D$2:D$38^A19320)</f>
        <v>0.9997553575</v>
      </c>
    </row>
    <row r="19321">
      <c r="A19321" s="6">
        <v>19319.0</v>
      </c>
      <c r="B19321" s="17">
        <f t="array" ref="B19321">SUM(1-'Sparkling Model'!D$2:D$38^A19321)</f>
        <v>36.99975546</v>
      </c>
      <c r="C19321" s="8">
        <f t="array" ref="C19321">PRODUCT(1-'Sparkling Model'!D$2:D$38^A19321)</f>
        <v>0.9997554777</v>
      </c>
    </row>
    <row r="19322">
      <c r="A19322" s="6">
        <v>19320.0</v>
      </c>
      <c r="B19322" s="17">
        <f t="array" ref="B19322">SUM(1-'Sparkling Model'!D$2:D$38^A19322)</f>
        <v>36.99975558</v>
      </c>
      <c r="C19322" s="8">
        <f t="array" ref="C19322">PRODUCT(1-'Sparkling Model'!D$2:D$38^A19322)</f>
        <v>0.9997555978</v>
      </c>
    </row>
    <row r="19323">
      <c r="A19323" s="6">
        <v>19321.0</v>
      </c>
      <c r="B19323" s="17">
        <f t="array" ref="B19323">SUM(1-'Sparkling Model'!D$2:D$38^A19323)</f>
        <v>36.9997557</v>
      </c>
      <c r="C19323" s="8">
        <f t="array" ref="C19323">PRODUCT(1-'Sparkling Model'!D$2:D$38^A19323)</f>
        <v>0.9997557178</v>
      </c>
    </row>
    <row r="19324">
      <c r="A19324" s="6">
        <v>19322.0</v>
      </c>
      <c r="B19324" s="17">
        <f t="array" ref="B19324">SUM(1-'Sparkling Model'!D$2:D$38^A19324)</f>
        <v>36.99975582</v>
      </c>
      <c r="C19324" s="8">
        <f t="array" ref="C19324">PRODUCT(1-'Sparkling Model'!D$2:D$38^A19324)</f>
        <v>0.9997558378</v>
      </c>
    </row>
    <row r="19325">
      <c r="A19325" s="6">
        <v>19323.0</v>
      </c>
      <c r="B19325" s="17">
        <f t="array" ref="B19325">SUM(1-'Sparkling Model'!D$2:D$38^A19325)</f>
        <v>36.99975594</v>
      </c>
      <c r="C19325" s="8">
        <f t="array" ref="C19325">PRODUCT(1-'Sparkling Model'!D$2:D$38^A19325)</f>
        <v>0.9997559577</v>
      </c>
    </row>
    <row r="19326">
      <c r="A19326" s="6">
        <v>19324.0</v>
      </c>
      <c r="B19326" s="17">
        <f t="array" ref="B19326">SUM(1-'Sparkling Model'!D$2:D$38^A19326)</f>
        <v>36.99975606</v>
      </c>
      <c r="C19326" s="8">
        <f t="array" ref="C19326">PRODUCT(1-'Sparkling Model'!D$2:D$38^A19326)</f>
        <v>0.9997560776</v>
      </c>
    </row>
    <row r="19327">
      <c r="A19327" s="6">
        <v>19325.0</v>
      </c>
      <c r="B19327" s="17">
        <f t="array" ref="B19327">SUM(1-'Sparkling Model'!D$2:D$38^A19327)</f>
        <v>36.99975618</v>
      </c>
      <c r="C19327" s="8">
        <f t="array" ref="C19327">PRODUCT(1-'Sparkling Model'!D$2:D$38^A19327)</f>
        <v>0.9997561974</v>
      </c>
    </row>
    <row r="19328">
      <c r="A19328" s="6">
        <v>19326.0</v>
      </c>
      <c r="B19328" s="17">
        <f t="array" ref="B19328">SUM(1-'Sparkling Model'!D$2:D$38^A19328)</f>
        <v>36.9997563</v>
      </c>
      <c r="C19328" s="8">
        <f t="array" ref="C19328">PRODUCT(1-'Sparkling Model'!D$2:D$38^A19328)</f>
        <v>0.9997563172</v>
      </c>
    </row>
    <row r="19329">
      <c r="A19329" s="6">
        <v>19327.0</v>
      </c>
      <c r="B19329" s="17">
        <f t="array" ref="B19329">SUM(1-'Sparkling Model'!D$2:D$38^A19329)</f>
        <v>36.99975642</v>
      </c>
      <c r="C19329" s="8">
        <f t="array" ref="C19329">PRODUCT(1-'Sparkling Model'!D$2:D$38^A19329)</f>
        <v>0.9997564369</v>
      </c>
    </row>
    <row r="19330">
      <c r="A19330" s="6">
        <v>19328.0</v>
      </c>
      <c r="B19330" s="17">
        <f t="array" ref="B19330">SUM(1-'Sparkling Model'!D$2:D$38^A19330)</f>
        <v>36.99975654</v>
      </c>
      <c r="C19330" s="8">
        <f t="array" ref="C19330">PRODUCT(1-'Sparkling Model'!D$2:D$38^A19330)</f>
        <v>0.9997565565</v>
      </c>
    </row>
    <row r="19331">
      <c r="A19331" s="6">
        <v>19329.0</v>
      </c>
      <c r="B19331" s="17">
        <f t="array" ref="B19331">SUM(1-'Sparkling Model'!D$2:D$38^A19331)</f>
        <v>36.99975666</v>
      </c>
      <c r="C19331" s="8">
        <f t="array" ref="C19331">PRODUCT(1-'Sparkling Model'!D$2:D$38^A19331)</f>
        <v>0.9997566761</v>
      </c>
    </row>
    <row r="19332">
      <c r="A19332" s="6">
        <v>19330.0</v>
      </c>
      <c r="B19332" s="17">
        <f t="array" ref="B19332">SUM(1-'Sparkling Model'!D$2:D$38^A19332)</f>
        <v>36.99975678</v>
      </c>
      <c r="C19332" s="8">
        <f t="array" ref="C19332">PRODUCT(1-'Sparkling Model'!D$2:D$38^A19332)</f>
        <v>0.9997567956</v>
      </c>
    </row>
    <row r="19333">
      <c r="A19333" s="6">
        <v>19331.0</v>
      </c>
      <c r="B19333" s="17">
        <f t="array" ref="B19333">SUM(1-'Sparkling Model'!D$2:D$38^A19333)</f>
        <v>36.99975689</v>
      </c>
      <c r="C19333" s="8">
        <f t="array" ref="C19333">PRODUCT(1-'Sparkling Model'!D$2:D$38^A19333)</f>
        <v>0.9997569151</v>
      </c>
    </row>
    <row r="19334">
      <c r="A19334" s="6">
        <v>19332.0</v>
      </c>
      <c r="B19334" s="17">
        <f t="array" ref="B19334">SUM(1-'Sparkling Model'!D$2:D$38^A19334)</f>
        <v>36.99975701</v>
      </c>
      <c r="C19334" s="8">
        <f t="array" ref="C19334">PRODUCT(1-'Sparkling Model'!D$2:D$38^A19334)</f>
        <v>0.9997570345</v>
      </c>
    </row>
    <row r="19335">
      <c r="A19335" s="6">
        <v>19333.0</v>
      </c>
      <c r="B19335" s="17">
        <f t="array" ref="B19335">SUM(1-'Sparkling Model'!D$2:D$38^A19335)</f>
        <v>36.99975713</v>
      </c>
      <c r="C19335" s="8">
        <f t="array" ref="C19335">PRODUCT(1-'Sparkling Model'!D$2:D$38^A19335)</f>
        <v>0.9997571538</v>
      </c>
    </row>
    <row r="19336">
      <c r="A19336" s="6">
        <v>19334.0</v>
      </c>
      <c r="B19336" s="17">
        <f t="array" ref="B19336">SUM(1-'Sparkling Model'!D$2:D$38^A19336)</f>
        <v>36.99975725</v>
      </c>
      <c r="C19336" s="8">
        <f t="array" ref="C19336">PRODUCT(1-'Sparkling Model'!D$2:D$38^A19336)</f>
        <v>0.9997572731</v>
      </c>
    </row>
    <row r="19337">
      <c r="A19337" s="6">
        <v>19335.0</v>
      </c>
      <c r="B19337" s="17">
        <f t="array" ref="B19337">SUM(1-'Sparkling Model'!D$2:D$38^A19337)</f>
        <v>36.99975737</v>
      </c>
      <c r="C19337" s="8">
        <f t="array" ref="C19337">PRODUCT(1-'Sparkling Model'!D$2:D$38^A19337)</f>
        <v>0.9997573923</v>
      </c>
    </row>
    <row r="19338">
      <c r="A19338" s="6">
        <v>19336.0</v>
      </c>
      <c r="B19338" s="17">
        <f t="array" ref="B19338">SUM(1-'Sparkling Model'!D$2:D$38^A19338)</f>
        <v>36.99975749</v>
      </c>
      <c r="C19338" s="8">
        <f t="array" ref="C19338">PRODUCT(1-'Sparkling Model'!D$2:D$38^A19338)</f>
        <v>0.9997575115</v>
      </c>
    </row>
    <row r="19339">
      <c r="A19339" s="6">
        <v>19337.0</v>
      </c>
      <c r="B19339" s="17">
        <f t="array" ref="B19339">SUM(1-'Sparkling Model'!D$2:D$38^A19339)</f>
        <v>36.99975761</v>
      </c>
      <c r="C19339" s="8">
        <f t="array" ref="C19339">PRODUCT(1-'Sparkling Model'!D$2:D$38^A19339)</f>
        <v>0.9997576306</v>
      </c>
    </row>
    <row r="19340">
      <c r="A19340" s="6">
        <v>19338.0</v>
      </c>
      <c r="B19340" s="17">
        <f t="array" ref="B19340">SUM(1-'Sparkling Model'!D$2:D$38^A19340)</f>
        <v>36.99975773</v>
      </c>
      <c r="C19340" s="8">
        <f t="array" ref="C19340">PRODUCT(1-'Sparkling Model'!D$2:D$38^A19340)</f>
        <v>0.9997577496</v>
      </c>
    </row>
    <row r="19341">
      <c r="A19341" s="6">
        <v>19339.0</v>
      </c>
      <c r="B19341" s="17">
        <f t="array" ref="B19341">SUM(1-'Sparkling Model'!D$2:D$38^A19341)</f>
        <v>36.99975785</v>
      </c>
      <c r="C19341" s="8">
        <f t="array" ref="C19341">PRODUCT(1-'Sparkling Model'!D$2:D$38^A19341)</f>
        <v>0.9997578686</v>
      </c>
    </row>
    <row r="19342">
      <c r="A19342" s="6">
        <v>19340.0</v>
      </c>
      <c r="B19342" s="17">
        <f t="array" ref="B19342">SUM(1-'Sparkling Model'!D$2:D$38^A19342)</f>
        <v>36.99975797</v>
      </c>
      <c r="C19342" s="8">
        <f t="array" ref="C19342">PRODUCT(1-'Sparkling Model'!D$2:D$38^A19342)</f>
        <v>0.9997579875</v>
      </c>
    </row>
    <row r="19343">
      <c r="A19343" s="6">
        <v>19341.0</v>
      </c>
      <c r="B19343" s="17">
        <f t="array" ref="B19343">SUM(1-'Sparkling Model'!D$2:D$38^A19343)</f>
        <v>36.99975809</v>
      </c>
      <c r="C19343" s="8">
        <f t="array" ref="C19343">PRODUCT(1-'Sparkling Model'!D$2:D$38^A19343)</f>
        <v>0.9997581064</v>
      </c>
    </row>
    <row r="19344">
      <c r="A19344" s="6">
        <v>19342.0</v>
      </c>
      <c r="B19344" s="17">
        <f t="array" ref="B19344">SUM(1-'Sparkling Model'!D$2:D$38^A19344)</f>
        <v>36.99975821</v>
      </c>
      <c r="C19344" s="8">
        <f t="array" ref="C19344">PRODUCT(1-'Sparkling Model'!D$2:D$38^A19344)</f>
        <v>0.9997582252</v>
      </c>
    </row>
    <row r="19345">
      <c r="A19345" s="6">
        <v>19343.0</v>
      </c>
      <c r="B19345" s="17">
        <f t="array" ref="B19345">SUM(1-'Sparkling Model'!D$2:D$38^A19345)</f>
        <v>36.99975832</v>
      </c>
      <c r="C19345" s="8">
        <f t="array" ref="C19345">PRODUCT(1-'Sparkling Model'!D$2:D$38^A19345)</f>
        <v>0.999758344</v>
      </c>
    </row>
    <row r="19346">
      <c r="A19346" s="6">
        <v>19344.0</v>
      </c>
      <c r="B19346" s="17">
        <f t="array" ref="B19346">SUM(1-'Sparkling Model'!D$2:D$38^A19346)</f>
        <v>36.99975844</v>
      </c>
      <c r="C19346" s="8">
        <f t="array" ref="C19346">PRODUCT(1-'Sparkling Model'!D$2:D$38^A19346)</f>
        <v>0.9997584627</v>
      </c>
    </row>
    <row r="19347">
      <c r="A19347" s="6">
        <v>19345.0</v>
      </c>
      <c r="B19347" s="17">
        <f t="array" ref="B19347">SUM(1-'Sparkling Model'!D$2:D$38^A19347)</f>
        <v>36.99975856</v>
      </c>
      <c r="C19347" s="8">
        <f t="array" ref="C19347">PRODUCT(1-'Sparkling Model'!D$2:D$38^A19347)</f>
        <v>0.9997585813</v>
      </c>
    </row>
    <row r="19348">
      <c r="A19348" s="6">
        <v>19346.0</v>
      </c>
      <c r="B19348" s="17">
        <f t="array" ref="B19348">SUM(1-'Sparkling Model'!D$2:D$38^A19348)</f>
        <v>36.99975868</v>
      </c>
      <c r="C19348" s="8">
        <f t="array" ref="C19348">PRODUCT(1-'Sparkling Model'!D$2:D$38^A19348)</f>
        <v>0.9997586999</v>
      </c>
    </row>
    <row r="19349">
      <c r="A19349" s="6">
        <v>19347.0</v>
      </c>
      <c r="B19349" s="17">
        <f t="array" ref="B19349">SUM(1-'Sparkling Model'!D$2:D$38^A19349)</f>
        <v>36.9997588</v>
      </c>
      <c r="C19349" s="8">
        <f t="array" ref="C19349">PRODUCT(1-'Sparkling Model'!D$2:D$38^A19349)</f>
        <v>0.9997588184</v>
      </c>
    </row>
    <row r="19350">
      <c r="A19350" s="6">
        <v>19348.0</v>
      </c>
      <c r="B19350" s="17">
        <f t="array" ref="B19350">SUM(1-'Sparkling Model'!D$2:D$38^A19350)</f>
        <v>36.99975892</v>
      </c>
      <c r="C19350" s="8">
        <f t="array" ref="C19350">PRODUCT(1-'Sparkling Model'!D$2:D$38^A19350)</f>
        <v>0.9997589369</v>
      </c>
    </row>
    <row r="19351">
      <c r="A19351" s="6">
        <v>19349.0</v>
      </c>
      <c r="B19351" s="17">
        <f t="array" ref="B19351">SUM(1-'Sparkling Model'!D$2:D$38^A19351)</f>
        <v>36.99975904</v>
      </c>
      <c r="C19351" s="8">
        <f t="array" ref="C19351">PRODUCT(1-'Sparkling Model'!D$2:D$38^A19351)</f>
        <v>0.9997590553</v>
      </c>
    </row>
    <row r="19352">
      <c r="A19352" s="6">
        <v>19350.0</v>
      </c>
      <c r="B19352" s="17">
        <f t="array" ref="B19352">SUM(1-'Sparkling Model'!D$2:D$38^A19352)</f>
        <v>36.99975915</v>
      </c>
      <c r="C19352" s="8">
        <f t="array" ref="C19352">PRODUCT(1-'Sparkling Model'!D$2:D$38^A19352)</f>
        <v>0.9997591736</v>
      </c>
    </row>
    <row r="19353">
      <c r="A19353" s="6">
        <v>19351.0</v>
      </c>
      <c r="B19353" s="17">
        <f t="array" ref="B19353">SUM(1-'Sparkling Model'!D$2:D$38^A19353)</f>
        <v>36.99975927</v>
      </c>
      <c r="C19353" s="8">
        <f t="array" ref="C19353">PRODUCT(1-'Sparkling Model'!D$2:D$38^A19353)</f>
        <v>0.9997592919</v>
      </c>
    </row>
    <row r="19354">
      <c r="A19354" s="6">
        <v>19352.0</v>
      </c>
      <c r="B19354" s="17">
        <f t="array" ref="B19354">SUM(1-'Sparkling Model'!D$2:D$38^A19354)</f>
        <v>36.99975939</v>
      </c>
      <c r="C19354" s="8">
        <f t="array" ref="C19354">PRODUCT(1-'Sparkling Model'!D$2:D$38^A19354)</f>
        <v>0.9997594102</v>
      </c>
    </row>
    <row r="19355">
      <c r="A19355" s="6">
        <v>19353.0</v>
      </c>
      <c r="B19355" s="17">
        <f t="array" ref="B19355">SUM(1-'Sparkling Model'!D$2:D$38^A19355)</f>
        <v>36.99975951</v>
      </c>
      <c r="C19355" s="8">
        <f t="array" ref="C19355">PRODUCT(1-'Sparkling Model'!D$2:D$38^A19355)</f>
        <v>0.9997595283</v>
      </c>
    </row>
    <row r="19356">
      <c r="A19356" s="6">
        <v>19354.0</v>
      </c>
      <c r="B19356" s="17">
        <f t="array" ref="B19356">SUM(1-'Sparkling Model'!D$2:D$38^A19356)</f>
        <v>36.99975963</v>
      </c>
      <c r="C19356" s="8">
        <f t="array" ref="C19356">PRODUCT(1-'Sparkling Model'!D$2:D$38^A19356)</f>
        <v>0.9997596465</v>
      </c>
    </row>
    <row r="19357">
      <c r="A19357" s="6">
        <v>19355.0</v>
      </c>
      <c r="B19357" s="17">
        <f t="array" ref="B19357">SUM(1-'Sparkling Model'!D$2:D$38^A19357)</f>
        <v>36.99975974</v>
      </c>
      <c r="C19357" s="8">
        <f t="array" ref="C19357">PRODUCT(1-'Sparkling Model'!D$2:D$38^A19357)</f>
        <v>0.9997597645</v>
      </c>
    </row>
    <row r="19358">
      <c r="A19358" s="6">
        <v>19356.0</v>
      </c>
      <c r="B19358" s="17">
        <f t="array" ref="B19358">SUM(1-'Sparkling Model'!D$2:D$38^A19358)</f>
        <v>36.99975986</v>
      </c>
      <c r="C19358" s="8">
        <f t="array" ref="C19358">PRODUCT(1-'Sparkling Model'!D$2:D$38^A19358)</f>
        <v>0.9997598825</v>
      </c>
    </row>
    <row r="19359">
      <c r="A19359" s="6">
        <v>19357.0</v>
      </c>
      <c r="B19359" s="17">
        <f t="array" ref="B19359">SUM(1-'Sparkling Model'!D$2:D$38^A19359)</f>
        <v>36.99975998</v>
      </c>
      <c r="C19359" s="8">
        <f t="array" ref="C19359">PRODUCT(1-'Sparkling Model'!D$2:D$38^A19359)</f>
        <v>0.9997600005</v>
      </c>
    </row>
    <row r="19360">
      <c r="A19360" s="6">
        <v>19358.0</v>
      </c>
      <c r="B19360" s="17">
        <f t="array" ref="B19360">SUM(1-'Sparkling Model'!D$2:D$38^A19360)</f>
        <v>36.9997601</v>
      </c>
      <c r="C19360" s="8">
        <f t="array" ref="C19360">PRODUCT(1-'Sparkling Model'!D$2:D$38^A19360)</f>
        <v>0.9997601183</v>
      </c>
    </row>
    <row r="19361">
      <c r="A19361" s="6">
        <v>19359.0</v>
      </c>
      <c r="B19361" s="17">
        <f t="array" ref="B19361">SUM(1-'Sparkling Model'!D$2:D$38^A19361)</f>
        <v>36.99976022</v>
      </c>
      <c r="C19361" s="8">
        <f t="array" ref="C19361">PRODUCT(1-'Sparkling Model'!D$2:D$38^A19361)</f>
        <v>0.9997602362</v>
      </c>
    </row>
    <row r="19362">
      <c r="A19362" s="6">
        <v>19360.0</v>
      </c>
      <c r="B19362" s="17">
        <f t="array" ref="B19362">SUM(1-'Sparkling Model'!D$2:D$38^A19362)</f>
        <v>36.99976033</v>
      </c>
      <c r="C19362" s="8">
        <f t="array" ref="C19362">PRODUCT(1-'Sparkling Model'!D$2:D$38^A19362)</f>
        <v>0.9997603539</v>
      </c>
    </row>
    <row r="19363">
      <c r="A19363" s="6">
        <v>19361.0</v>
      </c>
      <c r="B19363" s="17">
        <f t="array" ref="B19363">SUM(1-'Sparkling Model'!D$2:D$38^A19363)</f>
        <v>36.99976045</v>
      </c>
      <c r="C19363" s="8">
        <f t="array" ref="C19363">PRODUCT(1-'Sparkling Model'!D$2:D$38^A19363)</f>
        <v>0.9997604716</v>
      </c>
    </row>
    <row r="19364">
      <c r="A19364" s="6">
        <v>19362.0</v>
      </c>
      <c r="B19364" s="17">
        <f t="array" ref="B19364">SUM(1-'Sparkling Model'!D$2:D$38^A19364)</f>
        <v>36.99976057</v>
      </c>
      <c r="C19364" s="8">
        <f t="array" ref="C19364">PRODUCT(1-'Sparkling Model'!D$2:D$38^A19364)</f>
        <v>0.9997605893</v>
      </c>
    </row>
    <row r="19365">
      <c r="A19365" s="6">
        <v>19363.0</v>
      </c>
      <c r="B19365" s="17">
        <f t="array" ref="B19365">SUM(1-'Sparkling Model'!D$2:D$38^A19365)</f>
        <v>36.99976069</v>
      </c>
      <c r="C19365" s="8">
        <f t="array" ref="C19365">PRODUCT(1-'Sparkling Model'!D$2:D$38^A19365)</f>
        <v>0.9997607069</v>
      </c>
    </row>
    <row r="19366">
      <c r="A19366" s="6">
        <v>19364.0</v>
      </c>
      <c r="B19366" s="17">
        <f t="array" ref="B19366">SUM(1-'Sparkling Model'!D$2:D$38^A19366)</f>
        <v>36.9997608</v>
      </c>
      <c r="C19366" s="8">
        <f t="array" ref="C19366">PRODUCT(1-'Sparkling Model'!D$2:D$38^A19366)</f>
        <v>0.9997608244</v>
      </c>
    </row>
    <row r="19367">
      <c r="A19367" s="6">
        <v>19365.0</v>
      </c>
      <c r="B19367" s="17">
        <f t="array" ref="B19367">SUM(1-'Sparkling Model'!D$2:D$38^A19367)</f>
        <v>36.99976092</v>
      </c>
      <c r="C19367" s="8">
        <f t="array" ref="C19367">PRODUCT(1-'Sparkling Model'!D$2:D$38^A19367)</f>
        <v>0.9997609419</v>
      </c>
    </row>
    <row r="19368">
      <c r="A19368" s="6">
        <v>19366.0</v>
      </c>
      <c r="B19368" s="17">
        <f t="array" ref="B19368">SUM(1-'Sparkling Model'!D$2:D$38^A19368)</f>
        <v>36.99976104</v>
      </c>
      <c r="C19368" s="8">
        <f t="array" ref="C19368">PRODUCT(1-'Sparkling Model'!D$2:D$38^A19368)</f>
        <v>0.9997610593</v>
      </c>
    </row>
    <row r="19369">
      <c r="A19369" s="6">
        <v>19367.0</v>
      </c>
      <c r="B19369" s="17">
        <f t="array" ref="B19369">SUM(1-'Sparkling Model'!D$2:D$38^A19369)</f>
        <v>36.99976116</v>
      </c>
      <c r="C19369" s="8">
        <f t="array" ref="C19369">PRODUCT(1-'Sparkling Model'!D$2:D$38^A19369)</f>
        <v>0.9997611767</v>
      </c>
    </row>
    <row r="19370">
      <c r="A19370" s="6">
        <v>19368.0</v>
      </c>
      <c r="B19370" s="17">
        <f t="array" ref="B19370">SUM(1-'Sparkling Model'!D$2:D$38^A19370)</f>
        <v>36.99976127</v>
      </c>
      <c r="C19370" s="8">
        <f t="array" ref="C19370">PRODUCT(1-'Sparkling Model'!D$2:D$38^A19370)</f>
        <v>0.999761294</v>
      </c>
    </row>
    <row r="19371">
      <c r="A19371" s="6">
        <v>19369.0</v>
      </c>
      <c r="B19371" s="17">
        <f t="array" ref="B19371">SUM(1-'Sparkling Model'!D$2:D$38^A19371)</f>
        <v>36.99976139</v>
      </c>
      <c r="C19371" s="8">
        <f t="array" ref="C19371">PRODUCT(1-'Sparkling Model'!D$2:D$38^A19371)</f>
        <v>0.9997614112</v>
      </c>
    </row>
    <row r="19372">
      <c r="A19372" s="6">
        <v>19370.0</v>
      </c>
      <c r="B19372" s="17">
        <f t="array" ref="B19372">SUM(1-'Sparkling Model'!D$2:D$38^A19372)</f>
        <v>36.99976151</v>
      </c>
      <c r="C19372" s="8">
        <f t="array" ref="C19372">PRODUCT(1-'Sparkling Model'!D$2:D$38^A19372)</f>
        <v>0.9997615284</v>
      </c>
    </row>
    <row r="19373">
      <c r="A19373" s="6">
        <v>19371.0</v>
      </c>
      <c r="B19373" s="17">
        <f t="array" ref="B19373">SUM(1-'Sparkling Model'!D$2:D$38^A19373)</f>
        <v>36.99976163</v>
      </c>
      <c r="C19373" s="8">
        <f t="array" ref="C19373">PRODUCT(1-'Sparkling Model'!D$2:D$38^A19373)</f>
        <v>0.9997616455</v>
      </c>
    </row>
    <row r="19374">
      <c r="A19374" s="6">
        <v>19372.0</v>
      </c>
      <c r="B19374" s="17">
        <f t="array" ref="B19374">SUM(1-'Sparkling Model'!D$2:D$38^A19374)</f>
        <v>36.99976174</v>
      </c>
      <c r="C19374" s="8">
        <f t="array" ref="C19374">PRODUCT(1-'Sparkling Model'!D$2:D$38^A19374)</f>
        <v>0.9997617626</v>
      </c>
    </row>
    <row r="19375">
      <c r="A19375" s="6">
        <v>19373.0</v>
      </c>
      <c r="B19375" s="17">
        <f t="array" ref="B19375">SUM(1-'Sparkling Model'!D$2:D$38^A19375)</f>
        <v>36.99976186</v>
      </c>
      <c r="C19375" s="8">
        <f t="array" ref="C19375">PRODUCT(1-'Sparkling Model'!D$2:D$38^A19375)</f>
        <v>0.9997618796</v>
      </c>
    </row>
    <row r="19376">
      <c r="A19376" s="6">
        <v>19374.0</v>
      </c>
      <c r="B19376" s="17">
        <f t="array" ref="B19376">SUM(1-'Sparkling Model'!D$2:D$38^A19376)</f>
        <v>36.99976198</v>
      </c>
      <c r="C19376" s="8">
        <f t="array" ref="C19376">PRODUCT(1-'Sparkling Model'!D$2:D$38^A19376)</f>
        <v>0.9997619966</v>
      </c>
    </row>
    <row r="19377">
      <c r="A19377" s="6">
        <v>19375.0</v>
      </c>
      <c r="B19377" s="17">
        <f t="array" ref="B19377">SUM(1-'Sparkling Model'!D$2:D$38^A19377)</f>
        <v>36.99976209</v>
      </c>
      <c r="C19377" s="8">
        <f t="array" ref="C19377">PRODUCT(1-'Sparkling Model'!D$2:D$38^A19377)</f>
        <v>0.9997621135</v>
      </c>
    </row>
    <row r="19378">
      <c r="A19378" s="6">
        <v>19376.0</v>
      </c>
      <c r="B19378" s="17">
        <f t="array" ref="B19378">SUM(1-'Sparkling Model'!D$2:D$38^A19378)</f>
        <v>36.99976221</v>
      </c>
      <c r="C19378" s="8">
        <f t="array" ref="C19378">PRODUCT(1-'Sparkling Model'!D$2:D$38^A19378)</f>
        <v>0.9997622303</v>
      </c>
    </row>
    <row r="19379">
      <c r="A19379" s="6">
        <v>19377.0</v>
      </c>
      <c r="B19379" s="17">
        <f t="array" ref="B19379">SUM(1-'Sparkling Model'!D$2:D$38^A19379)</f>
        <v>36.99976233</v>
      </c>
      <c r="C19379" s="8">
        <f t="array" ref="C19379">PRODUCT(1-'Sparkling Model'!D$2:D$38^A19379)</f>
        <v>0.9997623471</v>
      </c>
    </row>
    <row r="19380">
      <c r="A19380" s="6">
        <v>19378.0</v>
      </c>
      <c r="B19380" s="17">
        <f t="array" ref="B19380">SUM(1-'Sparkling Model'!D$2:D$38^A19380)</f>
        <v>36.99976244</v>
      </c>
      <c r="C19380" s="8">
        <f t="array" ref="C19380">PRODUCT(1-'Sparkling Model'!D$2:D$38^A19380)</f>
        <v>0.9997624638</v>
      </c>
    </row>
    <row r="19381">
      <c r="A19381" s="6">
        <v>19379.0</v>
      </c>
      <c r="B19381" s="17">
        <f t="array" ref="B19381">SUM(1-'Sparkling Model'!D$2:D$38^A19381)</f>
        <v>36.99976256</v>
      </c>
      <c r="C19381" s="8">
        <f t="array" ref="C19381">PRODUCT(1-'Sparkling Model'!D$2:D$38^A19381)</f>
        <v>0.9997625805</v>
      </c>
    </row>
    <row r="19382">
      <c r="A19382" s="6">
        <v>19380.0</v>
      </c>
      <c r="B19382" s="17">
        <f t="array" ref="B19382">SUM(1-'Sparkling Model'!D$2:D$38^A19382)</f>
        <v>36.99976268</v>
      </c>
      <c r="C19382" s="8">
        <f t="array" ref="C19382">PRODUCT(1-'Sparkling Model'!D$2:D$38^A19382)</f>
        <v>0.9997626971</v>
      </c>
    </row>
    <row r="19383">
      <c r="A19383" s="6">
        <v>19381.0</v>
      </c>
      <c r="B19383" s="17">
        <f t="array" ref="B19383">SUM(1-'Sparkling Model'!D$2:D$38^A19383)</f>
        <v>36.99976279</v>
      </c>
      <c r="C19383" s="8">
        <f t="array" ref="C19383">PRODUCT(1-'Sparkling Model'!D$2:D$38^A19383)</f>
        <v>0.9997628137</v>
      </c>
    </row>
    <row r="19384">
      <c r="A19384" s="6">
        <v>19382.0</v>
      </c>
      <c r="B19384" s="17">
        <f t="array" ref="B19384">SUM(1-'Sparkling Model'!D$2:D$38^A19384)</f>
        <v>36.99976291</v>
      </c>
      <c r="C19384" s="8">
        <f t="array" ref="C19384">PRODUCT(1-'Sparkling Model'!D$2:D$38^A19384)</f>
        <v>0.9997629302</v>
      </c>
    </row>
    <row r="19385">
      <c r="A19385" s="6">
        <v>19383.0</v>
      </c>
      <c r="B19385" s="17">
        <f t="array" ref="B19385">SUM(1-'Sparkling Model'!D$2:D$38^A19385)</f>
        <v>36.99976303</v>
      </c>
      <c r="C19385" s="8">
        <f t="array" ref="C19385">PRODUCT(1-'Sparkling Model'!D$2:D$38^A19385)</f>
        <v>0.9997630466</v>
      </c>
    </row>
    <row r="19386">
      <c r="A19386" s="6">
        <v>19384.0</v>
      </c>
      <c r="B19386" s="17">
        <f t="array" ref="B19386">SUM(1-'Sparkling Model'!D$2:D$38^A19386)</f>
        <v>36.99976314</v>
      </c>
      <c r="C19386" s="8">
        <f t="array" ref="C19386">PRODUCT(1-'Sparkling Model'!D$2:D$38^A19386)</f>
        <v>0.999763163</v>
      </c>
    </row>
    <row r="19387">
      <c r="A19387" s="6">
        <v>19385.0</v>
      </c>
      <c r="B19387" s="17">
        <f t="array" ref="B19387">SUM(1-'Sparkling Model'!D$2:D$38^A19387)</f>
        <v>36.99976326</v>
      </c>
      <c r="C19387" s="8">
        <f t="array" ref="C19387">PRODUCT(1-'Sparkling Model'!D$2:D$38^A19387)</f>
        <v>0.9997632793</v>
      </c>
    </row>
    <row r="19388">
      <c r="A19388" s="6">
        <v>19386.0</v>
      </c>
      <c r="B19388" s="17">
        <f t="array" ref="B19388">SUM(1-'Sparkling Model'!D$2:D$38^A19388)</f>
        <v>36.99976338</v>
      </c>
      <c r="C19388" s="8">
        <f t="array" ref="C19388">PRODUCT(1-'Sparkling Model'!D$2:D$38^A19388)</f>
        <v>0.9997633956</v>
      </c>
    </row>
    <row r="19389">
      <c r="A19389" s="6">
        <v>19387.0</v>
      </c>
      <c r="B19389" s="17">
        <f t="array" ref="B19389">SUM(1-'Sparkling Model'!D$2:D$38^A19389)</f>
        <v>36.99976349</v>
      </c>
      <c r="C19389" s="8">
        <f t="array" ref="C19389">PRODUCT(1-'Sparkling Model'!D$2:D$38^A19389)</f>
        <v>0.9997635118</v>
      </c>
    </row>
    <row r="19390">
      <c r="A19390" s="6">
        <v>19388.0</v>
      </c>
      <c r="B19390" s="17">
        <f t="array" ref="B19390">SUM(1-'Sparkling Model'!D$2:D$38^A19390)</f>
        <v>36.99976361</v>
      </c>
      <c r="C19390" s="8">
        <f t="array" ref="C19390">PRODUCT(1-'Sparkling Model'!D$2:D$38^A19390)</f>
        <v>0.999763628</v>
      </c>
    </row>
    <row r="19391">
      <c r="A19391" s="6">
        <v>19389.0</v>
      </c>
      <c r="B19391" s="17">
        <f t="array" ref="B19391">SUM(1-'Sparkling Model'!D$2:D$38^A19391)</f>
        <v>36.99976373</v>
      </c>
      <c r="C19391" s="8">
        <f t="array" ref="C19391">PRODUCT(1-'Sparkling Model'!D$2:D$38^A19391)</f>
        <v>0.9997637441</v>
      </c>
    </row>
    <row r="19392">
      <c r="A19392" s="6">
        <v>19390.0</v>
      </c>
      <c r="B19392" s="17">
        <f t="array" ref="B19392">SUM(1-'Sparkling Model'!D$2:D$38^A19392)</f>
        <v>36.99976384</v>
      </c>
      <c r="C19392" s="8">
        <f t="array" ref="C19392">PRODUCT(1-'Sparkling Model'!D$2:D$38^A19392)</f>
        <v>0.9997638601</v>
      </c>
    </row>
    <row r="19393">
      <c r="A19393" s="6">
        <v>19391.0</v>
      </c>
      <c r="B19393" s="17">
        <f t="array" ref="B19393">SUM(1-'Sparkling Model'!D$2:D$38^A19393)</f>
        <v>36.99976396</v>
      </c>
      <c r="C19393" s="8">
        <f t="array" ref="C19393">PRODUCT(1-'Sparkling Model'!D$2:D$38^A19393)</f>
        <v>0.9997639761</v>
      </c>
    </row>
    <row r="19394">
      <c r="A19394" s="6">
        <v>19392.0</v>
      </c>
      <c r="B19394" s="17">
        <f t="array" ref="B19394">SUM(1-'Sparkling Model'!D$2:D$38^A19394)</f>
        <v>36.99976407</v>
      </c>
      <c r="C19394" s="8">
        <f t="array" ref="C19394">PRODUCT(1-'Sparkling Model'!D$2:D$38^A19394)</f>
        <v>0.999764092</v>
      </c>
    </row>
    <row r="19395">
      <c r="A19395" s="6">
        <v>19393.0</v>
      </c>
      <c r="B19395" s="17">
        <f t="array" ref="B19395">SUM(1-'Sparkling Model'!D$2:D$38^A19395)</f>
        <v>36.99976419</v>
      </c>
      <c r="C19395" s="8">
        <f t="array" ref="C19395">PRODUCT(1-'Sparkling Model'!D$2:D$38^A19395)</f>
        <v>0.9997642079</v>
      </c>
    </row>
    <row r="19396">
      <c r="A19396" s="6">
        <v>19394.0</v>
      </c>
      <c r="B19396" s="17">
        <f t="array" ref="B19396">SUM(1-'Sparkling Model'!D$2:D$38^A19396)</f>
        <v>36.9997643</v>
      </c>
      <c r="C19396" s="8">
        <f t="array" ref="C19396">PRODUCT(1-'Sparkling Model'!D$2:D$38^A19396)</f>
        <v>0.9997643237</v>
      </c>
    </row>
    <row r="19397">
      <c r="A19397" s="6">
        <v>19395.0</v>
      </c>
      <c r="B19397" s="17">
        <f t="array" ref="B19397">SUM(1-'Sparkling Model'!D$2:D$38^A19397)</f>
        <v>36.99976442</v>
      </c>
      <c r="C19397" s="8">
        <f t="array" ref="C19397">PRODUCT(1-'Sparkling Model'!D$2:D$38^A19397)</f>
        <v>0.9997644395</v>
      </c>
    </row>
    <row r="19398">
      <c r="A19398" s="6">
        <v>19396.0</v>
      </c>
      <c r="B19398" s="17">
        <f t="array" ref="B19398">SUM(1-'Sparkling Model'!D$2:D$38^A19398)</f>
        <v>36.99976454</v>
      </c>
      <c r="C19398" s="8">
        <f t="array" ref="C19398">PRODUCT(1-'Sparkling Model'!D$2:D$38^A19398)</f>
        <v>0.9997645552</v>
      </c>
    </row>
    <row r="19399">
      <c r="A19399" s="6">
        <v>19397.0</v>
      </c>
      <c r="B19399" s="17">
        <f t="array" ref="B19399">SUM(1-'Sparkling Model'!D$2:D$38^A19399)</f>
        <v>36.99976465</v>
      </c>
      <c r="C19399" s="8">
        <f t="array" ref="C19399">PRODUCT(1-'Sparkling Model'!D$2:D$38^A19399)</f>
        <v>0.9997646708</v>
      </c>
    </row>
    <row r="19400">
      <c r="A19400" s="6">
        <v>19398.0</v>
      </c>
      <c r="B19400" s="17">
        <f t="array" ref="B19400">SUM(1-'Sparkling Model'!D$2:D$38^A19400)</f>
        <v>36.99976477</v>
      </c>
      <c r="C19400" s="8">
        <f t="array" ref="C19400">PRODUCT(1-'Sparkling Model'!D$2:D$38^A19400)</f>
        <v>0.9997647864</v>
      </c>
    </row>
    <row r="19401">
      <c r="A19401" s="6">
        <v>19399.0</v>
      </c>
      <c r="B19401" s="17">
        <f t="array" ref="B19401">SUM(1-'Sparkling Model'!D$2:D$38^A19401)</f>
        <v>36.99976488</v>
      </c>
      <c r="C19401" s="8">
        <f t="array" ref="C19401">PRODUCT(1-'Sparkling Model'!D$2:D$38^A19401)</f>
        <v>0.9997649019</v>
      </c>
    </row>
    <row r="19402">
      <c r="A19402" s="6">
        <v>19400.0</v>
      </c>
      <c r="B19402" s="17">
        <f t="array" ref="B19402">SUM(1-'Sparkling Model'!D$2:D$38^A19402)</f>
        <v>36.999765</v>
      </c>
      <c r="C19402" s="8">
        <f t="array" ref="C19402">PRODUCT(1-'Sparkling Model'!D$2:D$38^A19402)</f>
        <v>0.9997650174</v>
      </c>
    </row>
    <row r="19403">
      <c r="A19403" s="6">
        <v>19401.0</v>
      </c>
      <c r="B19403" s="17">
        <f t="array" ref="B19403">SUM(1-'Sparkling Model'!D$2:D$38^A19403)</f>
        <v>36.99976511</v>
      </c>
      <c r="C19403" s="8">
        <f t="array" ref="C19403">PRODUCT(1-'Sparkling Model'!D$2:D$38^A19403)</f>
        <v>0.9997651328</v>
      </c>
    </row>
    <row r="19404">
      <c r="A19404" s="6">
        <v>19402.0</v>
      </c>
      <c r="B19404" s="17">
        <f t="array" ref="B19404">SUM(1-'Sparkling Model'!D$2:D$38^A19404)</f>
        <v>36.99976523</v>
      </c>
      <c r="C19404" s="8">
        <f t="array" ref="C19404">PRODUCT(1-'Sparkling Model'!D$2:D$38^A19404)</f>
        <v>0.9997652482</v>
      </c>
    </row>
    <row r="19405">
      <c r="A19405" s="6">
        <v>19403.0</v>
      </c>
      <c r="B19405" s="17">
        <f t="array" ref="B19405">SUM(1-'Sparkling Model'!D$2:D$38^A19405)</f>
        <v>36.99976534</v>
      </c>
      <c r="C19405" s="8">
        <f t="array" ref="C19405">PRODUCT(1-'Sparkling Model'!D$2:D$38^A19405)</f>
        <v>0.9997653635</v>
      </c>
    </row>
    <row r="19406">
      <c r="A19406" s="6">
        <v>19404.0</v>
      </c>
      <c r="B19406" s="17">
        <f t="array" ref="B19406">SUM(1-'Sparkling Model'!D$2:D$38^A19406)</f>
        <v>36.99976546</v>
      </c>
      <c r="C19406" s="8">
        <f t="array" ref="C19406">PRODUCT(1-'Sparkling Model'!D$2:D$38^A19406)</f>
        <v>0.9997654787</v>
      </c>
    </row>
    <row r="19407">
      <c r="A19407" s="6">
        <v>19405.0</v>
      </c>
      <c r="B19407" s="17">
        <f t="array" ref="B19407">SUM(1-'Sparkling Model'!D$2:D$38^A19407)</f>
        <v>36.99976558</v>
      </c>
      <c r="C19407" s="8">
        <f t="array" ref="C19407">PRODUCT(1-'Sparkling Model'!D$2:D$38^A19407)</f>
        <v>0.9997655939</v>
      </c>
    </row>
    <row r="19408">
      <c r="A19408" s="6">
        <v>19406.0</v>
      </c>
      <c r="B19408" s="17">
        <f t="array" ref="B19408">SUM(1-'Sparkling Model'!D$2:D$38^A19408)</f>
        <v>36.99976569</v>
      </c>
      <c r="C19408" s="8">
        <f t="array" ref="C19408">PRODUCT(1-'Sparkling Model'!D$2:D$38^A19408)</f>
        <v>0.999765709</v>
      </c>
    </row>
    <row r="19409">
      <c r="A19409" s="6">
        <v>19407.0</v>
      </c>
      <c r="B19409" s="17">
        <f t="array" ref="B19409">SUM(1-'Sparkling Model'!D$2:D$38^A19409)</f>
        <v>36.99976581</v>
      </c>
      <c r="C19409" s="8">
        <f t="array" ref="C19409">PRODUCT(1-'Sparkling Model'!D$2:D$38^A19409)</f>
        <v>0.9997658241</v>
      </c>
    </row>
    <row r="19410">
      <c r="A19410" s="6">
        <v>19408.0</v>
      </c>
      <c r="B19410" s="17">
        <f t="array" ref="B19410">SUM(1-'Sparkling Model'!D$2:D$38^A19410)</f>
        <v>36.99976592</v>
      </c>
      <c r="C19410" s="8">
        <f t="array" ref="C19410">PRODUCT(1-'Sparkling Model'!D$2:D$38^A19410)</f>
        <v>0.9997659391</v>
      </c>
    </row>
    <row r="19411">
      <c r="A19411" s="6">
        <v>19409.0</v>
      </c>
      <c r="B19411" s="17">
        <f t="array" ref="B19411">SUM(1-'Sparkling Model'!D$2:D$38^A19411)</f>
        <v>36.99976604</v>
      </c>
      <c r="C19411" s="8">
        <f t="array" ref="C19411">PRODUCT(1-'Sparkling Model'!D$2:D$38^A19411)</f>
        <v>0.9997660541</v>
      </c>
    </row>
    <row r="19412">
      <c r="A19412" s="6">
        <v>19410.0</v>
      </c>
      <c r="B19412" s="17">
        <f t="array" ref="B19412">SUM(1-'Sparkling Model'!D$2:D$38^A19412)</f>
        <v>36.99976615</v>
      </c>
      <c r="C19412" s="8">
        <f t="array" ref="C19412">PRODUCT(1-'Sparkling Model'!D$2:D$38^A19412)</f>
        <v>0.999766169</v>
      </c>
    </row>
    <row r="19413">
      <c r="A19413" s="6">
        <v>19411.0</v>
      </c>
      <c r="B19413" s="17">
        <f t="array" ref="B19413">SUM(1-'Sparkling Model'!D$2:D$38^A19413)</f>
        <v>36.99976627</v>
      </c>
      <c r="C19413" s="8">
        <f t="array" ref="C19413">PRODUCT(1-'Sparkling Model'!D$2:D$38^A19413)</f>
        <v>0.9997662838</v>
      </c>
    </row>
    <row r="19414">
      <c r="A19414" s="6">
        <v>19412.0</v>
      </c>
      <c r="B19414" s="17">
        <f t="array" ref="B19414">SUM(1-'Sparkling Model'!D$2:D$38^A19414)</f>
        <v>36.99976638</v>
      </c>
      <c r="C19414" s="8">
        <f t="array" ref="C19414">PRODUCT(1-'Sparkling Model'!D$2:D$38^A19414)</f>
        <v>0.9997663986</v>
      </c>
    </row>
    <row r="19415">
      <c r="A19415" s="6">
        <v>19413.0</v>
      </c>
      <c r="B19415" s="17">
        <f t="array" ref="B19415">SUM(1-'Sparkling Model'!D$2:D$38^A19415)</f>
        <v>36.99976649</v>
      </c>
      <c r="C19415" s="8">
        <f t="array" ref="C19415">PRODUCT(1-'Sparkling Model'!D$2:D$38^A19415)</f>
        <v>0.9997665133</v>
      </c>
    </row>
    <row r="19416">
      <c r="A19416" s="6">
        <v>19414.0</v>
      </c>
      <c r="B19416" s="17">
        <f t="array" ref="B19416">SUM(1-'Sparkling Model'!D$2:D$38^A19416)</f>
        <v>36.99976661</v>
      </c>
      <c r="C19416" s="8">
        <f t="array" ref="C19416">PRODUCT(1-'Sparkling Model'!D$2:D$38^A19416)</f>
        <v>0.999766628</v>
      </c>
    </row>
    <row r="19417">
      <c r="A19417" s="6">
        <v>19415.0</v>
      </c>
      <c r="B19417" s="17">
        <f t="array" ref="B19417">SUM(1-'Sparkling Model'!D$2:D$38^A19417)</f>
        <v>36.99976672</v>
      </c>
      <c r="C19417" s="8">
        <f t="array" ref="C19417">PRODUCT(1-'Sparkling Model'!D$2:D$38^A19417)</f>
        <v>0.9997667426</v>
      </c>
    </row>
    <row r="19418">
      <c r="A19418" s="6">
        <v>19416.0</v>
      </c>
      <c r="B19418" s="17">
        <f t="array" ref="B19418">SUM(1-'Sparkling Model'!D$2:D$38^A19418)</f>
        <v>36.99976684</v>
      </c>
      <c r="C19418" s="8">
        <f t="array" ref="C19418">PRODUCT(1-'Sparkling Model'!D$2:D$38^A19418)</f>
        <v>0.9997668572</v>
      </c>
    </row>
    <row r="19419">
      <c r="A19419" s="6">
        <v>19417.0</v>
      </c>
      <c r="B19419" s="17">
        <f t="array" ref="B19419">SUM(1-'Sparkling Model'!D$2:D$38^A19419)</f>
        <v>36.99976695</v>
      </c>
      <c r="C19419" s="8">
        <f t="array" ref="C19419">PRODUCT(1-'Sparkling Model'!D$2:D$38^A19419)</f>
        <v>0.9997669717</v>
      </c>
    </row>
    <row r="19420">
      <c r="A19420" s="6">
        <v>19418.0</v>
      </c>
      <c r="B19420" s="17">
        <f t="array" ref="B19420">SUM(1-'Sparkling Model'!D$2:D$38^A19420)</f>
        <v>36.99976707</v>
      </c>
      <c r="C19420" s="8">
        <f t="array" ref="C19420">PRODUCT(1-'Sparkling Model'!D$2:D$38^A19420)</f>
        <v>0.9997670862</v>
      </c>
    </row>
    <row r="19421">
      <c r="A19421" s="6">
        <v>19419.0</v>
      </c>
      <c r="B19421" s="17">
        <f t="array" ref="B19421">SUM(1-'Sparkling Model'!D$2:D$38^A19421)</f>
        <v>36.99976718</v>
      </c>
      <c r="C19421" s="8">
        <f t="array" ref="C19421">PRODUCT(1-'Sparkling Model'!D$2:D$38^A19421)</f>
        <v>0.9997672006</v>
      </c>
    </row>
    <row r="19422">
      <c r="A19422" s="6">
        <v>19420.0</v>
      </c>
      <c r="B19422" s="17">
        <f t="array" ref="B19422">SUM(1-'Sparkling Model'!D$2:D$38^A19422)</f>
        <v>36.9997673</v>
      </c>
      <c r="C19422" s="8">
        <f t="array" ref="C19422">PRODUCT(1-'Sparkling Model'!D$2:D$38^A19422)</f>
        <v>0.9997673149</v>
      </c>
    </row>
    <row r="19423">
      <c r="A19423" s="6">
        <v>19421.0</v>
      </c>
      <c r="B19423" s="17">
        <f t="array" ref="B19423">SUM(1-'Sparkling Model'!D$2:D$38^A19423)</f>
        <v>36.99976741</v>
      </c>
      <c r="C19423" s="8">
        <f t="array" ref="C19423">PRODUCT(1-'Sparkling Model'!D$2:D$38^A19423)</f>
        <v>0.9997674292</v>
      </c>
    </row>
    <row r="19424">
      <c r="A19424" s="6">
        <v>19422.0</v>
      </c>
      <c r="B19424" s="17">
        <f t="array" ref="B19424">SUM(1-'Sparkling Model'!D$2:D$38^A19424)</f>
        <v>36.99976753</v>
      </c>
      <c r="C19424" s="8">
        <f t="array" ref="C19424">PRODUCT(1-'Sparkling Model'!D$2:D$38^A19424)</f>
        <v>0.9997675434</v>
      </c>
    </row>
    <row r="19425">
      <c r="A19425" s="6">
        <v>19423.0</v>
      </c>
      <c r="B19425" s="17">
        <f t="array" ref="B19425">SUM(1-'Sparkling Model'!D$2:D$38^A19425)</f>
        <v>36.99976764</v>
      </c>
      <c r="C19425" s="8">
        <f t="array" ref="C19425">PRODUCT(1-'Sparkling Model'!D$2:D$38^A19425)</f>
        <v>0.9997676576</v>
      </c>
    </row>
    <row r="19426">
      <c r="A19426" s="6">
        <v>19424.0</v>
      </c>
      <c r="B19426" s="17">
        <f t="array" ref="B19426">SUM(1-'Sparkling Model'!D$2:D$38^A19426)</f>
        <v>36.99976775</v>
      </c>
      <c r="C19426" s="8">
        <f t="array" ref="C19426">PRODUCT(1-'Sparkling Model'!D$2:D$38^A19426)</f>
        <v>0.9997677717</v>
      </c>
    </row>
    <row r="19427">
      <c r="A19427" s="6">
        <v>19425.0</v>
      </c>
      <c r="B19427" s="17">
        <f t="array" ref="B19427">SUM(1-'Sparkling Model'!D$2:D$38^A19427)</f>
        <v>36.99976787</v>
      </c>
      <c r="C19427" s="8">
        <f t="array" ref="C19427">PRODUCT(1-'Sparkling Model'!D$2:D$38^A19427)</f>
        <v>0.9997678858</v>
      </c>
    </row>
    <row r="19428">
      <c r="A19428" s="6">
        <v>19426.0</v>
      </c>
      <c r="B19428" s="17">
        <f t="array" ref="B19428">SUM(1-'Sparkling Model'!D$2:D$38^A19428)</f>
        <v>36.99976798</v>
      </c>
      <c r="C19428" s="8">
        <f t="array" ref="C19428">PRODUCT(1-'Sparkling Model'!D$2:D$38^A19428)</f>
        <v>0.9997679998</v>
      </c>
    </row>
    <row r="19429">
      <c r="A19429" s="6">
        <v>19427.0</v>
      </c>
      <c r="B19429" s="17">
        <f t="array" ref="B19429">SUM(1-'Sparkling Model'!D$2:D$38^A19429)</f>
        <v>36.9997681</v>
      </c>
      <c r="C19429" s="8">
        <f t="array" ref="C19429">PRODUCT(1-'Sparkling Model'!D$2:D$38^A19429)</f>
        <v>0.9997681137</v>
      </c>
    </row>
    <row r="19430">
      <c r="A19430" s="6">
        <v>19428.0</v>
      </c>
      <c r="B19430" s="17">
        <f t="array" ref="B19430">SUM(1-'Sparkling Model'!D$2:D$38^A19430)</f>
        <v>36.99976821</v>
      </c>
      <c r="C19430" s="8">
        <f t="array" ref="C19430">PRODUCT(1-'Sparkling Model'!D$2:D$38^A19430)</f>
        <v>0.9997682276</v>
      </c>
    </row>
    <row r="19431">
      <c r="A19431" s="6">
        <v>19429.0</v>
      </c>
      <c r="B19431" s="17">
        <f t="array" ref="B19431">SUM(1-'Sparkling Model'!D$2:D$38^A19431)</f>
        <v>36.99976832</v>
      </c>
      <c r="C19431" s="8">
        <f t="array" ref="C19431">PRODUCT(1-'Sparkling Model'!D$2:D$38^A19431)</f>
        <v>0.9997683414</v>
      </c>
    </row>
    <row r="19432">
      <c r="A19432" s="6">
        <v>19430.0</v>
      </c>
      <c r="B19432" s="17">
        <f t="array" ref="B19432">SUM(1-'Sparkling Model'!D$2:D$38^A19432)</f>
        <v>36.99976844</v>
      </c>
      <c r="C19432" s="8">
        <f t="array" ref="C19432">PRODUCT(1-'Sparkling Model'!D$2:D$38^A19432)</f>
        <v>0.9997684552</v>
      </c>
    </row>
    <row r="19433">
      <c r="A19433" s="6">
        <v>19431.0</v>
      </c>
      <c r="B19433" s="17">
        <f t="array" ref="B19433">SUM(1-'Sparkling Model'!D$2:D$38^A19433)</f>
        <v>36.99976855</v>
      </c>
      <c r="C19433" s="8">
        <f t="array" ref="C19433">PRODUCT(1-'Sparkling Model'!D$2:D$38^A19433)</f>
        <v>0.9997685689</v>
      </c>
    </row>
    <row r="19434">
      <c r="A19434" s="6">
        <v>19432.0</v>
      </c>
      <c r="B19434" s="17">
        <f t="array" ref="B19434">SUM(1-'Sparkling Model'!D$2:D$38^A19434)</f>
        <v>36.99976866</v>
      </c>
      <c r="C19434" s="8">
        <f t="array" ref="C19434">PRODUCT(1-'Sparkling Model'!D$2:D$38^A19434)</f>
        <v>0.9997686826</v>
      </c>
    </row>
    <row r="19435">
      <c r="A19435" s="6">
        <v>19433.0</v>
      </c>
      <c r="B19435" s="17">
        <f t="array" ref="B19435">SUM(1-'Sparkling Model'!D$2:D$38^A19435)</f>
        <v>36.99976878</v>
      </c>
      <c r="C19435" s="8">
        <f t="array" ref="C19435">PRODUCT(1-'Sparkling Model'!D$2:D$38^A19435)</f>
        <v>0.9997687962</v>
      </c>
    </row>
    <row r="19436">
      <c r="A19436" s="6">
        <v>19434.0</v>
      </c>
      <c r="B19436" s="17">
        <f t="array" ref="B19436">SUM(1-'Sparkling Model'!D$2:D$38^A19436)</f>
        <v>36.99976889</v>
      </c>
      <c r="C19436" s="8">
        <f t="array" ref="C19436">PRODUCT(1-'Sparkling Model'!D$2:D$38^A19436)</f>
        <v>0.9997689098</v>
      </c>
    </row>
    <row r="19437">
      <c r="A19437" s="6">
        <v>19435.0</v>
      </c>
      <c r="B19437" s="17">
        <f t="array" ref="B19437">SUM(1-'Sparkling Model'!D$2:D$38^A19437)</f>
        <v>36.99976901</v>
      </c>
      <c r="C19437" s="8">
        <f t="array" ref="C19437">PRODUCT(1-'Sparkling Model'!D$2:D$38^A19437)</f>
        <v>0.9997690233</v>
      </c>
    </row>
    <row r="19438">
      <c r="A19438" s="6">
        <v>19436.0</v>
      </c>
      <c r="B19438" s="17">
        <f t="array" ref="B19438">SUM(1-'Sparkling Model'!D$2:D$38^A19438)</f>
        <v>36.99976912</v>
      </c>
      <c r="C19438" s="8">
        <f t="array" ref="C19438">PRODUCT(1-'Sparkling Model'!D$2:D$38^A19438)</f>
        <v>0.9997691367</v>
      </c>
    </row>
    <row r="19439">
      <c r="A19439" s="6">
        <v>19437.0</v>
      </c>
      <c r="B19439" s="17">
        <f t="array" ref="B19439">SUM(1-'Sparkling Model'!D$2:D$38^A19439)</f>
        <v>36.99976923</v>
      </c>
      <c r="C19439" s="8">
        <f t="array" ref="C19439">PRODUCT(1-'Sparkling Model'!D$2:D$38^A19439)</f>
        <v>0.9997692501</v>
      </c>
    </row>
    <row r="19440">
      <c r="A19440" s="6">
        <v>19438.0</v>
      </c>
      <c r="B19440" s="17">
        <f t="array" ref="B19440">SUM(1-'Sparkling Model'!D$2:D$38^A19440)</f>
        <v>36.99976935</v>
      </c>
      <c r="C19440" s="8">
        <f t="array" ref="C19440">PRODUCT(1-'Sparkling Model'!D$2:D$38^A19440)</f>
        <v>0.9997693634</v>
      </c>
    </row>
    <row r="19441">
      <c r="A19441" s="6">
        <v>19439.0</v>
      </c>
      <c r="B19441" s="17">
        <f t="array" ref="B19441">SUM(1-'Sparkling Model'!D$2:D$38^A19441)</f>
        <v>36.99976946</v>
      </c>
      <c r="C19441" s="8">
        <f t="array" ref="C19441">PRODUCT(1-'Sparkling Model'!D$2:D$38^A19441)</f>
        <v>0.9997694767</v>
      </c>
    </row>
    <row r="19442">
      <c r="A19442" s="6">
        <v>19440.0</v>
      </c>
      <c r="B19442" s="17">
        <f t="array" ref="B19442">SUM(1-'Sparkling Model'!D$2:D$38^A19442)</f>
        <v>36.99976957</v>
      </c>
      <c r="C19442" s="8">
        <f t="array" ref="C19442">PRODUCT(1-'Sparkling Model'!D$2:D$38^A19442)</f>
        <v>0.9997695899</v>
      </c>
    </row>
    <row r="19443">
      <c r="A19443" s="6">
        <v>19441.0</v>
      </c>
      <c r="B19443" s="17">
        <f t="array" ref="B19443">SUM(1-'Sparkling Model'!D$2:D$38^A19443)</f>
        <v>36.99976969</v>
      </c>
      <c r="C19443" s="8">
        <f t="array" ref="C19443">PRODUCT(1-'Sparkling Model'!D$2:D$38^A19443)</f>
        <v>0.9997697031</v>
      </c>
    </row>
    <row r="19444">
      <c r="A19444" s="6">
        <v>19442.0</v>
      </c>
      <c r="B19444" s="17">
        <f t="array" ref="B19444">SUM(1-'Sparkling Model'!D$2:D$38^A19444)</f>
        <v>36.9997698</v>
      </c>
      <c r="C19444" s="8">
        <f t="array" ref="C19444">PRODUCT(1-'Sparkling Model'!D$2:D$38^A19444)</f>
        <v>0.9997698162</v>
      </c>
    </row>
    <row r="19445">
      <c r="A19445" s="6">
        <v>19443.0</v>
      </c>
      <c r="B19445" s="17">
        <f t="array" ref="B19445">SUM(1-'Sparkling Model'!D$2:D$38^A19445)</f>
        <v>36.99976991</v>
      </c>
      <c r="C19445" s="8">
        <f t="array" ref="C19445">PRODUCT(1-'Sparkling Model'!D$2:D$38^A19445)</f>
        <v>0.9997699293</v>
      </c>
    </row>
    <row r="19446">
      <c r="A19446" s="6">
        <v>19444.0</v>
      </c>
      <c r="B19446" s="17">
        <f t="array" ref="B19446">SUM(1-'Sparkling Model'!D$2:D$38^A19446)</f>
        <v>36.99977002</v>
      </c>
      <c r="C19446" s="8">
        <f t="array" ref="C19446">PRODUCT(1-'Sparkling Model'!D$2:D$38^A19446)</f>
        <v>0.9997700423</v>
      </c>
    </row>
    <row r="19447">
      <c r="A19447" s="6">
        <v>19445.0</v>
      </c>
      <c r="B19447" s="17">
        <f t="array" ref="B19447">SUM(1-'Sparkling Model'!D$2:D$38^A19447)</f>
        <v>36.99977014</v>
      </c>
      <c r="C19447" s="8">
        <f t="array" ref="C19447">PRODUCT(1-'Sparkling Model'!D$2:D$38^A19447)</f>
        <v>0.9997701552</v>
      </c>
    </row>
    <row r="19448">
      <c r="A19448" s="6">
        <v>19446.0</v>
      </c>
      <c r="B19448" s="17">
        <f t="array" ref="B19448">SUM(1-'Sparkling Model'!D$2:D$38^A19448)</f>
        <v>36.99977025</v>
      </c>
      <c r="C19448" s="8">
        <f t="array" ref="C19448">PRODUCT(1-'Sparkling Model'!D$2:D$38^A19448)</f>
        <v>0.9997702681</v>
      </c>
    </row>
    <row r="19449">
      <c r="A19449" s="6">
        <v>19447.0</v>
      </c>
      <c r="B19449" s="17">
        <f t="array" ref="B19449">SUM(1-'Sparkling Model'!D$2:D$38^A19449)</f>
        <v>36.99977036</v>
      </c>
      <c r="C19449" s="8">
        <f t="array" ref="C19449">PRODUCT(1-'Sparkling Model'!D$2:D$38^A19449)</f>
        <v>0.9997703809</v>
      </c>
    </row>
    <row r="19450">
      <c r="A19450" s="6">
        <v>19448.0</v>
      </c>
      <c r="B19450" s="17">
        <f t="array" ref="B19450">SUM(1-'Sparkling Model'!D$2:D$38^A19450)</f>
        <v>36.99977048</v>
      </c>
      <c r="C19450" s="8">
        <f t="array" ref="C19450">PRODUCT(1-'Sparkling Model'!D$2:D$38^A19450)</f>
        <v>0.9997704937</v>
      </c>
    </row>
    <row r="19451">
      <c r="A19451" s="6">
        <v>19449.0</v>
      </c>
      <c r="B19451" s="17">
        <f t="array" ref="B19451">SUM(1-'Sparkling Model'!D$2:D$38^A19451)</f>
        <v>36.99977059</v>
      </c>
      <c r="C19451" s="8">
        <f t="array" ref="C19451">PRODUCT(1-'Sparkling Model'!D$2:D$38^A19451)</f>
        <v>0.9997706064</v>
      </c>
    </row>
    <row r="19452">
      <c r="A19452" s="6">
        <v>19450.0</v>
      </c>
      <c r="B19452" s="17">
        <f t="array" ref="B19452">SUM(1-'Sparkling Model'!D$2:D$38^A19452)</f>
        <v>36.9997707</v>
      </c>
      <c r="C19452" s="8">
        <f t="array" ref="C19452">PRODUCT(1-'Sparkling Model'!D$2:D$38^A19452)</f>
        <v>0.9997707191</v>
      </c>
    </row>
    <row r="19453">
      <c r="A19453" s="6">
        <v>19451.0</v>
      </c>
      <c r="B19453" s="17">
        <f t="array" ref="B19453">SUM(1-'Sparkling Model'!D$2:D$38^A19453)</f>
        <v>36.99977081</v>
      </c>
      <c r="C19453" s="8">
        <f t="array" ref="C19453">PRODUCT(1-'Sparkling Model'!D$2:D$38^A19453)</f>
        <v>0.9997708317</v>
      </c>
    </row>
    <row r="19454">
      <c r="A19454" s="6">
        <v>19452.0</v>
      </c>
      <c r="B19454" s="17">
        <f t="array" ref="B19454">SUM(1-'Sparkling Model'!D$2:D$38^A19454)</f>
        <v>36.99977093</v>
      </c>
      <c r="C19454" s="8">
        <f t="array" ref="C19454">PRODUCT(1-'Sparkling Model'!D$2:D$38^A19454)</f>
        <v>0.9997709442</v>
      </c>
    </row>
    <row r="19455">
      <c r="A19455" s="6">
        <v>19453.0</v>
      </c>
      <c r="B19455" s="17">
        <f t="array" ref="B19455">SUM(1-'Sparkling Model'!D$2:D$38^A19455)</f>
        <v>36.99977104</v>
      </c>
      <c r="C19455" s="8">
        <f t="array" ref="C19455">PRODUCT(1-'Sparkling Model'!D$2:D$38^A19455)</f>
        <v>0.9997710567</v>
      </c>
    </row>
    <row r="19456">
      <c r="A19456" s="6">
        <v>19454.0</v>
      </c>
      <c r="B19456" s="17">
        <f t="array" ref="B19456">SUM(1-'Sparkling Model'!D$2:D$38^A19456)</f>
        <v>36.99977115</v>
      </c>
      <c r="C19456" s="8">
        <f t="array" ref="C19456">PRODUCT(1-'Sparkling Model'!D$2:D$38^A19456)</f>
        <v>0.9997711692</v>
      </c>
    </row>
    <row r="19457">
      <c r="A19457" s="6">
        <v>19455.0</v>
      </c>
      <c r="B19457" s="17">
        <f t="array" ref="B19457">SUM(1-'Sparkling Model'!D$2:D$38^A19457)</f>
        <v>36.99977126</v>
      </c>
      <c r="C19457" s="8">
        <f t="array" ref="C19457">PRODUCT(1-'Sparkling Model'!D$2:D$38^A19457)</f>
        <v>0.9997712816</v>
      </c>
    </row>
    <row r="19458">
      <c r="A19458" s="6">
        <v>19456.0</v>
      </c>
      <c r="B19458" s="17">
        <f t="array" ref="B19458">SUM(1-'Sparkling Model'!D$2:D$38^A19458)</f>
        <v>36.99977138</v>
      </c>
      <c r="C19458" s="8">
        <f t="array" ref="C19458">PRODUCT(1-'Sparkling Model'!D$2:D$38^A19458)</f>
        <v>0.9997713939</v>
      </c>
    </row>
    <row r="19459">
      <c r="A19459" s="6">
        <v>19457.0</v>
      </c>
      <c r="B19459" s="17">
        <f t="array" ref="B19459">SUM(1-'Sparkling Model'!D$2:D$38^A19459)</f>
        <v>36.99977149</v>
      </c>
      <c r="C19459" s="8">
        <f t="array" ref="C19459">PRODUCT(1-'Sparkling Model'!D$2:D$38^A19459)</f>
        <v>0.9997715062</v>
      </c>
    </row>
    <row r="19460">
      <c r="A19460" s="6">
        <v>19458.0</v>
      </c>
      <c r="B19460" s="17">
        <f t="array" ref="B19460">SUM(1-'Sparkling Model'!D$2:D$38^A19460)</f>
        <v>36.9997716</v>
      </c>
      <c r="C19460" s="8">
        <f t="array" ref="C19460">PRODUCT(1-'Sparkling Model'!D$2:D$38^A19460)</f>
        <v>0.9997716184</v>
      </c>
    </row>
    <row r="19461">
      <c r="A19461" s="6">
        <v>19459.0</v>
      </c>
      <c r="B19461" s="17">
        <f t="array" ref="B19461">SUM(1-'Sparkling Model'!D$2:D$38^A19461)</f>
        <v>36.99977171</v>
      </c>
      <c r="C19461" s="8">
        <f t="array" ref="C19461">PRODUCT(1-'Sparkling Model'!D$2:D$38^A19461)</f>
        <v>0.9997717306</v>
      </c>
    </row>
    <row r="19462">
      <c r="A19462" s="6">
        <v>19460.0</v>
      </c>
      <c r="B19462" s="17">
        <f t="array" ref="B19462">SUM(1-'Sparkling Model'!D$2:D$38^A19462)</f>
        <v>36.99977182</v>
      </c>
      <c r="C19462" s="8">
        <f t="array" ref="C19462">PRODUCT(1-'Sparkling Model'!D$2:D$38^A19462)</f>
        <v>0.9997718427</v>
      </c>
    </row>
    <row r="19463">
      <c r="A19463" s="6">
        <v>19461.0</v>
      </c>
      <c r="B19463" s="17">
        <f t="array" ref="B19463">SUM(1-'Sparkling Model'!D$2:D$38^A19463)</f>
        <v>36.99977194</v>
      </c>
      <c r="C19463" s="8">
        <f t="array" ref="C19463">PRODUCT(1-'Sparkling Model'!D$2:D$38^A19463)</f>
        <v>0.9997719547</v>
      </c>
    </row>
    <row r="19464">
      <c r="A19464" s="6">
        <v>19462.0</v>
      </c>
      <c r="B19464" s="17">
        <f t="array" ref="B19464">SUM(1-'Sparkling Model'!D$2:D$38^A19464)</f>
        <v>36.99977205</v>
      </c>
      <c r="C19464" s="8">
        <f t="array" ref="C19464">PRODUCT(1-'Sparkling Model'!D$2:D$38^A19464)</f>
        <v>0.9997720667</v>
      </c>
    </row>
    <row r="19465">
      <c r="A19465" s="6">
        <v>19463.0</v>
      </c>
      <c r="B19465" s="17">
        <f t="array" ref="B19465">SUM(1-'Sparkling Model'!D$2:D$38^A19465)</f>
        <v>36.99977216</v>
      </c>
      <c r="C19465" s="8">
        <f t="array" ref="C19465">PRODUCT(1-'Sparkling Model'!D$2:D$38^A19465)</f>
        <v>0.9997721787</v>
      </c>
    </row>
    <row r="19466">
      <c r="A19466" s="6">
        <v>19464.0</v>
      </c>
      <c r="B19466" s="17">
        <f t="array" ref="B19466">SUM(1-'Sparkling Model'!D$2:D$38^A19466)</f>
        <v>36.99977227</v>
      </c>
      <c r="C19466" s="8">
        <f t="array" ref="C19466">PRODUCT(1-'Sparkling Model'!D$2:D$38^A19466)</f>
        <v>0.9997722906</v>
      </c>
    </row>
    <row r="19467">
      <c r="A19467" s="6">
        <v>19465.0</v>
      </c>
      <c r="B19467" s="17">
        <f t="array" ref="B19467">SUM(1-'Sparkling Model'!D$2:D$38^A19467)</f>
        <v>36.99977238</v>
      </c>
      <c r="C19467" s="8">
        <f t="array" ref="C19467">PRODUCT(1-'Sparkling Model'!D$2:D$38^A19467)</f>
        <v>0.9997724024</v>
      </c>
    </row>
    <row r="19468">
      <c r="A19468" s="6">
        <v>19466.0</v>
      </c>
      <c r="B19468" s="17">
        <f t="array" ref="B19468">SUM(1-'Sparkling Model'!D$2:D$38^A19468)</f>
        <v>36.9997725</v>
      </c>
      <c r="C19468" s="8">
        <f t="array" ref="C19468">PRODUCT(1-'Sparkling Model'!D$2:D$38^A19468)</f>
        <v>0.9997725142</v>
      </c>
    </row>
    <row r="19469">
      <c r="A19469" s="6">
        <v>19467.0</v>
      </c>
      <c r="B19469" s="17">
        <f t="array" ref="B19469">SUM(1-'Sparkling Model'!D$2:D$38^A19469)</f>
        <v>36.99977261</v>
      </c>
      <c r="C19469" s="8">
        <f t="array" ref="C19469">PRODUCT(1-'Sparkling Model'!D$2:D$38^A19469)</f>
        <v>0.9997726259</v>
      </c>
    </row>
    <row r="19470">
      <c r="A19470" s="6">
        <v>19468.0</v>
      </c>
      <c r="B19470" s="17">
        <f t="array" ref="B19470">SUM(1-'Sparkling Model'!D$2:D$38^A19470)</f>
        <v>36.99977272</v>
      </c>
      <c r="C19470" s="8">
        <f t="array" ref="C19470">PRODUCT(1-'Sparkling Model'!D$2:D$38^A19470)</f>
        <v>0.9997727376</v>
      </c>
    </row>
    <row r="19471">
      <c r="A19471" s="6">
        <v>19469.0</v>
      </c>
      <c r="B19471" s="17">
        <f t="array" ref="B19471">SUM(1-'Sparkling Model'!D$2:D$38^A19471)</f>
        <v>36.99977283</v>
      </c>
      <c r="C19471" s="8">
        <f t="array" ref="C19471">PRODUCT(1-'Sparkling Model'!D$2:D$38^A19471)</f>
        <v>0.9997728492</v>
      </c>
    </row>
    <row r="19472">
      <c r="A19472" s="6">
        <v>19470.0</v>
      </c>
      <c r="B19472" s="17">
        <f t="array" ref="B19472">SUM(1-'Sparkling Model'!D$2:D$38^A19472)</f>
        <v>36.99977294</v>
      </c>
      <c r="C19472" s="8">
        <f t="array" ref="C19472">PRODUCT(1-'Sparkling Model'!D$2:D$38^A19472)</f>
        <v>0.9997729608</v>
      </c>
    </row>
    <row r="19473">
      <c r="A19473" s="6">
        <v>19471.0</v>
      </c>
      <c r="B19473" s="17">
        <f t="array" ref="B19473">SUM(1-'Sparkling Model'!D$2:D$38^A19473)</f>
        <v>36.99977305</v>
      </c>
      <c r="C19473" s="8">
        <f t="array" ref="C19473">PRODUCT(1-'Sparkling Model'!D$2:D$38^A19473)</f>
        <v>0.9997730723</v>
      </c>
    </row>
    <row r="19474">
      <c r="A19474" s="6">
        <v>19472.0</v>
      </c>
      <c r="B19474" s="17">
        <f t="array" ref="B19474">SUM(1-'Sparkling Model'!D$2:D$38^A19474)</f>
        <v>36.99977317</v>
      </c>
      <c r="C19474" s="8">
        <f t="array" ref="C19474">PRODUCT(1-'Sparkling Model'!D$2:D$38^A19474)</f>
        <v>0.9997731837</v>
      </c>
    </row>
    <row r="19475">
      <c r="A19475" s="6">
        <v>19473.0</v>
      </c>
      <c r="B19475" s="17">
        <f t="array" ref="B19475">SUM(1-'Sparkling Model'!D$2:D$38^A19475)</f>
        <v>36.99977328</v>
      </c>
      <c r="C19475" s="8">
        <f t="array" ref="C19475">PRODUCT(1-'Sparkling Model'!D$2:D$38^A19475)</f>
        <v>0.9997732951</v>
      </c>
    </row>
    <row r="19476">
      <c r="A19476" s="6">
        <v>19474.0</v>
      </c>
      <c r="B19476" s="17">
        <f t="array" ref="B19476">SUM(1-'Sparkling Model'!D$2:D$38^A19476)</f>
        <v>36.99977339</v>
      </c>
      <c r="C19476" s="8">
        <f t="array" ref="C19476">PRODUCT(1-'Sparkling Model'!D$2:D$38^A19476)</f>
        <v>0.9997734065</v>
      </c>
    </row>
    <row r="19477">
      <c r="A19477" s="6">
        <v>19475.0</v>
      </c>
      <c r="B19477" s="17">
        <f t="array" ref="B19477">SUM(1-'Sparkling Model'!D$2:D$38^A19477)</f>
        <v>36.9997735</v>
      </c>
      <c r="C19477" s="8">
        <f t="array" ref="C19477">PRODUCT(1-'Sparkling Model'!D$2:D$38^A19477)</f>
        <v>0.9997735178</v>
      </c>
    </row>
    <row r="19478">
      <c r="A19478" s="6">
        <v>19476.0</v>
      </c>
      <c r="B19478" s="17">
        <f t="array" ref="B19478">SUM(1-'Sparkling Model'!D$2:D$38^A19478)</f>
        <v>36.99977361</v>
      </c>
      <c r="C19478" s="8">
        <f t="array" ref="C19478">PRODUCT(1-'Sparkling Model'!D$2:D$38^A19478)</f>
        <v>0.999773629</v>
      </c>
    </row>
    <row r="19479">
      <c r="A19479" s="6">
        <v>19477.0</v>
      </c>
      <c r="B19479" s="17">
        <f t="array" ref="B19479">SUM(1-'Sparkling Model'!D$2:D$38^A19479)</f>
        <v>36.99977372</v>
      </c>
      <c r="C19479" s="8">
        <f t="array" ref="C19479">PRODUCT(1-'Sparkling Model'!D$2:D$38^A19479)</f>
        <v>0.9997737402</v>
      </c>
    </row>
    <row r="19480">
      <c r="A19480" s="6">
        <v>19478.0</v>
      </c>
      <c r="B19480" s="17">
        <f t="array" ref="B19480">SUM(1-'Sparkling Model'!D$2:D$38^A19480)</f>
        <v>36.99977383</v>
      </c>
      <c r="C19480" s="8">
        <f t="array" ref="C19480">PRODUCT(1-'Sparkling Model'!D$2:D$38^A19480)</f>
        <v>0.9997738513</v>
      </c>
    </row>
    <row r="19481">
      <c r="A19481" s="6">
        <v>19479.0</v>
      </c>
      <c r="B19481" s="17">
        <f t="array" ref="B19481">SUM(1-'Sparkling Model'!D$2:D$38^A19481)</f>
        <v>36.99977394</v>
      </c>
      <c r="C19481" s="8">
        <f t="array" ref="C19481">PRODUCT(1-'Sparkling Model'!D$2:D$38^A19481)</f>
        <v>0.9997739624</v>
      </c>
    </row>
    <row r="19482">
      <c r="A19482" s="6">
        <v>19480.0</v>
      </c>
      <c r="B19482" s="17">
        <f t="array" ref="B19482">SUM(1-'Sparkling Model'!D$2:D$38^A19482)</f>
        <v>36.99977406</v>
      </c>
      <c r="C19482" s="8">
        <f t="array" ref="C19482">PRODUCT(1-'Sparkling Model'!D$2:D$38^A19482)</f>
        <v>0.9997740734</v>
      </c>
    </row>
    <row r="19483">
      <c r="A19483" s="6">
        <v>19481.0</v>
      </c>
      <c r="B19483" s="17">
        <f t="array" ref="B19483">SUM(1-'Sparkling Model'!D$2:D$38^A19483)</f>
        <v>36.99977417</v>
      </c>
      <c r="C19483" s="8">
        <f t="array" ref="C19483">PRODUCT(1-'Sparkling Model'!D$2:D$38^A19483)</f>
        <v>0.9997741843</v>
      </c>
    </row>
    <row r="19484">
      <c r="A19484" s="6">
        <v>19482.0</v>
      </c>
      <c r="B19484" s="17">
        <f t="array" ref="B19484">SUM(1-'Sparkling Model'!D$2:D$38^A19484)</f>
        <v>36.99977428</v>
      </c>
      <c r="C19484" s="8">
        <f t="array" ref="C19484">PRODUCT(1-'Sparkling Model'!D$2:D$38^A19484)</f>
        <v>0.9997742952</v>
      </c>
    </row>
    <row r="19485">
      <c r="A19485" s="6">
        <v>19483.0</v>
      </c>
      <c r="B19485" s="17">
        <f t="array" ref="B19485">SUM(1-'Sparkling Model'!D$2:D$38^A19485)</f>
        <v>36.99977439</v>
      </c>
      <c r="C19485" s="8">
        <f t="array" ref="C19485">PRODUCT(1-'Sparkling Model'!D$2:D$38^A19485)</f>
        <v>0.9997744061</v>
      </c>
    </row>
    <row r="19486">
      <c r="A19486" s="6">
        <v>19484.0</v>
      </c>
      <c r="B19486" s="17">
        <f t="array" ref="B19486">SUM(1-'Sparkling Model'!D$2:D$38^A19486)</f>
        <v>36.9997745</v>
      </c>
      <c r="C19486" s="8">
        <f t="array" ref="C19486">PRODUCT(1-'Sparkling Model'!D$2:D$38^A19486)</f>
        <v>0.9997745169</v>
      </c>
    </row>
    <row r="19487">
      <c r="A19487" s="6">
        <v>19485.0</v>
      </c>
      <c r="B19487" s="17">
        <f t="array" ref="B19487">SUM(1-'Sparkling Model'!D$2:D$38^A19487)</f>
        <v>36.99977461</v>
      </c>
      <c r="C19487" s="8">
        <f t="array" ref="C19487">PRODUCT(1-'Sparkling Model'!D$2:D$38^A19487)</f>
        <v>0.9997746276</v>
      </c>
    </row>
    <row r="19488">
      <c r="A19488" s="6">
        <v>19486.0</v>
      </c>
      <c r="B19488" s="17">
        <f t="array" ref="B19488">SUM(1-'Sparkling Model'!D$2:D$38^A19488)</f>
        <v>36.99977472</v>
      </c>
      <c r="C19488" s="8">
        <f t="array" ref="C19488">PRODUCT(1-'Sparkling Model'!D$2:D$38^A19488)</f>
        <v>0.9997747383</v>
      </c>
    </row>
    <row r="19489">
      <c r="A19489" s="6">
        <v>19487.0</v>
      </c>
      <c r="B19489" s="17">
        <f t="array" ref="B19489">SUM(1-'Sparkling Model'!D$2:D$38^A19489)</f>
        <v>36.99977483</v>
      </c>
      <c r="C19489" s="8">
        <f t="array" ref="C19489">PRODUCT(1-'Sparkling Model'!D$2:D$38^A19489)</f>
        <v>0.9997748489</v>
      </c>
    </row>
    <row r="19490">
      <c r="A19490" s="6">
        <v>19488.0</v>
      </c>
      <c r="B19490" s="17">
        <f t="array" ref="B19490">SUM(1-'Sparkling Model'!D$2:D$38^A19490)</f>
        <v>36.99977494</v>
      </c>
      <c r="C19490" s="8">
        <f t="array" ref="C19490">PRODUCT(1-'Sparkling Model'!D$2:D$38^A19490)</f>
        <v>0.9997749595</v>
      </c>
    </row>
    <row r="19491">
      <c r="A19491" s="6">
        <v>19489.0</v>
      </c>
      <c r="B19491" s="17">
        <f t="array" ref="B19491">SUM(1-'Sparkling Model'!D$2:D$38^A19491)</f>
        <v>36.99977505</v>
      </c>
      <c r="C19491" s="8">
        <f t="array" ref="C19491">PRODUCT(1-'Sparkling Model'!D$2:D$38^A19491)</f>
        <v>0.99977507</v>
      </c>
    </row>
    <row r="19492">
      <c r="A19492" s="6">
        <v>19490.0</v>
      </c>
      <c r="B19492" s="17">
        <f t="array" ref="B19492">SUM(1-'Sparkling Model'!D$2:D$38^A19492)</f>
        <v>36.99977516</v>
      </c>
      <c r="C19492" s="8">
        <f t="array" ref="C19492">PRODUCT(1-'Sparkling Model'!D$2:D$38^A19492)</f>
        <v>0.9997751805</v>
      </c>
    </row>
    <row r="19493">
      <c r="A19493" s="6">
        <v>19491.0</v>
      </c>
      <c r="B19493" s="17">
        <f t="array" ref="B19493">SUM(1-'Sparkling Model'!D$2:D$38^A19493)</f>
        <v>36.99977527</v>
      </c>
      <c r="C19493" s="8">
        <f t="array" ref="C19493">PRODUCT(1-'Sparkling Model'!D$2:D$38^A19493)</f>
        <v>0.9997752909</v>
      </c>
    </row>
    <row r="19494">
      <c r="A19494" s="6">
        <v>19492.0</v>
      </c>
      <c r="B19494" s="17">
        <f t="array" ref="B19494">SUM(1-'Sparkling Model'!D$2:D$38^A19494)</f>
        <v>36.99977538</v>
      </c>
      <c r="C19494" s="8">
        <f t="array" ref="C19494">PRODUCT(1-'Sparkling Model'!D$2:D$38^A19494)</f>
        <v>0.9997754013</v>
      </c>
    </row>
    <row r="19495">
      <c r="A19495" s="6">
        <v>19493.0</v>
      </c>
      <c r="B19495" s="17">
        <f t="array" ref="B19495">SUM(1-'Sparkling Model'!D$2:D$38^A19495)</f>
        <v>36.99977549</v>
      </c>
      <c r="C19495" s="8">
        <f t="array" ref="C19495">PRODUCT(1-'Sparkling Model'!D$2:D$38^A19495)</f>
        <v>0.9997755116</v>
      </c>
    </row>
    <row r="19496">
      <c r="A19496" s="6">
        <v>19494.0</v>
      </c>
      <c r="B19496" s="17">
        <f t="array" ref="B19496">SUM(1-'Sparkling Model'!D$2:D$38^A19496)</f>
        <v>36.9997756</v>
      </c>
      <c r="C19496" s="8">
        <f t="array" ref="C19496">PRODUCT(1-'Sparkling Model'!D$2:D$38^A19496)</f>
        <v>0.9997756218</v>
      </c>
    </row>
    <row r="19497">
      <c r="A19497" s="6">
        <v>19495.0</v>
      </c>
      <c r="B19497" s="17">
        <f t="array" ref="B19497">SUM(1-'Sparkling Model'!D$2:D$38^A19497)</f>
        <v>36.99977571</v>
      </c>
      <c r="C19497" s="8">
        <f t="array" ref="C19497">PRODUCT(1-'Sparkling Model'!D$2:D$38^A19497)</f>
        <v>0.999775732</v>
      </c>
    </row>
    <row r="19498">
      <c r="A19498" s="6">
        <v>19496.0</v>
      </c>
      <c r="B19498" s="17">
        <f t="array" ref="B19498">SUM(1-'Sparkling Model'!D$2:D$38^A19498)</f>
        <v>36.99977583</v>
      </c>
      <c r="C19498" s="8">
        <f t="array" ref="C19498">PRODUCT(1-'Sparkling Model'!D$2:D$38^A19498)</f>
        <v>0.9997758422</v>
      </c>
    </row>
    <row r="19499">
      <c r="A19499" s="6">
        <v>19497.0</v>
      </c>
      <c r="B19499" s="17">
        <f t="array" ref="B19499">SUM(1-'Sparkling Model'!D$2:D$38^A19499)</f>
        <v>36.99977594</v>
      </c>
      <c r="C19499" s="8">
        <f t="array" ref="C19499">PRODUCT(1-'Sparkling Model'!D$2:D$38^A19499)</f>
        <v>0.9997759523</v>
      </c>
    </row>
    <row r="19500">
      <c r="A19500" s="6">
        <v>19498.0</v>
      </c>
      <c r="B19500" s="17">
        <f t="array" ref="B19500">SUM(1-'Sparkling Model'!D$2:D$38^A19500)</f>
        <v>36.99977605</v>
      </c>
      <c r="C19500" s="8">
        <f t="array" ref="C19500">PRODUCT(1-'Sparkling Model'!D$2:D$38^A19500)</f>
        <v>0.9997760623</v>
      </c>
    </row>
    <row r="19501">
      <c r="A19501" s="6">
        <v>19499.0</v>
      </c>
      <c r="B19501" s="17">
        <f t="array" ref="B19501">SUM(1-'Sparkling Model'!D$2:D$38^A19501)</f>
        <v>36.99977616</v>
      </c>
      <c r="C19501" s="8">
        <f t="array" ref="C19501">PRODUCT(1-'Sparkling Model'!D$2:D$38^A19501)</f>
        <v>0.9997761723</v>
      </c>
    </row>
    <row r="19502">
      <c r="A19502" s="6">
        <v>19500.0</v>
      </c>
      <c r="B19502" s="17">
        <f t="array" ref="B19502">SUM(1-'Sparkling Model'!D$2:D$38^A19502)</f>
        <v>36.99977627</v>
      </c>
      <c r="C19502" s="8">
        <f t="array" ref="C19502">PRODUCT(1-'Sparkling Model'!D$2:D$38^A19502)</f>
        <v>0.9997762822</v>
      </c>
    </row>
    <row r="19503">
      <c r="A19503" s="6">
        <v>19501.0</v>
      </c>
      <c r="B19503" s="17">
        <f t="array" ref="B19503">SUM(1-'Sparkling Model'!D$2:D$38^A19503)</f>
        <v>36.99977638</v>
      </c>
      <c r="C19503" s="8">
        <f t="array" ref="C19503">PRODUCT(1-'Sparkling Model'!D$2:D$38^A19503)</f>
        <v>0.9997763921</v>
      </c>
    </row>
    <row r="19504">
      <c r="A19504" s="6">
        <v>19502.0</v>
      </c>
      <c r="B19504" s="17">
        <f t="array" ref="B19504">SUM(1-'Sparkling Model'!D$2:D$38^A19504)</f>
        <v>36.99977648</v>
      </c>
      <c r="C19504" s="8">
        <f t="array" ref="C19504">PRODUCT(1-'Sparkling Model'!D$2:D$38^A19504)</f>
        <v>0.9997765019</v>
      </c>
    </row>
    <row r="19505">
      <c r="A19505" s="6">
        <v>19503.0</v>
      </c>
      <c r="B19505" s="17">
        <f t="array" ref="B19505">SUM(1-'Sparkling Model'!D$2:D$38^A19505)</f>
        <v>36.99977659</v>
      </c>
      <c r="C19505" s="8">
        <f t="array" ref="C19505">PRODUCT(1-'Sparkling Model'!D$2:D$38^A19505)</f>
        <v>0.9997766117</v>
      </c>
    </row>
    <row r="19506">
      <c r="A19506" s="6">
        <v>19504.0</v>
      </c>
      <c r="B19506" s="17">
        <f t="array" ref="B19506">SUM(1-'Sparkling Model'!D$2:D$38^A19506)</f>
        <v>36.9997767</v>
      </c>
      <c r="C19506" s="8">
        <f t="array" ref="C19506">PRODUCT(1-'Sparkling Model'!D$2:D$38^A19506)</f>
        <v>0.9997767214</v>
      </c>
    </row>
    <row r="19507">
      <c r="A19507" s="6">
        <v>19505.0</v>
      </c>
      <c r="B19507" s="17">
        <f t="array" ref="B19507">SUM(1-'Sparkling Model'!D$2:D$38^A19507)</f>
        <v>36.99977681</v>
      </c>
      <c r="C19507" s="8">
        <f t="array" ref="C19507">PRODUCT(1-'Sparkling Model'!D$2:D$38^A19507)</f>
        <v>0.999776831</v>
      </c>
    </row>
    <row r="19508">
      <c r="A19508" s="6">
        <v>19506.0</v>
      </c>
      <c r="B19508" s="17">
        <f t="array" ref="B19508">SUM(1-'Sparkling Model'!D$2:D$38^A19508)</f>
        <v>36.99977692</v>
      </c>
      <c r="C19508" s="8">
        <f t="array" ref="C19508">PRODUCT(1-'Sparkling Model'!D$2:D$38^A19508)</f>
        <v>0.9997769406</v>
      </c>
    </row>
    <row r="19509">
      <c r="A19509" s="6">
        <v>19507.0</v>
      </c>
      <c r="B19509" s="17">
        <f t="array" ref="B19509">SUM(1-'Sparkling Model'!D$2:D$38^A19509)</f>
        <v>36.99977703</v>
      </c>
      <c r="C19509" s="8">
        <f t="array" ref="C19509">PRODUCT(1-'Sparkling Model'!D$2:D$38^A19509)</f>
        <v>0.9997770502</v>
      </c>
    </row>
    <row r="19510">
      <c r="A19510" s="6">
        <v>19508.0</v>
      </c>
      <c r="B19510" s="17">
        <f t="array" ref="B19510">SUM(1-'Sparkling Model'!D$2:D$38^A19510)</f>
        <v>36.99977714</v>
      </c>
      <c r="C19510" s="8">
        <f t="array" ref="C19510">PRODUCT(1-'Sparkling Model'!D$2:D$38^A19510)</f>
        <v>0.9997771597</v>
      </c>
    </row>
    <row r="19511">
      <c r="A19511" s="6">
        <v>19509.0</v>
      </c>
      <c r="B19511" s="17">
        <f t="array" ref="B19511">SUM(1-'Sparkling Model'!D$2:D$38^A19511)</f>
        <v>36.99977725</v>
      </c>
      <c r="C19511" s="8">
        <f t="array" ref="C19511">PRODUCT(1-'Sparkling Model'!D$2:D$38^A19511)</f>
        <v>0.9997772691</v>
      </c>
    </row>
    <row r="19512">
      <c r="A19512" s="6">
        <v>19510.0</v>
      </c>
      <c r="B19512" s="17">
        <f t="array" ref="B19512">SUM(1-'Sparkling Model'!D$2:D$38^A19512)</f>
        <v>36.99977736</v>
      </c>
      <c r="C19512" s="8">
        <f t="array" ref="C19512">PRODUCT(1-'Sparkling Model'!D$2:D$38^A19512)</f>
        <v>0.9997773785</v>
      </c>
    </row>
    <row r="19513">
      <c r="A19513" s="6">
        <v>19511.0</v>
      </c>
      <c r="B19513" s="17">
        <f t="array" ref="B19513">SUM(1-'Sparkling Model'!D$2:D$38^A19513)</f>
        <v>36.99977747</v>
      </c>
      <c r="C19513" s="8">
        <f t="array" ref="C19513">PRODUCT(1-'Sparkling Model'!D$2:D$38^A19513)</f>
        <v>0.9997774878</v>
      </c>
    </row>
    <row r="19514">
      <c r="A19514" s="6">
        <v>19512.0</v>
      </c>
      <c r="B19514" s="17">
        <f t="array" ref="B19514">SUM(1-'Sparkling Model'!D$2:D$38^A19514)</f>
        <v>36.99977758</v>
      </c>
      <c r="C19514" s="8">
        <f t="array" ref="C19514">PRODUCT(1-'Sparkling Model'!D$2:D$38^A19514)</f>
        <v>0.9997775971</v>
      </c>
    </row>
    <row r="19515">
      <c r="A19515" s="6">
        <v>19513.0</v>
      </c>
      <c r="B19515" s="17">
        <f t="array" ref="B19515">SUM(1-'Sparkling Model'!D$2:D$38^A19515)</f>
        <v>36.99977769</v>
      </c>
      <c r="C19515" s="8">
        <f t="array" ref="C19515">PRODUCT(1-'Sparkling Model'!D$2:D$38^A19515)</f>
        <v>0.9997777064</v>
      </c>
    </row>
    <row r="19516">
      <c r="A19516" s="6">
        <v>19514.0</v>
      </c>
      <c r="B19516" s="17">
        <f t="array" ref="B19516">SUM(1-'Sparkling Model'!D$2:D$38^A19516)</f>
        <v>36.9997778</v>
      </c>
      <c r="C19516" s="8">
        <f t="array" ref="C19516">PRODUCT(1-'Sparkling Model'!D$2:D$38^A19516)</f>
        <v>0.9997778155</v>
      </c>
    </row>
    <row r="19517">
      <c r="A19517" s="6">
        <v>19515.0</v>
      </c>
      <c r="B19517" s="17">
        <f t="array" ref="B19517">SUM(1-'Sparkling Model'!D$2:D$38^A19517)</f>
        <v>36.99977791</v>
      </c>
      <c r="C19517" s="8">
        <f t="array" ref="C19517">PRODUCT(1-'Sparkling Model'!D$2:D$38^A19517)</f>
        <v>0.9997779246</v>
      </c>
    </row>
    <row r="19518">
      <c r="A19518" s="6">
        <v>19516.0</v>
      </c>
      <c r="B19518" s="17">
        <f t="array" ref="B19518">SUM(1-'Sparkling Model'!D$2:D$38^A19518)</f>
        <v>36.99977802</v>
      </c>
      <c r="C19518" s="8">
        <f t="array" ref="C19518">PRODUCT(1-'Sparkling Model'!D$2:D$38^A19518)</f>
        <v>0.9997780337</v>
      </c>
    </row>
    <row r="19519">
      <c r="A19519" s="6">
        <v>19517.0</v>
      </c>
      <c r="B19519" s="17">
        <f t="array" ref="B19519">SUM(1-'Sparkling Model'!D$2:D$38^A19519)</f>
        <v>36.99977813</v>
      </c>
      <c r="C19519" s="8">
        <f t="array" ref="C19519">PRODUCT(1-'Sparkling Model'!D$2:D$38^A19519)</f>
        <v>0.9997781427</v>
      </c>
    </row>
    <row r="19520">
      <c r="A19520" s="6">
        <v>19518.0</v>
      </c>
      <c r="B19520" s="17">
        <f t="array" ref="B19520">SUM(1-'Sparkling Model'!D$2:D$38^A19520)</f>
        <v>36.99977823</v>
      </c>
      <c r="C19520" s="8">
        <f t="array" ref="C19520">PRODUCT(1-'Sparkling Model'!D$2:D$38^A19520)</f>
        <v>0.9997782517</v>
      </c>
    </row>
    <row r="19521">
      <c r="A19521" s="6">
        <v>19519.0</v>
      </c>
      <c r="B19521" s="17">
        <f t="array" ref="B19521">SUM(1-'Sparkling Model'!D$2:D$38^A19521)</f>
        <v>36.99977834</v>
      </c>
      <c r="C19521" s="8">
        <f t="array" ref="C19521">PRODUCT(1-'Sparkling Model'!D$2:D$38^A19521)</f>
        <v>0.9997783606</v>
      </c>
    </row>
    <row r="19522">
      <c r="A19522" s="6">
        <v>19520.0</v>
      </c>
      <c r="B19522" s="17">
        <f t="array" ref="B19522">SUM(1-'Sparkling Model'!D$2:D$38^A19522)</f>
        <v>36.99977845</v>
      </c>
      <c r="C19522" s="8">
        <f t="array" ref="C19522">PRODUCT(1-'Sparkling Model'!D$2:D$38^A19522)</f>
        <v>0.9997784694</v>
      </c>
    </row>
    <row r="19523">
      <c r="A19523" s="6">
        <v>19521.0</v>
      </c>
      <c r="B19523" s="17">
        <f t="array" ref="B19523">SUM(1-'Sparkling Model'!D$2:D$38^A19523)</f>
        <v>36.99977856</v>
      </c>
      <c r="C19523" s="8">
        <f t="array" ref="C19523">PRODUCT(1-'Sparkling Model'!D$2:D$38^A19523)</f>
        <v>0.9997785782</v>
      </c>
    </row>
    <row r="19524">
      <c r="A19524" s="6">
        <v>19522.0</v>
      </c>
      <c r="B19524" s="17">
        <f t="array" ref="B19524">SUM(1-'Sparkling Model'!D$2:D$38^A19524)</f>
        <v>36.99977867</v>
      </c>
      <c r="C19524" s="8">
        <f t="array" ref="C19524">PRODUCT(1-'Sparkling Model'!D$2:D$38^A19524)</f>
        <v>0.999778687</v>
      </c>
    </row>
    <row r="19525">
      <c r="A19525" s="6">
        <v>19523.0</v>
      </c>
      <c r="B19525" s="17">
        <f t="array" ref="B19525">SUM(1-'Sparkling Model'!D$2:D$38^A19525)</f>
        <v>36.99977878</v>
      </c>
      <c r="C19525" s="8">
        <f t="array" ref="C19525">PRODUCT(1-'Sparkling Model'!D$2:D$38^A19525)</f>
        <v>0.9997787957</v>
      </c>
    </row>
    <row r="19526">
      <c r="A19526" s="6">
        <v>19524.0</v>
      </c>
      <c r="B19526" s="17">
        <f t="array" ref="B19526">SUM(1-'Sparkling Model'!D$2:D$38^A19526)</f>
        <v>36.99977889</v>
      </c>
      <c r="C19526" s="8">
        <f t="array" ref="C19526">PRODUCT(1-'Sparkling Model'!D$2:D$38^A19526)</f>
        <v>0.9997789043</v>
      </c>
    </row>
    <row r="19527">
      <c r="A19527" s="6">
        <v>19525.0</v>
      </c>
      <c r="B19527" s="17">
        <f t="array" ref="B19527">SUM(1-'Sparkling Model'!D$2:D$38^A19527)</f>
        <v>36.999779</v>
      </c>
      <c r="C19527" s="8">
        <f t="array" ref="C19527">PRODUCT(1-'Sparkling Model'!D$2:D$38^A19527)</f>
        <v>0.9997790129</v>
      </c>
    </row>
    <row r="19528">
      <c r="A19528" s="6">
        <v>19526.0</v>
      </c>
      <c r="B19528" s="17">
        <f t="array" ref="B19528">SUM(1-'Sparkling Model'!D$2:D$38^A19528)</f>
        <v>36.9997791</v>
      </c>
      <c r="C19528" s="8">
        <f t="array" ref="C19528">PRODUCT(1-'Sparkling Model'!D$2:D$38^A19528)</f>
        <v>0.9997791214</v>
      </c>
    </row>
    <row r="19529">
      <c r="A19529" s="6">
        <v>19527.0</v>
      </c>
      <c r="B19529" s="17">
        <f t="array" ref="B19529">SUM(1-'Sparkling Model'!D$2:D$38^A19529)</f>
        <v>36.99977921</v>
      </c>
      <c r="C19529" s="8">
        <f t="array" ref="C19529">PRODUCT(1-'Sparkling Model'!D$2:D$38^A19529)</f>
        <v>0.9997792299</v>
      </c>
    </row>
    <row r="19530">
      <c r="A19530" s="6">
        <v>19528.0</v>
      </c>
      <c r="B19530" s="17">
        <f t="array" ref="B19530">SUM(1-'Sparkling Model'!D$2:D$38^A19530)</f>
        <v>36.99977932</v>
      </c>
      <c r="C19530" s="8">
        <f t="array" ref="C19530">PRODUCT(1-'Sparkling Model'!D$2:D$38^A19530)</f>
        <v>0.9997793383</v>
      </c>
    </row>
    <row r="19531">
      <c r="A19531" s="6">
        <v>19529.0</v>
      </c>
      <c r="B19531" s="17">
        <f t="array" ref="B19531">SUM(1-'Sparkling Model'!D$2:D$38^A19531)</f>
        <v>36.99977943</v>
      </c>
      <c r="C19531" s="8">
        <f t="array" ref="C19531">PRODUCT(1-'Sparkling Model'!D$2:D$38^A19531)</f>
        <v>0.9997794467</v>
      </c>
    </row>
    <row r="19532">
      <c r="A19532" s="6">
        <v>19530.0</v>
      </c>
      <c r="B19532" s="17">
        <f t="array" ref="B19532">SUM(1-'Sparkling Model'!D$2:D$38^A19532)</f>
        <v>36.99977954</v>
      </c>
      <c r="C19532" s="8">
        <f t="array" ref="C19532">PRODUCT(1-'Sparkling Model'!D$2:D$38^A19532)</f>
        <v>0.999779555</v>
      </c>
    </row>
    <row r="19533">
      <c r="A19533" s="6">
        <v>19531.0</v>
      </c>
      <c r="B19533" s="17">
        <f t="array" ref="B19533">SUM(1-'Sparkling Model'!D$2:D$38^A19533)</f>
        <v>36.99977965</v>
      </c>
      <c r="C19533" s="8">
        <f t="array" ref="C19533">PRODUCT(1-'Sparkling Model'!D$2:D$38^A19533)</f>
        <v>0.9997796633</v>
      </c>
    </row>
    <row r="19534">
      <c r="A19534" s="6">
        <v>19532.0</v>
      </c>
      <c r="B19534" s="17">
        <f t="array" ref="B19534">SUM(1-'Sparkling Model'!D$2:D$38^A19534)</f>
        <v>36.99977975</v>
      </c>
      <c r="C19534" s="8">
        <f t="array" ref="C19534">PRODUCT(1-'Sparkling Model'!D$2:D$38^A19534)</f>
        <v>0.9997797715</v>
      </c>
    </row>
    <row r="19535">
      <c r="A19535" s="6">
        <v>19533.0</v>
      </c>
      <c r="B19535" s="17">
        <f t="array" ref="B19535">SUM(1-'Sparkling Model'!D$2:D$38^A19535)</f>
        <v>36.99977986</v>
      </c>
      <c r="C19535" s="8">
        <f t="array" ref="C19535">PRODUCT(1-'Sparkling Model'!D$2:D$38^A19535)</f>
        <v>0.9997798796</v>
      </c>
    </row>
    <row r="19536">
      <c r="A19536" s="6">
        <v>19534.0</v>
      </c>
      <c r="B19536" s="17">
        <f t="array" ref="B19536">SUM(1-'Sparkling Model'!D$2:D$38^A19536)</f>
        <v>36.99977997</v>
      </c>
      <c r="C19536" s="8">
        <f t="array" ref="C19536">PRODUCT(1-'Sparkling Model'!D$2:D$38^A19536)</f>
        <v>0.9997799877</v>
      </c>
    </row>
    <row r="19537">
      <c r="A19537" s="6">
        <v>19535.0</v>
      </c>
      <c r="B19537" s="17">
        <f t="array" ref="B19537">SUM(1-'Sparkling Model'!D$2:D$38^A19537)</f>
        <v>36.99978008</v>
      </c>
      <c r="C19537" s="8">
        <f t="array" ref="C19537">PRODUCT(1-'Sparkling Model'!D$2:D$38^A19537)</f>
        <v>0.9997800958</v>
      </c>
    </row>
    <row r="19538">
      <c r="A19538" s="6">
        <v>19536.0</v>
      </c>
      <c r="B19538" s="17">
        <f t="array" ref="B19538">SUM(1-'Sparkling Model'!D$2:D$38^A19538)</f>
        <v>36.99978019</v>
      </c>
      <c r="C19538" s="8">
        <f t="array" ref="C19538">PRODUCT(1-'Sparkling Model'!D$2:D$38^A19538)</f>
        <v>0.9997802038</v>
      </c>
    </row>
    <row r="19539">
      <c r="A19539" s="6">
        <v>19537.0</v>
      </c>
      <c r="B19539" s="17">
        <f t="array" ref="B19539">SUM(1-'Sparkling Model'!D$2:D$38^A19539)</f>
        <v>36.9997803</v>
      </c>
      <c r="C19539" s="8">
        <f t="array" ref="C19539">PRODUCT(1-'Sparkling Model'!D$2:D$38^A19539)</f>
        <v>0.9997803117</v>
      </c>
    </row>
    <row r="19540">
      <c r="A19540" s="6">
        <v>19538.0</v>
      </c>
      <c r="B19540" s="17">
        <f t="array" ref="B19540">SUM(1-'Sparkling Model'!D$2:D$38^A19540)</f>
        <v>36.9997804</v>
      </c>
      <c r="C19540" s="8">
        <f t="array" ref="C19540">PRODUCT(1-'Sparkling Model'!D$2:D$38^A19540)</f>
        <v>0.9997804196</v>
      </c>
    </row>
    <row r="19541">
      <c r="A19541" s="6">
        <v>19539.0</v>
      </c>
      <c r="B19541" s="17">
        <f t="array" ref="B19541">SUM(1-'Sparkling Model'!D$2:D$38^A19541)</f>
        <v>36.99978051</v>
      </c>
      <c r="C19541" s="8">
        <f t="array" ref="C19541">PRODUCT(1-'Sparkling Model'!D$2:D$38^A19541)</f>
        <v>0.9997805274</v>
      </c>
    </row>
    <row r="19542">
      <c r="A19542" s="6">
        <v>19540.0</v>
      </c>
      <c r="B19542" s="17">
        <f t="array" ref="B19542">SUM(1-'Sparkling Model'!D$2:D$38^A19542)</f>
        <v>36.99978062</v>
      </c>
      <c r="C19542" s="8">
        <f t="array" ref="C19542">PRODUCT(1-'Sparkling Model'!D$2:D$38^A19542)</f>
        <v>0.9997806352</v>
      </c>
    </row>
    <row r="19543">
      <c r="A19543" s="6">
        <v>19541.0</v>
      </c>
      <c r="B19543" s="17">
        <f t="array" ref="B19543">SUM(1-'Sparkling Model'!D$2:D$38^A19543)</f>
        <v>36.99978073</v>
      </c>
      <c r="C19543" s="8">
        <f t="array" ref="C19543">PRODUCT(1-'Sparkling Model'!D$2:D$38^A19543)</f>
        <v>0.999780743</v>
      </c>
    </row>
    <row r="19544">
      <c r="A19544" s="6">
        <v>19542.0</v>
      </c>
      <c r="B19544" s="17">
        <f t="array" ref="B19544">SUM(1-'Sparkling Model'!D$2:D$38^A19544)</f>
        <v>36.99978083</v>
      </c>
      <c r="C19544" s="8">
        <f t="array" ref="C19544">PRODUCT(1-'Sparkling Model'!D$2:D$38^A19544)</f>
        <v>0.9997808506</v>
      </c>
    </row>
    <row r="19545">
      <c r="A19545" s="6">
        <v>19543.0</v>
      </c>
      <c r="B19545" s="17">
        <f t="array" ref="B19545">SUM(1-'Sparkling Model'!D$2:D$38^A19545)</f>
        <v>36.99978094</v>
      </c>
      <c r="C19545" s="8">
        <f t="array" ref="C19545">PRODUCT(1-'Sparkling Model'!D$2:D$38^A19545)</f>
        <v>0.9997809583</v>
      </c>
    </row>
    <row r="19546">
      <c r="A19546" s="6">
        <v>19544.0</v>
      </c>
      <c r="B19546" s="17">
        <f t="array" ref="B19546">SUM(1-'Sparkling Model'!D$2:D$38^A19546)</f>
        <v>36.99978105</v>
      </c>
      <c r="C19546" s="8">
        <f t="array" ref="C19546">PRODUCT(1-'Sparkling Model'!D$2:D$38^A19546)</f>
        <v>0.9997810658</v>
      </c>
    </row>
    <row r="19547">
      <c r="A19547" s="6">
        <v>19545.0</v>
      </c>
      <c r="B19547" s="17">
        <f t="array" ref="B19547">SUM(1-'Sparkling Model'!D$2:D$38^A19547)</f>
        <v>36.99978116</v>
      </c>
      <c r="C19547" s="8">
        <f t="array" ref="C19547">PRODUCT(1-'Sparkling Model'!D$2:D$38^A19547)</f>
        <v>0.9997811733</v>
      </c>
    </row>
    <row r="19548">
      <c r="A19548" s="6">
        <v>19546.0</v>
      </c>
      <c r="B19548" s="17">
        <f t="array" ref="B19548">SUM(1-'Sparkling Model'!D$2:D$38^A19548)</f>
        <v>36.99978126</v>
      </c>
      <c r="C19548" s="8">
        <f t="array" ref="C19548">PRODUCT(1-'Sparkling Model'!D$2:D$38^A19548)</f>
        <v>0.9997812808</v>
      </c>
    </row>
    <row r="19549">
      <c r="A19549" s="6">
        <v>19547.0</v>
      </c>
      <c r="B19549" s="17">
        <f t="array" ref="B19549">SUM(1-'Sparkling Model'!D$2:D$38^A19549)</f>
        <v>36.99978137</v>
      </c>
      <c r="C19549" s="8">
        <f t="array" ref="C19549">PRODUCT(1-'Sparkling Model'!D$2:D$38^A19549)</f>
        <v>0.9997813882</v>
      </c>
    </row>
    <row r="19550">
      <c r="A19550" s="6">
        <v>19548.0</v>
      </c>
      <c r="B19550" s="17">
        <f t="array" ref="B19550">SUM(1-'Sparkling Model'!D$2:D$38^A19550)</f>
        <v>36.99978148</v>
      </c>
      <c r="C19550" s="8">
        <f t="array" ref="C19550">PRODUCT(1-'Sparkling Model'!D$2:D$38^A19550)</f>
        <v>0.9997814956</v>
      </c>
    </row>
    <row r="19551">
      <c r="A19551" s="6">
        <v>19549.0</v>
      </c>
      <c r="B19551" s="17">
        <f t="array" ref="B19551">SUM(1-'Sparkling Model'!D$2:D$38^A19551)</f>
        <v>36.99978159</v>
      </c>
      <c r="C19551" s="8">
        <f t="array" ref="C19551">PRODUCT(1-'Sparkling Model'!D$2:D$38^A19551)</f>
        <v>0.9997816029</v>
      </c>
    </row>
    <row r="19552">
      <c r="A19552" s="6">
        <v>19550.0</v>
      </c>
      <c r="B19552" s="17">
        <f t="array" ref="B19552">SUM(1-'Sparkling Model'!D$2:D$38^A19552)</f>
        <v>36.99978169</v>
      </c>
      <c r="C19552" s="8">
        <f t="array" ref="C19552">PRODUCT(1-'Sparkling Model'!D$2:D$38^A19552)</f>
        <v>0.9997817102</v>
      </c>
    </row>
    <row r="19553">
      <c r="A19553" s="6">
        <v>19551.0</v>
      </c>
      <c r="B19553" s="17">
        <f t="array" ref="B19553">SUM(1-'Sparkling Model'!D$2:D$38^A19553)</f>
        <v>36.9997818</v>
      </c>
      <c r="C19553" s="8">
        <f t="array" ref="C19553">PRODUCT(1-'Sparkling Model'!D$2:D$38^A19553)</f>
        <v>0.9997818174</v>
      </c>
    </row>
    <row r="19554">
      <c r="A19554" s="6">
        <v>19552.0</v>
      </c>
      <c r="B19554" s="17">
        <f t="array" ref="B19554">SUM(1-'Sparkling Model'!D$2:D$38^A19554)</f>
        <v>36.99978191</v>
      </c>
      <c r="C19554" s="8">
        <f t="array" ref="C19554">PRODUCT(1-'Sparkling Model'!D$2:D$38^A19554)</f>
        <v>0.9997819245</v>
      </c>
    </row>
    <row r="19555">
      <c r="A19555" s="6">
        <v>19553.0</v>
      </c>
      <c r="B19555" s="17">
        <f t="array" ref="B19555">SUM(1-'Sparkling Model'!D$2:D$38^A19555)</f>
        <v>36.99978202</v>
      </c>
      <c r="C19555" s="8">
        <f t="array" ref="C19555">PRODUCT(1-'Sparkling Model'!D$2:D$38^A19555)</f>
        <v>0.9997820316</v>
      </c>
    </row>
    <row r="19556">
      <c r="A19556" s="6">
        <v>19554.0</v>
      </c>
      <c r="B19556" s="17">
        <f t="array" ref="B19556">SUM(1-'Sparkling Model'!D$2:D$38^A19556)</f>
        <v>36.99978212</v>
      </c>
      <c r="C19556" s="8">
        <f t="array" ref="C19556">PRODUCT(1-'Sparkling Model'!D$2:D$38^A19556)</f>
        <v>0.9997821386</v>
      </c>
    </row>
    <row r="19557">
      <c r="A19557" s="6">
        <v>19555.0</v>
      </c>
      <c r="B19557" s="17">
        <f t="array" ref="B19557">SUM(1-'Sparkling Model'!D$2:D$38^A19557)</f>
        <v>36.99978223</v>
      </c>
      <c r="C19557" s="8">
        <f t="array" ref="C19557">PRODUCT(1-'Sparkling Model'!D$2:D$38^A19557)</f>
        <v>0.9997822456</v>
      </c>
    </row>
    <row r="19558">
      <c r="A19558" s="6">
        <v>19556.0</v>
      </c>
      <c r="B19558" s="17">
        <f t="array" ref="B19558">SUM(1-'Sparkling Model'!D$2:D$38^A19558)</f>
        <v>36.99978234</v>
      </c>
      <c r="C19558" s="8">
        <f t="array" ref="C19558">PRODUCT(1-'Sparkling Model'!D$2:D$38^A19558)</f>
        <v>0.9997823526</v>
      </c>
    </row>
    <row r="19559">
      <c r="A19559" s="6">
        <v>19557.0</v>
      </c>
      <c r="B19559" s="17">
        <f t="array" ref="B19559">SUM(1-'Sparkling Model'!D$2:D$38^A19559)</f>
        <v>36.99978244</v>
      </c>
      <c r="C19559" s="8">
        <f t="array" ref="C19559">PRODUCT(1-'Sparkling Model'!D$2:D$38^A19559)</f>
        <v>0.9997824595</v>
      </c>
    </row>
    <row r="19560">
      <c r="A19560" s="6">
        <v>19558.0</v>
      </c>
      <c r="B19560" s="17">
        <f t="array" ref="B19560">SUM(1-'Sparkling Model'!D$2:D$38^A19560)</f>
        <v>36.99978255</v>
      </c>
      <c r="C19560" s="8">
        <f t="array" ref="C19560">PRODUCT(1-'Sparkling Model'!D$2:D$38^A19560)</f>
        <v>0.9997825663</v>
      </c>
    </row>
    <row r="19561">
      <c r="A19561" s="6">
        <v>19559.0</v>
      </c>
      <c r="B19561" s="17">
        <f t="array" ref="B19561">SUM(1-'Sparkling Model'!D$2:D$38^A19561)</f>
        <v>36.99978266</v>
      </c>
      <c r="C19561" s="8">
        <f t="array" ref="C19561">PRODUCT(1-'Sparkling Model'!D$2:D$38^A19561)</f>
        <v>0.9997826731</v>
      </c>
    </row>
    <row r="19562">
      <c r="A19562" s="6">
        <v>19560.0</v>
      </c>
      <c r="B19562" s="17">
        <f t="array" ref="B19562">SUM(1-'Sparkling Model'!D$2:D$38^A19562)</f>
        <v>36.99978276</v>
      </c>
      <c r="C19562" s="8">
        <f t="array" ref="C19562">PRODUCT(1-'Sparkling Model'!D$2:D$38^A19562)</f>
        <v>0.9997827798</v>
      </c>
    </row>
    <row r="19563">
      <c r="A19563" s="6">
        <v>19561.0</v>
      </c>
      <c r="B19563" s="17">
        <f t="array" ref="B19563">SUM(1-'Sparkling Model'!D$2:D$38^A19563)</f>
        <v>36.99978287</v>
      </c>
      <c r="C19563" s="8">
        <f t="array" ref="C19563">PRODUCT(1-'Sparkling Model'!D$2:D$38^A19563)</f>
        <v>0.9997828865</v>
      </c>
    </row>
    <row r="19564">
      <c r="A19564" s="6">
        <v>19562.0</v>
      </c>
      <c r="B19564" s="17">
        <f t="array" ref="B19564">SUM(1-'Sparkling Model'!D$2:D$38^A19564)</f>
        <v>36.99978298</v>
      </c>
      <c r="C19564" s="8">
        <f t="array" ref="C19564">PRODUCT(1-'Sparkling Model'!D$2:D$38^A19564)</f>
        <v>0.9997829931</v>
      </c>
    </row>
    <row r="19565">
      <c r="A19565" s="6">
        <v>19563.0</v>
      </c>
      <c r="B19565" s="17">
        <f t="array" ref="B19565">SUM(1-'Sparkling Model'!D$2:D$38^A19565)</f>
        <v>36.99978308</v>
      </c>
      <c r="C19565" s="8">
        <f t="array" ref="C19565">PRODUCT(1-'Sparkling Model'!D$2:D$38^A19565)</f>
        <v>0.9997830997</v>
      </c>
    </row>
    <row r="19566">
      <c r="A19566" s="6">
        <v>19564.0</v>
      </c>
      <c r="B19566" s="17">
        <f t="array" ref="B19566">SUM(1-'Sparkling Model'!D$2:D$38^A19566)</f>
        <v>36.99978319</v>
      </c>
      <c r="C19566" s="8">
        <f t="array" ref="C19566">PRODUCT(1-'Sparkling Model'!D$2:D$38^A19566)</f>
        <v>0.9997832062</v>
      </c>
    </row>
    <row r="19567">
      <c r="A19567" s="6">
        <v>19565.0</v>
      </c>
      <c r="B19567" s="17">
        <f t="array" ref="B19567">SUM(1-'Sparkling Model'!D$2:D$38^A19567)</f>
        <v>36.9997833</v>
      </c>
      <c r="C19567" s="8">
        <f t="array" ref="C19567">PRODUCT(1-'Sparkling Model'!D$2:D$38^A19567)</f>
        <v>0.9997833127</v>
      </c>
    </row>
    <row r="19568">
      <c r="A19568" s="6">
        <v>19566.0</v>
      </c>
      <c r="B19568" s="17">
        <f t="array" ref="B19568">SUM(1-'Sparkling Model'!D$2:D$38^A19568)</f>
        <v>36.9997834</v>
      </c>
      <c r="C19568" s="8">
        <f t="array" ref="C19568">PRODUCT(1-'Sparkling Model'!D$2:D$38^A19568)</f>
        <v>0.9997834191</v>
      </c>
    </row>
    <row r="19569">
      <c r="A19569" s="6">
        <v>19567.0</v>
      </c>
      <c r="B19569" s="17">
        <f t="array" ref="B19569">SUM(1-'Sparkling Model'!D$2:D$38^A19569)</f>
        <v>36.99978351</v>
      </c>
      <c r="C19569" s="8">
        <f t="array" ref="C19569">PRODUCT(1-'Sparkling Model'!D$2:D$38^A19569)</f>
        <v>0.9997835254</v>
      </c>
    </row>
    <row r="19570">
      <c r="A19570" s="6">
        <v>19568.0</v>
      </c>
      <c r="B19570" s="17">
        <f t="array" ref="B19570">SUM(1-'Sparkling Model'!D$2:D$38^A19570)</f>
        <v>36.99978362</v>
      </c>
      <c r="C19570" s="8">
        <f t="array" ref="C19570">PRODUCT(1-'Sparkling Model'!D$2:D$38^A19570)</f>
        <v>0.9997836318</v>
      </c>
    </row>
    <row r="19571">
      <c r="A19571" s="6">
        <v>19569.0</v>
      </c>
      <c r="B19571" s="17">
        <f t="array" ref="B19571">SUM(1-'Sparkling Model'!D$2:D$38^A19571)</f>
        <v>36.99978372</v>
      </c>
      <c r="C19571" s="8">
        <f t="array" ref="C19571">PRODUCT(1-'Sparkling Model'!D$2:D$38^A19571)</f>
        <v>0.999783738</v>
      </c>
    </row>
    <row r="19572">
      <c r="A19572" s="6">
        <v>19570.0</v>
      </c>
      <c r="B19572" s="17">
        <f t="array" ref="B19572">SUM(1-'Sparkling Model'!D$2:D$38^A19572)</f>
        <v>36.99978383</v>
      </c>
      <c r="C19572" s="8">
        <f t="array" ref="C19572">PRODUCT(1-'Sparkling Model'!D$2:D$38^A19572)</f>
        <v>0.9997838442</v>
      </c>
    </row>
    <row r="19573">
      <c r="A19573" s="6">
        <v>19571.0</v>
      </c>
      <c r="B19573" s="17">
        <f t="array" ref="B19573">SUM(1-'Sparkling Model'!D$2:D$38^A19573)</f>
        <v>36.99978393</v>
      </c>
      <c r="C19573" s="8">
        <f t="array" ref="C19573">PRODUCT(1-'Sparkling Model'!D$2:D$38^A19573)</f>
        <v>0.9997839504</v>
      </c>
    </row>
    <row r="19574">
      <c r="A19574" s="6">
        <v>19572.0</v>
      </c>
      <c r="B19574" s="17">
        <f t="array" ref="B19574">SUM(1-'Sparkling Model'!D$2:D$38^A19574)</f>
        <v>36.99978404</v>
      </c>
      <c r="C19574" s="8">
        <f t="array" ref="C19574">PRODUCT(1-'Sparkling Model'!D$2:D$38^A19574)</f>
        <v>0.9997840565</v>
      </c>
    </row>
    <row r="19575">
      <c r="A19575" s="6">
        <v>19573.0</v>
      </c>
      <c r="B19575" s="17">
        <f t="array" ref="B19575">SUM(1-'Sparkling Model'!D$2:D$38^A19575)</f>
        <v>36.99978415</v>
      </c>
      <c r="C19575" s="8">
        <f t="array" ref="C19575">PRODUCT(1-'Sparkling Model'!D$2:D$38^A19575)</f>
        <v>0.9997841625</v>
      </c>
    </row>
    <row r="19576">
      <c r="A19576" s="6">
        <v>19574.0</v>
      </c>
      <c r="B19576" s="17">
        <f t="array" ref="B19576">SUM(1-'Sparkling Model'!D$2:D$38^A19576)</f>
        <v>36.99978425</v>
      </c>
      <c r="C19576" s="8">
        <f t="array" ref="C19576">PRODUCT(1-'Sparkling Model'!D$2:D$38^A19576)</f>
        <v>0.9997842685</v>
      </c>
    </row>
    <row r="19577">
      <c r="A19577" s="6">
        <v>19575.0</v>
      </c>
      <c r="B19577" s="17">
        <f t="array" ref="B19577">SUM(1-'Sparkling Model'!D$2:D$38^A19577)</f>
        <v>36.99978436</v>
      </c>
      <c r="C19577" s="8">
        <f t="array" ref="C19577">PRODUCT(1-'Sparkling Model'!D$2:D$38^A19577)</f>
        <v>0.9997843745</v>
      </c>
    </row>
    <row r="19578">
      <c r="A19578" s="6">
        <v>19576.0</v>
      </c>
      <c r="B19578" s="17">
        <f t="array" ref="B19578">SUM(1-'Sparkling Model'!D$2:D$38^A19578)</f>
        <v>36.99978446</v>
      </c>
      <c r="C19578" s="8">
        <f t="array" ref="C19578">PRODUCT(1-'Sparkling Model'!D$2:D$38^A19578)</f>
        <v>0.9997844803</v>
      </c>
    </row>
    <row r="19579">
      <c r="A19579" s="6">
        <v>19577.0</v>
      </c>
      <c r="B19579" s="17">
        <f t="array" ref="B19579">SUM(1-'Sparkling Model'!D$2:D$38^A19579)</f>
        <v>36.99978457</v>
      </c>
      <c r="C19579" s="8">
        <f t="array" ref="C19579">PRODUCT(1-'Sparkling Model'!D$2:D$38^A19579)</f>
        <v>0.9997845862</v>
      </c>
    </row>
    <row r="19580">
      <c r="A19580" s="6">
        <v>19578.0</v>
      </c>
      <c r="B19580" s="17">
        <f t="array" ref="B19580">SUM(1-'Sparkling Model'!D$2:D$38^A19580)</f>
        <v>36.99978468</v>
      </c>
      <c r="C19580" s="8">
        <f t="array" ref="C19580">PRODUCT(1-'Sparkling Model'!D$2:D$38^A19580)</f>
        <v>0.999784692</v>
      </c>
    </row>
    <row r="19581">
      <c r="A19581" s="6">
        <v>19579.0</v>
      </c>
      <c r="B19581" s="17">
        <f t="array" ref="B19581">SUM(1-'Sparkling Model'!D$2:D$38^A19581)</f>
        <v>36.99978478</v>
      </c>
      <c r="C19581" s="8">
        <f t="array" ref="C19581">PRODUCT(1-'Sparkling Model'!D$2:D$38^A19581)</f>
        <v>0.9997847977</v>
      </c>
    </row>
    <row r="19582">
      <c r="A19582" s="6">
        <v>19580.0</v>
      </c>
      <c r="B19582" s="17">
        <f t="array" ref="B19582">SUM(1-'Sparkling Model'!D$2:D$38^A19582)</f>
        <v>36.99978489</v>
      </c>
      <c r="C19582" s="8">
        <f t="array" ref="C19582">PRODUCT(1-'Sparkling Model'!D$2:D$38^A19582)</f>
        <v>0.9997849034</v>
      </c>
    </row>
    <row r="19583">
      <c r="A19583" s="6">
        <v>19581.0</v>
      </c>
      <c r="B19583" s="17">
        <f t="array" ref="B19583">SUM(1-'Sparkling Model'!D$2:D$38^A19583)</f>
        <v>36.99978499</v>
      </c>
      <c r="C19583" s="8">
        <f t="array" ref="C19583">PRODUCT(1-'Sparkling Model'!D$2:D$38^A19583)</f>
        <v>0.999785009</v>
      </c>
    </row>
    <row r="19584">
      <c r="A19584" s="6">
        <v>19582.0</v>
      </c>
      <c r="B19584" s="17">
        <f t="array" ref="B19584">SUM(1-'Sparkling Model'!D$2:D$38^A19584)</f>
        <v>36.9997851</v>
      </c>
      <c r="C19584" s="8">
        <f t="array" ref="C19584">PRODUCT(1-'Sparkling Model'!D$2:D$38^A19584)</f>
        <v>0.9997851146</v>
      </c>
    </row>
    <row r="19585">
      <c r="A19585" s="6">
        <v>19583.0</v>
      </c>
      <c r="B19585" s="17">
        <f t="array" ref="B19585">SUM(1-'Sparkling Model'!D$2:D$38^A19585)</f>
        <v>36.9997852</v>
      </c>
      <c r="C19585" s="8">
        <f t="array" ref="C19585">PRODUCT(1-'Sparkling Model'!D$2:D$38^A19585)</f>
        <v>0.9997852201</v>
      </c>
    </row>
    <row r="19586">
      <c r="A19586" s="6">
        <v>19584.0</v>
      </c>
      <c r="B19586" s="17">
        <f t="array" ref="B19586">SUM(1-'Sparkling Model'!D$2:D$38^A19586)</f>
        <v>36.99978531</v>
      </c>
      <c r="C19586" s="8">
        <f t="array" ref="C19586">PRODUCT(1-'Sparkling Model'!D$2:D$38^A19586)</f>
        <v>0.9997853256</v>
      </c>
    </row>
    <row r="19587">
      <c r="A19587" s="6">
        <v>19585.0</v>
      </c>
      <c r="B19587" s="17">
        <f t="array" ref="B19587">SUM(1-'Sparkling Model'!D$2:D$38^A19587)</f>
        <v>36.99978542</v>
      </c>
      <c r="C19587" s="8">
        <f t="array" ref="C19587">PRODUCT(1-'Sparkling Model'!D$2:D$38^A19587)</f>
        <v>0.999785431</v>
      </c>
    </row>
    <row r="19588">
      <c r="A19588" s="6">
        <v>19586.0</v>
      </c>
      <c r="B19588" s="17">
        <f t="array" ref="B19588">SUM(1-'Sparkling Model'!D$2:D$38^A19588)</f>
        <v>36.99978552</v>
      </c>
      <c r="C19588" s="8">
        <f t="array" ref="C19588">PRODUCT(1-'Sparkling Model'!D$2:D$38^A19588)</f>
        <v>0.9997855364</v>
      </c>
    </row>
    <row r="19589">
      <c r="A19589" s="6">
        <v>19587.0</v>
      </c>
      <c r="B19589" s="17">
        <f t="array" ref="B19589">SUM(1-'Sparkling Model'!D$2:D$38^A19589)</f>
        <v>36.99978563</v>
      </c>
      <c r="C19589" s="8">
        <f t="array" ref="C19589">PRODUCT(1-'Sparkling Model'!D$2:D$38^A19589)</f>
        <v>0.9997856417</v>
      </c>
    </row>
    <row r="19590">
      <c r="A19590" s="6">
        <v>19588.0</v>
      </c>
      <c r="B19590" s="17">
        <f t="array" ref="B19590">SUM(1-'Sparkling Model'!D$2:D$38^A19590)</f>
        <v>36.99978573</v>
      </c>
      <c r="C19590" s="8">
        <f t="array" ref="C19590">PRODUCT(1-'Sparkling Model'!D$2:D$38^A19590)</f>
        <v>0.999785747</v>
      </c>
    </row>
    <row r="19591">
      <c r="A19591" s="6">
        <v>19589.0</v>
      </c>
      <c r="B19591" s="17">
        <f t="array" ref="B19591">SUM(1-'Sparkling Model'!D$2:D$38^A19591)</f>
        <v>36.99978584</v>
      </c>
      <c r="C19591" s="8">
        <f t="array" ref="C19591">PRODUCT(1-'Sparkling Model'!D$2:D$38^A19591)</f>
        <v>0.9997858522</v>
      </c>
    </row>
    <row r="19592">
      <c r="A19592" s="6">
        <v>19590.0</v>
      </c>
      <c r="B19592" s="17">
        <f t="array" ref="B19592">SUM(1-'Sparkling Model'!D$2:D$38^A19592)</f>
        <v>36.99978594</v>
      </c>
      <c r="C19592" s="8">
        <f t="array" ref="C19592">PRODUCT(1-'Sparkling Model'!D$2:D$38^A19592)</f>
        <v>0.9997859574</v>
      </c>
    </row>
    <row r="19593">
      <c r="A19593" s="6">
        <v>19591.0</v>
      </c>
      <c r="B19593" s="17">
        <f t="array" ref="B19593">SUM(1-'Sparkling Model'!D$2:D$38^A19593)</f>
        <v>36.99978605</v>
      </c>
      <c r="C19593" s="8">
        <f t="array" ref="C19593">PRODUCT(1-'Sparkling Model'!D$2:D$38^A19593)</f>
        <v>0.9997860625</v>
      </c>
    </row>
    <row r="19594">
      <c r="A19594" s="6">
        <v>19592.0</v>
      </c>
      <c r="B19594" s="17">
        <f t="array" ref="B19594">SUM(1-'Sparkling Model'!D$2:D$38^A19594)</f>
        <v>36.99978615</v>
      </c>
      <c r="C19594" s="8">
        <f t="array" ref="C19594">PRODUCT(1-'Sparkling Model'!D$2:D$38^A19594)</f>
        <v>0.9997861676</v>
      </c>
    </row>
    <row r="19595">
      <c r="A19595" s="6">
        <v>19593.0</v>
      </c>
      <c r="B19595" s="17">
        <f t="array" ref="B19595">SUM(1-'Sparkling Model'!D$2:D$38^A19595)</f>
        <v>36.99978626</v>
      </c>
      <c r="C19595" s="8">
        <f t="array" ref="C19595">PRODUCT(1-'Sparkling Model'!D$2:D$38^A19595)</f>
        <v>0.9997862726</v>
      </c>
    </row>
    <row r="19596">
      <c r="A19596" s="6">
        <v>19594.0</v>
      </c>
      <c r="B19596" s="17">
        <f t="array" ref="B19596">SUM(1-'Sparkling Model'!D$2:D$38^A19596)</f>
        <v>36.99978636</v>
      </c>
      <c r="C19596" s="8">
        <f t="array" ref="C19596">PRODUCT(1-'Sparkling Model'!D$2:D$38^A19596)</f>
        <v>0.9997863775</v>
      </c>
    </row>
    <row r="19597">
      <c r="A19597" s="6">
        <v>19595.0</v>
      </c>
      <c r="B19597" s="17">
        <f t="array" ref="B19597">SUM(1-'Sparkling Model'!D$2:D$38^A19597)</f>
        <v>36.99978647</v>
      </c>
      <c r="C19597" s="8">
        <f t="array" ref="C19597">PRODUCT(1-'Sparkling Model'!D$2:D$38^A19597)</f>
        <v>0.9997864824</v>
      </c>
    </row>
    <row r="19598">
      <c r="A19598" s="6">
        <v>19596.0</v>
      </c>
      <c r="B19598" s="17">
        <f t="array" ref="B19598">SUM(1-'Sparkling Model'!D$2:D$38^A19598)</f>
        <v>36.99978657</v>
      </c>
      <c r="C19598" s="8">
        <f t="array" ref="C19598">PRODUCT(1-'Sparkling Model'!D$2:D$38^A19598)</f>
        <v>0.9997865873</v>
      </c>
    </row>
    <row r="19599">
      <c r="A19599" s="6">
        <v>19597.0</v>
      </c>
      <c r="B19599" s="17">
        <f t="array" ref="B19599">SUM(1-'Sparkling Model'!D$2:D$38^A19599)</f>
        <v>36.99978668</v>
      </c>
      <c r="C19599" s="8">
        <f t="array" ref="C19599">PRODUCT(1-'Sparkling Model'!D$2:D$38^A19599)</f>
        <v>0.9997866921</v>
      </c>
    </row>
    <row r="19600">
      <c r="A19600" s="6">
        <v>19598.0</v>
      </c>
      <c r="B19600" s="17">
        <f t="array" ref="B19600">SUM(1-'Sparkling Model'!D$2:D$38^A19600)</f>
        <v>36.99978678</v>
      </c>
      <c r="C19600" s="8">
        <f t="array" ref="C19600">PRODUCT(1-'Sparkling Model'!D$2:D$38^A19600)</f>
        <v>0.9997867968</v>
      </c>
    </row>
    <row r="19601">
      <c r="A19601" s="6">
        <v>19599.0</v>
      </c>
      <c r="B19601" s="17">
        <f t="array" ref="B19601">SUM(1-'Sparkling Model'!D$2:D$38^A19601)</f>
        <v>36.99978689</v>
      </c>
      <c r="C19601" s="8">
        <f t="array" ref="C19601">PRODUCT(1-'Sparkling Model'!D$2:D$38^A19601)</f>
        <v>0.9997869015</v>
      </c>
    </row>
    <row r="19602">
      <c r="A19602" s="6">
        <v>19600.0</v>
      </c>
      <c r="B19602" s="17">
        <f t="array" ref="B19602">SUM(1-'Sparkling Model'!D$2:D$38^A19602)</f>
        <v>36.99978699</v>
      </c>
      <c r="C19602" s="8">
        <f t="array" ref="C19602">PRODUCT(1-'Sparkling Model'!D$2:D$38^A19602)</f>
        <v>0.9997870062</v>
      </c>
    </row>
    <row r="19603">
      <c r="A19603" s="6">
        <v>19601.0</v>
      </c>
      <c r="B19603" s="17">
        <f t="array" ref="B19603">SUM(1-'Sparkling Model'!D$2:D$38^A19603)</f>
        <v>36.9997871</v>
      </c>
      <c r="C19603" s="8">
        <f t="array" ref="C19603">PRODUCT(1-'Sparkling Model'!D$2:D$38^A19603)</f>
        <v>0.9997871108</v>
      </c>
    </row>
    <row r="19604">
      <c r="A19604" s="6">
        <v>19602.0</v>
      </c>
      <c r="B19604" s="17">
        <f t="array" ref="B19604">SUM(1-'Sparkling Model'!D$2:D$38^A19604)</f>
        <v>36.9997872</v>
      </c>
      <c r="C19604" s="8">
        <f t="array" ref="C19604">PRODUCT(1-'Sparkling Model'!D$2:D$38^A19604)</f>
        <v>0.9997872153</v>
      </c>
    </row>
    <row r="19605">
      <c r="A19605" s="6">
        <v>19603.0</v>
      </c>
      <c r="B19605" s="17">
        <f t="array" ref="B19605">SUM(1-'Sparkling Model'!D$2:D$38^A19605)</f>
        <v>36.9997873</v>
      </c>
      <c r="C19605" s="8">
        <f t="array" ref="C19605">PRODUCT(1-'Sparkling Model'!D$2:D$38^A19605)</f>
        <v>0.9997873198</v>
      </c>
    </row>
    <row r="19606">
      <c r="A19606" s="6">
        <v>19604.0</v>
      </c>
      <c r="B19606" s="17">
        <f t="array" ref="B19606">SUM(1-'Sparkling Model'!D$2:D$38^A19606)</f>
        <v>36.99978741</v>
      </c>
      <c r="C19606" s="8">
        <f t="array" ref="C19606">PRODUCT(1-'Sparkling Model'!D$2:D$38^A19606)</f>
        <v>0.9997874243</v>
      </c>
    </row>
    <row r="19607">
      <c r="A19607" s="6">
        <v>19605.0</v>
      </c>
      <c r="B19607" s="17">
        <f t="array" ref="B19607">SUM(1-'Sparkling Model'!D$2:D$38^A19607)</f>
        <v>36.99978751</v>
      </c>
      <c r="C19607" s="8">
        <f t="array" ref="C19607">PRODUCT(1-'Sparkling Model'!D$2:D$38^A19607)</f>
        <v>0.9997875287</v>
      </c>
    </row>
    <row r="19608">
      <c r="A19608" s="6">
        <v>19606.0</v>
      </c>
      <c r="B19608" s="17">
        <f t="array" ref="B19608">SUM(1-'Sparkling Model'!D$2:D$38^A19608)</f>
        <v>36.99978762</v>
      </c>
      <c r="C19608" s="8">
        <f t="array" ref="C19608">PRODUCT(1-'Sparkling Model'!D$2:D$38^A19608)</f>
        <v>0.999787633</v>
      </c>
    </row>
    <row r="19609">
      <c r="A19609" s="6">
        <v>19607.0</v>
      </c>
      <c r="B19609" s="17">
        <f t="array" ref="B19609">SUM(1-'Sparkling Model'!D$2:D$38^A19609)</f>
        <v>36.99978772</v>
      </c>
      <c r="C19609" s="8">
        <f t="array" ref="C19609">PRODUCT(1-'Sparkling Model'!D$2:D$38^A19609)</f>
        <v>0.9997877373</v>
      </c>
    </row>
    <row r="19610">
      <c r="A19610" s="6">
        <v>19608.0</v>
      </c>
      <c r="B19610" s="17">
        <f t="array" ref="B19610">SUM(1-'Sparkling Model'!D$2:D$38^A19610)</f>
        <v>36.99978783</v>
      </c>
      <c r="C19610" s="8">
        <f t="array" ref="C19610">PRODUCT(1-'Sparkling Model'!D$2:D$38^A19610)</f>
        <v>0.9997878415</v>
      </c>
    </row>
    <row r="19611">
      <c r="A19611" s="6">
        <v>19609.0</v>
      </c>
      <c r="B19611" s="17">
        <f t="array" ref="B19611">SUM(1-'Sparkling Model'!D$2:D$38^A19611)</f>
        <v>36.99978793</v>
      </c>
      <c r="C19611" s="8">
        <f t="array" ref="C19611">PRODUCT(1-'Sparkling Model'!D$2:D$38^A19611)</f>
        <v>0.9997879457</v>
      </c>
    </row>
    <row r="19612">
      <c r="A19612" s="6">
        <v>19610.0</v>
      </c>
      <c r="B19612" s="17">
        <f t="array" ref="B19612">SUM(1-'Sparkling Model'!D$2:D$38^A19612)</f>
        <v>36.99978803</v>
      </c>
      <c r="C19612" s="8">
        <f t="array" ref="C19612">PRODUCT(1-'Sparkling Model'!D$2:D$38^A19612)</f>
        <v>0.9997880499</v>
      </c>
    </row>
    <row r="19613">
      <c r="A19613" s="6">
        <v>19611.0</v>
      </c>
      <c r="B19613" s="17">
        <f t="array" ref="B19613">SUM(1-'Sparkling Model'!D$2:D$38^A19613)</f>
        <v>36.99978814</v>
      </c>
      <c r="C19613" s="8">
        <f t="array" ref="C19613">PRODUCT(1-'Sparkling Model'!D$2:D$38^A19613)</f>
        <v>0.9997881539</v>
      </c>
    </row>
    <row r="19614">
      <c r="A19614" s="6">
        <v>19612.0</v>
      </c>
      <c r="B19614" s="17">
        <f t="array" ref="B19614">SUM(1-'Sparkling Model'!D$2:D$38^A19614)</f>
        <v>36.99978824</v>
      </c>
      <c r="C19614" s="8">
        <f t="array" ref="C19614">PRODUCT(1-'Sparkling Model'!D$2:D$38^A19614)</f>
        <v>0.999788258</v>
      </c>
    </row>
    <row r="19615">
      <c r="A19615" s="6">
        <v>19613.0</v>
      </c>
      <c r="B19615" s="17">
        <f t="array" ref="B19615">SUM(1-'Sparkling Model'!D$2:D$38^A19615)</f>
        <v>36.99978835</v>
      </c>
      <c r="C19615" s="8">
        <f t="array" ref="C19615">PRODUCT(1-'Sparkling Model'!D$2:D$38^A19615)</f>
        <v>0.9997883619</v>
      </c>
    </row>
    <row r="19616">
      <c r="A19616" s="6">
        <v>19614.0</v>
      </c>
      <c r="B19616" s="17">
        <f t="array" ref="B19616">SUM(1-'Sparkling Model'!D$2:D$38^A19616)</f>
        <v>36.99978845</v>
      </c>
      <c r="C19616" s="8">
        <f t="array" ref="C19616">PRODUCT(1-'Sparkling Model'!D$2:D$38^A19616)</f>
        <v>0.9997884659</v>
      </c>
    </row>
    <row r="19617">
      <c r="A19617" s="6">
        <v>19615.0</v>
      </c>
      <c r="B19617" s="17">
        <f t="array" ref="B19617">SUM(1-'Sparkling Model'!D$2:D$38^A19617)</f>
        <v>36.99978855</v>
      </c>
      <c r="C19617" s="8">
        <f t="array" ref="C19617">PRODUCT(1-'Sparkling Model'!D$2:D$38^A19617)</f>
        <v>0.9997885698</v>
      </c>
    </row>
    <row r="19618">
      <c r="A19618" s="6">
        <v>19616.0</v>
      </c>
      <c r="B19618" s="17">
        <f t="array" ref="B19618">SUM(1-'Sparkling Model'!D$2:D$38^A19618)</f>
        <v>36.99978866</v>
      </c>
      <c r="C19618" s="8">
        <f t="array" ref="C19618">PRODUCT(1-'Sparkling Model'!D$2:D$38^A19618)</f>
        <v>0.9997886736</v>
      </c>
    </row>
    <row r="19619">
      <c r="A19619" s="6">
        <v>19617.0</v>
      </c>
      <c r="B19619" s="17">
        <f t="array" ref="B19619">SUM(1-'Sparkling Model'!D$2:D$38^A19619)</f>
        <v>36.99978876</v>
      </c>
      <c r="C19619" s="8">
        <f t="array" ref="C19619">PRODUCT(1-'Sparkling Model'!D$2:D$38^A19619)</f>
        <v>0.9997887774</v>
      </c>
    </row>
    <row r="19620">
      <c r="A19620" s="6">
        <v>19618.0</v>
      </c>
      <c r="B19620" s="17">
        <f t="array" ref="B19620">SUM(1-'Sparkling Model'!D$2:D$38^A19620)</f>
        <v>36.99978887</v>
      </c>
      <c r="C19620" s="8">
        <f t="array" ref="C19620">PRODUCT(1-'Sparkling Model'!D$2:D$38^A19620)</f>
        <v>0.9997888811</v>
      </c>
    </row>
    <row r="19621">
      <c r="A19621" s="6">
        <v>19619.0</v>
      </c>
      <c r="B19621" s="17">
        <f t="array" ref="B19621">SUM(1-'Sparkling Model'!D$2:D$38^A19621)</f>
        <v>36.99978897</v>
      </c>
      <c r="C19621" s="8">
        <f t="array" ref="C19621">PRODUCT(1-'Sparkling Model'!D$2:D$38^A19621)</f>
        <v>0.9997889848</v>
      </c>
    </row>
    <row r="19622">
      <c r="A19622" s="6">
        <v>19620.0</v>
      </c>
      <c r="B19622" s="17">
        <f t="array" ref="B19622">SUM(1-'Sparkling Model'!D$2:D$38^A19622)</f>
        <v>36.99978907</v>
      </c>
      <c r="C19622" s="8">
        <f t="array" ref="C19622">PRODUCT(1-'Sparkling Model'!D$2:D$38^A19622)</f>
        <v>0.9997890884</v>
      </c>
    </row>
    <row r="19623">
      <c r="A19623" s="6">
        <v>19621.0</v>
      </c>
      <c r="B19623" s="17">
        <f t="array" ref="B19623">SUM(1-'Sparkling Model'!D$2:D$38^A19623)</f>
        <v>36.99978918</v>
      </c>
      <c r="C19623" s="8">
        <f t="array" ref="C19623">PRODUCT(1-'Sparkling Model'!D$2:D$38^A19623)</f>
        <v>0.999789192</v>
      </c>
    </row>
    <row r="19624">
      <c r="A19624" s="6">
        <v>19622.0</v>
      </c>
      <c r="B19624" s="17">
        <f t="array" ref="B19624">SUM(1-'Sparkling Model'!D$2:D$38^A19624)</f>
        <v>36.99978928</v>
      </c>
      <c r="C19624" s="8">
        <f t="array" ref="C19624">PRODUCT(1-'Sparkling Model'!D$2:D$38^A19624)</f>
        <v>0.9997892955</v>
      </c>
    </row>
    <row r="19625">
      <c r="A19625" s="6">
        <v>19623.0</v>
      </c>
      <c r="B19625" s="17">
        <f t="array" ref="B19625">SUM(1-'Sparkling Model'!D$2:D$38^A19625)</f>
        <v>36.99978938</v>
      </c>
      <c r="C19625" s="8">
        <f t="array" ref="C19625">PRODUCT(1-'Sparkling Model'!D$2:D$38^A19625)</f>
        <v>0.999789399</v>
      </c>
    </row>
    <row r="19626">
      <c r="A19626" s="6">
        <v>19624.0</v>
      </c>
      <c r="B19626" s="17">
        <f t="array" ref="B19626">SUM(1-'Sparkling Model'!D$2:D$38^A19626)</f>
        <v>36.99978949</v>
      </c>
      <c r="C19626" s="8">
        <f t="array" ref="C19626">PRODUCT(1-'Sparkling Model'!D$2:D$38^A19626)</f>
        <v>0.9997895024</v>
      </c>
    </row>
    <row r="19627">
      <c r="A19627" s="6">
        <v>19625.0</v>
      </c>
      <c r="B19627" s="17">
        <f t="array" ref="B19627">SUM(1-'Sparkling Model'!D$2:D$38^A19627)</f>
        <v>36.99978959</v>
      </c>
      <c r="C19627" s="8">
        <f t="array" ref="C19627">PRODUCT(1-'Sparkling Model'!D$2:D$38^A19627)</f>
        <v>0.9997896057</v>
      </c>
    </row>
    <row r="19628">
      <c r="A19628" s="6">
        <v>19626.0</v>
      </c>
      <c r="B19628" s="17">
        <f t="array" ref="B19628">SUM(1-'Sparkling Model'!D$2:D$38^A19628)</f>
        <v>36.99978969</v>
      </c>
      <c r="C19628" s="8">
        <f t="array" ref="C19628">PRODUCT(1-'Sparkling Model'!D$2:D$38^A19628)</f>
        <v>0.9997897091</v>
      </c>
    </row>
    <row r="19629">
      <c r="A19629" s="6">
        <v>19627.0</v>
      </c>
      <c r="B19629" s="17">
        <f t="array" ref="B19629">SUM(1-'Sparkling Model'!D$2:D$38^A19629)</f>
        <v>36.9997898</v>
      </c>
      <c r="C19629" s="8">
        <f t="array" ref="C19629">PRODUCT(1-'Sparkling Model'!D$2:D$38^A19629)</f>
        <v>0.9997898123</v>
      </c>
    </row>
    <row r="19630">
      <c r="A19630" s="6">
        <v>19628.0</v>
      </c>
      <c r="B19630" s="17">
        <f t="array" ref="B19630">SUM(1-'Sparkling Model'!D$2:D$38^A19630)</f>
        <v>36.9997899</v>
      </c>
      <c r="C19630" s="8">
        <f t="array" ref="C19630">PRODUCT(1-'Sparkling Model'!D$2:D$38^A19630)</f>
        <v>0.9997899156</v>
      </c>
    </row>
    <row r="19631">
      <c r="A19631" s="6">
        <v>19629.0</v>
      </c>
      <c r="B19631" s="17">
        <f t="array" ref="B19631">SUM(1-'Sparkling Model'!D$2:D$38^A19631)</f>
        <v>36.99979</v>
      </c>
      <c r="C19631" s="8">
        <f t="array" ref="C19631">PRODUCT(1-'Sparkling Model'!D$2:D$38^A19631)</f>
        <v>0.9997900187</v>
      </c>
    </row>
    <row r="19632">
      <c r="A19632" s="6">
        <v>19630.0</v>
      </c>
      <c r="B19632" s="17">
        <f t="array" ref="B19632">SUM(1-'Sparkling Model'!D$2:D$38^A19632)</f>
        <v>36.99979011</v>
      </c>
      <c r="C19632" s="8">
        <f t="array" ref="C19632">PRODUCT(1-'Sparkling Model'!D$2:D$38^A19632)</f>
        <v>0.9997901218</v>
      </c>
    </row>
    <row r="19633">
      <c r="A19633" s="6">
        <v>19631.0</v>
      </c>
      <c r="B19633" s="17">
        <f t="array" ref="B19633">SUM(1-'Sparkling Model'!D$2:D$38^A19633)</f>
        <v>36.99979021</v>
      </c>
      <c r="C19633" s="8">
        <f t="array" ref="C19633">PRODUCT(1-'Sparkling Model'!D$2:D$38^A19633)</f>
        <v>0.9997902249</v>
      </c>
    </row>
    <row r="19634">
      <c r="A19634" s="6">
        <v>19632.0</v>
      </c>
      <c r="B19634" s="17">
        <f t="array" ref="B19634">SUM(1-'Sparkling Model'!D$2:D$38^A19634)</f>
        <v>36.99979031</v>
      </c>
      <c r="C19634" s="8">
        <f t="array" ref="C19634">PRODUCT(1-'Sparkling Model'!D$2:D$38^A19634)</f>
        <v>0.9997903279</v>
      </c>
    </row>
    <row r="19635">
      <c r="A19635" s="6">
        <v>19633.0</v>
      </c>
      <c r="B19635" s="17">
        <f t="array" ref="B19635">SUM(1-'Sparkling Model'!D$2:D$38^A19635)</f>
        <v>36.99979042</v>
      </c>
      <c r="C19635" s="8">
        <f t="array" ref="C19635">PRODUCT(1-'Sparkling Model'!D$2:D$38^A19635)</f>
        <v>0.9997904309</v>
      </c>
    </row>
    <row r="19636">
      <c r="A19636" s="6">
        <v>19634.0</v>
      </c>
      <c r="B19636" s="17">
        <f t="array" ref="B19636">SUM(1-'Sparkling Model'!D$2:D$38^A19636)</f>
        <v>36.99979052</v>
      </c>
      <c r="C19636" s="8">
        <f t="array" ref="C19636">PRODUCT(1-'Sparkling Model'!D$2:D$38^A19636)</f>
        <v>0.9997905338</v>
      </c>
    </row>
    <row r="19637">
      <c r="A19637" s="6">
        <v>19635.0</v>
      </c>
      <c r="B19637" s="17">
        <f t="array" ref="B19637">SUM(1-'Sparkling Model'!D$2:D$38^A19637)</f>
        <v>36.99979062</v>
      </c>
      <c r="C19637" s="8">
        <f t="array" ref="C19637">PRODUCT(1-'Sparkling Model'!D$2:D$38^A19637)</f>
        <v>0.9997906367</v>
      </c>
    </row>
    <row r="19638">
      <c r="A19638" s="6">
        <v>19636.0</v>
      </c>
      <c r="B19638" s="17">
        <f t="array" ref="B19638">SUM(1-'Sparkling Model'!D$2:D$38^A19638)</f>
        <v>36.99979072</v>
      </c>
      <c r="C19638" s="8">
        <f t="array" ref="C19638">PRODUCT(1-'Sparkling Model'!D$2:D$38^A19638)</f>
        <v>0.9997907395</v>
      </c>
    </row>
    <row r="19639">
      <c r="A19639" s="6">
        <v>19637.0</v>
      </c>
      <c r="B19639" s="17">
        <f t="array" ref="B19639">SUM(1-'Sparkling Model'!D$2:D$38^A19639)</f>
        <v>36.99979083</v>
      </c>
      <c r="C19639" s="8">
        <f t="array" ref="C19639">PRODUCT(1-'Sparkling Model'!D$2:D$38^A19639)</f>
        <v>0.9997908422</v>
      </c>
    </row>
    <row r="19640">
      <c r="A19640" s="6">
        <v>19638.0</v>
      </c>
      <c r="B19640" s="17">
        <f t="array" ref="B19640">SUM(1-'Sparkling Model'!D$2:D$38^A19640)</f>
        <v>36.99979093</v>
      </c>
      <c r="C19640" s="8">
        <f t="array" ref="C19640">PRODUCT(1-'Sparkling Model'!D$2:D$38^A19640)</f>
        <v>0.9997909449</v>
      </c>
    </row>
    <row r="19641">
      <c r="A19641" s="6">
        <v>19639.0</v>
      </c>
      <c r="B19641" s="17">
        <f t="array" ref="B19641">SUM(1-'Sparkling Model'!D$2:D$38^A19641)</f>
        <v>36.99979103</v>
      </c>
      <c r="C19641" s="8">
        <f t="array" ref="C19641">PRODUCT(1-'Sparkling Model'!D$2:D$38^A19641)</f>
        <v>0.9997910476</v>
      </c>
    </row>
    <row r="19642">
      <c r="A19642" s="6">
        <v>19640.0</v>
      </c>
      <c r="B19642" s="17">
        <f t="array" ref="B19642">SUM(1-'Sparkling Model'!D$2:D$38^A19642)</f>
        <v>36.99979114</v>
      </c>
      <c r="C19642" s="8">
        <f t="array" ref="C19642">PRODUCT(1-'Sparkling Model'!D$2:D$38^A19642)</f>
        <v>0.9997911502</v>
      </c>
    </row>
    <row r="19643">
      <c r="A19643" s="6">
        <v>19641.0</v>
      </c>
      <c r="B19643" s="17">
        <f t="array" ref="B19643">SUM(1-'Sparkling Model'!D$2:D$38^A19643)</f>
        <v>36.99979124</v>
      </c>
      <c r="C19643" s="8">
        <f t="array" ref="C19643">PRODUCT(1-'Sparkling Model'!D$2:D$38^A19643)</f>
        <v>0.9997912528</v>
      </c>
    </row>
    <row r="19644">
      <c r="A19644" s="6">
        <v>19642.0</v>
      </c>
      <c r="B19644" s="17">
        <f t="array" ref="B19644">SUM(1-'Sparkling Model'!D$2:D$38^A19644)</f>
        <v>36.99979134</v>
      </c>
      <c r="C19644" s="8">
        <f t="array" ref="C19644">PRODUCT(1-'Sparkling Model'!D$2:D$38^A19644)</f>
        <v>0.9997913553</v>
      </c>
    </row>
    <row r="19645">
      <c r="A19645" s="6">
        <v>19643.0</v>
      </c>
      <c r="B19645" s="17">
        <f t="array" ref="B19645">SUM(1-'Sparkling Model'!D$2:D$38^A19645)</f>
        <v>36.99979144</v>
      </c>
      <c r="C19645" s="8">
        <f t="array" ref="C19645">PRODUCT(1-'Sparkling Model'!D$2:D$38^A19645)</f>
        <v>0.9997914577</v>
      </c>
    </row>
    <row r="19646">
      <c r="A19646" s="6">
        <v>19644.0</v>
      </c>
      <c r="B19646" s="17">
        <f t="array" ref="B19646">SUM(1-'Sparkling Model'!D$2:D$38^A19646)</f>
        <v>36.99979155</v>
      </c>
      <c r="C19646" s="8">
        <f t="array" ref="C19646">PRODUCT(1-'Sparkling Model'!D$2:D$38^A19646)</f>
        <v>0.9997915601</v>
      </c>
    </row>
    <row r="19647">
      <c r="A19647" s="6">
        <v>19645.0</v>
      </c>
      <c r="B19647" s="17">
        <f t="array" ref="B19647">SUM(1-'Sparkling Model'!D$2:D$38^A19647)</f>
        <v>36.99979165</v>
      </c>
      <c r="C19647" s="8">
        <f t="array" ref="C19647">PRODUCT(1-'Sparkling Model'!D$2:D$38^A19647)</f>
        <v>0.9997916625</v>
      </c>
    </row>
    <row r="19648">
      <c r="A19648" s="6">
        <v>19646.0</v>
      </c>
      <c r="B19648" s="17">
        <f t="array" ref="B19648">SUM(1-'Sparkling Model'!D$2:D$38^A19648)</f>
        <v>36.99979175</v>
      </c>
      <c r="C19648" s="8">
        <f t="array" ref="C19648">PRODUCT(1-'Sparkling Model'!D$2:D$38^A19648)</f>
        <v>0.9997917648</v>
      </c>
    </row>
    <row r="19649">
      <c r="A19649" s="6">
        <v>19647.0</v>
      </c>
      <c r="B19649" s="17">
        <f t="array" ref="B19649">SUM(1-'Sparkling Model'!D$2:D$38^A19649)</f>
        <v>36.99979185</v>
      </c>
      <c r="C19649" s="8">
        <f t="array" ref="C19649">PRODUCT(1-'Sparkling Model'!D$2:D$38^A19649)</f>
        <v>0.9997918671</v>
      </c>
    </row>
    <row r="19650">
      <c r="A19650" s="6">
        <v>19648.0</v>
      </c>
      <c r="B19650" s="17">
        <f t="array" ref="B19650">SUM(1-'Sparkling Model'!D$2:D$38^A19650)</f>
        <v>36.99979195</v>
      </c>
      <c r="C19650" s="8">
        <f t="array" ref="C19650">PRODUCT(1-'Sparkling Model'!D$2:D$38^A19650)</f>
        <v>0.9997919693</v>
      </c>
    </row>
    <row r="19651">
      <c r="A19651" s="6">
        <v>19649.0</v>
      </c>
      <c r="B19651" s="17">
        <f t="array" ref="B19651">SUM(1-'Sparkling Model'!D$2:D$38^A19651)</f>
        <v>36.99979206</v>
      </c>
      <c r="C19651" s="8">
        <f t="array" ref="C19651">PRODUCT(1-'Sparkling Model'!D$2:D$38^A19651)</f>
        <v>0.9997920714</v>
      </c>
    </row>
    <row r="19652">
      <c r="A19652" s="6">
        <v>19650.0</v>
      </c>
      <c r="B19652" s="17">
        <f t="array" ref="B19652">SUM(1-'Sparkling Model'!D$2:D$38^A19652)</f>
        <v>36.99979216</v>
      </c>
      <c r="C19652" s="8">
        <f t="array" ref="C19652">PRODUCT(1-'Sparkling Model'!D$2:D$38^A19652)</f>
        <v>0.9997921735</v>
      </c>
    </row>
    <row r="19653">
      <c r="A19653" s="6">
        <v>19651.0</v>
      </c>
      <c r="B19653" s="17">
        <f t="array" ref="B19653">SUM(1-'Sparkling Model'!D$2:D$38^A19653)</f>
        <v>36.99979226</v>
      </c>
      <c r="C19653" s="8">
        <f t="array" ref="C19653">PRODUCT(1-'Sparkling Model'!D$2:D$38^A19653)</f>
        <v>0.9997922756</v>
      </c>
    </row>
    <row r="19654">
      <c r="A19654" s="6">
        <v>19652.0</v>
      </c>
      <c r="B19654" s="17">
        <f t="array" ref="B19654">SUM(1-'Sparkling Model'!D$2:D$38^A19654)</f>
        <v>36.99979236</v>
      </c>
      <c r="C19654" s="8">
        <f t="array" ref="C19654">PRODUCT(1-'Sparkling Model'!D$2:D$38^A19654)</f>
        <v>0.9997923776</v>
      </c>
    </row>
    <row r="19655">
      <c r="A19655" s="6">
        <v>19653.0</v>
      </c>
      <c r="B19655" s="17">
        <f t="array" ref="B19655">SUM(1-'Sparkling Model'!D$2:D$38^A19655)</f>
        <v>36.99979246</v>
      </c>
      <c r="C19655" s="8">
        <f t="array" ref="C19655">PRODUCT(1-'Sparkling Model'!D$2:D$38^A19655)</f>
        <v>0.9997924795</v>
      </c>
    </row>
    <row r="19656">
      <c r="A19656" s="6">
        <v>19654.0</v>
      </c>
      <c r="B19656" s="17">
        <f t="array" ref="B19656">SUM(1-'Sparkling Model'!D$2:D$38^A19656)</f>
        <v>36.99979257</v>
      </c>
      <c r="C19656" s="8">
        <f t="array" ref="C19656">PRODUCT(1-'Sparkling Model'!D$2:D$38^A19656)</f>
        <v>0.9997925815</v>
      </c>
    </row>
    <row r="19657">
      <c r="A19657" s="6">
        <v>19655.0</v>
      </c>
      <c r="B19657" s="17">
        <f t="array" ref="B19657">SUM(1-'Sparkling Model'!D$2:D$38^A19657)</f>
        <v>36.99979267</v>
      </c>
      <c r="C19657" s="8">
        <f t="array" ref="C19657">PRODUCT(1-'Sparkling Model'!D$2:D$38^A19657)</f>
        <v>0.9997926833</v>
      </c>
    </row>
    <row r="19658">
      <c r="A19658" s="6">
        <v>19656.0</v>
      </c>
      <c r="B19658" s="17">
        <f t="array" ref="B19658">SUM(1-'Sparkling Model'!D$2:D$38^A19658)</f>
        <v>36.99979277</v>
      </c>
      <c r="C19658" s="8">
        <f t="array" ref="C19658">PRODUCT(1-'Sparkling Model'!D$2:D$38^A19658)</f>
        <v>0.9997927851</v>
      </c>
    </row>
    <row r="19659">
      <c r="A19659" s="6">
        <v>19657.0</v>
      </c>
      <c r="B19659" s="17">
        <f t="array" ref="B19659">SUM(1-'Sparkling Model'!D$2:D$38^A19659)</f>
        <v>36.99979287</v>
      </c>
      <c r="C19659" s="8">
        <f t="array" ref="C19659">PRODUCT(1-'Sparkling Model'!D$2:D$38^A19659)</f>
        <v>0.9997928869</v>
      </c>
    </row>
    <row r="19660">
      <c r="A19660" s="6">
        <v>19658.0</v>
      </c>
      <c r="B19660" s="17">
        <f t="array" ref="B19660">SUM(1-'Sparkling Model'!D$2:D$38^A19660)</f>
        <v>36.99979297</v>
      </c>
      <c r="C19660" s="8">
        <f t="array" ref="C19660">PRODUCT(1-'Sparkling Model'!D$2:D$38^A19660)</f>
        <v>0.9997929886</v>
      </c>
    </row>
    <row r="19661">
      <c r="A19661" s="6">
        <v>19659.0</v>
      </c>
      <c r="B19661" s="17">
        <f t="array" ref="B19661">SUM(1-'Sparkling Model'!D$2:D$38^A19661)</f>
        <v>36.99979308</v>
      </c>
      <c r="C19661" s="8">
        <f t="array" ref="C19661">PRODUCT(1-'Sparkling Model'!D$2:D$38^A19661)</f>
        <v>0.9997930902</v>
      </c>
    </row>
    <row r="19662">
      <c r="A19662" s="6">
        <v>19660.0</v>
      </c>
      <c r="B19662" s="17">
        <f t="array" ref="B19662">SUM(1-'Sparkling Model'!D$2:D$38^A19662)</f>
        <v>36.99979318</v>
      </c>
      <c r="C19662" s="8">
        <f t="array" ref="C19662">PRODUCT(1-'Sparkling Model'!D$2:D$38^A19662)</f>
        <v>0.9997931918</v>
      </c>
    </row>
    <row r="19663">
      <c r="A19663" s="6">
        <v>19661.0</v>
      </c>
      <c r="B19663" s="17">
        <f t="array" ref="B19663">SUM(1-'Sparkling Model'!D$2:D$38^A19663)</f>
        <v>36.99979328</v>
      </c>
      <c r="C19663" s="8">
        <f t="array" ref="C19663">PRODUCT(1-'Sparkling Model'!D$2:D$38^A19663)</f>
        <v>0.9997932934</v>
      </c>
    </row>
    <row r="19664">
      <c r="A19664" s="6">
        <v>19662.0</v>
      </c>
      <c r="B19664" s="17">
        <f t="array" ref="B19664">SUM(1-'Sparkling Model'!D$2:D$38^A19664)</f>
        <v>36.99979338</v>
      </c>
      <c r="C19664" s="8">
        <f t="array" ref="C19664">PRODUCT(1-'Sparkling Model'!D$2:D$38^A19664)</f>
        <v>0.9997933949</v>
      </c>
    </row>
    <row r="19665">
      <c r="A19665" s="6">
        <v>19663.0</v>
      </c>
      <c r="B19665" s="17">
        <f t="array" ref="B19665">SUM(1-'Sparkling Model'!D$2:D$38^A19665)</f>
        <v>36.99979348</v>
      </c>
      <c r="C19665" s="8">
        <f t="array" ref="C19665">PRODUCT(1-'Sparkling Model'!D$2:D$38^A19665)</f>
        <v>0.9997934963</v>
      </c>
    </row>
    <row r="19666">
      <c r="A19666" s="6">
        <v>19664.0</v>
      </c>
      <c r="B19666" s="17">
        <f t="array" ref="B19666">SUM(1-'Sparkling Model'!D$2:D$38^A19666)</f>
        <v>36.99979358</v>
      </c>
      <c r="C19666" s="8">
        <f t="array" ref="C19666">PRODUCT(1-'Sparkling Model'!D$2:D$38^A19666)</f>
        <v>0.9997935978</v>
      </c>
    </row>
    <row r="19667">
      <c r="A19667" s="6">
        <v>19665.0</v>
      </c>
      <c r="B19667" s="17">
        <f t="array" ref="B19667">SUM(1-'Sparkling Model'!D$2:D$38^A19667)</f>
        <v>36.99979368</v>
      </c>
      <c r="C19667" s="8">
        <f t="array" ref="C19667">PRODUCT(1-'Sparkling Model'!D$2:D$38^A19667)</f>
        <v>0.9997936991</v>
      </c>
    </row>
    <row r="19668">
      <c r="A19668" s="6">
        <v>19666.0</v>
      </c>
      <c r="B19668" s="17">
        <f t="array" ref="B19668">SUM(1-'Sparkling Model'!D$2:D$38^A19668)</f>
        <v>36.99979379</v>
      </c>
      <c r="C19668" s="8">
        <f t="array" ref="C19668">PRODUCT(1-'Sparkling Model'!D$2:D$38^A19668)</f>
        <v>0.9997938004</v>
      </c>
    </row>
    <row r="19669">
      <c r="A19669" s="6">
        <v>19667.0</v>
      </c>
      <c r="B19669" s="17">
        <f t="array" ref="B19669">SUM(1-'Sparkling Model'!D$2:D$38^A19669)</f>
        <v>36.99979389</v>
      </c>
      <c r="C19669" s="8">
        <f t="array" ref="C19669">PRODUCT(1-'Sparkling Model'!D$2:D$38^A19669)</f>
        <v>0.9997939017</v>
      </c>
    </row>
    <row r="19670">
      <c r="A19670" s="6">
        <v>19668.0</v>
      </c>
      <c r="B19670" s="17">
        <f t="array" ref="B19670">SUM(1-'Sparkling Model'!D$2:D$38^A19670)</f>
        <v>36.99979399</v>
      </c>
      <c r="C19670" s="8">
        <f t="array" ref="C19670">PRODUCT(1-'Sparkling Model'!D$2:D$38^A19670)</f>
        <v>0.9997940029</v>
      </c>
    </row>
    <row r="19671">
      <c r="A19671" s="6">
        <v>19669.0</v>
      </c>
      <c r="B19671" s="17">
        <f t="array" ref="B19671">SUM(1-'Sparkling Model'!D$2:D$38^A19671)</f>
        <v>36.99979409</v>
      </c>
      <c r="C19671" s="8">
        <f t="array" ref="C19671">PRODUCT(1-'Sparkling Model'!D$2:D$38^A19671)</f>
        <v>0.999794104</v>
      </c>
    </row>
    <row r="19672">
      <c r="A19672" s="6">
        <v>19670.0</v>
      </c>
      <c r="B19672" s="17">
        <f t="array" ref="B19672">SUM(1-'Sparkling Model'!D$2:D$38^A19672)</f>
        <v>36.99979419</v>
      </c>
      <c r="C19672" s="8">
        <f t="array" ref="C19672">PRODUCT(1-'Sparkling Model'!D$2:D$38^A19672)</f>
        <v>0.9997942051</v>
      </c>
    </row>
    <row r="19673">
      <c r="A19673" s="6">
        <v>19671.0</v>
      </c>
      <c r="B19673" s="17">
        <f t="array" ref="B19673">SUM(1-'Sparkling Model'!D$2:D$38^A19673)</f>
        <v>36.99979429</v>
      </c>
      <c r="C19673" s="8">
        <f t="array" ref="C19673">PRODUCT(1-'Sparkling Model'!D$2:D$38^A19673)</f>
        <v>0.9997943062</v>
      </c>
    </row>
    <row r="19674">
      <c r="A19674" s="6">
        <v>19672.0</v>
      </c>
      <c r="B19674" s="17">
        <f t="array" ref="B19674">SUM(1-'Sparkling Model'!D$2:D$38^A19674)</f>
        <v>36.99979439</v>
      </c>
      <c r="C19674" s="8">
        <f t="array" ref="C19674">PRODUCT(1-'Sparkling Model'!D$2:D$38^A19674)</f>
        <v>0.9997944072</v>
      </c>
    </row>
    <row r="19675">
      <c r="A19675" s="6">
        <v>19673.0</v>
      </c>
      <c r="B19675" s="17">
        <f t="array" ref="B19675">SUM(1-'Sparkling Model'!D$2:D$38^A19675)</f>
        <v>36.99979449</v>
      </c>
      <c r="C19675" s="8">
        <f t="array" ref="C19675">PRODUCT(1-'Sparkling Model'!D$2:D$38^A19675)</f>
        <v>0.9997945082</v>
      </c>
    </row>
    <row r="19676">
      <c r="A19676" s="6">
        <v>19674.0</v>
      </c>
      <c r="B19676" s="17">
        <f t="array" ref="B19676">SUM(1-'Sparkling Model'!D$2:D$38^A19676)</f>
        <v>36.99979459</v>
      </c>
      <c r="C19676" s="8">
        <f t="array" ref="C19676">PRODUCT(1-'Sparkling Model'!D$2:D$38^A19676)</f>
        <v>0.9997946091</v>
      </c>
    </row>
    <row r="19677">
      <c r="A19677" s="6">
        <v>19675.0</v>
      </c>
      <c r="B19677" s="17">
        <f t="array" ref="B19677">SUM(1-'Sparkling Model'!D$2:D$38^A19677)</f>
        <v>36.9997947</v>
      </c>
      <c r="C19677" s="8">
        <f t="array" ref="C19677">PRODUCT(1-'Sparkling Model'!D$2:D$38^A19677)</f>
        <v>0.9997947099</v>
      </c>
    </row>
    <row r="19678">
      <c r="A19678" s="6">
        <v>19676.0</v>
      </c>
      <c r="B19678" s="17">
        <f t="array" ref="B19678">SUM(1-'Sparkling Model'!D$2:D$38^A19678)</f>
        <v>36.9997948</v>
      </c>
      <c r="C19678" s="8">
        <f t="array" ref="C19678">PRODUCT(1-'Sparkling Model'!D$2:D$38^A19678)</f>
        <v>0.9997948107</v>
      </c>
    </row>
    <row r="19679">
      <c r="A19679" s="6">
        <v>19677.0</v>
      </c>
      <c r="B19679" s="17">
        <f t="array" ref="B19679">SUM(1-'Sparkling Model'!D$2:D$38^A19679)</f>
        <v>36.9997949</v>
      </c>
      <c r="C19679" s="8">
        <f t="array" ref="C19679">PRODUCT(1-'Sparkling Model'!D$2:D$38^A19679)</f>
        <v>0.9997949115</v>
      </c>
    </row>
    <row r="19680">
      <c r="A19680" s="6">
        <v>19678.0</v>
      </c>
      <c r="B19680" s="17">
        <f t="array" ref="B19680">SUM(1-'Sparkling Model'!D$2:D$38^A19680)</f>
        <v>36.999795</v>
      </c>
      <c r="C19680" s="8">
        <f t="array" ref="C19680">PRODUCT(1-'Sparkling Model'!D$2:D$38^A19680)</f>
        <v>0.9997950122</v>
      </c>
    </row>
    <row r="19681">
      <c r="A19681" s="6">
        <v>19679.0</v>
      </c>
      <c r="B19681" s="17">
        <f t="array" ref="B19681">SUM(1-'Sparkling Model'!D$2:D$38^A19681)</f>
        <v>36.9997951</v>
      </c>
      <c r="C19681" s="8">
        <f t="array" ref="C19681">PRODUCT(1-'Sparkling Model'!D$2:D$38^A19681)</f>
        <v>0.9997951129</v>
      </c>
    </row>
    <row r="19682">
      <c r="A19682" s="6">
        <v>19680.0</v>
      </c>
      <c r="B19682" s="17">
        <f t="array" ref="B19682">SUM(1-'Sparkling Model'!D$2:D$38^A19682)</f>
        <v>36.9997952</v>
      </c>
      <c r="C19682" s="8">
        <f t="array" ref="C19682">PRODUCT(1-'Sparkling Model'!D$2:D$38^A19682)</f>
        <v>0.9997952135</v>
      </c>
    </row>
    <row r="19683">
      <c r="A19683" s="6">
        <v>19681.0</v>
      </c>
      <c r="B19683" s="17">
        <f t="array" ref="B19683">SUM(1-'Sparkling Model'!D$2:D$38^A19683)</f>
        <v>36.9997953</v>
      </c>
      <c r="C19683" s="8">
        <f t="array" ref="C19683">PRODUCT(1-'Sparkling Model'!D$2:D$38^A19683)</f>
        <v>0.999795314</v>
      </c>
    </row>
    <row r="19684">
      <c r="A19684" s="6">
        <v>19682.0</v>
      </c>
      <c r="B19684" s="17">
        <f t="array" ref="B19684">SUM(1-'Sparkling Model'!D$2:D$38^A19684)</f>
        <v>36.9997954</v>
      </c>
      <c r="C19684" s="8">
        <f t="array" ref="C19684">PRODUCT(1-'Sparkling Model'!D$2:D$38^A19684)</f>
        <v>0.9997954145</v>
      </c>
    </row>
    <row r="19685">
      <c r="A19685" s="6">
        <v>19683.0</v>
      </c>
      <c r="B19685" s="17">
        <f t="array" ref="B19685">SUM(1-'Sparkling Model'!D$2:D$38^A19685)</f>
        <v>36.9997955</v>
      </c>
      <c r="C19685" s="8">
        <f t="array" ref="C19685">PRODUCT(1-'Sparkling Model'!D$2:D$38^A19685)</f>
        <v>0.999795515</v>
      </c>
    </row>
    <row r="19686">
      <c r="A19686" s="6">
        <v>19684.0</v>
      </c>
      <c r="B19686" s="17">
        <f t="array" ref="B19686">SUM(1-'Sparkling Model'!D$2:D$38^A19686)</f>
        <v>36.9997956</v>
      </c>
      <c r="C19686" s="8">
        <f t="array" ref="C19686">PRODUCT(1-'Sparkling Model'!D$2:D$38^A19686)</f>
        <v>0.9997956154</v>
      </c>
    </row>
    <row r="19687">
      <c r="A19687" s="6">
        <v>19685.0</v>
      </c>
      <c r="B19687" s="17">
        <f t="array" ref="B19687">SUM(1-'Sparkling Model'!D$2:D$38^A19687)</f>
        <v>36.9997957</v>
      </c>
      <c r="C19687" s="8">
        <f t="array" ref="C19687">PRODUCT(1-'Sparkling Model'!D$2:D$38^A19687)</f>
        <v>0.9997957158</v>
      </c>
    </row>
    <row r="19688">
      <c r="A19688" s="6">
        <v>19686.0</v>
      </c>
      <c r="B19688" s="17">
        <f t="array" ref="B19688">SUM(1-'Sparkling Model'!D$2:D$38^A19688)</f>
        <v>36.9997958</v>
      </c>
      <c r="C19688" s="8">
        <f t="array" ref="C19688">PRODUCT(1-'Sparkling Model'!D$2:D$38^A19688)</f>
        <v>0.9997958161</v>
      </c>
    </row>
    <row r="19689">
      <c r="A19689" s="6">
        <v>19687.0</v>
      </c>
      <c r="B19689" s="17">
        <f t="array" ref="B19689">SUM(1-'Sparkling Model'!D$2:D$38^A19689)</f>
        <v>36.9997959</v>
      </c>
      <c r="C19689" s="8">
        <f t="array" ref="C19689">PRODUCT(1-'Sparkling Model'!D$2:D$38^A19689)</f>
        <v>0.9997959164</v>
      </c>
    </row>
    <row r="19690">
      <c r="A19690" s="6">
        <v>19688.0</v>
      </c>
      <c r="B19690" s="17">
        <f t="array" ref="B19690">SUM(1-'Sparkling Model'!D$2:D$38^A19690)</f>
        <v>36.999796</v>
      </c>
      <c r="C19690" s="8">
        <f t="array" ref="C19690">PRODUCT(1-'Sparkling Model'!D$2:D$38^A19690)</f>
        <v>0.9997960166</v>
      </c>
    </row>
    <row r="19691">
      <c r="A19691" s="6">
        <v>19689.0</v>
      </c>
      <c r="B19691" s="17">
        <f t="array" ref="B19691">SUM(1-'Sparkling Model'!D$2:D$38^A19691)</f>
        <v>36.9997961</v>
      </c>
      <c r="C19691" s="8">
        <f t="array" ref="C19691">PRODUCT(1-'Sparkling Model'!D$2:D$38^A19691)</f>
        <v>0.9997961167</v>
      </c>
    </row>
    <row r="19692">
      <c r="A19692" s="6">
        <v>19690.0</v>
      </c>
      <c r="B19692" s="17">
        <f t="array" ref="B19692">SUM(1-'Sparkling Model'!D$2:D$38^A19692)</f>
        <v>36.9997962</v>
      </c>
      <c r="C19692" s="8">
        <f t="array" ref="C19692">PRODUCT(1-'Sparkling Model'!D$2:D$38^A19692)</f>
        <v>0.9997962169</v>
      </c>
    </row>
    <row r="19693">
      <c r="A19693" s="6">
        <v>19691.0</v>
      </c>
      <c r="B19693" s="17">
        <f t="array" ref="B19693">SUM(1-'Sparkling Model'!D$2:D$38^A19693)</f>
        <v>36.9997963</v>
      </c>
      <c r="C19693" s="8">
        <f t="array" ref="C19693">PRODUCT(1-'Sparkling Model'!D$2:D$38^A19693)</f>
        <v>0.9997963169</v>
      </c>
    </row>
    <row r="19694">
      <c r="A19694" s="6">
        <v>19692.0</v>
      </c>
      <c r="B19694" s="17">
        <f t="array" ref="B19694">SUM(1-'Sparkling Model'!D$2:D$38^A19694)</f>
        <v>36.9997964</v>
      </c>
      <c r="C19694" s="8">
        <f t="array" ref="C19694">PRODUCT(1-'Sparkling Model'!D$2:D$38^A19694)</f>
        <v>0.9997964169</v>
      </c>
    </row>
    <row r="19695">
      <c r="A19695" s="6">
        <v>19693.0</v>
      </c>
      <c r="B19695" s="17">
        <f t="array" ref="B19695">SUM(1-'Sparkling Model'!D$2:D$38^A19695)</f>
        <v>36.9997965</v>
      </c>
      <c r="C19695" s="8">
        <f t="array" ref="C19695">PRODUCT(1-'Sparkling Model'!D$2:D$38^A19695)</f>
        <v>0.9997965169</v>
      </c>
    </row>
    <row r="19696">
      <c r="A19696" s="6">
        <v>19694.0</v>
      </c>
      <c r="B19696" s="17">
        <f t="array" ref="B19696">SUM(1-'Sparkling Model'!D$2:D$38^A19696)</f>
        <v>36.9997966</v>
      </c>
      <c r="C19696" s="8">
        <f t="array" ref="C19696">PRODUCT(1-'Sparkling Model'!D$2:D$38^A19696)</f>
        <v>0.9997966168</v>
      </c>
    </row>
    <row r="19697">
      <c r="A19697" s="6">
        <v>19695.0</v>
      </c>
      <c r="B19697" s="17">
        <f t="array" ref="B19697">SUM(1-'Sparkling Model'!D$2:D$38^A19697)</f>
        <v>36.9997967</v>
      </c>
      <c r="C19697" s="8">
        <f t="array" ref="C19697">PRODUCT(1-'Sparkling Model'!D$2:D$38^A19697)</f>
        <v>0.9997967167</v>
      </c>
    </row>
    <row r="19698">
      <c r="A19698" s="6">
        <v>19696.0</v>
      </c>
      <c r="B19698" s="17">
        <f t="array" ref="B19698">SUM(1-'Sparkling Model'!D$2:D$38^A19698)</f>
        <v>36.9997968</v>
      </c>
      <c r="C19698" s="8">
        <f t="array" ref="C19698">PRODUCT(1-'Sparkling Model'!D$2:D$38^A19698)</f>
        <v>0.9997968165</v>
      </c>
    </row>
    <row r="19699">
      <c r="A19699" s="6">
        <v>19697.0</v>
      </c>
      <c r="B19699" s="17">
        <f t="array" ref="B19699">SUM(1-'Sparkling Model'!D$2:D$38^A19699)</f>
        <v>36.9997969</v>
      </c>
      <c r="C19699" s="8">
        <f t="array" ref="C19699">PRODUCT(1-'Sparkling Model'!D$2:D$38^A19699)</f>
        <v>0.9997969163</v>
      </c>
    </row>
    <row r="19700">
      <c r="A19700" s="6">
        <v>19698.0</v>
      </c>
      <c r="B19700" s="17">
        <f t="array" ref="B19700">SUM(1-'Sparkling Model'!D$2:D$38^A19700)</f>
        <v>36.999797</v>
      </c>
      <c r="C19700" s="8">
        <f t="array" ref="C19700">PRODUCT(1-'Sparkling Model'!D$2:D$38^A19700)</f>
        <v>0.999797016</v>
      </c>
    </row>
    <row r="19701">
      <c r="A19701" s="6">
        <v>19699.0</v>
      </c>
      <c r="B19701" s="17">
        <f t="array" ref="B19701">SUM(1-'Sparkling Model'!D$2:D$38^A19701)</f>
        <v>36.9997971</v>
      </c>
      <c r="C19701" s="8">
        <f t="array" ref="C19701">PRODUCT(1-'Sparkling Model'!D$2:D$38^A19701)</f>
        <v>0.9997971157</v>
      </c>
    </row>
    <row r="19702">
      <c r="A19702" s="6">
        <v>19700.0</v>
      </c>
      <c r="B19702" s="17">
        <f t="array" ref="B19702">SUM(1-'Sparkling Model'!D$2:D$38^A19702)</f>
        <v>36.9997972</v>
      </c>
      <c r="C19702" s="8">
        <f t="array" ref="C19702">PRODUCT(1-'Sparkling Model'!D$2:D$38^A19702)</f>
        <v>0.9997972153</v>
      </c>
    </row>
    <row r="19703">
      <c r="A19703" s="6">
        <v>19701.0</v>
      </c>
      <c r="B19703" s="17">
        <f t="array" ref="B19703">SUM(1-'Sparkling Model'!D$2:D$38^A19703)</f>
        <v>36.9997973</v>
      </c>
      <c r="C19703" s="8">
        <f t="array" ref="C19703">PRODUCT(1-'Sparkling Model'!D$2:D$38^A19703)</f>
        <v>0.9997973149</v>
      </c>
    </row>
    <row r="19704">
      <c r="A19704" s="6">
        <v>19702.0</v>
      </c>
      <c r="B19704" s="17">
        <f t="array" ref="B19704">SUM(1-'Sparkling Model'!D$2:D$38^A19704)</f>
        <v>36.9997974</v>
      </c>
      <c r="C19704" s="8">
        <f t="array" ref="C19704">PRODUCT(1-'Sparkling Model'!D$2:D$38^A19704)</f>
        <v>0.9997974144</v>
      </c>
    </row>
    <row r="19705">
      <c r="A19705" s="6">
        <v>19703.0</v>
      </c>
      <c r="B19705" s="17">
        <f t="array" ref="B19705">SUM(1-'Sparkling Model'!D$2:D$38^A19705)</f>
        <v>36.9997975</v>
      </c>
      <c r="C19705" s="8">
        <f t="array" ref="C19705">PRODUCT(1-'Sparkling Model'!D$2:D$38^A19705)</f>
        <v>0.9997975139</v>
      </c>
    </row>
    <row r="19706">
      <c r="A19706" s="6">
        <v>19704.0</v>
      </c>
      <c r="B19706" s="17">
        <f t="array" ref="B19706">SUM(1-'Sparkling Model'!D$2:D$38^A19706)</f>
        <v>36.9997976</v>
      </c>
      <c r="C19706" s="8">
        <f t="array" ref="C19706">PRODUCT(1-'Sparkling Model'!D$2:D$38^A19706)</f>
        <v>0.9997976133</v>
      </c>
    </row>
    <row r="19707">
      <c r="A19707" s="6">
        <v>19705.0</v>
      </c>
      <c r="B19707" s="17">
        <f t="array" ref="B19707">SUM(1-'Sparkling Model'!D$2:D$38^A19707)</f>
        <v>36.9997977</v>
      </c>
      <c r="C19707" s="8">
        <f t="array" ref="C19707">PRODUCT(1-'Sparkling Model'!D$2:D$38^A19707)</f>
        <v>0.9997977127</v>
      </c>
    </row>
    <row r="19708">
      <c r="A19708" s="6">
        <v>19706.0</v>
      </c>
      <c r="B19708" s="17">
        <f t="array" ref="B19708">SUM(1-'Sparkling Model'!D$2:D$38^A19708)</f>
        <v>36.9997978</v>
      </c>
      <c r="C19708" s="8">
        <f t="array" ref="C19708">PRODUCT(1-'Sparkling Model'!D$2:D$38^A19708)</f>
        <v>0.999797812</v>
      </c>
    </row>
    <row r="19709">
      <c r="A19709" s="6">
        <v>19707.0</v>
      </c>
      <c r="B19709" s="17">
        <f t="array" ref="B19709">SUM(1-'Sparkling Model'!D$2:D$38^A19709)</f>
        <v>36.9997979</v>
      </c>
      <c r="C19709" s="8">
        <f t="array" ref="C19709">PRODUCT(1-'Sparkling Model'!D$2:D$38^A19709)</f>
        <v>0.9997979113</v>
      </c>
    </row>
    <row r="19710">
      <c r="A19710" s="6">
        <v>19708.0</v>
      </c>
      <c r="B19710" s="17">
        <f t="array" ref="B19710">SUM(1-'Sparkling Model'!D$2:D$38^A19710)</f>
        <v>36.999798</v>
      </c>
      <c r="C19710" s="8">
        <f t="array" ref="C19710">PRODUCT(1-'Sparkling Model'!D$2:D$38^A19710)</f>
        <v>0.9997980106</v>
      </c>
    </row>
    <row r="19711">
      <c r="A19711" s="6">
        <v>19709.0</v>
      </c>
      <c r="B19711" s="17">
        <f t="array" ref="B19711">SUM(1-'Sparkling Model'!D$2:D$38^A19711)</f>
        <v>36.9997981</v>
      </c>
      <c r="C19711" s="8">
        <f t="array" ref="C19711">PRODUCT(1-'Sparkling Model'!D$2:D$38^A19711)</f>
        <v>0.9997981097</v>
      </c>
    </row>
    <row r="19712">
      <c r="A19712" s="6">
        <v>19710.0</v>
      </c>
      <c r="B19712" s="17">
        <f t="array" ref="B19712">SUM(1-'Sparkling Model'!D$2:D$38^A19712)</f>
        <v>36.9997982</v>
      </c>
      <c r="C19712" s="8">
        <f t="array" ref="C19712">PRODUCT(1-'Sparkling Model'!D$2:D$38^A19712)</f>
        <v>0.9997982089</v>
      </c>
    </row>
    <row r="19713">
      <c r="A19713" s="6">
        <v>19711.0</v>
      </c>
      <c r="B19713" s="17">
        <f t="array" ref="B19713">SUM(1-'Sparkling Model'!D$2:D$38^A19713)</f>
        <v>36.99979829</v>
      </c>
      <c r="C19713" s="8">
        <f t="array" ref="C19713">PRODUCT(1-'Sparkling Model'!D$2:D$38^A19713)</f>
        <v>0.999798308</v>
      </c>
    </row>
    <row r="19714">
      <c r="A19714" s="6">
        <v>19712.0</v>
      </c>
      <c r="B19714" s="17">
        <f t="array" ref="B19714">SUM(1-'Sparkling Model'!D$2:D$38^A19714)</f>
        <v>36.99979839</v>
      </c>
      <c r="C19714" s="8">
        <f t="array" ref="C19714">PRODUCT(1-'Sparkling Model'!D$2:D$38^A19714)</f>
        <v>0.999798407</v>
      </c>
    </row>
    <row r="19715">
      <c r="A19715" s="6">
        <v>19713.0</v>
      </c>
      <c r="B19715" s="17">
        <f t="array" ref="B19715">SUM(1-'Sparkling Model'!D$2:D$38^A19715)</f>
        <v>36.99979849</v>
      </c>
      <c r="C19715" s="8">
        <f t="array" ref="C19715">PRODUCT(1-'Sparkling Model'!D$2:D$38^A19715)</f>
        <v>0.999798506</v>
      </c>
    </row>
    <row r="19716">
      <c r="A19716" s="6">
        <v>19714.0</v>
      </c>
      <c r="B19716" s="17">
        <f t="array" ref="B19716">SUM(1-'Sparkling Model'!D$2:D$38^A19716)</f>
        <v>36.99979859</v>
      </c>
      <c r="C19716" s="8">
        <f t="array" ref="C19716">PRODUCT(1-'Sparkling Model'!D$2:D$38^A19716)</f>
        <v>0.9997986049</v>
      </c>
    </row>
    <row r="19717">
      <c r="A19717" s="6">
        <v>19715.0</v>
      </c>
      <c r="B19717" s="17">
        <f t="array" ref="B19717">SUM(1-'Sparkling Model'!D$2:D$38^A19717)</f>
        <v>36.99979869</v>
      </c>
      <c r="C19717" s="8">
        <f t="array" ref="C19717">PRODUCT(1-'Sparkling Model'!D$2:D$38^A19717)</f>
        <v>0.9997987038</v>
      </c>
    </row>
    <row r="19718">
      <c r="A19718" s="6">
        <v>19716.0</v>
      </c>
      <c r="B19718" s="17">
        <f t="array" ref="B19718">SUM(1-'Sparkling Model'!D$2:D$38^A19718)</f>
        <v>36.99979879</v>
      </c>
      <c r="C19718" s="8">
        <f t="array" ref="C19718">PRODUCT(1-'Sparkling Model'!D$2:D$38^A19718)</f>
        <v>0.9997988027</v>
      </c>
    </row>
    <row r="19719">
      <c r="A19719" s="6">
        <v>19717.0</v>
      </c>
      <c r="B19719" s="17">
        <f t="array" ref="B19719">SUM(1-'Sparkling Model'!D$2:D$38^A19719)</f>
        <v>36.99979889</v>
      </c>
      <c r="C19719" s="8">
        <f t="array" ref="C19719">PRODUCT(1-'Sparkling Model'!D$2:D$38^A19719)</f>
        <v>0.9997989015</v>
      </c>
    </row>
    <row r="19720">
      <c r="A19720" s="6">
        <v>19718.0</v>
      </c>
      <c r="B19720" s="17">
        <f t="array" ref="B19720">SUM(1-'Sparkling Model'!D$2:D$38^A19720)</f>
        <v>36.99979899</v>
      </c>
      <c r="C19720" s="8">
        <f t="array" ref="C19720">PRODUCT(1-'Sparkling Model'!D$2:D$38^A19720)</f>
        <v>0.9997990002</v>
      </c>
    </row>
    <row r="19721">
      <c r="A19721" s="6">
        <v>19719.0</v>
      </c>
      <c r="B19721" s="17">
        <f t="array" ref="B19721">SUM(1-'Sparkling Model'!D$2:D$38^A19721)</f>
        <v>36.99979909</v>
      </c>
      <c r="C19721" s="8">
        <f t="array" ref="C19721">PRODUCT(1-'Sparkling Model'!D$2:D$38^A19721)</f>
        <v>0.9997990989</v>
      </c>
    </row>
    <row r="19722">
      <c r="A19722" s="6">
        <v>19720.0</v>
      </c>
      <c r="B19722" s="17">
        <f t="array" ref="B19722">SUM(1-'Sparkling Model'!D$2:D$38^A19722)</f>
        <v>36.99979918</v>
      </c>
      <c r="C19722" s="8">
        <f t="array" ref="C19722">PRODUCT(1-'Sparkling Model'!D$2:D$38^A19722)</f>
        <v>0.9997991976</v>
      </c>
    </row>
    <row r="19723">
      <c r="A19723" s="6">
        <v>19721.0</v>
      </c>
      <c r="B19723" s="17">
        <f t="array" ref="B19723">SUM(1-'Sparkling Model'!D$2:D$38^A19723)</f>
        <v>36.99979928</v>
      </c>
      <c r="C19723" s="8">
        <f t="array" ref="C19723">PRODUCT(1-'Sparkling Model'!D$2:D$38^A19723)</f>
        <v>0.9997992962</v>
      </c>
    </row>
    <row r="19724">
      <c r="A19724" s="6">
        <v>19722.0</v>
      </c>
      <c r="B19724" s="17">
        <f t="array" ref="B19724">SUM(1-'Sparkling Model'!D$2:D$38^A19724)</f>
        <v>36.99979938</v>
      </c>
      <c r="C19724" s="8">
        <f t="array" ref="C19724">PRODUCT(1-'Sparkling Model'!D$2:D$38^A19724)</f>
        <v>0.9997993947</v>
      </c>
    </row>
    <row r="19725">
      <c r="A19725" s="6">
        <v>19723.0</v>
      </c>
      <c r="B19725" s="17">
        <f t="array" ref="B19725">SUM(1-'Sparkling Model'!D$2:D$38^A19725)</f>
        <v>36.99979948</v>
      </c>
      <c r="C19725" s="8">
        <f t="array" ref="C19725">PRODUCT(1-'Sparkling Model'!D$2:D$38^A19725)</f>
        <v>0.9997994932</v>
      </c>
    </row>
    <row r="19726">
      <c r="A19726" s="6">
        <v>19724.0</v>
      </c>
      <c r="B19726" s="17">
        <f t="array" ref="B19726">SUM(1-'Sparkling Model'!D$2:D$38^A19726)</f>
        <v>36.99979958</v>
      </c>
      <c r="C19726" s="8">
        <f t="array" ref="C19726">PRODUCT(1-'Sparkling Model'!D$2:D$38^A19726)</f>
        <v>0.9997995917</v>
      </c>
    </row>
    <row r="19727">
      <c r="A19727" s="6">
        <v>19725.0</v>
      </c>
      <c r="B19727" s="17">
        <f t="array" ref="B19727">SUM(1-'Sparkling Model'!D$2:D$38^A19727)</f>
        <v>36.99979968</v>
      </c>
      <c r="C19727" s="8">
        <f t="array" ref="C19727">PRODUCT(1-'Sparkling Model'!D$2:D$38^A19727)</f>
        <v>0.9997996901</v>
      </c>
    </row>
    <row r="19728">
      <c r="A19728" s="6">
        <v>19726.0</v>
      </c>
      <c r="B19728" s="17">
        <f t="array" ref="B19728">SUM(1-'Sparkling Model'!D$2:D$38^A19728)</f>
        <v>36.99979977</v>
      </c>
      <c r="C19728" s="8">
        <f t="array" ref="C19728">PRODUCT(1-'Sparkling Model'!D$2:D$38^A19728)</f>
        <v>0.9997997884</v>
      </c>
    </row>
    <row r="19729">
      <c r="A19729" s="6">
        <v>19727.0</v>
      </c>
      <c r="B19729" s="17">
        <f t="array" ref="B19729">SUM(1-'Sparkling Model'!D$2:D$38^A19729)</f>
        <v>36.99979987</v>
      </c>
      <c r="C19729" s="8">
        <f t="array" ref="C19729">PRODUCT(1-'Sparkling Model'!D$2:D$38^A19729)</f>
        <v>0.9997998867</v>
      </c>
    </row>
    <row r="19730">
      <c r="A19730" s="6">
        <v>19728.0</v>
      </c>
      <c r="B19730" s="17">
        <f t="array" ref="B19730">SUM(1-'Sparkling Model'!D$2:D$38^A19730)</f>
        <v>36.99979997</v>
      </c>
      <c r="C19730" s="8">
        <f t="array" ref="C19730">PRODUCT(1-'Sparkling Model'!D$2:D$38^A19730)</f>
        <v>0.999799985</v>
      </c>
    </row>
    <row r="19731">
      <c r="A19731" s="6">
        <v>19729.0</v>
      </c>
      <c r="B19731" s="17">
        <f t="array" ref="B19731">SUM(1-'Sparkling Model'!D$2:D$38^A19731)</f>
        <v>36.99980007</v>
      </c>
      <c r="C19731" s="8">
        <f t="array" ref="C19731">PRODUCT(1-'Sparkling Model'!D$2:D$38^A19731)</f>
        <v>0.9998000832</v>
      </c>
    </row>
    <row r="19732">
      <c r="A19732" s="6">
        <v>19730.0</v>
      </c>
      <c r="B19732" s="17">
        <f t="array" ref="B19732">SUM(1-'Sparkling Model'!D$2:D$38^A19732)</f>
        <v>36.99980017</v>
      </c>
      <c r="C19732" s="8">
        <f t="array" ref="C19732">PRODUCT(1-'Sparkling Model'!D$2:D$38^A19732)</f>
        <v>0.9998001814</v>
      </c>
    </row>
    <row r="19733">
      <c r="A19733" s="6">
        <v>19731.0</v>
      </c>
      <c r="B19733" s="17">
        <f t="array" ref="B19733">SUM(1-'Sparkling Model'!D$2:D$38^A19733)</f>
        <v>36.99980027</v>
      </c>
      <c r="C19733" s="8">
        <f t="array" ref="C19733">PRODUCT(1-'Sparkling Model'!D$2:D$38^A19733)</f>
        <v>0.9998002795</v>
      </c>
    </row>
    <row r="19734">
      <c r="A19734" s="6">
        <v>19732.0</v>
      </c>
      <c r="B19734" s="17">
        <f t="array" ref="B19734">SUM(1-'Sparkling Model'!D$2:D$38^A19734)</f>
        <v>36.99980036</v>
      </c>
      <c r="C19734" s="8">
        <f t="array" ref="C19734">PRODUCT(1-'Sparkling Model'!D$2:D$38^A19734)</f>
        <v>0.9998003776</v>
      </c>
    </row>
    <row r="19735">
      <c r="A19735" s="6">
        <v>19733.0</v>
      </c>
      <c r="B19735" s="17">
        <f t="array" ref="B19735">SUM(1-'Sparkling Model'!D$2:D$38^A19735)</f>
        <v>36.99980046</v>
      </c>
      <c r="C19735" s="8">
        <f t="array" ref="C19735">PRODUCT(1-'Sparkling Model'!D$2:D$38^A19735)</f>
        <v>0.9998004756</v>
      </c>
    </row>
    <row r="19736">
      <c r="A19736" s="6">
        <v>19734.0</v>
      </c>
      <c r="B19736" s="17">
        <f t="array" ref="B19736">SUM(1-'Sparkling Model'!D$2:D$38^A19736)</f>
        <v>36.99980056</v>
      </c>
      <c r="C19736" s="8">
        <f t="array" ref="C19736">PRODUCT(1-'Sparkling Model'!D$2:D$38^A19736)</f>
        <v>0.9998005736</v>
      </c>
    </row>
    <row r="19737">
      <c r="A19737" s="6">
        <v>19735.0</v>
      </c>
      <c r="B19737" s="17">
        <f t="array" ref="B19737">SUM(1-'Sparkling Model'!D$2:D$38^A19737)</f>
        <v>36.99980066</v>
      </c>
      <c r="C19737" s="8">
        <f t="array" ref="C19737">PRODUCT(1-'Sparkling Model'!D$2:D$38^A19737)</f>
        <v>0.9998006715</v>
      </c>
    </row>
    <row r="19738">
      <c r="A19738" s="6">
        <v>19736.0</v>
      </c>
      <c r="B19738" s="17">
        <f t="array" ref="B19738">SUM(1-'Sparkling Model'!D$2:D$38^A19738)</f>
        <v>36.99980076</v>
      </c>
      <c r="C19738" s="8">
        <f t="array" ref="C19738">PRODUCT(1-'Sparkling Model'!D$2:D$38^A19738)</f>
        <v>0.9998007694</v>
      </c>
    </row>
    <row r="19739">
      <c r="A19739" s="6">
        <v>19737.0</v>
      </c>
      <c r="B19739" s="17">
        <f t="array" ref="B19739">SUM(1-'Sparkling Model'!D$2:D$38^A19739)</f>
        <v>36.99980085</v>
      </c>
      <c r="C19739" s="8">
        <f t="array" ref="C19739">PRODUCT(1-'Sparkling Model'!D$2:D$38^A19739)</f>
        <v>0.9998008672</v>
      </c>
    </row>
    <row r="19740">
      <c r="A19740" s="6">
        <v>19738.0</v>
      </c>
      <c r="B19740" s="17">
        <f t="array" ref="B19740">SUM(1-'Sparkling Model'!D$2:D$38^A19740)</f>
        <v>36.99980095</v>
      </c>
      <c r="C19740" s="8">
        <f t="array" ref="C19740">PRODUCT(1-'Sparkling Model'!D$2:D$38^A19740)</f>
        <v>0.999800965</v>
      </c>
    </row>
    <row r="19741">
      <c r="A19741" s="6">
        <v>19739.0</v>
      </c>
      <c r="B19741" s="17">
        <f t="array" ref="B19741">SUM(1-'Sparkling Model'!D$2:D$38^A19741)</f>
        <v>36.99980105</v>
      </c>
      <c r="C19741" s="8">
        <f t="array" ref="C19741">PRODUCT(1-'Sparkling Model'!D$2:D$38^A19741)</f>
        <v>0.9998010627</v>
      </c>
    </row>
    <row r="19742">
      <c r="A19742" s="6">
        <v>19740.0</v>
      </c>
      <c r="B19742" s="17">
        <f t="array" ref="B19742">SUM(1-'Sparkling Model'!D$2:D$38^A19742)</f>
        <v>36.99980115</v>
      </c>
      <c r="C19742" s="8">
        <f t="array" ref="C19742">PRODUCT(1-'Sparkling Model'!D$2:D$38^A19742)</f>
        <v>0.9998011604</v>
      </c>
    </row>
    <row r="19743">
      <c r="A19743" s="6">
        <v>19741.0</v>
      </c>
      <c r="B19743" s="17">
        <f t="array" ref="B19743">SUM(1-'Sparkling Model'!D$2:D$38^A19743)</f>
        <v>36.99980124</v>
      </c>
      <c r="C19743" s="8">
        <f t="array" ref="C19743">PRODUCT(1-'Sparkling Model'!D$2:D$38^A19743)</f>
        <v>0.999801258</v>
      </c>
    </row>
    <row r="19744">
      <c r="A19744" s="6">
        <v>19742.0</v>
      </c>
      <c r="B19744" s="17">
        <f t="array" ref="B19744">SUM(1-'Sparkling Model'!D$2:D$38^A19744)</f>
        <v>36.99980134</v>
      </c>
      <c r="C19744" s="8">
        <f t="array" ref="C19744">PRODUCT(1-'Sparkling Model'!D$2:D$38^A19744)</f>
        <v>0.9998013556</v>
      </c>
    </row>
    <row r="19745">
      <c r="A19745" s="6">
        <v>19743.0</v>
      </c>
      <c r="B19745" s="17">
        <f t="array" ref="B19745">SUM(1-'Sparkling Model'!D$2:D$38^A19745)</f>
        <v>36.99980144</v>
      </c>
      <c r="C19745" s="8">
        <f t="array" ref="C19745">PRODUCT(1-'Sparkling Model'!D$2:D$38^A19745)</f>
        <v>0.9998014532</v>
      </c>
    </row>
    <row r="19746">
      <c r="A19746" s="6">
        <v>19744.0</v>
      </c>
      <c r="B19746" s="17">
        <f t="array" ref="B19746">SUM(1-'Sparkling Model'!D$2:D$38^A19746)</f>
        <v>36.99980154</v>
      </c>
      <c r="C19746" s="8">
        <f t="array" ref="C19746">PRODUCT(1-'Sparkling Model'!D$2:D$38^A19746)</f>
        <v>0.9998015507</v>
      </c>
    </row>
    <row r="19747">
      <c r="A19747" s="6">
        <v>19745.0</v>
      </c>
      <c r="B19747" s="17">
        <f t="array" ref="B19747">SUM(1-'Sparkling Model'!D$2:D$38^A19747)</f>
        <v>36.99980163</v>
      </c>
      <c r="C19747" s="8">
        <f t="array" ref="C19747">PRODUCT(1-'Sparkling Model'!D$2:D$38^A19747)</f>
        <v>0.9998016481</v>
      </c>
    </row>
    <row r="19748">
      <c r="A19748" s="6">
        <v>19746.0</v>
      </c>
      <c r="B19748" s="17">
        <f t="array" ref="B19748">SUM(1-'Sparkling Model'!D$2:D$38^A19748)</f>
        <v>36.99980173</v>
      </c>
      <c r="C19748" s="8">
        <f t="array" ref="C19748">PRODUCT(1-'Sparkling Model'!D$2:D$38^A19748)</f>
        <v>0.9998017455</v>
      </c>
    </row>
    <row r="19749">
      <c r="A19749" s="6">
        <v>19747.0</v>
      </c>
      <c r="B19749" s="17">
        <f t="array" ref="B19749">SUM(1-'Sparkling Model'!D$2:D$38^A19749)</f>
        <v>36.99980183</v>
      </c>
      <c r="C19749" s="8">
        <f t="array" ref="C19749">PRODUCT(1-'Sparkling Model'!D$2:D$38^A19749)</f>
        <v>0.9998018428</v>
      </c>
    </row>
    <row r="19750">
      <c r="A19750" s="6">
        <v>19748.0</v>
      </c>
      <c r="B19750" s="17">
        <f t="array" ref="B19750">SUM(1-'Sparkling Model'!D$2:D$38^A19750)</f>
        <v>36.99980193</v>
      </c>
      <c r="C19750" s="8">
        <f t="array" ref="C19750">PRODUCT(1-'Sparkling Model'!D$2:D$38^A19750)</f>
        <v>0.9998019401</v>
      </c>
    </row>
    <row r="19751">
      <c r="A19751" s="6">
        <v>19749.0</v>
      </c>
      <c r="B19751" s="17">
        <f t="array" ref="B19751">SUM(1-'Sparkling Model'!D$2:D$38^A19751)</f>
        <v>36.99980202</v>
      </c>
      <c r="C19751" s="8">
        <f t="array" ref="C19751">PRODUCT(1-'Sparkling Model'!D$2:D$38^A19751)</f>
        <v>0.9998020374</v>
      </c>
    </row>
    <row r="19752">
      <c r="A19752" s="6">
        <v>19750.0</v>
      </c>
      <c r="B19752" s="17">
        <f t="array" ref="B19752">SUM(1-'Sparkling Model'!D$2:D$38^A19752)</f>
        <v>36.99980212</v>
      </c>
      <c r="C19752" s="8">
        <f t="array" ref="C19752">PRODUCT(1-'Sparkling Model'!D$2:D$38^A19752)</f>
        <v>0.9998021346</v>
      </c>
    </row>
    <row r="19753">
      <c r="A19753" s="6">
        <v>19751.0</v>
      </c>
      <c r="B19753" s="17">
        <f t="array" ref="B19753">SUM(1-'Sparkling Model'!D$2:D$38^A19753)</f>
        <v>36.99980222</v>
      </c>
      <c r="C19753" s="8">
        <f t="array" ref="C19753">PRODUCT(1-'Sparkling Model'!D$2:D$38^A19753)</f>
        <v>0.9998022318</v>
      </c>
    </row>
    <row r="19754">
      <c r="A19754" s="6">
        <v>19752.0</v>
      </c>
      <c r="B19754" s="17">
        <f t="array" ref="B19754">SUM(1-'Sparkling Model'!D$2:D$38^A19754)</f>
        <v>36.99980232</v>
      </c>
      <c r="C19754" s="8">
        <f t="array" ref="C19754">PRODUCT(1-'Sparkling Model'!D$2:D$38^A19754)</f>
        <v>0.9998023289</v>
      </c>
    </row>
    <row r="19755">
      <c r="A19755" s="6">
        <v>19753.0</v>
      </c>
      <c r="B19755" s="17">
        <f t="array" ref="B19755">SUM(1-'Sparkling Model'!D$2:D$38^A19755)</f>
        <v>36.99980241</v>
      </c>
      <c r="C19755" s="8">
        <f t="array" ref="C19755">PRODUCT(1-'Sparkling Model'!D$2:D$38^A19755)</f>
        <v>0.9998024259</v>
      </c>
    </row>
    <row r="19756">
      <c r="A19756" s="6">
        <v>19754.0</v>
      </c>
      <c r="B19756" s="17">
        <f t="array" ref="B19756">SUM(1-'Sparkling Model'!D$2:D$38^A19756)</f>
        <v>36.99980251</v>
      </c>
      <c r="C19756" s="8">
        <f t="array" ref="C19756">PRODUCT(1-'Sparkling Model'!D$2:D$38^A19756)</f>
        <v>0.9998025229</v>
      </c>
    </row>
    <row r="19757">
      <c r="A19757" s="6">
        <v>19755.0</v>
      </c>
      <c r="B19757" s="17">
        <f t="array" ref="B19757">SUM(1-'Sparkling Model'!D$2:D$38^A19757)</f>
        <v>36.99980261</v>
      </c>
      <c r="C19757" s="8">
        <f t="array" ref="C19757">PRODUCT(1-'Sparkling Model'!D$2:D$38^A19757)</f>
        <v>0.9998026199</v>
      </c>
    </row>
    <row r="19758">
      <c r="A19758" s="6">
        <v>19756.0</v>
      </c>
      <c r="B19758" s="17">
        <f t="array" ref="B19758">SUM(1-'Sparkling Model'!D$2:D$38^A19758)</f>
        <v>36.9998027</v>
      </c>
      <c r="C19758" s="8">
        <f t="array" ref="C19758">PRODUCT(1-'Sparkling Model'!D$2:D$38^A19758)</f>
        <v>0.9998027168</v>
      </c>
    </row>
    <row r="19759">
      <c r="A19759" s="6">
        <v>19757.0</v>
      </c>
      <c r="B19759" s="17">
        <f t="array" ref="B19759">SUM(1-'Sparkling Model'!D$2:D$38^A19759)</f>
        <v>36.9998028</v>
      </c>
      <c r="C19759" s="8">
        <f t="array" ref="C19759">PRODUCT(1-'Sparkling Model'!D$2:D$38^A19759)</f>
        <v>0.9998028137</v>
      </c>
    </row>
    <row r="19760">
      <c r="A19760" s="6">
        <v>19758.0</v>
      </c>
      <c r="B19760" s="17">
        <f t="array" ref="B19760">SUM(1-'Sparkling Model'!D$2:D$38^A19760)</f>
        <v>36.9998029</v>
      </c>
      <c r="C19760" s="8">
        <f t="array" ref="C19760">PRODUCT(1-'Sparkling Model'!D$2:D$38^A19760)</f>
        <v>0.9998029105</v>
      </c>
    </row>
    <row r="19761">
      <c r="A19761" s="6">
        <v>19759.0</v>
      </c>
      <c r="B19761" s="17">
        <f t="array" ref="B19761">SUM(1-'Sparkling Model'!D$2:D$38^A19761)</f>
        <v>36.99980299</v>
      </c>
      <c r="C19761" s="8">
        <f t="array" ref="C19761">PRODUCT(1-'Sparkling Model'!D$2:D$38^A19761)</f>
        <v>0.9998030073</v>
      </c>
    </row>
    <row r="19762">
      <c r="A19762" s="6">
        <v>19760.0</v>
      </c>
      <c r="B19762" s="17">
        <f t="array" ref="B19762">SUM(1-'Sparkling Model'!D$2:D$38^A19762)</f>
        <v>36.99980309</v>
      </c>
      <c r="C19762" s="8">
        <f t="array" ref="C19762">PRODUCT(1-'Sparkling Model'!D$2:D$38^A19762)</f>
        <v>0.999803104</v>
      </c>
    </row>
    <row r="19763">
      <c r="A19763" s="6">
        <v>19761.0</v>
      </c>
      <c r="B19763" s="17">
        <f t="array" ref="B19763">SUM(1-'Sparkling Model'!D$2:D$38^A19763)</f>
        <v>36.99980319</v>
      </c>
      <c r="C19763" s="8">
        <f t="array" ref="C19763">PRODUCT(1-'Sparkling Model'!D$2:D$38^A19763)</f>
        <v>0.9998032007</v>
      </c>
    </row>
    <row r="19764">
      <c r="A19764" s="6">
        <v>19762.0</v>
      </c>
      <c r="B19764" s="17">
        <f t="array" ref="B19764">SUM(1-'Sparkling Model'!D$2:D$38^A19764)</f>
        <v>36.99980328</v>
      </c>
      <c r="C19764" s="8">
        <f t="array" ref="C19764">PRODUCT(1-'Sparkling Model'!D$2:D$38^A19764)</f>
        <v>0.9998032973</v>
      </c>
    </row>
    <row r="19765">
      <c r="A19765" s="6">
        <v>19763.0</v>
      </c>
      <c r="B19765" s="17">
        <f t="array" ref="B19765">SUM(1-'Sparkling Model'!D$2:D$38^A19765)</f>
        <v>36.99980338</v>
      </c>
      <c r="C19765" s="8">
        <f t="array" ref="C19765">PRODUCT(1-'Sparkling Model'!D$2:D$38^A19765)</f>
        <v>0.9998033939</v>
      </c>
    </row>
    <row r="19766">
      <c r="A19766" s="6">
        <v>19764.0</v>
      </c>
      <c r="B19766" s="17">
        <f t="array" ref="B19766">SUM(1-'Sparkling Model'!D$2:D$38^A19766)</f>
        <v>36.99980348</v>
      </c>
      <c r="C19766" s="8">
        <f t="array" ref="C19766">PRODUCT(1-'Sparkling Model'!D$2:D$38^A19766)</f>
        <v>0.9998034904</v>
      </c>
    </row>
    <row r="19767">
      <c r="A19767" s="6">
        <v>19765.0</v>
      </c>
      <c r="B19767" s="17">
        <f t="array" ref="B19767">SUM(1-'Sparkling Model'!D$2:D$38^A19767)</f>
        <v>36.99980357</v>
      </c>
      <c r="C19767" s="8">
        <f t="array" ref="C19767">PRODUCT(1-'Sparkling Model'!D$2:D$38^A19767)</f>
        <v>0.9998035869</v>
      </c>
    </row>
    <row r="19768">
      <c r="A19768" s="6">
        <v>19766.0</v>
      </c>
      <c r="B19768" s="17">
        <f t="array" ref="B19768">SUM(1-'Sparkling Model'!D$2:D$38^A19768)</f>
        <v>36.99980367</v>
      </c>
      <c r="C19768" s="8">
        <f t="array" ref="C19768">PRODUCT(1-'Sparkling Model'!D$2:D$38^A19768)</f>
        <v>0.9998036834</v>
      </c>
    </row>
    <row r="19769">
      <c r="A19769" s="6">
        <v>19767.0</v>
      </c>
      <c r="B19769" s="17">
        <f t="array" ref="B19769">SUM(1-'Sparkling Model'!D$2:D$38^A19769)</f>
        <v>36.99980377</v>
      </c>
      <c r="C19769" s="8">
        <f t="array" ref="C19769">PRODUCT(1-'Sparkling Model'!D$2:D$38^A19769)</f>
        <v>0.9998037798</v>
      </c>
    </row>
    <row r="19770">
      <c r="A19770" s="6">
        <v>19768.0</v>
      </c>
      <c r="B19770" s="17">
        <f t="array" ref="B19770">SUM(1-'Sparkling Model'!D$2:D$38^A19770)</f>
        <v>36.99980386</v>
      </c>
      <c r="C19770" s="8">
        <f t="array" ref="C19770">PRODUCT(1-'Sparkling Model'!D$2:D$38^A19770)</f>
        <v>0.9998038761</v>
      </c>
    </row>
    <row r="19771">
      <c r="A19771" s="6">
        <v>19769.0</v>
      </c>
      <c r="B19771" s="17">
        <f t="array" ref="B19771">SUM(1-'Sparkling Model'!D$2:D$38^A19771)</f>
        <v>36.99980396</v>
      </c>
      <c r="C19771" s="8">
        <f t="array" ref="C19771">PRODUCT(1-'Sparkling Model'!D$2:D$38^A19771)</f>
        <v>0.9998039724</v>
      </c>
    </row>
    <row r="19772">
      <c r="A19772" s="6">
        <v>19770.0</v>
      </c>
      <c r="B19772" s="17">
        <f t="array" ref="B19772">SUM(1-'Sparkling Model'!D$2:D$38^A19772)</f>
        <v>36.99980406</v>
      </c>
      <c r="C19772" s="8">
        <f t="array" ref="C19772">PRODUCT(1-'Sparkling Model'!D$2:D$38^A19772)</f>
        <v>0.9998040687</v>
      </c>
    </row>
    <row r="19773">
      <c r="A19773" s="6">
        <v>19771.0</v>
      </c>
      <c r="B19773" s="17">
        <f t="array" ref="B19773">SUM(1-'Sparkling Model'!D$2:D$38^A19773)</f>
        <v>36.99980415</v>
      </c>
      <c r="C19773" s="8">
        <f t="array" ref="C19773">PRODUCT(1-'Sparkling Model'!D$2:D$38^A19773)</f>
        <v>0.9998041649</v>
      </c>
    </row>
    <row r="19774">
      <c r="A19774" s="6">
        <v>19772.0</v>
      </c>
      <c r="B19774" s="17">
        <f t="array" ref="B19774">SUM(1-'Sparkling Model'!D$2:D$38^A19774)</f>
        <v>36.99980425</v>
      </c>
      <c r="C19774" s="8">
        <f t="array" ref="C19774">PRODUCT(1-'Sparkling Model'!D$2:D$38^A19774)</f>
        <v>0.999804261</v>
      </c>
    </row>
    <row r="19775">
      <c r="A19775" s="6">
        <v>19773.0</v>
      </c>
      <c r="B19775" s="17">
        <f t="array" ref="B19775">SUM(1-'Sparkling Model'!D$2:D$38^A19775)</f>
        <v>36.99980434</v>
      </c>
      <c r="C19775" s="8">
        <f t="array" ref="C19775">PRODUCT(1-'Sparkling Model'!D$2:D$38^A19775)</f>
        <v>0.9998043572</v>
      </c>
    </row>
    <row r="19776">
      <c r="A19776" s="6">
        <v>19774.0</v>
      </c>
      <c r="B19776" s="17">
        <f t="array" ref="B19776">SUM(1-'Sparkling Model'!D$2:D$38^A19776)</f>
        <v>36.99980444</v>
      </c>
      <c r="C19776" s="8">
        <f t="array" ref="C19776">PRODUCT(1-'Sparkling Model'!D$2:D$38^A19776)</f>
        <v>0.9998044532</v>
      </c>
    </row>
    <row r="19777">
      <c r="A19777" s="6">
        <v>19775.0</v>
      </c>
      <c r="B19777" s="17">
        <f t="array" ref="B19777">SUM(1-'Sparkling Model'!D$2:D$38^A19777)</f>
        <v>36.99980454</v>
      </c>
      <c r="C19777" s="8">
        <f t="array" ref="C19777">PRODUCT(1-'Sparkling Model'!D$2:D$38^A19777)</f>
        <v>0.9998045492</v>
      </c>
    </row>
    <row r="19778">
      <c r="A19778" s="6">
        <v>19776.0</v>
      </c>
      <c r="B19778" s="17">
        <f t="array" ref="B19778">SUM(1-'Sparkling Model'!D$2:D$38^A19778)</f>
        <v>36.99980463</v>
      </c>
      <c r="C19778" s="8">
        <f t="array" ref="C19778">PRODUCT(1-'Sparkling Model'!D$2:D$38^A19778)</f>
        <v>0.9998046452</v>
      </c>
    </row>
    <row r="19779">
      <c r="A19779" s="6">
        <v>19777.0</v>
      </c>
      <c r="B19779" s="17">
        <f t="array" ref="B19779">SUM(1-'Sparkling Model'!D$2:D$38^A19779)</f>
        <v>36.99980473</v>
      </c>
      <c r="C19779" s="8">
        <f t="array" ref="C19779">PRODUCT(1-'Sparkling Model'!D$2:D$38^A19779)</f>
        <v>0.9998047411</v>
      </c>
    </row>
    <row r="19780">
      <c r="A19780" s="6">
        <v>19778.0</v>
      </c>
      <c r="B19780" s="17">
        <f t="array" ref="B19780">SUM(1-'Sparkling Model'!D$2:D$38^A19780)</f>
        <v>36.99980482</v>
      </c>
      <c r="C19780" s="8">
        <f t="array" ref="C19780">PRODUCT(1-'Sparkling Model'!D$2:D$38^A19780)</f>
        <v>0.999804837</v>
      </c>
    </row>
    <row r="19781">
      <c r="A19781" s="6">
        <v>19779.0</v>
      </c>
      <c r="B19781" s="17">
        <f t="array" ref="B19781">SUM(1-'Sparkling Model'!D$2:D$38^A19781)</f>
        <v>36.99980492</v>
      </c>
      <c r="C19781" s="8">
        <f t="array" ref="C19781">PRODUCT(1-'Sparkling Model'!D$2:D$38^A19781)</f>
        <v>0.9998049328</v>
      </c>
    </row>
    <row r="19782">
      <c r="A19782" s="6">
        <v>19780.0</v>
      </c>
      <c r="B19782" s="17">
        <f t="array" ref="B19782">SUM(1-'Sparkling Model'!D$2:D$38^A19782)</f>
        <v>36.99980502</v>
      </c>
      <c r="C19782" s="8">
        <f t="array" ref="C19782">PRODUCT(1-'Sparkling Model'!D$2:D$38^A19782)</f>
        <v>0.9998050286</v>
      </c>
    </row>
    <row r="19783">
      <c r="A19783" s="6">
        <v>19781.0</v>
      </c>
      <c r="B19783" s="17">
        <f t="array" ref="B19783">SUM(1-'Sparkling Model'!D$2:D$38^A19783)</f>
        <v>36.99980511</v>
      </c>
      <c r="C19783" s="8">
        <f t="array" ref="C19783">PRODUCT(1-'Sparkling Model'!D$2:D$38^A19783)</f>
        <v>0.9998051243</v>
      </c>
    </row>
    <row r="19784">
      <c r="A19784" s="6">
        <v>19782.0</v>
      </c>
      <c r="B19784" s="17">
        <f t="array" ref="B19784">SUM(1-'Sparkling Model'!D$2:D$38^A19784)</f>
        <v>36.99980521</v>
      </c>
      <c r="C19784" s="8">
        <f t="array" ref="C19784">PRODUCT(1-'Sparkling Model'!D$2:D$38^A19784)</f>
        <v>0.99980522</v>
      </c>
    </row>
    <row r="19785">
      <c r="A19785" s="6">
        <v>19783.0</v>
      </c>
      <c r="B19785" s="17">
        <f t="array" ref="B19785">SUM(1-'Sparkling Model'!D$2:D$38^A19785)</f>
        <v>36.9998053</v>
      </c>
      <c r="C19785" s="8">
        <f t="array" ref="C19785">PRODUCT(1-'Sparkling Model'!D$2:D$38^A19785)</f>
        <v>0.9998053157</v>
      </c>
    </row>
    <row r="19786">
      <c r="A19786" s="6">
        <v>19784.0</v>
      </c>
      <c r="B19786" s="17">
        <f t="array" ref="B19786">SUM(1-'Sparkling Model'!D$2:D$38^A19786)</f>
        <v>36.9998054</v>
      </c>
      <c r="C19786" s="8">
        <f t="array" ref="C19786">PRODUCT(1-'Sparkling Model'!D$2:D$38^A19786)</f>
        <v>0.9998054113</v>
      </c>
    </row>
    <row r="19787">
      <c r="A19787" s="6">
        <v>19785.0</v>
      </c>
      <c r="B19787" s="17">
        <f t="array" ref="B19787">SUM(1-'Sparkling Model'!D$2:D$38^A19787)</f>
        <v>36.99980549</v>
      </c>
      <c r="C19787" s="8">
        <f t="array" ref="C19787">PRODUCT(1-'Sparkling Model'!D$2:D$38^A19787)</f>
        <v>0.9998055068</v>
      </c>
    </row>
    <row r="19788">
      <c r="A19788" s="6">
        <v>19786.0</v>
      </c>
      <c r="B19788" s="17">
        <f t="array" ref="B19788">SUM(1-'Sparkling Model'!D$2:D$38^A19788)</f>
        <v>36.99980559</v>
      </c>
      <c r="C19788" s="8">
        <f t="array" ref="C19788">PRODUCT(1-'Sparkling Model'!D$2:D$38^A19788)</f>
        <v>0.9998056023</v>
      </c>
    </row>
    <row r="19789">
      <c r="A19789" s="6">
        <v>19787.0</v>
      </c>
      <c r="B19789" s="17">
        <f t="array" ref="B19789">SUM(1-'Sparkling Model'!D$2:D$38^A19789)</f>
        <v>36.99980568</v>
      </c>
      <c r="C19789" s="8">
        <f t="array" ref="C19789">PRODUCT(1-'Sparkling Model'!D$2:D$38^A19789)</f>
        <v>0.9998056978</v>
      </c>
    </row>
    <row r="19790">
      <c r="A19790" s="6">
        <v>19788.0</v>
      </c>
      <c r="B19790" s="17">
        <f t="array" ref="B19790">SUM(1-'Sparkling Model'!D$2:D$38^A19790)</f>
        <v>36.99980578</v>
      </c>
      <c r="C19790" s="8">
        <f t="array" ref="C19790">PRODUCT(1-'Sparkling Model'!D$2:D$38^A19790)</f>
        <v>0.9998057932</v>
      </c>
    </row>
    <row r="19791">
      <c r="A19791" s="6">
        <v>19789.0</v>
      </c>
      <c r="B19791" s="17">
        <f t="array" ref="B19791">SUM(1-'Sparkling Model'!D$2:D$38^A19791)</f>
        <v>36.99980588</v>
      </c>
      <c r="C19791" s="8">
        <f t="array" ref="C19791">PRODUCT(1-'Sparkling Model'!D$2:D$38^A19791)</f>
        <v>0.9998058885</v>
      </c>
    </row>
    <row r="19792">
      <c r="A19792" s="6">
        <v>19790.0</v>
      </c>
      <c r="B19792" s="17">
        <f t="array" ref="B19792">SUM(1-'Sparkling Model'!D$2:D$38^A19792)</f>
        <v>36.99980597</v>
      </c>
      <c r="C19792" s="8">
        <f t="array" ref="C19792">PRODUCT(1-'Sparkling Model'!D$2:D$38^A19792)</f>
        <v>0.9998059838</v>
      </c>
    </row>
    <row r="19793">
      <c r="A19793" s="6">
        <v>19791.0</v>
      </c>
      <c r="B19793" s="17">
        <f t="array" ref="B19793">SUM(1-'Sparkling Model'!D$2:D$38^A19793)</f>
        <v>36.99980607</v>
      </c>
      <c r="C19793" s="8">
        <f t="array" ref="C19793">PRODUCT(1-'Sparkling Model'!D$2:D$38^A19793)</f>
        <v>0.9998060791</v>
      </c>
    </row>
    <row r="19794">
      <c r="A19794" s="6">
        <v>19792.0</v>
      </c>
      <c r="B19794" s="17">
        <f t="array" ref="B19794">SUM(1-'Sparkling Model'!D$2:D$38^A19794)</f>
        <v>36.99980616</v>
      </c>
      <c r="C19794" s="8">
        <f t="array" ref="C19794">PRODUCT(1-'Sparkling Model'!D$2:D$38^A19794)</f>
        <v>0.9998061743</v>
      </c>
    </row>
    <row r="19795">
      <c r="A19795" s="6">
        <v>19793.0</v>
      </c>
      <c r="B19795" s="17">
        <f t="array" ref="B19795">SUM(1-'Sparkling Model'!D$2:D$38^A19795)</f>
        <v>36.99980626</v>
      </c>
      <c r="C19795" s="8">
        <f t="array" ref="C19795">PRODUCT(1-'Sparkling Model'!D$2:D$38^A19795)</f>
        <v>0.9998062695</v>
      </c>
    </row>
    <row r="19796">
      <c r="A19796" s="6">
        <v>19794.0</v>
      </c>
      <c r="B19796" s="17">
        <f t="array" ref="B19796">SUM(1-'Sparkling Model'!D$2:D$38^A19796)</f>
        <v>36.99980635</v>
      </c>
      <c r="C19796" s="8">
        <f t="array" ref="C19796">PRODUCT(1-'Sparkling Model'!D$2:D$38^A19796)</f>
        <v>0.9998063646</v>
      </c>
    </row>
    <row r="19797">
      <c r="A19797" s="6">
        <v>19795.0</v>
      </c>
      <c r="B19797" s="17">
        <f t="array" ref="B19797">SUM(1-'Sparkling Model'!D$2:D$38^A19797)</f>
        <v>36.99980645</v>
      </c>
      <c r="C19797" s="8">
        <f t="array" ref="C19797">PRODUCT(1-'Sparkling Model'!D$2:D$38^A19797)</f>
        <v>0.9998064597</v>
      </c>
    </row>
    <row r="19798">
      <c r="A19798" s="6">
        <v>19796.0</v>
      </c>
      <c r="B19798" s="17">
        <f t="array" ref="B19798">SUM(1-'Sparkling Model'!D$2:D$38^A19798)</f>
        <v>36.99980654</v>
      </c>
      <c r="C19798" s="8">
        <f t="array" ref="C19798">PRODUCT(1-'Sparkling Model'!D$2:D$38^A19798)</f>
        <v>0.9998065547</v>
      </c>
    </row>
    <row r="19799">
      <c r="A19799" s="6">
        <v>19797.0</v>
      </c>
      <c r="B19799" s="17">
        <f t="array" ref="B19799">SUM(1-'Sparkling Model'!D$2:D$38^A19799)</f>
        <v>36.99980664</v>
      </c>
      <c r="C19799" s="8">
        <f t="array" ref="C19799">PRODUCT(1-'Sparkling Model'!D$2:D$38^A19799)</f>
        <v>0.9998066497</v>
      </c>
    </row>
    <row r="19800">
      <c r="A19800" s="6">
        <v>19798.0</v>
      </c>
      <c r="B19800" s="17">
        <f t="array" ref="B19800">SUM(1-'Sparkling Model'!D$2:D$38^A19800)</f>
        <v>36.99980673</v>
      </c>
      <c r="C19800" s="8">
        <f t="array" ref="C19800">PRODUCT(1-'Sparkling Model'!D$2:D$38^A19800)</f>
        <v>0.9998067446</v>
      </c>
    </row>
    <row r="19801">
      <c r="A19801" s="6">
        <v>19799.0</v>
      </c>
      <c r="B19801" s="17">
        <f t="array" ref="B19801">SUM(1-'Sparkling Model'!D$2:D$38^A19801)</f>
        <v>36.99980683</v>
      </c>
      <c r="C19801" s="8">
        <f t="array" ref="C19801">PRODUCT(1-'Sparkling Model'!D$2:D$38^A19801)</f>
        <v>0.9998068395</v>
      </c>
    </row>
    <row r="19802">
      <c r="A19802" s="6">
        <v>19800.0</v>
      </c>
      <c r="B19802" s="17">
        <f t="array" ref="B19802">SUM(1-'Sparkling Model'!D$2:D$38^A19802)</f>
        <v>36.99980692</v>
      </c>
      <c r="C19802" s="8">
        <f t="array" ref="C19802">PRODUCT(1-'Sparkling Model'!D$2:D$38^A19802)</f>
        <v>0.9998069344</v>
      </c>
    </row>
    <row r="19803">
      <c r="A19803" s="6">
        <v>19801.0</v>
      </c>
      <c r="B19803" s="17">
        <f t="array" ref="B19803">SUM(1-'Sparkling Model'!D$2:D$38^A19803)</f>
        <v>36.99980702</v>
      </c>
      <c r="C19803" s="8">
        <f t="array" ref="C19803">PRODUCT(1-'Sparkling Model'!D$2:D$38^A19803)</f>
        <v>0.9998070292</v>
      </c>
    </row>
    <row r="19804">
      <c r="A19804" s="6">
        <v>19802.0</v>
      </c>
      <c r="B19804" s="17">
        <f t="array" ref="B19804">SUM(1-'Sparkling Model'!D$2:D$38^A19804)</f>
        <v>36.99980711</v>
      </c>
      <c r="C19804" s="8">
        <f t="array" ref="C19804">PRODUCT(1-'Sparkling Model'!D$2:D$38^A19804)</f>
        <v>0.9998071239</v>
      </c>
    </row>
    <row r="19805">
      <c r="A19805" s="6">
        <v>19803.0</v>
      </c>
      <c r="B19805" s="17">
        <f t="array" ref="B19805">SUM(1-'Sparkling Model'!D$2:D$38^A19805)</f>
        <v>36.99980721</v>
      </c>
      <c r="C19805" s="8">
        <f t="array" ref="C19805">PRODUCT(1-'Sparkling Model'!D$2:D$38^A19805)</f>
        <v>0.9998072186</v>
      </c>
    </row>
    <row r="19806">
      <c r="A19806" s="6">
        <v>19804.0</v>
      </c>
      <c r="B19806" s="17">
        <f t="array" ref="B19806">SUM(1-'Sparkling Model'!D$2:D$38^A19806)</f>
        <v>36.9998073</v>
      </c>
      <c r="C19806" s="8">
        <f t="array" ref="C19806">PRODUCT(1-'Sparkling Model'!D$2:D$38^A19806)</f>
        <v>0.9998073133</v>
      </c>
    </row>
    <row r="19807">
      <c r="A19807" s="6">
        <v>19805.0</v>
      </c>
      <c r="B19807" s="17">
        <f t="array" ref="B19807">SUM(1-'Sparkling Model'!D$2:D$38^A19807)</f>
        <v>36.9998074</v>
      </c>
      <c r="C19807" s="8">
        <f t="array" ref="C19807">PRODUCT(1-'Sparkling Model'!D$2:D$38^A19807)</f>
        <v>0.9998074079</v>
      </c>
    </row>
    <row r="19808">
      <c r="A19808" s="6">
        <v>19806.0</v>
      </c>
      <c r="B19808" s="17">
        <f t="array" ref="B19808">SUM(1-'Sparkling Model'!D$2:D$38^A19808)</f>
        <v>36.99980749</v>
      </c>
      <c r="C19808" s="8">
        <f t="array" ref="C19808">PRODUCT(1-'Sparkling Model'!D$2:D$38^A19808)</f>
        <v>0.9998075024</v>
      </c>
    </row>
    <row r="19809">
      <c r="A19809" s="6">
        <v>19807.0</v>
      </c>
      <c r="B19809" s="17">
        <f t="array" ref="B19809">SUM(1-'Sparkling Model'!D$2:D$38^A19809)</f>
        <v>36.99980758</v>
      </c>
      <c r="C19809" s="8">
        <f t="array" ref="C19809">PRODUCT(1-'Sparkling Model'!D$2:D$38^A19809)</f>
        <v>0.999807597</v>
      </c>
    </row>
    <row r="19810">
      <c r="A19810" s="6">
        <v>19808.0</v>
      </c>
      <c r="B19810" s="17">
        <f t="array" ref="B19810">SUM(1-'Sparkling Model'!D$2:D$38^A19810)</f>
        <v>36.99980768</v>
      </c>
      <c r="C19810" s="8">
        <f t="array" ref="C19810">PRODUCT(1-'Sparkling Model'!D$2:D$38^A19810)</f>
        <v>0.9998076914</v>
      </c>
    </row>
    <row r="19811">
      <c r="A19811" s="6">
        <v>19809.0</v>
      </c>
      <c r="B19811" s="17">
        <f t="array" ref="B19811">SUM(1-'Sparkling Model'!D$2:D$38^A19811)</f>
        <v>36.99980777</v>
      </c>
      <c r="C19811" s="8">
        <f t="array" ref="C19811">PRODUCT(1-'Sparkling Model'!D$2:D$38^A19811)</f>
        <v>0.9998077858</v>
      </c>
    </row>
    <row r="19812">
      <c r="A19812" s="6">
        <v>19810.0</v>
      </c>
      <c r="B19812" s="17">
        <f t="array" ref="B19812">SUM(1-'Sparkling Model'!D$2:D$38^A19812)</f>
        <v>36.99980787</v>
      </c>
      <c r="C19812" s="8">
        <f t="array" ref="C19812">PRODUCT(1-'Sparkling Model'!D$2:D$38^A19812)</f>
        <v>0.9998078802</v>
      </c>
    </row>
    <row r="19813">
      <c r="A19813" s="6">
        <v>19811.0</v>
      </c>
      <c r="B19813" s="17">
        <f t="array" ref="B19813">SUM(1-'Sparkling Model'!D$2:D$38^A19813)</f>
        <v>36.99980796</v>
      </c>
      <c r="C19813" s="8">
        <f t="array" ref="C19813">PRODUCT(1-'Sparkling Model'!D$2:D$38^A19813)</f>
        <v>0.9998079746</v>
      </c>
    </row>
    <row r="19814">
      <c r="A19814" s="6">
        <v>19812.0</v>
      </c>
      <c r="B19814" s="17">
        <f t="array" ref="B19814">SUM(1-'Sparkling Model'!D$2:D$38^A19814)</f>
        <v>36.99980806</v>
      </c>
      <c r="C19814" s="8">
        <f t="array" ref="C19814">PRODUCT(1-'Sparkling Model'!D$2:D$38^A19814)</f>
        <v>0.9998080688</v>
      </c>
    </row>
    <row r="19815">
      <c r="A19815" s="6">
        <v>19813.0</v>
      </c>
      <c r="B19815" s="17">
        <f t="array" ref="B19815">SUM(1-'Sparkling Model'!D$2:D$38^A19815)</f>
        <v>36.99980815</v>
      </c>
      <c r="C19815" s="8">
        <f t="array" ref="C19815">PRODUCT(1-'Sparkling Model'!D$2:D$38^A19815)</f>
        <v>0.9998081631</v>
      </c>
    </row>
    <row r="19816">
      <c r="A19816" s="6">
        <v>19814.0</v>
      </c>
      <c r="B19816" s="17">
        <f t="array" ref="B19816">SUM(1-'Sparkling Model'!D$2:D$38^A19816)</f>
        <v>36.99980824</v>
      </c>
      <c r="C19816" s="8">
        <f t="array" ref="C19816">PRODUCT(1-'Sparkling Model'!D$2:D$38^A19816)</f>
        <v>0.9998082573</v>
      </c>
    </row>
    <row r="19817">
      <c r="A19817" s="6">
        <v>19815.0</v>
      </c>
      <c r="B19817" s="17">
        <f t="array" ref="B19817">SUM(1-'Sparkling Model'!D$2:D$38^A19817)</f>
        <v>36.99980834</v>
      </c>
      <c r="C19817" s="8">
        <f t="array" ref="C19817">PRODUCT(1-'Sparkling Model'!D$2:D$38^A19817)</f>
        <v>0.9998083514</v>
      </c>
    </row>
    <row r="19818">
      <c r="A19818" s="6">
        <v>19816.0</v>
      </c>
      <c r="B19818" s="17">
        <f t="array" ref="B19818">SUM(1-'Sparkling Model'!D$2:D$38^A19818)</f>
        <v>36.99980843</v>
      </c>
      <c r="C19818" s="8">
        <f t="array" ref="C19818">PRODUCT(1-'Sparkling Model'!D$2:D$38^A19818)</f>
        <v>0.9998084455</v>
      </c>
    </row>
    <row r="19819">
      <c r="A19819" s="6">
        <v>19817.0</v>
      </c>
      <c r="B19819" s="17">
        <f t="array" ref="B19819">SUM(1-'Sparkling Model'!D$2:D$38^A19819)</f>
        <v>36.99980853</v>
      </c>
      <c r="C19819" s="8">
        <f t="array" ref="C19819">PRODUCT(1-'Sparkling Model'!D$2:D$38^A19819)</f>
        <v>0.9998085396</v>
      </c>
    </row>
    <row r="19820">
      <c r="A19820" s="6">
        <v>19818.0</v>
      </c>
      <c r="B19820" s="17">
        <f t="array" ref="B19820">SUM(1-'Sparkling Model'!D$2:D$38^A19820)</f>
        <v>36.99980862</v>
      </c>
      <c r="C19820" s="8">
        <f t="array" ref="C19820">PRODUCT(1-'Sparkling Model'!D$2:D$38^A19820)</f>
        <v>0.9998086336</v>
      </c>
    </row>
    <row r="19821">
      <c r="A19821" s="6">
        <v>19819.0</v>
      </c>
      <c r="B19821" s="17">
        <f t="array" ref="B19821">SUM(1-'Sparkling Model'!D$2:D$38^A19821)</f>
        <v>36.99980872</v>
      </c>
      <c r="C19821" s="8">
        <f t="array" ref="C19821">PRODUCT(1-'Sparkling Model'!D$2:D$38^A19821)</f>
        <v>0.9998087275</v>
      </c>
    </row>
    <row r="19822">
      <c r="A19822" s="6">
        <v>19820.0</v>
      </c>
      <c r="B19822" s="17">
        <f t="array" ref="B19822">SUM(1-'Sparkling Model'!D$2:D$38^A19822)</f>
        <v>36.99980881</v>
      </c>
      <c r="C19822" s="8">
        <f t="array" ref="C19822">PRODUCT(1-'Sparkling Model'!D$2:D$38^A19822)</f>
        <v>0.9998088215</v>
      </c>
    </row>
    <row r="19823">
      <c r="A19823" s="6">
        <v>19821.0</v>
      </c>
      <c r="B19823" s="17">
        <f t="array" ref="B19823">SUM(1-'Sparkling Model'!D$2:D$38^A19823)</f>
        <v>36.9998089</v>
      </c>
      <c r="C19823" s="8">
        <f t="array" ref="C19823">PRODUCT(1-'Sparkling Model'!D$2:D$38^A19823)</f>
        <v>0.9998089153</v>
      </c>
    </row>
    <row r="19824">
      <c r="A19824" s="6">
        <v>19822.0</v>
      </c>
      <c r="B19824" s="17">
        <f t="array" ref="B19824">SUM(1-'Sparkling Model'!D$2:D$38^A19824)</f>
        <v>36.999809</v>
      </c>
      <c r="C19824" s="8">
        <f t="array" ref="C19824">PRODUCT(1-'Sparkling Model'!D$2:D$38^A19824)</f>
        <v>0.9998090091</v>
      </c>
    </row>
    <row r="19825">
      <c r="A19825" s="6">
        <v>19823.0</v>
      </c>
      <c r="B19825" s="17">
        <f t="array" ref="B19825">SUM(1-'Sparkling Model'!D$2:D$38^A19825)</f>
        <v>36.99980909</v>
      </c>
      <c r="C19825" s="8">
        <f t="array" ref="C19825">PRODUCT(1-'Sparkling Model'!D$2:D$38^A19825)</f>
        <v>0.9998091029</v>
      </c>
    </row>
    <row r="19826">
      <c r="A19826" s="6">
        <v>19824.0</v>
      </c>
      <c r="B19826" s="17">
        <f t="array" ref="B19826">SUM(1-'Sparkling Model'!D$2:D$38^A19826)</f>
        <v>36.99980918</v>
      </c>
      <c r="C19826" s="8">
        <f t="array" ref="C19826">PRODUCT(1-'Sparkling Model'!D$2:D$38^A19826)</f>
        <v>0.9998091966</v>
      </c>
    </row>
    <row r="19827">
      <c r="A19827" s="6">
        <v>19825.0</v>
      </c>
      <c r="B19827" s="17">
        <f t="array" ref="B19827">SUM(1-'Sparkling Model'!D$2:D$38^A19827)</f>
        <v>36.99980928</v>
      </c>
      <c r="C19827" s="8">
        <f t="array" ref="C19827">PRODUCT(1-'Sparkling Model'!D$2:D$38^A19827)</f>
        <v>0.9998092903</v>
      </c>
    </row>
    <row r="19828">
      <c r="A19828" s="6">
        <v>19826.0</v>
      </c>
      <c r="B19828" s="17">
        <f t="array" ref="B19828">SUM(1-'Sparkling Model'!D$2:D$38^A19828)</f>
        <v>36.99980937</v>
      </c>
      <c r="C19828" s="8">
        <f t="array" ref="C19828">PRODUCT(1-'Sparkling Model'!D$2:D$38^A19828)</f>
        <v>0.999809384</v>
      </c>
    </row>
    <row r="19829">
      <c r="A19829" s="6">
        <v>19827.0</v>
      </c>
      <c r="B19829" s="17">
        <f t="array" ref="B19829">SUM(1-'Sparkling Model'!D$2:D$38^A19829)</f>
        <v>36.99980947</v>
      </c>
      <c r="C19829" s="8">
        <f t="array" ref="C19829">PRODUCT(1-'Sparkling Model'!D$2:D$38^A19829)</f>
        <v>0.9998094776</v>
      </c>
    </row>
    <row r="19830">
      <c r="A19830" s="6">
        <v>19828.0</v>
      </c>
      <c r="B19830" s="17">
        <f t="array" ref="B19830">SUM(1-'Sparkling Model'!D$2:D$38^A19830)</f>
        <v>36.99980956</v>
      </c>
      <c r="C19830" s="8">
        <f t="array" ref="C19830">PRODUCT(1-'Sparkling Model'!D$2:D$38^A19830)</f>
        <v>0.9998095711</v>
      </c>
    </row>
    <row r="19831">
      <c r="A19831" s="6">
        <v>19829.0</v>
      </c>
      <c r="B19831" s="17">
        <f t="array" ref="B19831">SUM(1-'Sparkling Model'!D$2:D$38^A19831)</f>
        <v>36.99980965</v>
      </c>
      <c r="C19831" s="8">
        <f t="array" ref="C19831">PRODUCT(1-'Sparkling Model'!D$2:D$38^A19831)</f>
        <v>0.9998096646</v>
      </c>
    </row>
    <row r="19832">
      <c r="A19832" s="6">
        <v>19830.0</v>
      </c>
      <c r="B19832" s="17">
        <f t="array" ref="B19832">SUM(1-'Sparkling Model'!D$2:D$38^A19832)</f>
        <v>36.99980975</v>
      </c>
      <c r="C19832" s="8">
        <f t="array" ref="C19832">PRODUCT(1-'Sparkling Model'!D$2:D$38^A19832)</f>
        <v>0.9998097581</v>
      </c>
    </row>
    <row r="19833">
      <c r="A19833" s="6">
        <v>19831.0</v>
      </c>
      <c r="B19833" s="17">
        <f t="array" ref="B19833">SUM(1-'Sparkling Model'!D$2:D$38^A19833)</f>
        <v>36.99980984</v>
      </c>
      <c r="C19833" s="8">
        <f t="array" ref="C19833">PRODUCT(1-'Sparkling Model'!D$2:D$38^A19833)</f>
        <v>0.9998098515</v>
      </c>
    </row>
    <row r="19834">
      <c r="A19834" s="6">
        <v>19832.0</v>
      </c>
      <c r="B19834" s="17">
        <f t="array" ref="B19834">SUM(1-'Sparkling Model'!D$2:D$38^A19834)</f>
        <v>36.99980993</v>
      </c>
      <c r="C19834" s="8">
        <f t="array" ref="C19834">PRODUCT(1-'Sparkling Model'!D$2:D$38^A19834)</f>
        <v>0.9998099448</v>
      </c>
    </row>
    <row r="19835">
      <c r="A19835" s="6">
        <v>19833.0</v>
      </c>
      <c r="B19835" s="17">
        <f t="array" ref="B19835">SUM(1-'Sparkling Model'!D$2:D$38^A19835)</f>
        <v>36.99981003</v>
      </c>
      <c r="C19835" s="8">
        <f t="array" ref="C19835">PRODUCT(1-'Sparkling Model'!D$2:D$38^A19835)</f>
        <v>0.9998100381</v>
      </c>
    </row>
    <row r="19836">
      <c r="A19836" s="6">
        <v>19834.0</v>
      </c>
      <c r="B19836" s="17">
        <f t="array" ref="B19836">SUM(1-'Sparkling Model'!D$2:D$38^A19836)</f>
        <v>36.99981012</v>
      </c>
      <c r="C19836" s="8">
        <f t="array" ref="C19836">PRODUCT(1-'Sparkling Model'!D$2:D$38^A19836)</f>
        <v>0.9998101314</v>
      </c>
    </row>
    <row r="19837">
      <c r="A19837" s="6">
        <v>19835.0</v>
      </c>
      <c r="B19837" s="17">
        <f t="array" ref="B19837">SUM(1-'Sparkling Model'!D$2:D$38^A19837)</f>
        <v>36.99981021</v>
      </c>
      <c r="C19837" s="8">
        <f t="array" ref="C19837">PRODUCT(1-'Sparkling Model'!D$2:D$38^A19837)</f>
        <v>0.9998102246</v>
      </c>
    </row>
    <row r="19838">
      <c r="A19838" s="6">
        <v>19836.0</v>
      </c>
      <c r="B19838" s="17">
        <f t="array" ref="B19838">SUM(1-'Sparkling Model'!D$2:D$38^A19838)</f>
        <v>36.99981031</v>
      </c>
      <c r="C19838" s="8">
        <f t="array" ref="C19838">PRODUCT(1-'Sparkling Model'!D$2:D$38^A19838)</f>
        <v>0.9998103178</v>
      </c>
    </row>
    <row r="19839">
      <c r="A19839" s="6">
        <v>19837.0</v>
      </c>
      <c r="B19839" s="17">
        <f t="array" ref="B19839">SUM(1-'Sparkling Model'!D$2:D$38^A19839)</f>
        <v>36.9998104</v>
      </c>
      <c r="C19839" s="8">
        <f t="array" ref="C19839">PRODUCT(1-'Sparkling Model'!D$2:D$38^A19839)</f>
        <v>0.9998104109</v>
      </c>
    </row>
    <row r="19840">
      <c r="A19840" s="6">
        <v>19838.0</v>
      </c>
      <c r="B19840" s="17">
        <f t="array" ref="B19840">SUM(1-'Sparkling Model'!D$2:D$38^A19840)</f>
        <v>36.99981049</v>
      </c>
      <c r="C19840" s="8">
        <f t="array" ref="C19840">PRODUCT(1-'Sparkling Model'!D$2:D$38^A19840)</f>
        <v>0.999810504</v>
      </c>
    </row>
    <row r="19841">
      <c r="A19841" s="6">
        <v>19839.0</v>
      </c>
      <c r="B19841" s="17">
        <f t="array" ref="B19841">SUM(1-'Sparkling Model'!D$2:D$38^A19841)</f>
        <v>36.99981058</v>
      </c>
      <c r="C19841" s="8">
        <f t="array" ref="C19841">PRODUCT(1-'Sparkling Model'!D$2:D$38^A19841)</f>
        <v>0.9998105971</v>
      </c>
    </row>
    <row r="19842">
      <c r="A19842" s="6">
        <v>19840.0</v>
      </c>
      <c r="B19842" s="17">
        <f t="array" ref="B19842">SUM(1-'Sparkling Model'!D$2:D$38^A19842)</f>
        <v>36.99981068</v>
      </c>
      <c r="C19842" s="8">
        <f t="array" ref="C19842">PRODUCT(1-'Sparkling Model'!D$2:D$38^A19842)</f>
        <v>0.9998106901</v>
      </c>
    </row>
    <row r="19843">
      <c r="A19843" s="6">
        <v>19841.0</v>
      </c>
      <c r="B19843" s="17">
        <f t="array" ref="B19843">SUM(1-'Sparkling Model'!D$2:D$38^A19843)</f>
        <v>36.99981077</v>
      </c>
      <c r="C19843" s="8">
        <f t="array" ref="C19843">PRODUCT(1-'Sparkling Model'!D$2:D$38^A19843)</f>
        <v>0.999810783</v>
      </c>
    </row>
    <row r="19844">
      <c r="A19844" s="6">
        <v>19842.0</v>
      </c>
      <c r="B19844" s="17">
        <f t="array" ref="B19844">SUM(1-'Sparkling Model'!D$2:D$38^A19844)</f>
        <v>36.99981086</v>
      </c>
      <c r="C19844" s="8">
        <f t="array" ref="C19844">PRODUCT(1-'Sparkling Model'!D$2:D$38^A19844)</f>
        <v>0.9998108759</v>
      </c>
    </row>
    <row r="19845">
      <c r="A19845" s="6">
        <v>19843.0</v>
      </c>
      <c r="B19845" s="17">
        <f t="array" ref="B19845">SUM(1-'Sparkling Model'!D$2:D$38^A19845)</f>
        <v>36.99981096</v>
      </c>
      <c r="C19845" s="8">
        <f t="array" ref="C19845">PRODUCT(1-'Sparkling Model'!D$2:D$38^A19845)</f>
        <v>0.9998109688</v>
      </c>
    </row>
    <row r="19846">
      <c r="A19846" s="6">
        <v>19844.0</v>
      </c>
      <c r="B19846" s="17">
        <f t="array" ref="B19846">SUM(1-'Sparkling Model'!D$2:D$38^A19846)</f>
        <v>36.99981105</v>
      </c>
      <c r="C19846" s="8">
        <f t="array" ref="C19846">PRODUCT(1-'Sparkling Model'!D$2:D$38^A19846)</f>
        <v>0.9998110616</v>
      </c>
    </row>
    <row r="19847">
      <c r="A19847" s="6">
        <v>19845.0</v>
      </c>
      <c r="B19847" s="17">
        <f t="array" ref="B19847">SUM(1-'Sparkling Model'!D$2:D$38^A19847)</f>
        <v>36.99981114</v>
      </c>
      <c r="C19847" s="8">
        <f t="array" ref="C19847">PRODUCT(1-'Sparkling Model'!D$2:D$38^A19847)</f>
        <v>0.9998111544</v>
      </c>
    </row>
    <row r="19848">
      <c r="A19848" s="6">
        <v>19846.0</v>
      </c>
      <c r="B19848" s="17">
        <f t="array" ref="B19848">SUM(1-'Sparkling Model'!D$2:D$38^A19848)</f>
        <v>36.99981123</v>
      </c>
      <c r="C19848" s="8">
        <f t="array" ref="C19848">PRODUCT(1-'Sparkling Model'!D$2:D$38^A19848)</f>
        <v>0.9998112471</v>
      </c>
    </row>
    <row r="19849">
      <c r="A19849" s="6">
        <v>19847.0</v>
      </c>
      <c r="B19849" s="17">
        <f t="array" ref="B19849">SUM(1-'Sparkling Model'!D$2:D$38^A19849)</f>
        <v>36.99981133</v>
      </c>
      <c r="C19849" s="8">
        <f t="array" ref="C19849">PRODUCT(1-'Sparkling Model'!D$2:D$38^A19849)</f>
        <v>0.9998113398</v>
      </c>
    </row>
    <row r="19850">
      <c r="A19850" s="6">
        <v>19848.0</v>
      </c>
      <c r="B19850" s="17">
        <f t="array" ref="B19850">SUM(1-'Sparkling Model'!D$2:D$38^A19850)</f>
        <v>36.99981142</v>
      </c>
      <c r="C19850" s="8">
        <f t="array" ref="C19850">PRODUCT(1-'Sparkling Model'!D$2:D$38^A19850)</f>
        <v>0.9998114324</v>
      </c>
    </row>
    <row r="19851">
      <c r="A19851" s="6">
        <v>19849.0</v>
      </c>
      <c r="B19851" s="17">
        <f t="array" ref="B19851">SUM(1-'Sparkling Model'!D$2:D$38^A19851)</f>
        <v>36.99981151</v>
      </c>
      <c r="C19851" s="8">
        <f t="array" ref="C19851">PRODUCT(1-'Sparkling Model'!D$2:D$38^A19851)</f>
        <v>0.999811525</v>
      </c>
    </row>
    <row r="19852">
      <c r="A19852" s="6">
        <v>19850.0</v>
      </c>
      <c r="B19852" s="17">
        <f t="array" ref="B19852">SUM(1-'Sparkling Model'!D$2:D$38^A19852)</f>
        <v>36.99981161</v>
      </c>
      <c r="C19852" s="8">
        <f t="array" ref="C19852">PRODUCT(1-'Sparkling Model'!D$2:D$38^A19852)</f>
        <v>0.9998116175</v>
      </c>
    </row>
    <row r="19853">
      <c r="A19853" s="6">
        <v>19851.0</v>
      </c>
      <c r="B19853" s="17">
        <f t="array" ref="B19853">SUM(1-'Sparkling Model'!D$2:D$38^A19853)</f>
        <v>36.9998117</v>
      </c>
      <c r="C19853" s="8">
        <f t="array" ref="C19853">PRODUCT(1-'Sparkling Model'!D$2:D$38^A19853)</f>
        <v>0.99981171</v>
      </c>
    </row>
    <row r="19854">
      <c r="A19854" s="6">
        <v>19852.0</v>
      </c>
      <c r="B19854" s="17">
        <f t="array" ref="B19854">SUM(1-'Sparkling Model'!D$2:D$38^A19854)</f>
        <v>36.99981179</v>
      </c>
      <c r="C19854" s="8">
        <f t="array" ref="C19854">PRODUCT(1-'Sparkling Model'!D$2:D$38^A19854)</f>
        <v>0.9998118025</v>
      </c>
    </row>
    <row r="19855">
      <c r="A19855" s="6">
        <v>19853.0</v>
      </c>
      <c r="B19855" s="17">
        <f t="array" ref="B19855">SUM(1-'Sparkling Model'!D$2:D$38^A19855)</f>
        <v>36.99981188</v>
      </c>
      <c r="C19855" s="8">
        <f t="array" ref="C19855">PRODUCT(1-'Sparkling Model'!D$2:D$38^A19855)</f>
        <v>0.9998118949</v>
      </c>
    </row>
    <row r="19856">
      <c r="A19856" s="6">
        <v>19854.0</v>
      </c>
      <c r="B19856" s="17">
        <f t="array" ref="B19856">SUM(1-'Sparkling Model'!D$2:D$38^A19856)</f>
        <v>36.99981198</v>
      </c>
      <c r="C19856" s="8">
        <f t="array" ref="C19856">PRODUCT(1-'Sparkling Model'!D$2:D$38^A19856)</f>
        <v>0.9998119872</v>
      </c>
    </row>
    <row r="19857">
      <c r="A19857" s="6">
        <v>19855.0</v>
      </c>
      <c r="B19857" s="17">
        <f t="array" ref="B19857">SUM(1-'Sparkling Model'!D$2:D$38^A19857)</f>
        <v>36.99981207</v>
      </c>
      <c r="C19857" s="8">
        <f t="array" ref="C19857">PRODUCT(1-'Sparkling Model'!D$2:D$38^A19857)</f>
        <v>0.9998120795</v>
      </c>
    </row>
    <row r="19858">
      <c r="A19858" s="6">
        <v>19856.0</v>
      </c>
      <c r="B19858" s="17">
        <f t="array" ref="B19858">SUM(1-'Sparkling Model'!D$2:D$38^A19858)</f>
        <v>36.99981216</v>
      </c>
      <c r="C19858" s="8">
        <f t="array" ref="C19858">PRODUCT(1-'Sparkling Model'!D$2:D$38^A19858)</f>
        <v>0.9998121718</v>
      </c>
    </row>
    <row r="19859">
      <c r="A19859" s="6">
        <v>19857.0</v>
      </c>
      <c r="B19859" s="17">
        <f t="array" ref="B19859">SUM(1-'Sparkling Model'!D$2:D$38^A19859)</f>
        <v>36.99981225</v>
      </c>
      <c r="C19859" s="8">
        <f t="array" ref="C19859">PRODUCT(1-'Sparkling Model'!D$2:D$38^A19859)</f>
        <v>0.999812264</v>
      </c>
    </row>
    <row r="19860">
      <c r="A19860" s="6">
        <v>19858.0</v>
      </c>
      <c r="B19860" s="17">
        <f t="array" ref="B19860">SUM(1-'Sparkling Model'!D$2:D$38^A19860)</f>
        <v>36.99981234</v>
      </c>
      <c r="C19860" s="8">
        <f t="array" ref="C19860">PRODUCT(1-'Sparkling Model'!D$2:D$38^A19860)</f>
        <v>0.9998123562</v>
      </c>
    </row>
    <row r="19861">
      <c r="A19861" s="6">
        <v>19859.0</v>
      </c>
      <c r="B19861" s="17">
        <f t="array" ref="B19861">SUM(1-'Sparkling Model'!D$2:D$38^A19861)</f>
        <v>36.99981244</v>
      </c>
      <c r="C19861" s="8">
        <f t="array" ref="C19861">PRODUCT(1-'Sparkling Model'!D$2:D$38^A19861)</f>
        <v>0.9998124483</v>
      </c>
    </row>
    <row r="19862">
      <c r="A19862" s="6">
        <v>19860.0</v>
      </c>
      <c r="B19862" s="17">
        <f t="array" ref="B19862">SUM(1-'Sparkling Model'!D$2:D$38^A19862)</f>
        <v>36.99981253</v>
      </c>
      <c r="C19862" s="8">
        <f t="array" ref="C19862">PRODUCT(1-'Sparkling Model'!D$2:D$38^A19862)</f>
        <v>0.9998125404</v>
      </c>
    </row>
    <row r="19863">
      <c r="A19863" s="6">
        <v>19861.0</v>
      </c>
      <c r="B19863" s="17">
        <f t="array" ref="B19863">SUM(1-'Sparkling Model'!D$2:D$38^A19863)</f>
        <v>36.99981262</v>
      </c>
      <c r="C19863" s="8">
        <f t="array" ref="C19863">PRODUCT(1-'Sparkling Model'!D$2:D$38^A19863)</f>
        <v>0.9998126324</v>
      </c>
    </row>
    <row r="19864">
      <c r="A19864" s="6">
        <v>19862.0</v>
      </c>
      <c r="B19864" s="17">
        <f t="array" ref="B19864">SUM(1-'Sparkling Model'!D$2:D$38^A19864)</f>
        <v>36.99981271</v>
      </c>
      <c r="C19864" s="8">
        <f t="array" ref="C19864">PRODUCT(1-'Sparkling Model'!D$2:D$38^A19864)</f>
        <v>0.9998127244</v>
      </c>
    </row>
    <row r="19865">
      <c r="A19865" s="6">
        <v>19863.0</v>
      </c>
      <c r="B19865" s="17">
        <f t="array" ref="B19865">SUM(1-'Sparkling Model'!D$2:D$38^A19865)</f>
        <v>36.9998128</v>
      </c>
      <c r="C19865" s="8">
        <f t="array" ref="C19865">PRODUCT(1-'Sparkling Model'!D$2:D$38^A19865)</f>
        <v>0.9998128164</v>
      </c>
    </row>
    <row r="19866">
      <c r="A19866" s="6">
        <v>19864.0</v>
      </c>
      <c r="B19866" s="17">
        <f t="array" ref="B19866">SUM(1-'Sparkling Model'!D$2:D$38^A19866)</f>
        <v>36.9998129</v>
      </c>
      <c r="C19866" s="8">
        <f t="array" ref="C19866">PRODUCT(1-'Sparkling Model'!D$2:D$38^A19866)</f>
        <v>0.9998129083</v>
      </c>
    </row>
    <row r="19867">
      <c r="A19867" s="6">
        <v>19865.0</v>
      </c>
      <c r="B19867" s="17">
        <f t="array" ref="B19867">SUM(1-'Sparkling Model'!D$2:D$38^A19867)</f>
        <v>36.99981299</v>
      </c>
      <c r="C19867" s="8">
        <f t="array" ref="C19867">PRODUCT(1-'Sparkling Model'!D$2:D$38^A19867)</f>
        <v>0.9998130001</v>
      </c>
    </row>
    <row r="19868">
      <c r="A19868" s="6">
        <v>19866.0</v>
      </c>
      <c r="B19868" s="17">
        <f t="array" ref="B19868">SUM(1-'Sparkling Model'!D$2:D$38^A19868)</f>
        <v>36.99981308</v>
      </c>
      <c r="C19868" s="8">
        <f t="array" ref="C19868">PRODUCT(1-'Sparkling Model'!D$2:D$38^A19868)</f>
        <v>0.999813092</v>
      </c>
    </row>
    <row r="19869">
      <c r="A19869" s="6">
        <v>19867.0</v>
      </c>
      <c r="B19869" s="17">
        <f t="array" ref="B19869">SUM(1-'Sparkling Model'!D$2:D$38^A19869)</f>
        <v>36.99981317</v>
      </c>
      <c r="C19869" s="8">
        <f t="array" ref="C19869">PRODUCT(1-'Sparkling Model'!D$2:D$38^A19869)</f>
        <v>0.9998131837</v>
      </c>
    </row>
    <row r="19870">
      <c r="A19870" s="6">
        <v>19868.0</v>
      </c>
      <c r="B19870" s="17">
        <f t="array" ref="B19870">SUM(1-'Sparkling Model'!D$2:D$38^A19870)</f>
        <v>36.99981326</v>
      </c>
      <c r="C19870" s="8">
        <f t="array" ref="C19870">PRODUCT(1-'Sparkling Model'!D$2:D$38^A19870)</f>
        <v>0.9998132754</v>
      </c>
    </row>
    <row r="19871">
      <c r="A19871" s="6">
        <v>19869.0</v>
      </c>
      <c r="B19871" s="17">
        <f t="array" ref="B19871">SUM(1-'Sparkling Model'!D$2:D$38^A19871)</f>
        <v>36.99981336</v>
      </c>
      <c r="C19871" s="8">
        <f t="array" ref="C19871">PRODUCT(1-'Sparkling Model'!D$2:D$38^A19871)</f>
        <v>0.9998133671</v>
      </c>
    </row>
    <row r="19872">
      <c r="A19872" s="6">
        <v>19870.0</v>
      </c>
      <c r="B19872" s="17">
        <f t="array" ref="B19872">SUM(1-'Sparkling Model'!D$2:D$38^A19872)</f>
        <v>36.99981345</v>
      </c>
      <c r="C19872" s="8">
        <f t="array" ref="C19872">PRODUCT(1-'Sparkling Model'!D$2:D$38^A19872)</f>
        <v>0.9998134588</v>
      </c>
    </row>
    <row r="19873">
      <c r="A19873" s="6">
        <v>19871.0</v>
      </c>
      <c r="B19873" s="17">
        <f t="array" ref="B19873">SUM(1-'Sparkling Model'!D$2:D$38^A19873)</f>
        <v>36.99981354</v>
      </c>
      <c r="C19873" s="8">
        <f t="array" ref="C19873">PRODUCT(1-'Sparkling Model'!D$2:D$38^A19873)</f>
        <v>0.9998135503</v>
      </c>
    </row>
    <row r="19874">
      <c r="A19874" s="6">
        <v>19872.0</v>
      </c>
      <c r="B19874" s="17">
        <f t="array" ref="B19874">SUM(1-'Sparkling Model'!D$2:D$38^A19874)</f>
        <v>36.99981363</v>
      </c>
      <c r="C19874" s="8">
        <f t="array" ref="C19874">PRODUCT(1-'Sparkling Model'!D$2:D$38^A19874)</f>
        <v>0.9998136419</v>
      </c>
    </row>
    <row r="19875">
      <c r="A19875" s="6">
        <v>19873.0</v>
      </c>
      <c r="B19875" s="17">
        <f t="array" ref="B19875">SUM(1-'Sparkling Model'!D$2:D$38^A19875)</f>
        <v>36.99981372</v>
      </c>
      <c r="C19875" s="8">
        <f t="array" ref="C19875">PRODUCT(1-'Sparkling Model'!D$2:D$38^A19875)</f>
        <v>0.9998137334</v>
      </c>
    </row>
    <row r="19876">
      <c r="A19876" s="6">
        <v>19874.0</v>
      </c>
      <c r="B19876" s="17">
        <f t="array" ref="B19876">SUM(1-'Sparkling Model'!D$2:D$38^A19876)</f>
        <v>36.99981381</v>
      </c>
      <c r="C19876" s="8">
        <f t="array" ref="C19876">PRODUCT(1-'Sparkling Model'!D$2:D$38^A19876)</f>
        <v>0.9998138248</v>
      </c>
    </row>
    <row r="19877">
      <c r="A19877" s="6">
        <v>19875.0</v>
      </c>
      <c r="B19877" s="17">
        <f t="array" ref="B19877">SUM(1-'Sparkling Model'!D$2:D$38^A19877)</f>
        <v>36.9998139</v>
      </c>
      <c r="C19877" s="8">
        <f t="array" ref="C19877">PRODUCT(1-'Sparkling Model'!D$2:D$38^A19877)</f>
        <v>0.9998139162</v>
      </c>
    </row>
    <row r="19878">
      <c r="A19878" s="6">
        <v>19876.0</v>
      </c>
      <c r="B19878" s="17">
        <f t="array" ref="B19878">SUM(1-'Sparkling Model'!D$2:D$38^A19878)</f>
        <v>36.999814</v>
      </c>
      <c r="C19878" s="8">
        <f t="array" ref="C19878">PRODUCT(1-'Sparkling Model'!D$2:D$38^A19878)</f>
        <v>0.9998140076</v>
      </c>
    </row>
    <row r="19879">
      <c r="A19879" s="6">
        <v>19877.0</v>
      </c>
      <c r="B19879" s="17">
        <f t="array" ref="B19879">SUM(1-'Sparkling Model'!D$2:D$38^A19879)</f>
        <v>36.99981409</v>
      </c>
      <c r="C19879" s="8">
        <f t="array" ref="C19879">PRODUCT(1-'Sparkling Model'!D$2:D$38^A19879)</f>
        <v>0.9998140989</v>
      </c>
    </row>
    <row r="19880">
      <c r="A19880" s="6">
        <v>19878.0</v>
      </c>
      <c r="B19880" s="17">
        <f t="array" ref="B19880">SUM(1-'Sparkling Model'!D$2:D$38^A19880)</f>
        <v>36.99981418</v>
      </c>
      <c r="C19880" s="8">
        <f t="array" ref="C19880">PRODUCT(1-'Sparkling Model'!D$2:D$38^A19880)</f>
        <v>0.9998141902</v>
      </c>
    </row>
    <row r="19881">
      <c r="A19881" s="6">
        <v>19879.0</v>
      </c>
      <c r="B19881" s="17">
        <f t="array" ref="B19881">SUM(1-'Sparkling Model'!D$2:D$38^A19881)</f>
        <v>36.99981427</v>
      </c>
      <c r="C19881" s="8">
        <f t="array" ref="C19881">PRODUCT(1-'Sparkling Model'!D$2:D$38^A19881)</f>
        <v>0.9998142814</v>
      </c>
    </row>
    <row r="19882">
      <c r="A19882" s="6">
        <v>19880.0</v>
      </c>
      <c r="B19882" s="17">
        <f t="array" ref="B19882">SUM(1-'Sparkling Model'!D$2:D$38^A19882)</f>
        <v>36.99981436</v>
      </c>
      <c r="C19882" s="8">
        <f t="array" ref="C19882">PRODUCT(1-'Sparkling Model'!D$2:D$38^A19882)</f>
        <v>0.9998143726</v>
      </c>
    </row>
    <row r="19883">
      <c r="A19883" s="6">
        <v>19881.0</v>
      </c>
      <c r="B19883" s="17">
        <f t="array" ref="B19883">SUM(1-'Sparkling Model'!D$2:D$38^A19883)</f>
        <v>36.99981445</v>
      </c>
      <c r="C19883" s="8">
        <f t="array" ref="C19883">PRODUCT(1-'Sparkling Model'!D$2:D$38^A19883)</f>
        <v>0.9998144638</v>
      </c>
    </row>
    <row r="19884">
      <c r="A19884" s="6">
        <v>19882.0</v>
      </c>
      <c r="B19884" s="17">
        <f t="array" ref="B19884">SUM(1-'Sparkling Model'!D$2:D$38^A19884)</f>
        <v>36.99981454</v>
      </c>
      <c r="C19884" s="8">
        <f t="array" ref="C19884">PRODUCT(1-'Sparkling Model'!D$2:D$38^A19884)</f>
        <v>0.9998145548</v>
      </c>
    </row>
    <row r="19885">
      <c r="A19885" s="6">
        <v>19883.0</v>
      </c>
      <c r="B19885" s="17">
        <f t="array" ref="B19885">SUM(1-'Sparkling Model'!D$2:D$38^A19885)</f>
        <v>36.99981463</v>
      </c>
      <c r="C19885" s="8">
        <f t="array" ref="C19885">PRODUCT(1-'Sparkling Model'!D$2:D$38^A19885)</f>
        <v>0.9998146459</v>
      </c>
    </row>
    <row r="19886">
      <c r="A19886" s="6">
        <v>19884.0</v>
      </c>
      <c r="B19886" s="17">
        <f t="array" ref="B19886">SUM(1-'Sparkling Model'!D$2:D$38^A19886)</f>
        <v>36.99981473</v>
      </c>
      <c r="C19886" s="8">
        <f t="array" ref="C19886">PRODUCT(1-'Sparkling Model'!D$2:D$38^A19886)</f>
        <v>0.9998147369</v>
      </c>
    </row>
    <row r="19887">
      <c r="A19887" s="6">
        <v>19885.0</v>
      </c>
      <c r="B19887" s="17">
        <f t="array" ref="B19887">SUM(1-'Sparkling Model'!D$2:D$38^A19887)</f>
        <v>36.99981482</v>
      </c>
      <c r="C19887" s="8">
        <f t="array" ref="C19887">PRODUCT(1-'Sparkling Model'!D$2:D$38^A19887)</f>
        <v>0.9998148279</v>
      </c>
    </row>
    <row r="19888">
      <c r="A19888" s="6">
        <v>19886.0</v>
      </c>
      <c r="B19888" s="17">
        <f t="array" ref="B19888">SUM(1-'Sparkling Model'!D$2:D$38^A19888)</f>
        <v>36.99981491</v>
      </c>
      <c r="C19888" s="8">
        <f t="array" ref="C19888">PRODUCT(1-'Sparkling Model'!D$2:D$38^A19888)</f>
        <v>0.9998149188</v>
      </c>
    </row>
    <row r="19889">
      <c r="A19889" s="6">
        <v>19887.0</v>
      </c>
      <c r="B19889" s="17">
        <f t="array" ref="B19889">SUM(1-'Sparkling Model'!D$2:D$38^A19889)</f>
        <v>36.999815</v>
      </c>
      <c r="C19889" s="8">
        <f t="array" ref="C19889">PRODUCT(1-'Sparkling Model'!D$2:D$38^A19889)</f>
        <v>0.9998150096</v>
      </c>
    </row>
    <row r="19890">
      <c r="A19890" s="6">
        <v>19888.0</v>
      </c>
      <c r="B19890" s="17">
        <f t="array" ref="B19890">SUM(1-'Sparkling Model'!D$2:D$38^A19890)</f>
        <v>36.99981509</v>
      </c>
      <c r="C19890" s="8">
        <f t="array" ref="C19890">PRODUCT(1-'Sparkling Model'!D$2:D$38^A19890)</f>
        <v>0.9998151005</v>
      </c>
    </row>
    <row r="19891">
      <c r="A19891" s="6">
        <v>19889.0</v>
      </c>
      <c r="B19891" s="17">
        <f t="array" ref="B19891">SUM(1-'Sparkling Model'!D$2:D$38^A19891)</f>
        <v>36.99981518</v>
      </c>
      <c r="C19891" s="8">
        <f t="array" ref="C19891">PRODUCT(1-'Sparkling Model'!D$2:D$38^A19891)</f>
        <v>0.9998151912</v>
      </c>
    </row>
    <row r="19892">
      <c r="A19892" s="6">
        <v>19890.0</v>
      </c>
      <c r="B19892" s="17">
        <f t="array" ref="B19892">SUM(1-'Sparkling Model'!D$2:D$38^A19892)</f>
        <v>36.99981527</v>
      </c>
      <c r="C19892" s="8">
        <f t="array" ref="C19892">PRODUCT(1-'Sparkling Model'!D$2:D$38^A19892)</f>
        <v>0.999815282</v>
      </c>
    </row>
    <row r="19893">
      <c r="A19893" s="6">
        <v>19891.0</v>
      </c>
      <c r="B19893" s="17">
        <f t="array" ref="B19893">SUM(1-'Sparkling Model'!D$2:D$38^A19893)</f>
        <v>36.99981536</v>
      </c>
      <c r="C19893" s="8">
        <f t="array" ref="C19893">PRODUCT(1-'Sparkling Model'!D$2:D$38^A19893)</f>
        <v>0.9998153727</v>
      </c>
    </row>
    <row r="19894">
      <c r="A19894" s="6">
        <v>19892.0</v>
      </c>
      <c r="B19894" s="17">
        <f t="array" ref="B19894">SUM(1-'Sparkling Model'!D$2:D$38^A19894)</f>
        <v>36.99981545</v>
      </c>
      <c r="C19894" s="8">
        <f t="array" ref="C19894">PRODUCT(1-'Sparkling Model'!D$2:D$38^A19894)</f>
        <v>0.9998154633</v>
      </c>
    </row>
    <row r="19895">
      <c r="A19895" s="6">
        <v>19893.0</v>
      </c>
      <c r="B19895" s="17">
        <f t="array" ref="B19895">SUM(1-'Sparkling Model'!D$2:D$38^A19895)</f>
        <v>36.99981554</v>
      </c>
      <c r="C19895" s="8">
        <f t="array" ref="C19895">PRODUCT(1-'Sparkling Model'!D$2:D$38^A19895)</f>
        <v>0.9998155539</v>
      </c>
    </row>
    <row r="19896">
      <c r="A19896" s="6">
        <v>19894.0</v>
      </c>
      <c r="B19896" s="17">
        <f t="array" ref="B19896">SUM(1-'Sparkling Model'!D$2:D$38^A19896)</f>
        <v>36.99981563</v>
      </c>
      <c r="C19896" s="8">
        <f t="array" ref="C19896">PRODUCT(1-'Sparkling Model'!D$2:D$38^A19896)</f>
        <v>0.9998156445</v>
      </c>
    </row>
    <row r="19897">
      <c r="A19897" s="6">
        <v>19895.0</v>
      </c>
      <c r="B19897" s="17">
        <f t="array" ref="B19897">SUM(1-'Sparkling Model'!D$2:D$38^A19897)</f>
        <v>36.99981572</v>
      </c>
      <c r="C19897" s="8">
        <f t="array" ref="C19897">PRODUCT(1-'Sparkling Model'!D$2:D$38^A19897)</f>
        <v>0.999815735</v>
      </c>
    </row>
    <row r="19898">
      <c r="A19898" s="6">
        <v>19896.0</v>
      </c>
      <c r="B19898" s="17">
        <f t="array" ref="B19898">SUM(1-'Sparkling Model'!D$2:D$38^A19898)</f>
        <v>36.99981581</v>
      </c>
      <c r="C19898" s="8">
        <f t="array" ref="C19898">PRODUCT(1-'Sparkling Model'!D$2:D$38^A19898)</f>
        <v>0.9998158255</v>
      </c>
    </row>
    <row r="19899">
      <c r="A19899" s="6">
        <v>19897.0</v>
      </c>
      <c r="B19899" s="17">
        <f t="array" ref="B19899">SUM(1-'Sparkling Model'!D$2:D$38^A19899)</f>
        <v>36.9998159</v>
      </c>
      <c r="C19899" s="8">
        <f t="array" ref="C19899">PRODUCT(1-'Sparkling Model'!D$2:D$38^A19899)</f>
        <v>0.9998159159</v>
      </c>
    </row>
    <row r="19900">
      <c r="A19900" s="6">
        <v>19898.0</v>
      </c>
      <c r="B19900" s="17">
        <f t="array" ref="B19900">SUM(1-'Sparkling Model'!D$2:D$38^A19900)</f>
        <v>36.99981599</v>
      </c>
      <c r="C19900" s="8">
        <f t="array" ref="C19900">PRODUCT(1-'Sparkling Model'!D$2:D$38^A19900)</f>
        <v>0.9998160063</v>
      </c>
    </row>
    <row r="19901">
      <c r="A19901" s="6">
        <v>19899.0</v>
      </c>
      <c r="B19901" s="17">
        <f t="array" ref="B19901">SUM(1-'Sparkling Model'!D$2:D$38^A19901)</f>
        <v>36.99981609</v>
      </c>
      <c r="C19901" s="8">
        <f t="array" ref="C19901">PRODUCT(1-'Sparkling Model'!D$2:D$38^A19901)</f>
        <v>0.9998160966</v>
      </c>
    </row>
    <row r="19902">
      <c r="A19902" s="6">
        <v>19900.0</v>
      </c>
      <c r="B19902" s="17">
        <f t="array" ref="B19902">SUM(1-'Sparkling Model'!D$2:D$38^A19902)</f>
        <v>36.99981618</v>
      </c>
      <c r="C19902" s="8">
        <f t="array" ref="C19902">PRODUCT(1-'Sparkling Model'!D$2:D$38^A19902)</f>
        <v>0.9998161869</v>
      </c>
    </row>
    <row r="19903">
      <c r="A19903" s="6">
        <v>19901.0</v>
      </c>
      <c r="B19903" s="17">
        <f t="array" ref="B19903">SUM(1-'Sparkling Model'!D$2:D$38^A19903)</f>
        <v>36.99981627</v>
      </c>
      <c r="C19903" s="8">
        <f t="array" ref="C19903">PRODUCT(1-'Sparkling Model'!D$2:D$38^A19903)</f>
        <v>0.9998162771</v>
      </c>
    </row>
    <row r="19904">
      <c r="A19904" s="6">
        <v>19902.0</v>
      </c>
      <c r="B19904" s="17">
        <f t="array" ref="B19904">SUM(1-'Sparkling Model'!D$2:D$38^A19904)</f>
        <v>36.99981636</v>
      </c>
      <c r="C19904" s="8">
        <f t="array" ref="C19904">PRODUCT(1-'Sparkling Model'!D$2:D$38^A19904)</f>
        <v>0.9998163673</v>
      </c>
    </row>
    <row r="19905">
      <c r="A19905" s="6">
        <v>19903.0</v>
      </c>
      <c r="B19905" s="17">
        <f t="array" ref="B19905">SUM(1-'Sparkling Model'!D$2:D$38^A19905)</f>
        <v>36.99981645</v>
      </c>
      <c r="C19905" s="8">
        <f t="array" ref="C19905">PRODUCT(1-'Sparkling Model'!D$2:D$38^A19905)</f>
        <v>0.9998164575</v>
      </c>
    </row>
    <row r="19906">
      <c r="A19906" s="6">
        <v>19904.0</v>
      </c>
      <c r="B19906" s="17">
        <f t="array" ref="B19906">SUM(1-'Sparkling Model'!D$2:D$38^A19906)</f>
        <v>36.99981654</v>
      </c>
      <c r="C19906" s="8">
        <f t="array" ref="C19906">PRODUCT(1-'Sparkling Model'!D$2:D$38^A19906)</f>
        <v>0.9998165476</v>
      </c>
    </row>
    <row r="19907">
      <c r="A19907" s="6">
        <v>19905.0</v>
      </c>
      <c r="B19907" s="17">
        <f t="array" ref="B19907">SUM(1-'Sparkling Model'!D$2:D$38^A19907)</f>
        <v>36.99981663</v>
      </c>
      <c r="C19907" s="8">
        <f t="array" ref="C19907">PRODUCT(1-'Sparkling Model'!D$2:D$38^A19907)</f>
        <v>0.9998166377</v>
      </c>
    </row>
    <row r="19908">
      <c r="A19908" s="6">
        <v>19906.0</v>
      </c>
      <c r="B19908" s="17">
        <f t="array" ref="B19908">SUM(1-'Sparkling Model'!D$2:D$38^A19908)</f>
        <v>36.99981672</v>
      </c>
      <c r="C19908" s="8">
        <f t="array" ref="C19908">PRODUCT(1-'Sparkling Model'!D$2:D$38^A19908)</f>
        <v>0.9998167277</v>
      </c>
    </row>
    <row r="19909">
      <c r="A19909" s="6">
        <v>19907.0</v>
      </c>
      <c r="B19909" s="17">
        <f t="array" ref="B19909">SUM(1-'Sparkling Model'!D$2:D$38^A19909)</f>
        <v>36.99981681</v>
      </c>
      <c r="C19909" s="8">
        <f t="array" ref="C19909">PRODUCT(1-'Sparkling Model'!D$2:D$38^A19909)</f>
        <v>0.9998168177</v>
      </c>
    </row>
    <row r="19910">
      <c r="A19910" s="6">
        <v>19908.0</v>
      </c>
      <c r="B19910" s="17">
        <f t="array" ref="B19910">SUM(1-'Sparkling Model'!D$2:D$38^A19910)</f>
        <v>36.9998169</v>
      </c>
      <c r="C19910" s="8">
        <f t="array" ref="C19910">PRODUCT(1-'Sparkling Model'!D$2:D$38^A19910)</f>
        <v>0.9998169076</v>
      </c>
    </row>
    <row r="19911">
      <c r="A19911" s="6">
        <v>19909.0</v>
      </c>
      <c r="B19911" s="17">
        <f t="array" ref="B19911">SUM(1-'Sparkling Model'!D$2:D$38^A19911)</f>
        <v>36.99981699</v>
      </c>
      <c r="C19911" s="8">
        <f t="array" ref="C19911">PRODUCT(1-'Sparkling Model'!D$2:D$38^A19911)</f>
        <v>0.9998169975</v>
      </c>
    </row>
    <row r="19912">
      <c r="A19912" s="6">
        <v>19910.0</v>
      </c>
      <c r="B19912" s="17">
        <f t="array" ref="B19912">SUM(1-'Sparkling Model'!D$2:D$38^A19912)</f>
        <v>36.99981708</v>
      </c>
      <c r="C19912" s="8">
        <f t="array" ref="C19912">PRODUCT(1-'Sparkling Model'!D$2:D$38^A19912)</f>
        <v>0.9998170874</v>
      </c>
    </row>
    <row r="19913">
      <c r="A19913" s="6">
        <v>19911.0</v>
      </c>
      <c r="B19913" s="17">
        <f t="array" ref="B19913">SUM(1-'Sparkling Model'!D$2:D$38^A19913)</f>
        <v>36.99981717</v>
      </c>
      <c r="C19913" s="8">
        <f t="array" ref="C19913">PRODUCT(1-'Sparkling Model'!D$2:D$38^A19913)</f>
        <v>0.9998171772</v>
      </c>
    </row>
    <row r="19914">
      <c r="A19914" s="6">
        <v>19912.0</v>
      </c>
      <c r="B19914" s="17">
        <f t="array" ref="B19914">SUM(1-'Sparkling Model'!D$2:D$38^A19914)</f>
        <v>36.99981726</v>
      </c>
      <c r="C19914" s="8">
        <f t="array" ref="C19914">PRODUCT(1-'Sparkling Model'!D$2:D$38^A19914)</f>
        <v>0.9998172669</v>
      </c>
    </row>
    <row r="19915">
      <c r="A19915" s="6">
        <v>19913.0</v>
      </c>
      <c r="B19915" s="17">
        <f t="array" ref="B19915">SUM(1-'Sparkling Model'!D$2:D$38^A19915)</f>
        <v>36.99981735</v>
      </c>
      <c r="C19915" s="8">
        <f t="array" ref="C19915">PRODUCT(1-'Sparkling Model'!D$2:D$38^A19915)</f>
        <v>0.9998173566</v>
      </c>
    </row>
    <row r="19916">
      <c r="A19916" s="6">
        <v>19914.0</v>
      </c>
      <c r="B19916" s="17">
        <f t="array" ref="B19916">SUM(1-'Sparkling Model'!D$2:D$38^A19916)</f>
        <v>36.99981743</v>
      </c>
      <c r="C19916" s="8">
        <f t="array" ref="C19916">PRODUCT(1-'Sparkling Model'!D$2:D$38^A19916)</f>
        <v>0.9998174463</v>
      </c>
    </row>
    <row r="19917">
      <c r="A19917" s="6">
        <v>19915.0</v>
      </c>
      <c r="B19917" s="17">
        <f t="array" ref="B19917">SUM(1-'Sparkling Model'!D$2:D$38^A19917)</f>
        <v>36.99981752</v>
      </c>
      <c r="C19917" s="8">
        <f t="array" ref="C19917">PRODUCT(1-'Sparkling Model'!D$2:D$38^A19917)</f>
        <v>0.9998175359</v>
      </c>
    </row>
    <row r="19918">
      <c r="A19918" s="6">
        <v>19916.0</v>
      </c>
      <c r="B19918" s="17">
        <f t="array" ref="B19918">SUM(1-'Sparkling Model'!D$2:D$38^A19918)</f>
        <v>36.99981761</v>
      </c>
      <c r="C19918" s="8">
        <f t="array" ref="C19918">PRODUCT(1-'Sparkling Model'!D$2:D$38^A19918)</f>
        <v>0.9998176255</v>
      </c>
    </row>
    <row r="19919">
      <c r="A19919" s="6">
        <v>19917.0</v>
      </c>
      <c r="B19919" s="17">
        <f t="array" ref="B19919">SUM(1-'Sparkling Model'!D$2:D$38^A19919)</f>
        <v>36.9998177</v>
      </c>
      <c r="C19919" s="8">
        <f t="array" ref="C19919">PRODUCT(1-'Sparkling Model'!D$2:D$38^A19919)</f>
        <v>0.9998177151</v>
      </c>
    </row>
    <row r="19920">
      <c r="A19920" s="6">
        <v>19918.0</v>
      </c>
      <c r="B19920" s="17">
        <f t="array" ref="B19920">SUM(1-'Sparkling Model'!D$2:D$38^A19920)</f>
        <v>36.99981779</v>
      </c>
      <c r="C19920" s="8">
        <f t="array" ref="C19920">PRODUCT(1-'Sparkling Model'!D$2:D$38^A19920)</f>
        <v>0.9998178046</v>
      </c>
    </row>
    <row r="19921">
      <c r="A19921" s="6">
        <v>19919.0</v>
      </c>
      <c r="B19921" s="17">
        <f t="array" ref="B19921">SUM(1-'Sparkling Model'!D$2:D$38^A19921)</f>
        <v>36.99981788</v>
      </c>
      <c r="C19921" s="8">
        <f t="array" ref="C19921">PRODUCT(1-'Sparkling Model'!D$2:D$38^A19921)</f>
        <v>0.999817894</v>
      </c>
    </row>
    <row r="19922">
      <c r="A19922" s="6">
        <v>19920.0</v>
      </c>
      <c r="B19922" s="17">
        <f t="array" ref="B19922">SUM(1-'Sparkling Model'!D$2:D$38^A19922)</f>
        <v>36.99981797</v>
      </c>
      <c r="C19922" s="8">
        <f t="array" ref="C19922">PRODUCT(1-'Sparkling Model'!D$2:D$38^A19922)</f>
        <v>0.9998179834</v>
      </c>
    </row>
    <row r="19923">
      <c r="A19923" s="6">
        <v>19921.0</v>
      </c>
      <c r="B19923" s="17">
        <f t="array" ref="B19923">SUM(1-'Sparkling Model'!D$2:D$38^A19923)</f>
        <v>36.99981806</v>
      </c>
      <c r="C19923" s="8">
        <f t="array" ref="C19923">PRODUCT(1-'Sparkling Model'!D$2:D$38^A19923)</f>
        <v>0.9998180728</v>
      </c>
    </row>
    <row r="19924">
      <c r="A19924" s="6">
        <v>19922.0</v>
      </c>
      <c r="B19924" s="17">
        <f t="array" ref="B19924">SUM(1-'Sparkling Model'!D$2:D$38^A19924)</f>
        <v>36.99981815</v>
      </c>
      <c r="C19924" s="8">
        <f t="array" ref="C19924">PRODUCT(1-'Sparkling Model'!D$2:D$38^A19924)</f>
        <v>0.9998181621</v>
      </c>
    </row>
    <row r="19925">
      <c r="A19925" s="6">
        <v>19923.0</v>
      </c>
      <c r="B19925" s="17">
        <f t="array" ref="B19925">SUM(1-'Sparkling Model'!D$2:D$38^A19925)</f>
        <v>36.99981824</v>
      </c>
      <c r="C19925" s="8">
        <f t="array" ref="C19925">PRODUCT(1-'Sparkling Model'!D$2:D$38^A19925)</f>
        <v>0.9998182514</v>
      </c>
    </row>
    <row r="19926">
      <c r="A19926" s="6">
        <v>19924.0</v>
      </c>
      <c r="B19926" s="17">
        <f t="array" ref="B19926">SUM(1-'Sparkling Model'!D$2:D$38^A19926)</f>
        <v>36.99981833</v>
      </c>
      <c r="C19926" s="8">
        <f t="array" ref="C19926">PRODUCT(1-'Sparkling Model'!D$2:D$38^A19926)</f>
        <v>0.9998183406</v>
      </c>
    </row>
    <row r="19927">
      <c r="A19927" s="6">
        <v>19925.0</v>
      </c>
      <c r="B19927" s="17">
        <f t="array" ref="B19927">SUM(1-'Sparkling Model'!D$2:D$38^A19927)</f>
        <v>36.99981842</v>
      </c>
      <c r="C19927" s="8">
        <f t="array" ref="C19927">PRODUCT(1-'Sparkling Model'!D$2:D$38^A19927)</f>
        <v>0.9998184298</v>
      </c>
    </row>
    <row r="19928">
      <c r="A19928" s="6">
        <v>19926.0</v>
      </c>
      <c r="B19928" s="17">
        <f t="array" ref="B19928">SUM(1-'Sparkling Model'!D$2:D$38^A19928)</f>
        <v>36.99981851</v>
      </c>
      <c r="C19928" s="8">
        <f t="array" ref="C19928">PRODUCT(1-'Sparkling Model'!D$2:D$38^A19928)</f>
        <v>0.9998185189</v>
      </c>
    </row>
    <row r="19929">
      <c r="A19929" s="6">
        <v>19927.0</v>
      </c>
      <c r="B19929" s="17">
        <f t="array" ref="B19929">SUM(1-'Sparkling Model'!D$2:D$38^A19929)</f>
        <v>36.9998186</v>
      </c>
      <c r="C19929" s="8">
        <f t="array" ref="C19929">PRODUCT(1-'Sparkling Model'!D$2:D$38^A19929)</f>
        <v>0.999818608</v>
      </c>
    </row>
    <row r="19930">
      <c r="A19930" s="6">
        <v>19928.0</v>
      </c>
      <c r="B19930" s="17">
        <f t="array" ref="B19930">SUM(1-'Sparkling Model'!D$2:D$38^A19930)</f>
        <v>36.99981869</v>
      </c>
      <c r="C19930" s="8">
        <f t="array" ref="C19930">PRODUCT(1-'Sparkling Model'!D$2:D$38^A19930)</f>
        <v>0.9998186971</v>
      </c>
    </row>
    <row r="19931">
      <c r="A19931" s="6">
        <v>19929.0</v>
      </c>
      <c r="B19931" s="17">
        <f t="array" ref="B19931">SUM(1-'Sparkling Model'!D$2:D$38^A19931)</f>
        <v>36.99981877</v>
      </c>
      <c r="C19931" s="8">
        <f t="array" ref="C19931">PRODUCT(1-'Sparkling Model'!D$2:D$38^A19931)</f>
        <v>0.9998187861</v>
      </c>
    </row>
    <row r="19932">
      <c r="A19932" s="6">
        <v>19930.0</v>
      </c>
      <c r="B19932" s="17">
        <f t="array" ref="B19932">SUM(1-'Sparkling Model'!D$2:D$38^A19932)</f>
        <v>36.99981886</v>
      </c>
      <c r="C19932" s="8">
        <f t="array" ref="C19932">PRODUCT(1-'Sparkling Model'!D$2:D$38^A19932)</f>
        <v>0.9998188751</v>
      </c>
    </row>
    <row r="19933">
      <c r="A19933" s="6">
        <v>19931.0</v>
      </c>
      <c r="B19933" s="17">
        <f t="array" ref="B19933">SUM(1-'Sparkling Model'!D$2:D$38^A19933)</f>
        <v>36.99981895</v>
      </c>
      <c r="C19933" s="8">
        <f t="array" ref="C19933">PRODUCT(1-'Sparkling Model'!D$2:D$38^A19933)</f>
        <v>0.999818964</v>
      </c>
    </row>
    <row r="19934">
      <c r="A19934" s="6">
        <v>19932.0</v>
      </c>
      <c r="B19934" s="17">
        <f t="array" ref="B19934">SUM(1-'Sparkling Model'!D$2:D$38^A19934)</f>
        <v>36.99981904</v>
      </c>
      <c r="C19934" s="8">
        <f t="array" ref="C19934">PRODUCT(1-'Sparkling Model'!D$2:D$38^A19934)</f>
        <v>0.9998190529</v>
      </c>
    </row>
    <row r="19935">
      <c r="A19935" s="6">
        <v>19933.0</v>
      </c>
      <c r="B19935" s="17">
        <f t="array" ref="B19935">SUM(1-'Sparkling Model'!D$2:D$38^A19935)</f>
        <v>36.99981913</v>
      </c>
      <c r="C19935" s="8">
        <f t="array" ref="C19935">PRODUCT(1-'Sparkling Model'!D$2:D$38^A19935)</f>
        <v>0.9998191417</v>
      </c>
    </row>
    <row r="19936">
      <c r="A19936" s="6">
        <v>19934.0</v>
      </c>
      <c r="B19936" s="17">
        <f t="array" ref="B19936">SUM(1-'Sparkling Model'!D$2:D$38^A19936)</f>
        <v>36.99981922</v>
      </c>
      <c r="C19936" s="8">
        <f t="array" ref="C19936">PRODUCT(1-'Sparkling Model'!D$2:D$38^A19936)</f>
        <v>0.9998192305</v>
      </c>
    </row>
    <row r="19937">
      <c r="A19937" s="6">
        <v>19935.0</v>
      </c>
      <c r="B19937" s="17">
        <f t="array" ref="B19937">SUM(1-'Sparkling Model'!D$2:D$38^A19937)</f>
        <v>36.99981931</v>
      </c>
      <c r="C19937" s="8">
        <f t="array" ref="C19937">PRODUCT(1-'Sparkling Model'!D$2:D$38^A19937)</f>
        <v>0.9998193192</v>
      </c>
    </row>
    <row r="19938">
      <c r="A19938" s="6">
        <v>19936.0</v>
      </c>
      <c r="B19938" s="17">
        <f t="array" ref="B19938">SUM(1-'Sparkling Model'!D$2:D$38^A19938)</f>
        <v>36.9998194</v>
      </c>
      <c r="C19938" s="8">
        <f t="array" ref="C19938">PRODUCT(1-'Sparkling Model'!D$2:D$38^A19938)</f>
        <v>0.999819408</v>
      </c>
    </row>
    <row r="19939">
      <c r="A19939" s="6">
        <v>19937.0</v>
      </c>
      <c r="B19939" s="17">
        <f t="array" ref="B19939">SUM(1-'Sparkling Model'!D$2:D$38^A19939)</f>
        <v>36.99981949</v>
      </c>
      <c r="C19939" s="8">
        <f t="array" ref="C19939">PRODUCT(1-'Sparkling Model'!D$2:D$38^A19939)</f>
        <v>0.9998194966</v>
      </c>
    </row>
    <row r="19940">
      <c r="A19940" s="6">
        <v>19938.0</v>
      </c>
      <c r="B19940" s="17">
        <f t="array" ref="B19940">SUM(1-'Sparkling Model'!D$2:D$38^A19940)</f>
        <v>36.99981957</v>
      </c>
      <c r="C19940" s="8">
        <f t="array" ref="C19940">PRODUCT(1-'Sparkling Model'!D$2:D$38^A19940)</f>
        <v>0.9998195852</v>
      </c>
    </row>
    <row r="19941">
      <c r="A19941" s="6">
        <v>19939.0</v>
      </c>
      <c r="B19941" s="17">
        <f t="array" ref="B19941">SUM(1-'Sparkling Model'!D$2:D$38^A19941)</f>
        <v>36.99981966</v>
      </c>
      <c r="C19941" s="8">
        <f t="array" ref="C19941">PRODUCT(1-'Sparkling Model'!D$2:D$38^A19941)</f>
        <v>0.9998196738</v>
      </c>
    </row>
    <row r="19942">
      <c r="A19942" s="6">
        <v>19940.0</v>
      </c>
      <c r="B19942" s="17">
        <f t="array" ref="B19942">SUM(1-'Sparkling Model'!D$2:D$38^A19942)</f>
        <v>36.99981975</v>
      </c>
      <c r="C19942" s="8">
        <f t="array" ref="C19942">PRODUCT(1-'Sparkling Model'!D$2:D$38^A19942)</f>
        <v>0.9998197623</v>
      </c>
    </row>
    <row r="19943">
      <c r="A19943" s="6">
        <v>19941.0</v>
      </c>
      <c r="B19943" s="17">
        <f t="array" ref="B19943">SUM(1-'Sparkling Model'!D$2:D$38^A19943)</f>
        <v>36.99981984</v>
      </c>
      <c r="C19943" s="8">
        <f t="array" ref="C19943">PRODUCT(1-'Sparkling Model'!D$2:D$38^A19943)</f>
        <v>0.9998198508</v>
      </c>
    </row>
    <row r="19944">
      <c r="A19944" s="6">
        <v>19942.0</v>
      </c>
      <c r="B19944" s="17">
        <f t="array" ref="B19944">SUM(1-'Sparkling Model'!D$2:D$38^A19944)</f>
        <v>36.99981993</v>
      </c>
      <c r="C19944" s="8">
        <f t="array" ref="C19944">PRODUCT(1-'Sparkling Model'!D$2:D$38^A19944)</f>
        <v>0.9998199393</v>
      </c>
    </row>
    <row r="19945">
      <c r="A19945" s="6">
        <v>19943.0</v>
      </c>
      <c r="B19945" s="17">
        <f t="array" ref="B19945">SUM(1-'Sparkling Model'!D$2:D$38^A19945)</f>
        <v>36.99982002</v>
      </c>
      <c r="C19945" s="8">
        <f t="array" ref="C19945">PRODUCT(1-'Sparkling Model'!D$2:D$38^A19945)</f>
        <v>0.9998200277</v>
      </c>
    </row>
    <row r="19946">
      <c r="A19946" s="6">
        <v>19944.0</v>
      </c>
      <c r="B19946" s="17">
        <f t="array" ref="B19946">SUM(1-'Sparkling Model'!D$2:D$38^A19946)</f>
        <v>36.99982011</v>
      </c>
      <c r="C19946" s="8">
        <f t="array" ref="C19946">PRODUCT(1-'Sparkling Model'!D$2:D$38^A19946)</f>
        <v>0.999820116</v>
      </c>
    </row>
    <row r="19947">
      <c r="A19947" s="6">
        <v>19945.0</v>
      </c>
      <c r="B19947" s="17">
        <f t="array" ref="B19947">SUM(1-'Sparkling Model'!D$2:D$38^A19947)</f>
        <v>36.99982019</v>
      </c>
      <c r="C19947" s="8">
        <f t="array" ref="C19947">PRODUCT(1-'Sparkling Model'!D$2:D$38^A19947)</f>
        <v>0.9998202044</v>
      </c>
    </row>
    <row r="19948">
      <c r="A19948" s="6">
        <v>19946.0</v>
      </c>
      <c r="B19948" s="17">
        <f t="array" ref="B19948">SUM(1-'Sparkling Model'!D$2:D$38^A19948)</f>
        <v>36.99982028</v>
      </c>
      <c r="C19948" s="8">
        <f t="array" ref="C19948">PRODUCT(1-'Sparkling Model'!D$2:D$38^A19948)</f>
        <v>0.9998202926</v>
      </c>
    </row>
    <row r="19949">
      <c r="A19949" s="6">
        <v>19947.0</v>
      </c>
      <c r="B19949" s="17">
        <f t="array" ref="B19949">SUM(1-'Sparkling Model'!D$2:D$38^A19949)</f>
        <v>36.99982037</v>
      </c>
      <c r="C19949" s="8">
        <f t="array" ref="C19949">PRODUCT(1-'Sparkling Model'!D$2:D$38^A19949)</f>
        <v>0.9998203808</v>
      </c>
    </row>
    <row r="19950">
      <c r="A19950" s="6">
        <v>19948.0</v>
      </c>
      <c r="B19950" s="17">
        <f t="array" ref="B19950">SUM(1-'Sparkling Model'!D$2:D$38^A19950)</f>
        <v>36.99982046</v>
      </c>
      <c r="C19950" s="8">
        <f t="array" ref="C19950">PRODUCT(1-'Sparkling Model'!D$2:D$38^A19950)</f>
        <v>0.999820469</v>
      </c>
    </row>
    <row r="19951">
      <c r="A19951" s="6">
        <v>19949.0</v>
      </c>
      <c r="B19951" s="17">
        <f t="array" ref="B19951">SUM(1-'Sparkling Model'!D$2:D$38^A19951)</f>
        <v>36.99982055</v>
      </c>
      <c r="C19951" s="8">
        <f t="array" ref="C19951">PRODUCT(1-'Sparkling Model'!D$2:D$38^A19951)</f>
        <v>0.9998205572</v>
      </c>
    </row>
    <row r="19952">
      <c r="A19952" s="6">
        <v>19950.0</v>
      </c>
      <c r="B19952" s="17">
        <f t="array" ref="B19952">SUM(1-'Sparkling Model'!D$2:D$38^A19952)</f>
        <v>36.99982063</v>
      </c>
      <c r="C19952" s="8">
        <f t="array" ref="C19952">PRODUCT(1-'Sparkling Model'!D$2:D$38^A19952)</f>
        <v>0.9998206453</v>
      </c>
    </row>
    <row r="19953">
      <c r="A19953" s="6">
        <v>19951.0</v>
      </c>
      <c r="B19953" s="17">
        <f t="array" ref="B19953">SUM(1-'Sparkling Model'!D$2:D$38^A19953)</f>
        <v>36.99982072</v>
      </c>
      <c r="C19953" s="8">
        <f t="array" ref="C19953">PRODUCT(1-'Sparkling Model'!D$2:D$38^A19953)</f>
        <v>0.9998207333</v>
      </c>
    </row>
    <row r="19954">
      <c r="A19954" s="6">
        <v>19952.0</v>
      </c>
      <c r="B19954" s="17">
        <f t="array" ref="B19954">SUM(1-'Sparkling Model'!D$2:D$38^A19954)</f>
        <v>36.99982081</v>
      </c>
      <c r="C19954" s="8">
        <f t="array" ref="C19954">PRODUCT(1-'Sparkling Model'!D$2:D$38^A19954)</f>
        <v>0.9998208213</v>
      </c>
    </row>
    <row r="19955">
      <c r="A19955" s="6">
        <v>19953.0</v>
      </c>
      <c r="B19955" s="17">
        <f t="array" ref="B19955">SUM(1-'Sparkling Model'!D$2:D$38^A19955)</f>
        <v>36.9998209</v>
      </c>
      <c r="C19955" s="8">
        <f t="array" ref="C19955">PRODUCT(1-'Sparkling Model'!D$2:D$38^A19955)</f>
        <v>0.9998209093</v>
      </c>
    </row>
    <row r="19956">
      <c r="A19956" s="6">
        <v>19954.0</v>
      </c>
      <c r="B19956" s="17">
        <f t="array" ref="B19956">SUM(1-'Sparkling Model'!D$2:D$38^A19956)</f>
        <v>36.99982099</v>
      </c>
      <c r="C19956" s="8">
        <f t="array" ref="C19956">PRODUCT(1-'Sparkling Model'!D$2:D$38^A19956)</f>
        <v>0.9998209972</v>
      </c>
    </row>
    <row r="19957">
      <c r="A19957" s="6">
        <v>19955.0</v>
      </c>
      <c r="B19957" s="17">
        <f t="array" ref="B19957">SUM(1-'Sparkling Model'!D$2:D$38^A19957)</f>
        <v>36.99982107</v>
      </c>
      <c r="C19957" s="8">
        <f t="array" ref="C19957">PRODUCT(1-'Sparkling Model'!D$2:D$38^A19957)</f>
        <v>0.9998210851</v>
      </c>
    </row>
    <row r="19958">
      <c r="A19958" s="6">
        <v>19956.0</v>
      </c>
      <c r="B19958" s="17">
        <f t="array" ref="B19958">SUM(1-'Sparkling Model'!D$2:D$38^A19958)</f>
        <v>36.99982116</v>
      </c>
      <c r="C19958" s="8">
        <f t="array" ref="C19958">PRODUCT(1-'Sparkling Model'!D$2:D$38^A19958)</f>
        <v>0.9998211729</v>
      </c>
    </row>
    <row r="19959">
      <c r="A19959" s="6">
        <v>19957.0</v>
      </c>
      <c r="B19959" s="17">
        <f t="array" ref="B19959">SUM(1-'Sparkling Model'!D$2:D$38^A19959)</f>
        <v>36.99982125</v>
      </c>
      <c r="C19959" s="8">
        <f t="array" ref="C19959">PRODUCT(1-'Sparkling Model'!D$2:D$38^A19959)</f>
        <v>0.9998212607</v>
      </c>
    </row>
    <row r="19960">
      <c r="A19960" s="6">
        <v>19958.0</v>
      </c>
      <c r="B19960" s="17">
        <f t="array" ref="B19960">SUM(1-'Sparkling Model'!D$2:D$38^A19960)</f>
        <v>36.99982134</v>
      </c>
      <c r="C19960" s="8">
        <f t="array" ref="C19960">PRODUCT(1-'Sparkling Model'!D$2:D$38^A19960)</f>
        <v>0.9998213485</v>
      </c>
    </row>
    <row r="19961">
      <c r="A19961" s="6">
        <v>19959.0</v>
      </c>
      <c r="B19961" s="17">
        <f t="array" ref="B19961">SUM(1-'Sparkling Model'!D$2:D$38^A19961)</f>
        <v>36.99982143</v>
      </c>
      <c r="C19961" s="8">
        <f t="array" ref="C19961">PRODUCT(1-'Sparkling Model'!D$2:D$38^A19961)</f>
        <v>0.9998214362</v>
      </c>
    </row>
    <row r="19962">
      <c r="A19962" s="6">
        <v>19960.0</v>
      </c>
      <c r="B19962" s="17">
        <f t="array" ref="B19962">SUM(1-'Sparkling Model'!D$2:D$38^A19962)</f>
        <v>36.99982151</v>
      </c>
      <c r="C19962" s="8">
        <f t="array" ref="C19962">PRODUCT(1-'Sparkling Model'!D$2:D$38^A19962)</f>
        <v>0.9998215239</v>
      </c>
    </row>
    <row r="19963">
      <c r="A19963" s="6">
        <v>19961.0</v>
      </c>
      <c r="B19963" s="17">
        <f t="array" ref="B19963">SUM(1-'Sparkling Model'!D$2:D$38^A19963)</f>
        <v>36.9998216</v>
      </c>
      <c r="C19963" s="8">
        <f t="array" ref="C19963">PRODUCT(1-'Sparkling Model'!D$2:D$38^A19963)</f>
        <v>0.9998216115</v>
      </c>
    </row>
    <row r="19964">
      <c r="A19964" s="6">
        <v>19962.0</v>
      </c>
      <c r="B19964" s="17">
        <f t="array" ref="B19964">SUM(1-'Sparkling Model'!D$2:D$38^A19964)</f>
        <v>36.99982169</v>
      </c>
      <c r="C19964" s="8">
        <f t="array" ref="C19964">PRODUCT(1-'Sparkling Model'!D$2:D$38^A19964)</f>
        <v>0.9998216991</v>
      </c>
    </row>
    <row r="19965">
      <c r="A19965" s="6">
        <v>19963.0</v>
      </c>
      <c r="B19965" s="17">
        <f t="array" ref="B19965">SUM(1-'Sparkling Model'!D$2:D$38^A19965)</f>
        <v>36.99982178</v>
      </c>
      <c r="C19965" s="8">
        <f t="array" ref="C19965">PRODUCT(1-'Sparkling Model'!D$2:D$38^A19965)</f>
        <v>0.9998217866</v>
      </c>
    </row>
    <row r="19966">
      <c r="A19966" s="6">
        <v>19964.0</v>
      </c>
      <c r="B19966" s="17">
        <f t="array" ref="B19966">SUM(1-'Sparkling Model'!D$2:D$38^A19966)</f>
        <v>36.99982186</v>
      </c>
      <c r="C19966" s="8">
        <f t="array" ref="C19966">PRODUCT(1-'Sparkling Model'!D$2:D$38^A19966)</f>
        <v>0.9998218741</v>
      </c>
    </row>
    <row r="19967">
      <c r="A19967" s="6">
        <v>19965.0</v>
      </c>
      <c r="B19967" s="17">
        <f t="array" ref="B19967">SUM(1-'Sparkling Model'!D$2:D$38^A19967)</f>
        <v>36.99982195</v>
      </c>
      <c r="C19967" s="8">
        <f t="array" ref="C19967">PRODUCT(1-'Sparkling Model'!D$2:D$38^A19967)</f>
        <v>0.9998219615</v>
      </c>
    </row>
    <row r="19968">
      <c r="A19968" s="6">
        <v>19966.0</v>
      </c>
      <c r="B19968" s="17">
        <f t="array" ref="B19968">SUM(1-'Sparkling Model'!D$2:D$38^A19968)</f>
        <v>36.99982204</v>
      </c>
      <c r="C19968" s="8">
        <f t="array" ref="C19968">PRODUCT(1-'Sparkling Model'!D$2:D$38^A19968)</f>
        <v>0.999822049</v>
      </c>
    </row>
    <row r="19969">
      <c r="A19969" s="6">
        <v>19967.0</v>
      </c>
      <c r="B19969" s="17">
        <f t="array" ref="B19969">SUM(1-'Sparkling Model'!D$2:D$38^A19969)</f>
        <v>36.99982213</v>
      </c>
      <c r="C19969" s="8">
        <f t="array" ref="C19969">PRODUCT(1-'Sparkling Model'!D$2:D$38^A19969)</f>
        <v>0.9998221363</v>
      </c>
    </row>
    <row r="19970">
      <c r="A19970" s="6">
        <v>19968.0</v>
      </c>
      <c r="B19970" s="17">
        <f t="array" ref="B19970">SUM(1-'Sparkling Model'!D$2:D$38^A19970)</f>
        <v>36.99982221</v>
      </c>
      <c r="C19970" s="8">
        <f t="array" ref="C19970">PRODUCT(1-'Sparkling Model'!D$2:D$38^A19970)</f>
        <v>0.9998222236</v>
      </c>
    </row>
    <row r="19971">
      <c r="A19971" s="6">
        <v>19969.0</v>
      </c>
      <c r="B19971" s="17">
        <f t="array" ref="B19971">SUM(1-'Sparkling Model'!D$2:D$38^A19971)</f>
        <v>36.9998223</v>
      </c>
      <c r="C19971" s="8">
        <f t="array" ref="C19971">PRODUCT(1-'Sparkling Model'!D$2:D$38^A19971)</f>
        <v>0.9998223109</v>
      </c>
    </row>
    <row r="19972">
      <c r="A19972" s="6">
        <v>19970.0</v>
      </c>
      <c r="B19972" s="17">
        <f t="array" ref="B19972">SUM(1-'Sparkling Model'!D$2:D$38^A19972)</f>
        <v>36.99982239</v>
      </c>
      <c r="C19972" s="8">
        <f t="array" ref="C19972">PRODUCT(1-'Sparkling Model'!D$2:D$38^A19972)</f>
        <v>0.9998223981</v>
      </c>
    </row>
    <row r="19973">
      <c r="A19973" s="6">
        <v>19971.0</v>
      </c>
      <c r="B19973" s="17">
        <f t="array" ref="B19973">SUM(1-'Sparkling Model'!D$2:D$38^A19973)</f>
        <v>36.99982247</v>
      </c>
      <c r="C19973" s="8">
        <f t="array" ref="C19973">PRODUCT(1-'Sparkling Model'!D$2:D$38^A19973)</f>
        <v>0.9998224853</v>
      </c>
    </row>
    <row r="19974">
      <c r="A19974" s="6">
        <v>19972.0</v>
      </c>
      <c r="B19974" s="17">
        <f t="array" ref="B19974">SUM(1-'Sparkling Model'!D$2:D$38^A19974)</f>
        <v>36.99982256</v>
      </c>
      <c r="C19974" s="8">
        <f t="array" ref="C19974">PRODUCT(1-'Sparkling Model'!D$2:D$38^A19974)</f>
        <v>0.9998225725</v>
      </c>
    </row>
    <row r="19975">
      <c r="A19975" s="6">
        <v>19973.0</v>
      </c>
      <c r="B19975" s="17">
        <f t="array" ref="B19975">SUM(1-'Sparkling Model'!D$2:D$38^A19975)</f>
        <v>36.99982265</v>
      </c>
      <c r="C19975" s="8">
        <f t="array" ref="C19975">PRODUCT(1-'Sparkling Model'!D$2:D$38^A19975)</f>
        <v>0.9998226596</v>
      </c>
    </row>
    <row r="19976">
      <c r="A19976" s="6">
        <v>19974.0</v>
      </c>
      <c r="B19976" s="17">
        <f t="array" ref="B19976">SUM(1-'Sparkling Model'!D$2:D$38^A19976)</f>
        <v>36.99982274</v>
      </c>
      <c r="C19976" s="8">
        <f t="array" ref="C19976">PRODUCT(1-'Sparkling Model'!D$2:D$38^A19976)</f>
        <v>0.9998227467</v>
      </c>
    </row>
    <row r="19977">
      <c r="A19977" s="6">
        <v>19975.0</v>
      </c>
      <c r="B19977" s="17">
        <f t="array" ref="B19977">SUM(1-'Sparkling Model'!D$2:D$38^A19977)</f>
        <v>36.99982282</v>
      </c>
      <c r="C19977" s="8">
        <f t="array" ref="C19977">PRODUCT(1-'Sparkling Model'!D$2:D$38^A19977)</f>
        <v>0.9998228337</v>
      </c>
    </row>
    <row r="19978">
      <c r="A19978" s="6">
        <v>19976.0</v>
      </c>
      <c r="B19978" s="17">
        <f t="array" ref="B19978">SUM(1-'Sparkling Model'!D$2:D$38^A19978)</f>
        <v>36.99982291</v>
      </c>
      <c r="C19978" s="8">
        <f t="array" ref="C19978">PRODUCT(1-'Sparkling Model'!D$2:D$38^A19978)</f>
        <v>0.9998229207</v>
      </c>
    </row>
    <row r="19979">
      <c r="A19979" s="6">
        <v>19977.0</v>
      </c>
      <c r="B19979" s="17">
        <f t="array" ref="B19979">SUM(1-'Sparkling Model'!D$2:D$38^A19979)</f>
        <v>36.999823</v>
      </c>
      <c r="C19979" s="8">
        <f t="array" ref="C19979">PRODUCT(1-'Sparkling Model'!D$2:D$38^A19979)</f>
        <v>0.9998230076</v>
      </c>
    </row>
    <row r="19980">
      <c r="A19980" s="6">
        <v>19978.0</v>
      </c>
      <c r="B19980" s="17">
        <f t="array" ref="B19980">SUM(1-'Sparkling Model'!D$2:D$38^A19980)</f>
        <v>36.99982308</v>
      </c>
      <c r="C19980" s="8">
        <f t="array" ref="C19980">PRODUCT(1-'Sparkling Model'!D$2:D$38^A19980)</f>
        <v>0.9998230945</v>
      </c>
    </row>
    <row r="19981">
      <c r="A19981" s="6">
        <v>19979.0</v>
      </c>
      <c r="B19981" s="17">
        <f t="array" ref="B19981">SUM(1-'Sparkling Model'!D$2:D$38^A19981)</f>
        <v>36.99982317</v>
      </c>
      <c r="C19981" s="8">
        <f t="array" ref="C19981">PRODUCT(1-'Sparkling Model'!D$2:D$38^A19981)</f>
        <v>0.9998231813</v>
      </c>
    </row>
    <row r="19982">
      <c r="A19982" s="6">
        <v>19980.0</v>
      </c>
      <c r="B19982" s="17">
        <f t="array" ref="B19982">SUM(1-'Sparkling Model'!D$2:D$38^A19982)</f>
        <v>36.99982326</v>
      </c>
      <c r="C19982" s="8">
        <f t="array" ref="C19982">PRODUCT(1-'Sparkling Model'!D$2:D$38^A19982)</f>
        <v>0.9998232681</v>
      </c>
    </row>
    <row r="19983">
      <c r="A19983" s="6">
        <v>19981.0</v>
      </c>
      <c r="B19983" s="17">
        <f t="array" ref="B19983">SUM(1-'Sparkling Model'!D$2:D$38^A19983)</f>
        <v>36.99982334</v>
      </c>
      <c r="C19983" s="8">
        <f t="array" ref="C19983">PRODUCT(1-'Sparkling Model'!D$2:D$38^A19983)</f>
        <v>0.9998233549</v>
      </c>
    </row>
    <row r="19984">
      <c r="A19984" s="6">
        <v>19982.0</v>
      </c>
      <c r="B19984" s="17">
        <f t="array" ref="B19984">SUM(1-'Sparkling Model'!D$2:D$38^A19984)</f>
        <v>36.99982343</v>
      </c>
      <c r="C19984" s="8">
        <f t="array" ref="C19984">PRODUCT(1-'Sparkling Model'!D$2:D$38^A19984)</f>
        <v>0.9998234416</v>
      </c>
    </row>
    <row r="19985">
      <c r="A19985" s="6">
        <v>19983.0</v>
      </c>
      <c r="B19985" s="17">
        <f t="array" ref="B19985">SUM(1-'Sparkling Model'!D$2:D$38^A19985)</f>
        <v>36.99982352</v>
      </c>
      <c r="C19985" s="8">
        <f t="array" ref="C19985">PRODUCT(1-'Sparkling Model'!D$2:D$38^A19985)</f>
        <v>0.9998235283</v>
      </c>
    </row>
    <row r="19986">
      <c r="A19986" s="6">
        <v>19984.0</v>
      </c>
      <c r="B19986" s="17">
        <f t="array" ref="B19986">SUM(1-'Sparkling Model'!D$2:D$38^A19986)</f>
        <v>36.9998236</v>
      </c>
      <c r="C19986" s="8">
        <f t="array" ref="C19986">PRODUCT(1-'Sparkling Model'!D$2:D$38^A19986)</f>
        <v>0.9998236149</v>
      </c>
    </row>
    <row r="19987">
      <c r="A19987" s="6">
        <v>19985.0</v>
      </c>
      <c r="B19987" s="17">
        <f t="array" ref="B19987">SUM(1-'Sparkling Model'!D$2:D$38^A19987)</f>
        <v>36.99982369</v>
      </c>
      <c r="C19987" s="8">
        <f t="array" ref="C19987">PRODUCT(1-'Sparkling Model'!D$2:D$38^A19987)</f>
        <v>0.9998237015</v>
      </c>
    </row>
    <row r="19988">
      <c r="A19988" s="6">
        <v>19986.0</v>
      </c>
      <c r="B19988" s="17">
        <f t="array" ref="B19988">SUM(1-'Sparkling Model'!D$2:D$38^A19988)</f>
        <v>36.99982378</v>
      </c>
      <c r="C19988" s="8">
        <f t="array" ref="C19988">PRODUCT(1-'Sparkling Model'!D$2:D$38^A19988)</f>
        <v>0.9998237881</v>
      </c>
    </row>
    <row r="19989">
      <c r="A19989" s="6">
        <v>19987.0</v>
      </c>
      <c r="B19989" s="17">
        <f t="array" ref="B19989">SUM(1-'Sparkling Model'!D$2:D$38^A19989)</f>
        <v>36.99982386</v>
      </c>
      <c r="C19989" s="8">
        <f t="array" ref="C19989">PRODUCT(1-'Sparkling Model'!D$2:D$38^A19989)</f>
        <v>0.9998238746</v>
      </c>
    </row>
    <row r="19990">
      <c r="A19990" s="6">
        <v>19988.0</v>
      </c>
      <c r="B19990" s="17">
        <f t="array" ref="B19990">SUM(1-'Sparkling Model'!D$2:D$38^A19990)</f>
        <v>36.99982395</v>
      </c>
      <c r="C19990" s="8">
        <f t="array" ref="C19990">PRODUCT(1-'Sparkling Model'!D$2:D$38^A19990)</f>
        <v>0.9998239611</v>
      </c>
    </row>
    <row r="19991">
      <c r="A19991" s="6">
        <v>19989.0</v>
      </c>
      <c r="B19991" s="17">
        <f t="array" ref="B19991">SUM(1-'Sparkling Model'!D$2:D$38^A19991)</f>
        <v>36.99982404</v>
      </c>
      <c r="C19991" s="8">
        <f t="array" ref="C19991">PRODUCT(1-'Sparkling Model'!D$2:D$38^A19991)</f>
        <v>0.9998240475</v>
      </c>
    </row>
    <row r="19992">
      <c r="A19992" s="6">
        <v>19990.0</v>
      </c>
      <c r="B19992" s="17">
        <f t="array" ref="B19992">SUM(1-'Sparkling Model'!D$2:D$38^A19992)</f>
        <v>36.99982412</v>
      </c>
      <c r="C19992" s="8">
        <f t="array" ref="C19992">PRODUCT(1-'Sparkling Model'!D$2:D$38^A19992)</f>
        <v>0.9998241339</v>
      </c>
    </row>
    <row r="19993">
      <c r="A19993" s="6">
        <v>19991.0</v>
      </c>
      <c r="B19993" s="17">
        <f t="array" ref="B19993">SUM(1-'Sparkling Model'!D$2:D$38^A19993)</f>
        <v>36.99982421</v>
      </c>
      <c r="C19993" s="8">
        <f t="array" ref="C19993">PRODUCT(1-'Sparkling Model'!D$2:D$38^A19993)</f>
        <v>0.9998242202</v>
      </c>
    </row>
    <row r="19994">
      <c r="A19994" s="6">
        <v>19992.0</v>
      </c>
      <c r="B19994" s="17">
        <f t="array" ref="B19994">SUM(1-'Sparkling Model'!D$2:D$38^A19994)</f>
        <v>36.9998243</v>
      </c>
      <c r="C19994" s="8">
        <f t="array" ref="C19994">PRODUCT(1-'Sparkling Model'!D$2:D$38^A19994)</f>
        <v>0.9998243065</v>
      </c>
    </row>
    <row r="19995">
      <c r="A19995" s="6">
        <v>19993.0</v>
      </c>
      <c r="B19995" s="17">
        <f t="array" ref="B19995">SUM(1-'Sparkling Model'!D$2:D$38^A19995)</f>
        <v>36.99982438</v>
      </c>
      <c r="C19995" s="8">
        <f t="array" ref="C19995">PRODUCT(1-'Sparkling Model'!D$2:D$38^A19995)</f>
        <v>0.9998243928</v>
      </c>
    </row>
    <row r="19996">
      <c r="A19996" s="6">
        <v>19994.0</v>
      </c>
      <c r="B19996" s="17">
        <f t="array" ref="B19996">SUM(1-'Sparkling Model'!D$2:D$38^A19996)</f>
        <v>36.99982447</v>
      </c>
      <c r="C19996" s="8">
        <f t="array" ref="C19996">PRODUCT(1-'Sparkling Model'!D$2:D$38^A19996)</f>
        <v>0.999824479</v>
      </c>
    </row>
    <row r="19997">
      <c r="A19997" s="6">
        <v>19995.0</v>
      </c>
      <c r="B19997" s="17">
        <f t="array" ref="B19997">SUM(1-'Sparkling Model'!D$2:D$38^A19997)</f>
        <v>36.99982455</v>
      </c>
      <c r="C19997" s="8">
        <f t="array" ref="C19997">PRODUCT(1-'Sparkling Model'!D$2:D$38^A19997)</f>
        <v>0.9998245651</v>
      </c>
    </row>
    <row r="19998">
      <c r="A19998" s="6">
        <v>19996.0</v>
      </c>
      <c r="B19998" s="17">
        <f t="array" ref="B19998">SUM(1-'Sparkling Model'!D$2:D$38^A19998)</f>
        <v>36.99982464</v>
      </c>
      <c r="C19998" s="8">
        <f t="array" ref="C19998">PRODUCT(1-'Sparkling Model'!D$2:D$38^A19998)</f>
        <v>0.9998246513</v>
      </c>
    </row>
    <row r="19999">
      <c r="A19999" s="6">
        <v>19997.0</v>
      </c>
      <c r="B19999" s="17">
        <f t="array" ref="B19999">SUM(1-'Sparkling Model'!D$2:D$38^A19999)</f>
        <v>36.99982473</v>
      </c>
      <c r="C19999" s="8">
        <f t="array" ref="C19999">PRODUCT(1-'Sparkling Model'!D$2:D$38^A19999)</f>
        <v>0.9998247374</v>
      </c>
    </row>
    <row r="20000">
      <c r="A20000" s="6">
        <v>19998.0</v>
      </c>
      <c r="B20000" s="17">
        <f t="array" ref="B20000">SUM(1-'Sparkling Model'!D$2:D$38^A20000)</f>
        <v>36.99982481</v>
      </c>
      <c r="C20000" s="8">
        <f t="array" ref="C20000">PRODUCT(1-'Sparkling Model'!D$2:D$38^A20000)</f>
        <v>0.9998248234</v>
      </c>
    </row>
    <row r="20001">
      <c r="A20001" s="6">
        <v>19999.0</v>
      </c>
      <c r="B20001" s="17">
        <f t="array" ref="B20001">SUM(1-'Sparkling Model'!D$2:D$38^A20001)</f>
        <v>36.9998249</v>
      </c>
      <c r="C20001" s="8">
        <f t="array" ref="C20001">PRODUCT(1-'Sparkling Model'!D$2:D$38^A20001)</f>
        <v>0.9998249094</v>
      </c>
    </row>
    <row r="20002">
      <c r="A20002" s="6">
        <v>20000.0</v>
      </c>
      <c r="B20002" s="17">
        <f t="array" ref="B20002">SUM(1-'Sparkling Model'!D$2:D$38^A20002)</f>
        <v>36.99982498</v>
      </c>
      <c r="C20002" s="8">
        <f t="array" ref="C20002">PRODUCT(1-'Sparkling Model'!D$2:D$38^A20002)</f>
        <v>0.9998249953</v>
      </c>
    </row>
    <row r="20003">
      <c r="B20003" s="17"/>
    </row>
    <row r="20004">
      <c r="B20004" s="17"/>
    </row>
    <row r="20005">
      <c r="B20005" s="17"/>
    </row>
    <row r="20006">
      <c r="B20006" s="17"/>
    </row>
    <row r="20007">
      <c r="B20007" s="17"/>
    </row>
    <row r="20008">
      <c r="B20008" s="17"/>
    </row>
    <row r="20009">
      <c r="B20009" s="17"/>
    </row>
    <row r="20010">
      <c r="B20010" s="17"/>
    </row>
    <row r="20011">
      <c r="B20011" s="17"/>
    </row>
    <row r="20012">
      <c r="B20012" s="17"/>
    </row>
    <row r="20013">
      <c r="B20013" s="17"/>
    </row>
    <row r="20014">
      <c r="B20014" s="17"/>
    </row>
    <row r="20015">
      <c r="B20015" s="17"/>
    </row>
    <row r="20016">
      <c r="B20016" s="17"/>
    </row>
    <row r="20017">
      <c r="B20017" s="17"/>
    </row>
    <row r="20018">
      <c r="B20018" s="17"/>
    </row>
    <row r="20019">
      <c r="B20019" s="17"/>
    </row>
    <row r="20020">
      <c r="B20020" s="17"/>
    </row>
    <row r="20021">
      <c r="B20021" s="17"/>
    </row>
    <row r="20022">
      <c r="B20022" s="17"/>
    </row>
    <row r="20023">
      <c r="B20023" s="17"/>
    </row>
    <row r="20024">
      <c r="B20024" s="17"/>
    </row>
    <row r="20025">
      <c r="B20025" s="17"/>
    </row>
    <row r="20026">
      <c r="B20026" s="17"/>
    </row>
    <row r="20027">
      <c r="B20027" s="17"/>
    </row>
    <row r="20028">
      <c r="B20028" s="17"/>
    </row>
    <row r="20029">
      <c r="B20029" s="17"/>
    </row>
    <row r="20030">
      <c r="B20030" s="17"/>
    </row>
    <row r="20031">
      <c r="B20031" s="17"/>
    </row>
    <row r="20032">
      <c r="B20032" s="17"/>
    </row>
    <row r="20033">
      <c r="B20033" s="17"/>
    </row>
    <row r="20034">
      <c r="B20034" s="17"/>
    </row>
    <row r="20035">
      <c r="B20035" s="17"/>
    </row>
    <row r="20036">
      <c r="B20036" s="17"/>
    </row>
    <row r="20037">
      <c r="B20037" s="17"/>
    </row>
    <row r="20038">
      <c r="B20038" s="17"/>
    </row>
    <row r="20039">
      <c r="B20039" s="17"/>
    </row>
    <row r="20040">
      <c r="B20040" s="17"/>
    </row>
    <row r="20041">
      <c r="B20041" s="17"/>
    </row>
    <row r="20042">
      <c r="B20042" s="17"/>
    </row>
    <row r="20043">
      <c r="B20043" s="17"/>
    </row>
    <row r="20044">
      <c r="B20044" s="17"/>
    </row>
    <row r="20045">
      <c r="B20045" s="17"/>
    </row>
    <row r="20046">
      <c r="B20046" s="17"/>
    </row>
    <row r="20047">
      <c r="B20047" s="17"/>
    </row>
    <row r="20048">
      <c r="B20048" s="17"/>
    </row>
    <row r="20049">
      <c r="B20049" s="17"/>
    </row>
    <row r="20050">
      <c r="B20050" s="17"/>
    </row>
    <row r="20051">
      <c r="B20051" s="17"/>
    </row>
    <row r="20052">
      <c r="B20052" s="17"/>
    </row>
    <row r="20053">
      <c r="B20053" s="17"/>
    </row>
    <row r="20054">
      <c r="B20054" s="17"/>
    </row>
    <row r="20055">
      <c r="B20055" s="17"/>
    </row>
    <row r="20056">
      <c r="B20056" s="17"/>
    </row>
    <row r="20057">
      <c r="B20057" s="17"/>
    </row>
    <row r="20058">
      <c r="B20058" s="17"/>
    </row>
    <row r="20059">
      <c r="B20059" s="17"/>
    </row>
    <row r="20060">
      <c r="B20060" s="17"/>
    </row>
    <row r="20061">
      <c r="B20061" s="17"/>
    </row>
    <row r="20062">
      <c r="B20062" s="17"/>
    </row>
    <row r="20063">
      <c r="B20063" s="17"/>
    </row>
    <row r="20064">
      <c r="B20064" s="17"/>
    </row>
    <row r="20065">
      <c r="B20065" s="17"/>
    </row>
    <row r="20066">
      <c r="B20066" s="17"/>
    </row>
    <row r="20067">
      <c r="B20067" s="17"/>
    </row>
    <row r="20068">
      <c r="B20068" s="17"/>
    </row>
    <row r="20069">
      <c r="B20069" s="17"/>
    </row>
    <row r="20070">
      <c r="B20070" s="17"/>
    </row>
    <row r="20071">
      <c r="B20071" s="17"/>
    </row>
    <row r="20072">
      <c r="B20072" s="17"/>
    </row>
    <row r="20073">
      <c r="B20073" s="17"/>
    </row>
    <row r="20074">
      <c r="B20074" s="17"/>
    </row>
    <row r="20075">
      <c r="B20075" s="17"/>
    </row>
    <row r="20076">
      <c r="B20076" s="17"/>
    </row>
    <row r="20077">
      <c r="B20077" s="17"/>
    </row>
    <row r="20078">
      <c r="B20078" s="17"/>
    </row>
    <row r="20079">
      <c r="B20079" s="17"/>
    </row>
    <row r="20080">
      <c r="B20080" s="17"/>
    </row>
    <row r="20081">
      <c r="B20081" s="17"/>
    </row>
    <row r="20082">
      <c r="B20082" s="17"/>
    </row>
    <row r="20083">
      <c r="B20083" s="17"/>
    </row>
    <row r="20084">
      <c r="B20084" s="17"/>
    </row>
    <row r="20085">
      <c r="B20085" s="17"/>
    </row>
    <row r="20086">
      <c r="B20086" s="17"/>
    </row>
    <row r="20087">
      <c r="B20087" s="17"/>
    </row>
    <row r="20088">
      <c r="B20088" s="17"/>
    </row>
    <row r="20089">
      <c r="B20089" s="17"/>
    </row>
    <row r="20090">
      <c r="B20090" s="17"/>
    </row>
    <row r="20091">
      <c r="B20091" s="17"/>
    </row>
    <row r="20092">
      <c r="B20092" s="17"/>
    </row>
    <row r="20093">
      <c r="B20093" s="17"/>
    </row>
    <row r="20094">
      <c r="B20094" s="17"/>
    </row>
    <row r="20095">
      <c r="B20095" s="17"/>
    </row>
    <row r="20096">
      <c r="B20096" s="17"/>
    </row>
    <row r="20097">
      <c r="B20097" s="17"/>
    </row>
    <row r="20098">
      <c r="B20098" s="17"/>
    </row>
    <row r="20099">
      <c r="B20099" s="17"/>
    </row>
    <row r="20100">
      <c r="B20100" s="17"/>
    </row>
    <row r="20101">
      <c r="B20101" s="17"/>
    </row>
    <row r="20102">
      <c r="B20102" s="17"/>
    </row>
    <row r="20103">
      <c r="B20103" s="17"/>
    </row>
    <row r="20104">
      <c r="B20104" s="17"/>
    </row>
    <row r="20105">
      <c r="B20105" s="17"/>
    </row>
    <row r="20106">
      <c r="B20106" s="17"/>
    </row>
    <row r="20107">
      <c r="B20107" s="17"/>
    </row>
    <row r="20108">
      <c r="B20108" s="17"/>
    </row>
    <row r="20109">
      <c r="B20109" s="17"/>
    </row>
    <row r="20110">
      <c r="B20110" s="17"/>
    </row>
    <row r="20111">
      <c r="B20111" s="17"/>
    </row>
    <row r="20112">
      <c r="B20112" s="17"/>
    </row>
    <row r="20113">
      <c r="B20113" s="17"/>
    </row>
    <row r="20114">
      <c r="B20114" s="17"/>
    </row>
    <row r="20115">
      <c r="B20115" s="17"/>
    </row>
    <row r="20116">
      <c r="B20116" s="17"/>
    </row>
    <row r="20117">
      <c r="B20117" s="17"/>
    </row>
    <row r="20118">
      <c r="B20118" s="17"/>
    </row>
    <row r="20119">
      <c r="B20119" s="17"/>
    </row>
    <row r="20120">
      <c r="B20120" s="17"/>
    </row>
    <row r="20121">
      <c r="B20121" s="17"/>
    </row>
    <row r="20122">
      <c r="B20122" s="17"/>
    </row>
    <row r="20123">
      <c r="B20123" s="17"/>
    </row>
    <row r="20124">
      <c r="B20124" s="17"/>
    </row>
    <row r="20125">
      <c r="B20125" s="17"/>
    </row>
    <row r="20126">
      <c r="B20126" s="17"/>
    </row>
    <row r="20127">
      <c r="B20127" s="17"/>
    </row>
    <row r="20128">
      <c r="B20128" s="17"/>
    </row>
    <row r="20129">
      <c r="B20129" s="17"/>
    </row>
    <row r="20130">
      <c r="B20130" s="17"/>
    </row>
    <row r="20131">
      <c r="B20131" s="17"/>
    </row>
    <row r="20132">
      <c r="B20132" s="17"/>
    </row>
    <row r="20133">
      <c r="B20133" s="17"/>
    </row>
    <row r="20134">
      <c r="B20134" s="17"/>
    </row>
    <row r="20135">
      <c r="B20135" s="17"/>
    </row>
    <row r="20136">
      <c r="B20136" s="17"/>
    </row>
    <row r="20137">
      <c r="B20137" s="17"/>
    </row>
    <row r="20138">
      <c r="B20138" s="17"/>
    </row>
    <row r="20139">
      <c r="B20139" s="17"/>
    </row>
    <row r="20140">
      <c r="B20140" s="17"/>
    </row>
    <row r="20141">
      <c r="B20141" s="17"/>
    </row>
    <row r="20142">
      <c r="B20142" s="17"/>
    </row>
    <row r="20143">
      <c r="B20143" s="17"/>
    </row>
    <row r="20144">
      <c r="B20144" s="17"/>
    </row>
    <row r="20145">
      <c r="B20145" s="17"/>
    </row>
    <row r="20146">
      <c r="B20146" s="17"/>
    </row>
    <row r="20147">
      <c r="B20147" s="17"/>
    </row>
    <row r="20148">
      <c r="B20148" s="17"/>
    </row>
    <row r="20149">
      <c r="B20149" s="17"/>
    </row>
    <row r="20150">
      <c r="B20150" s="17"/>
    </row>
    <row r="20151">
      <c r="B20151" s="17"/>
    </row>
    <row r="20152">
      <c r="B20152" s="17"/>
    </row>
    <row r="20153">
      <c r="B20153" s="17"/>
    </row>
    <row r="20154">
      <c r="B20154" s="17"/>
    </row>
    <row r="20155">
      <c r="B20155" s="17"/>
    </row>
    <row r="20156">
      <c r="B20156" s="17"/>
    </row>
    <row r="20157">
      <c r="B20157" s="17"/>
    </row>
    <row r="20158">
      <c r="B20158" s="17"/>
    </row>
    <row r="20159">
      <c r="B20159" s="17"/>
    </row>
    <row r="20160">
      <c r="B20160" s="17"/>
    </row>
    <row r="20161">
      <c r="B20161" s="17"/>
    </row>
    <row r="20162">
      <c r="B20162" s="17"/>
    </row>
    <row r="20163">
      <c r="B20163" s="17"/>
    </row>
    <row r="20164">
      <c r="B20164" s="17"/>
    </row>
    <row r="20165">
      <c r="B20165" s="17"/>
    </row>
    <row r="20166">
      <c r="B20166" s="17"/>
    </row>
    <row r="20167">
      <c r="B20167" s="17"/>
    </row>
    <row r="20168">
      <c r="B20168" s="17"/>
    </row>
    <row r="20169">
      <c r="B20169" s="17"/>
    </row>
    <row r="20170">
      <c r="B20170" s="17"/>
    </row>
    <row r="20171">
      <c r="B20171" s="17"/>
    </row>
    <row r="20172">
      <c r="B20172" s="17"/>
    </row>
    <row r="20173">
      <c r="B20173" s="17"/>
    </row>
    <row r="20174">
      <c r="B20174" s="17"/>
    </row>
    <row r="20175">
      <c r="B20175" s="17"/>
    </row>
    <row r="20176">
      <c r="B20176" s="17"/>
    </row>
    <row r="20177">
      <c r="B20177" s="17"/>
    </row>
    <row r="20178">
      <c r="B20178" s="17"/>
    </row>
    <row r="20179">
      <c r="B20179" s="17"/>
    </row>
    <row r="20180">
      <c r="B20180" s="17"/>
    </row>
    <row r="20181">
      <c r="B20181" s="17"/>
    </row>
    <row r="20182">
      <c r="B20182" s="17"/>
    </row>
    <row r="20183">
      <c r="B20183" s="17"/>
    </row>
    <row r="20184">
      <c r="B20184" s="17"/>
    </row>
    <row r="20185">
      <c r="B20185" s="17"/>
    </row>
    <row r="20186">
      <c r="B20186" s="17"/>
    </row>
    <row r="20187">
      <c r="B20187" s="17"/>
    </row>
    <row r="20188">
      <c r="B20188" s="17"/>
    </row>
    <row r="20189">
      <c r="B20189" s="17"/>
    </row>
    <row r="20190">
      <c r="B20190" s="17"/>
    </row>
    <row r="20191">
      <c r="B20191" s="17"/>
    </row>
    <row r="20192">
      <c r="B20192" s="17"/>
    </row>
    <row r="20193">
      <c r="B20193" s="17"/>
    </row>
    <row r="20194">
      <c r="B20194" s="17"/>
    </row>
    <row r="20195">
      <c r="B20195" s="17"/>
    </row>
    <row r="20196">
      <c r="B20196" s="17"/>
    </row>
    <row r="20197">
      <c r="B20197" s="17"/>
    </row>
    <row r="20198">
      <c r="B20198" s="17"/>
    </row>
    <row r="20199">
      <c r="B20199" s="17"/>
    </row>
    <row r="20200">
      <c r="B20200" s="17"/>
    </row>
    <row r="20201">
      <c r="B20201" s="17"/>
    </row>
    <row r="20202">
      <c r="B20202" s="17"/>
    </row>
    <row r="20203">
      <c r="B20203" s="17"/>
    </row>
    <row r="20204">
      <c r="B20204" s="17"/>
    </row>
    <row r="20205">
      <c r="B20205" s="17"/>
    </row>
    <row r="20206">
      <c r="B20206" s="17"/>
    </row>
    <row r="20207">
      <c r="B20207" s="17"/>
    </row>
    <row r="20208">
      <c r="B20208" s="17"/>
    </row>
    <row r="20209">
      <c r="B20209" s="17"/>
    </row>
    <row r="20210">
      <c r="B20210" s="17"/>
    </row>
    <row r="20211">
      <c r="B20211" s="17"/>
    </row>
    <row r="20212">
      <c r="B20212" s="17"/>
    </row>
    <row r="20213">
      <c r="B20213" s="17"/>
    </row>
    <row r="20214">
      <c r="B20214" s="17"/>
    </row>
    <row r="20215">
      <c r="B20215" s="17"/>
    </row>
    <row r="20216">
      <c r="B20216" s="17"/>
    </row>
    <row r="20217">
      <c r="B20217" s="17"/>
    </row>
    <row r="20218">
      <c r="B20218" s="17"/>
    </row>
    <row r="20219">
      <c r="B20219" s="17"/>
    </row>
    <row r="20220">
      <c r="B20220" s="17"/>
    </row>
    <row r="20221">
      <c r="B20221" s="17"/>
    </row>
    <row r="20222">
      <c r="B20222" s="17"/>
    </row>
    <row r="20223">
      <c r="B20223" s="17"/>
    </row>
    <row r="20224">
      <c r="B20224" s="17"/>
    </row>
    <row r="20225">
      <c r="B20225" s="17"/>
    </row>
    <row r="20226">
      <c r="B20226" s="17"/>
    </row>
    <row r="20227">
      <c r="B20227" s="17"/>
    </row>
    <row r="20228">
      <c r="B20228" s="17"/>
    </row>
    <row r="20229">
      <c r="B20229" s="17"/>
    </row>
    <row r="20230">
      <c r="B20230" s="17"/>
    </row>
    <row r="20231">
      <c r="B20231" s="17"/>
    </row>
    <row r="20232">
      <c r="B20232" s="17"/>
    </row>
    <row r="20233">
      <c r="B20233" s="17"/>
    </row>
    <row r="20234">
      <c r="B20234" s="17"/>
    </row>
    <row r="20235">
      <c r="B20235" s="17"/>
    </row>
    <row r="20236">
      <c r="B20236" s="17"/>
    </row>
    <row r="20237">
      <c r="B20237" s="17"/>
    </row>
    <row r="20238">
      <c r="B20238" s="17"/>
    </row>
    <row r="20239">
      <c r="B20239" s="17"/>
    </row>
    <row r="20240">
      <c r="B20240" s="17"/>
    </row>
    <row r="20241">
      <c r="B20241" s="17"/>
    </row>
    <row r="20242">
      <c r="B20242" s="17"/>
    </row>
    <row r="20243">
      <c r="B20243" s="17"/>
    </row>
    <row r="20244">
      <c r="B20244" s="17"/>
    </row>
    <row r="20245">
      <c r="B20245" s="17"/>
    </row>
    <row r="20246">
      <c r="B20246" s="17"/>
    </row>
    <row r="20247">
      <c r="B20247" s="17"/>
    </row>
    <row r="20248">
      <c r="B20248" s="17"/>
    </row>
    <row r="20249">
      <c r="B20249" s="17"/>
    </row>
    <row r="20250">
      <c r="B20250" s="17"/>
    </row>
    <row r="20251">
      <c r="B20251" s="17"/>
    </row>
    <row r="20252">
      <c r="B20252" s="17"/>
    </row>
    <row r="20253">
      <c r="B20253" s="17"/>
    </row>
    <row r="20254">
      <c r="B20254" s="17"/>
    </row>
    <row r="20255">
      <c r="B20255" s="17"/>
    </row>
    <row r="20256">
      <c r="B20256" s="17"/>
    </row>
    <row r="20257">
      <c r="B20257" s="17"/>
    </row>
    <row r="20258">
      <c r="B20258" s="17"/>
    </row>
    <row r="20259">
      <c r="B20259" s="17"/>
    </row>
    <row r="20260">
      <c r="B20260" s="17"/>
    </row>
    <row r="20261">
      <c r="B20261" s="17"/>
    </row>
    <row r="20262">
      <c r="B20262" s="17"/>
    </row>
    <row r="20263">
      <c r="B20263" s="17"/>
    </row>
    <row r="20264">
      <c r="B20264" s="17"/>
    </row>
    <row r="20265">
      <c r="B20265" s="17"/>
    </row>
    <row r="20266">
      <c r="B20266" s="17"/>
    </row>
    <row r="20267">
      <c r="B20267" s="17"/>
    </row>
    <row r="20268">
      <c r="B20268" s="17"/>
    </row>
    <row r="20269">
      <c r="B20269" s="17"/>
    </row>
    <row r="20270">
      <c r="B20270" s="17"/>
    </row>
    <row r="20271">
      <c r="B20271" s="17"/>
    </row>
    <row r="20272">
      <c r="B20272" s="17"/>
    </row>
    <row r="20273">
      <c r="B20273" s="17"/>
    </row>
    <row r="20274">
      <c r="B20274" s="17"/>
    </row>
    <row r="20275">
      <c r="B20275" s="17"/>
    </row>
    <row r="20276">
      <c r="B20276" s="17"/>
    </row>
    <row r="20277">
      <c r="B20277" s="17"/>
    </row>
    <row r="20278">
      <c r="B20278" s="17"/>
    </row>
    <row r="20279">
      <c r="B20279" s="17"/>
    </row>
    <row r="20280">
      <c r="B20280" s="17"/>
    </row>
    <row r="20281">
      <c r="B20281" s="17"/>
    </row>
    <row r="20282">
      <c r="B20282" s="17"/>
    </row>
    <row r="20283">
      <c r="B20283" s="17"/>
    </row>
    <row r="20284">
      <c r="B20284" s="17"/>
    </row>
    <row r="20285">
      <c r="B20285" s="17"/>
    </row>
    <row r="20286">
      <c r="B20286" s="17"/>
    </row>
    <row r="20287">
      <c r="B20287" s="17"/>
    </row>
    <row r="20288">
      <c r="B20288" s="17"/>
    </row>
    <row r="20289">
      <c r="B20289" s="17"/>
    </row>
    <row r="20290">
      <c r="B20290" s="17"/>
    </row>
    <row r="20291">
      <c r="B20291" s="17"/>
    </row>
    <row r="20292">
      <c r="B20292" s="17"/>
    </row>
    <row r="20293">
      <c r="B20293" s="17"/>
    </row>
    <row r="20294">
      <c r="B20294" s="17"/>
    </row>
    <row r="20295">
      <c r="B20295" s="17"/>
    </row>
    <row r="20296">
      <c r="B20296" s="17"/>
    </row>
    <row r="20297">
      <c r="B20297" s="17"/>
    </row>
    <row r="20298">
      <c r="B20298" s="17"/>
    </row>
    <row r="20299">
      <c r="B20299" s="17"/>
    </row>
    <row r="20300">
      <c r="B20300" s="17"/>
    </row>
    <row r="20301">
      <c r="B20301" s="17"/>
    </row>
    <row r="20302">
      <c r="B20302" s="17"/>
    </row>
    <row r="20303">
      <c r="B20303" s="17"/>
    </row>
    <row r="20304">
      <c r="B20304" s="17"/>
    </row>
    <row r="20305">
      <c r="B20305" s="17"/>
    </row>
    <row r="20306">
      <c r="B20306" s="17"/>
    </row>
    <row r="20307">
      <c r="B20307" s="17"/>
    </row>
    <row r="20308">
      <c r="B20308" s="17"/>
    </row>
    <row r="20309">
      <c r="B20309" s="17"/>
    </row>
    <row r="20310">
      <c r="B20310" s="17"/>
    </row>
    <row r="20311">
      <c r="B20311" s="17"/>
    </row>
    <row r="20312">
      <c r="B20312" s="17"/>
    </row>
    <row r="20313">
      <c r="B20313" s="17"/>
    </row>
    <row r="20314">
      <c r="B20314" s="17"/>
    </row>
    <row r="20315">
      <c r="B20315" s="17"/>
    </row>
    <row r="20316">
      <c r="B20316" s="17"/>
    </row>
    <row r="20317">
      <c r="B20317" s="17"/>
    </row>
    <row r="20318">
      <c r="B20318" s="17"/>
    </row>
    <row r="20319">
      <c r="B20319" s="17"/>
    </row>
    <row r="20320">
      <c r="B20320" s="17"/>
    </row>
    <row r="20321">
      <c r="B20321" s="17"/>
    </row>
    <row r="20322">
      <c r="B20322" s="17"/>
    </row>
    <row r="20323">
      <c r="B20323" s="17"/>
    </row>
    <row r="20324">
      <c r="B20324" s="17"/>
    </row>
    <row r="20325">
      <c r="B20325" s="17"/>
    </row>
    <row r="20326">
      <c r="B20326" s="17"/>
    </row>
    <row r="20327">
      <c r="B20327" s="17"/>
    </row>
    <row r="20328">
      <c r="B20328" s="17"/>
    </row>
    <row r="20329">
      <c r="B20329" s="17"/>
    </row>
    <row r="20330">
      <c r="B20330" s="17"/>
    </row>
    <row r="20331">
      <c r="B20331" s="17"/>
    </row>
    <row r="20332">
      <c r="B20332" s="17"/>
    </row>
    <row r="20333">
      <c r="B20333" s="17"/>
    </row>
    <row r="20334">
      <c r="B20334" s="17"/>
    </row>
    <row r="20335">
      <c r="B20335" s="17"/>
    </row>
    <row r="20336">
      <c r="B20336" s="17"/>
    </row>
    <row r="20337">
      <c r="B20337" s="17"/>
    </row>
    <row r="20338">
      <c r="B20338" s="17"/>
    </row>
    <row r="20339">
      <c r="B20339" s="17"/>
    </row>
    <row r="20340">
      <c r="B20340" s="17"/>
    </row>
    <row r="20341">
      <c r="B20341" s="17"/>
    </row>
    <row r="20342">
      <c r="B20342" s="17"/>
    </row>
    <row r="20343">
      <c r="B20343" s="17"/>
    </row>
    <row r="20344">
      <c r="B20344" s="17"/>
    </row>
    <row r="20345">
      <c r="B20345" s="17"/>
    </row>
    <row r="20346">
      <c r="B20346" s="17"/>
    </row>
    <row r="20347">
      <c r="B20347" s="17"/>
    </row>
    <row r="20348">
      <c r="B20348" s="17"/>
    </row>
    <row r="20349">
      <c r="B20349" s="17"/>
    </row>
    <row r="20350">
      <c r="B20350" s="17"/>
    </row>
    <row r="20351">
      <c r="B20351" s="17"/>
    </row>
    <row r="20352">
      <c r="B20352" s="17"/>
    </row>
    <row r="20353">
      <c r="B20353" s="17"/>
    </row>
    <row r="20354">
      <c r="B20354" s="17"/>
    </row>
    <row r="20355">
      <c r="B20355" s="17"/>
    </row>
    <row r="20356">
      <c r="B20356" s="17"/>
    </row>
    <row r="20357">
      <c r="B20357" s="17"/>
    </row>
    <row r="20358">
      <c r="B20358" s="17"/>
    </row>
    <row r="20359">
      <c r="B20359" s="17"/>
    </row>
    <row r="20360">
      <c r="B20360" s="17"/>
    </row>
    <row r="20361">
      <c r="B20361" s="17"/>
    </row>
    <row r="20362">
      <c r="B20362" s="17"/>
    </row>
    <row r="20363">
      <c r="B20363" s="17"/>
    </row>
    <row r="20364">
      <c r="B20364" s="17"/>
    </row>
    <row r="20365">
      <c r="B20365" s="17"/>
    </row>
    <row r="20366">
      <c r="B20366" s="17"/>
    </row>
    <row r="20367">
      <c r="B20367" s="17"/>
    </row>
    <row r="20368">
      <c r="B20368" s="17"/>
    </row>
    <row r="20369">
      <c r="B20369" s="17"/>
    </row>
    <row r="20370">
      <c r="B20370" s="17"/>
    </row>
    <row r="20371">
      <c r="B20371" s="17"/>
    </row>
    <row r="20372">
      <c r="B20372" s="17"/>
    </row>
    <row r="20373">
      <c r="B20373" s="17"/>
    </row>
    <row r="20374">
      <c r="B20374" s="17"/>
    </row>
    <row r="20375">
      <c r="B20375" s="17"/>
    </row>
    <row r="20376">
      <c r="B20376" s="17"/>
    </row>
    <row r="20377">
      <c r="B20377" s="17"/>
    </row>
    <row r="20378">
      <c r="B20378" s="17"/>
    </row>
    <row r="20379">
      <c r="B20379" s="17"/>
    </row>
    <row r="20380">
      <c r="B20380" s="17"/>
    </row>
    <row r="20381">
      <c r="B20381" s="17"/>
    </row>
    <row r="20382">
      <c r="B20382" s="17"/>
    </row>
    <row r="20383">
      <c r="B20383" s="17"/>
    </row>
    <row r="20384">
      <c r="B20384" s="17"/>
    </row>
    <row r="20385">
      <c r="B20385" s="17"/>
    </row>
    <row r="20386">
      <c r="B20386" s="17"/>
    </row>
    <row r="20387">
      <c r="B20387" s="17"/>
    </row>
    <row r="20388">
      <c r="B20388" s="17"/>
    </row>
    <row r="20389">
      <c r="B20389" s="17"/>
    </row>
    <row r="20390">
      <c r="B20390" s="17"/>
    </row>
    <row r="20391">
      <c r="B20391" s="17"/>
    </row>
    <row r="20392">
      <c r="B20392" s="17"/>
    </row>
    <row r="20393">
      <c r="B20393" s="17"/>
    </row>
    <row r="20394">
      <c r="B20394" s="17"/>
    </row>
    <row r="20395">
      <c r="B20395" s="17"/>
    </row>
    <row r="20396">
      <c r="B20396" s="17"/>
    </row>
    <row r="20397">
      <c r="B20397" s="17"/>
    </row>
    <row r="20398">
      <c r="B20398" s="17"/>
    </row>
    <row r="20399">
      <c r="B20399" s="17"/>
    </row>
    <row r="20400">
      <c r="B20400" s="17"/>
    </row>
    <row r="20401">
      <c r="B20401" s="17"/>
    </row>
    <row r="20402">
      <c r="B20402" s="17"/>
    </row>
    <row r="20403">
      <c r="B20403" s="17"/>
    </row>
    <row r="20404">
      <c r="B20404" s="17"/>
    </row>
    <row r="20405">
      <c r="B20405" s="17"/>
    </row>
    <row r="20406">
      <c r="B20406" s="17"/>
    </row>
    <row r="20407">
      <c r="B20407" s="17"/>
    </row>
    <row r="20408">
      <c r="B20408" s="17"/>
    </row>
    <row r="20409">
      <c r="B20409" s="17"/>
    </row>
    <row r="20410">
      <c r="B20410" s="17"/>
    </row>
    <row r="20411">
      <c r="B20411" s="17"/>
    </row>
    <row r="20412">
      <c r="B20412" s="17"/>
    </row>
    <row r="20413">
      <c r="B20413" s="17"/>
    </row>
    <row r="20414">
      <c r="B20414" s="17"/>
    </row>
    <row r="20415">
      <c r="B20415" s="17"/>
    </row>
    <row r="20416">
      <c r="B20416" s="17"/>
    </row>
    <row r="20417">
      <c r="B20417" s="17"/>
    </row>
    <row r="20418">
      <c r="B20418" s="17"/>
    </row>
    <row r="20419">
      <c r="B20419" s="17"/>
    </row>
    <row r="20420">
      <c r="B20420" s="17"/>
    </row>
    <row r="20421">
      <c r="B20421" s="17"/>
    </row>
    <row r="20422">
      <c r="B20422" s="17"/>
    </row>
    <row r="20423">
      <c r="B20423" s="17"/>
    </row>
    <row r="20424">
      <c r="B20424" s="17"/>
    </row>
    <row r="20425">
      <c r="B20425" s="17"/>
    </row>
    <row r="20426">
      <c r="B20426" s="17"/>
    </row>
    <row r="20427">
      <c r="B20427" s="17"/>
    </row>
    <row r="20428">
      <c r="B20428" s="17"/>
    </row>
    <row r="20429">
      <c r="B20429" s="17"/>
    </row>
    <row r="20430">
      <c r="B20430" s="17"/>
    </row>
    <row r="20431">
      <c r="B20431" s="17"/>
    </row>
    <row r="20432">
      <c r="B20432" s="17"/>
    </row>
    <row r="20433">
      <c r="B20433" s="17"/>
    </row>
    <row r="20434">
      <c r="B20434" s="17"/>
    </row>
    <row r="20435">
      <c r="B20435" s="17"/>
    </row>
    <row r="20436">
      <c r="B20436" s="17"/>
    </row>
    <row r="20437">
      <c r="B20437" s="17"/>
    </row>
    <row r="20438">
      <c r="B20438" s="17"/>
    </row>
    <row r="20439">
      <c r="B20439" s="17"/>
    </row>
    <row r="20440">
      <c r="B20440" s="17"/>
    </row>
    <row r="20441">
      <c r="B20441" s="17"/>
    </row>
    <row r="20442">
      <c r="B20442" s="17"/>
    </row>
    <row r="20443">
      <c r="B20443" s="17"/>
    </row>
    <row r="20444">
      <c r="B20444" s="17"/>
    </row>
    <row r="20445">
      <c r="B20445" s="17"/>
    </row>
    <row r="20446">
      <c r="B20446" s="17"/>
    </row>
    <row r="20447">
      <c r="B20447" s="17"/>
    </row>
    <row r="20448">
      <c r="B20448" s="17"/>
    </row>
    <row r="20449">
      <c r="B20449" s="17"/>
    </row>
    <row r="20450">
      <c r="B20450" s="17"/>
    </row>
    <row r="20451">
      <c r="B20451" s="17"/>
    </row>
    <row r="20452">
      <c r="B20452" s="17"/>
    </row>
    <row r="20453">
      <c r="B20453" s="17"/>
    </row>
    <row r="20454">
      <c r="B20454" s="17"/>
    </row>
    <row r="20455">
      <c r="B20455" s="17"/>
    </row>
    <row r="20456">
      <c r="B20456" s="17"/>
    </row>
    <row r="20457">
      <c r="B20457" s="17"/>
    </row>
    <row r="20458">
      <c r="B20458" s="17"/>
    </row>
    <row r="20459">
      <c r="B20459" s="17"/>
    </row>
    <row r="20460">
      <c r="B20460" s="17"/>
    </row>
    <row r="20461">
      <c r="B20461" s="17"/>
    </row>
    <row r="20462">
      <c r="B20462" s="17"/>
    </row>
    <row r="20463">
      <c r="B20463" s="17"/>
    </row>
    <row r="20464">
      <c r="B20464" s="17"/>
    </row>
    <row r="20465">
      <c r="B20465" s="17"/>
    </row>
    <row r="20466">
      <c r="B20466" s="17"/>
    </row>
    <row r="20467">
      <c r="B20467" s="17"/>
    </row>
    <row r="20468">
      <c r="B20468" s="17"/>
    </row>
    <row r="20469">
      <c r="B20469" s="17"/>
    </row>
    <row r="20470">
      <c r="B20470" s="17"/>
    </row>
    <row r="20471">
      <c r="B20471" s="17"/>
    </row>
    <row r="20472">
      <c r="B20472" s="17"/>
    </row>
    <row r="20473">
      <c r="B20473" s="17"/>
    </row>
    <row r="20474">
      <c r="B20474" s="17"/>
    </row>
    <row r="20475">
      <c r="B20475" s="17"/>
    </row>
    <row r="20476">
      <c r="B20476" s="17"/>
    </row>
    <row r="20477">
      <c r="B20477" s="17"/>
    </row>
    <row r="20478">
      <c r="B20478" s="17"/>
    </row>
    <row r="20479">
      <c r="B20479" s="17"/>
    </row>
    <row r="20480">
      <c r="B20480" s="17"/>
    </row>
    <row r="20481">
      <c r="B20481" s="17"/>
    </row>
    <row r="20482">
      <c r="B20482" s="17"/>
    </row>
    <row r="20483">
      <c r="B20483" s="17"/>
    </row>
    <row r="20484">
      <c r="B20484" s="17"/>
    </row>
    <row r="20485">
      <c r="B20485" s="17"/>
    </row>
    <row r="20486">
      <c r="B20486" s="17"/>
    </row>
    <row r="20487">
      <c r="B20487" s="17"/>
    </row>
    <row r="20488">
      <c r="B20488" s="17"/>
    </row>
    <row r="20489">
      <c r="B20489" s="17"/>
    </row>
    <row r="20490">
      <c r="B20490" s="17"/>
    </row>
    <row r="20491">
      <c r="B20491" s="17"/>
    </row>
    <row r="20492">
      <c r="B20492" s="17"/>
    </row>
    <row r="20493">
      <c r="B20493" s="17"/>
    </row>
    <row r="20494">
      <c r="B20494" s="17"/>
    </row>
    <row r="20495">
      <c r="B20495" s="17"/>
    </row>
    <row r="20496">
      <c r="B20496" s="17"/>
    </row>
    <row r="20497">
      <c r="B20497" s="17"/>
    </row>
    <row r="20498">
      <c r="B20498" s="17"/>
    </row>
    <row r="20499">
      <c r="B20499" s="17"/>
    </row>
    <row r="20500">
      <c r="B20500" s="17"/>
    </row>
    <row r="20501">
      <c r="B20501" s="17"/>
    </row>
    <row r="20502">
      <c r="B20502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A2" s="4" t="s">
        <v>6</v>
      </c>
      <c r="B2" s="5">
        <f>'Critters Per Run'!C3</f>
        <v>6</v>
      </c>
      <c r="C2" s="8">
        <f t="shared" ref="C2:C38" si="1">1-(1-1/2048)^B2</f>
        <v>0.002926113549</v>
      </c>
      <c r="D2" s="8">
        <f t="shared" ref="D2:D38" si="2">1-C2</f>
        <v>0.9970738865</v>
      </c>
    </row>
    <row r="3">
      <c r="A3" s="4" t="s">
        <v>11</v>
      </c>
      <c r="B3" s="5">
        <f>'Critters Per Run'!C4</f>
        <v>7</v>
      </c>
      <c r="C3" s="8">
        <f t="shared" si="1"/>
        <v>0.003412966032</v>
      </c>
      <c r="D3" s="8">
        <f t="shared" si="2"/>
        <v>0.996587034</v>
      </c>
    </row>
    <row r="4">
      <c r="A4" s="4" t="s">
        <v>14</v>
      </c>
      <c r="B4" s="5">
        <f>'Critters Per Run'!C5</f>
        <v>6</v>
      </c>
      <c r="C4" s="8">
        <f t="shared" si="1"/>
        <v>0.002926113549</v>
      </c>
      <c r="D4" s="8">
        <f t="shared" si="2"/>
        <v>0.9970738865</v>
      </c>
    </row>
    <row r="5">
      <c r="A5" s="4" t="s">
        <v>15</v>
      </c>
      <c r="B5" s="5">
        <f>'Critters Per Run'!C6</f>
        <v>4</v>
      </c>
      <c r="C5" s="8">
        <f t="shared" si="1"/>
        <v>0.001951694954</v>
      </c>
      <c r="D5" s="8">
        <f t="shared" si="2"/>
        <v>0.998048305</v>
      </c>
    </row>
    <row r="6">
      <c r="A6" s="4" t="s">
        <v>17</v>
      </c>
      <c r="B6" s="5">
        <f>'Critters Per Run'!C7</f>
        <v>3</v>
      </c>
      <c r="C6" s="8">
        <f t="shared" si="1"/>
        <v>0.001464128611</v>
      </c>
      <c r="D6" s="8">
        <f t="shared" si="2"/>
        <v>0.9985358714</v>
      </c>
    </row>
    <row r="7">
      <c r="A7" s="4" t="s">
        <v>18</v>
      </c>
      <c r="B7" s="17">
        <f>'Critters Per Run'!C8</f>
        <v>4.125</v>
      </c>
      <c r="C7" s="8">
        <f t="shared" si="1"/>
        <v>0.002012624005</v>
      </c>
      <c r="D7" s="8">
        <f t="shared" si="2"/>
        <v>0.997987376</v>
      </c>
    </row>
    <row r="8">
      <c r="A8" s="4" t="s">
        <v>19</v>
      </c>
      <c r="B8" s="5">
        <f>'Critters Per Run'!C9</f>
        <v>2.5</v>
      </c>
      <c r="C8" s="8">
        <f t="shared" si="1"/>
        <v>0.001220256127</v>
      </c>
      <c r="D8" s="8">
        <f t="shared" si="2"/>
        <v>0.9987797439</v>
      </c>
    </row>
    <row r="9">
      <c r="A9" s="4" t="s">
        <v>22</v>
      </c>
      <c r="B9" s="5">
        <f>'Critters Per Run'!C10</f>
        <v>2.5</v>
      </c>
      <c r="C9" s="8">
        <f t="shared" si="1"/>
        <v>0.001220256127</v>
      </c>
      <c r="D9" s="8">
        <f t="shared" si="2"/>
        <v>0.9987797439</v>
      </c>
    </row>
    <row r="10">
      <c r="A10" s="4" t="s">
        <v>24</v>
      </c>
      <c r="B10" s="5">
        <f>'Critters Per Run'!C11</f>
        <v>3</v>
      </c>
      <c r="C10" s="8">
        <f t="shared" si="1"/>
        <v>0.001464128611</v>
      </c>
      <c r="D10" s="8">
        <f t="shared" si="2"/>
        <v>0.9985358714</v>
      </c>
    </row>
    <row r="11">
      <c r="A11" s="4" t="s">
        <v>26</v>
      </c>
      <c r="B11" s="5">
        <f>'Critters Per Run'!C13</f>
        <v>7</v>
      </c>
      <c r="C11" s="8">
        <f t="shared" si="1"/>
        <v>0.003412966032</v>
      </c>
      <c r="D11" s="8">
        <f t="shared" si="2"/>
        <v>0.996587034</v>
      </c>
    </row>
    <row r="12">
      <c r="A12" s="4" t="s">
        <v>28</v>
      </c>
      <c r="B12" s="5">
        <f>'Critters Per Run'!C14</f>
        <v>6.199671201</v>
      </c>
      <c r="C12" s="8">
        <f t="shared" si="1"/>
        <v>0.003023342969</v>
      </c>
      <c r="D12" s="8">
        <f t="shared" si="2"/>
        <v>0.996976657</v>
      </c>
    </row>
    <row r="13">
      <c r="A13" s="4" t="s">
        <v>29</v>
      </c>
      <c r="B13" s="5">
        <f>'Critters Per Run'!C15</f>
        <v>4.5</v>
      </c>
      <c r="C13" s="8">
        <f t="shared" si="1"/>
        <v>0.002195388843</v>
      </c>
      <c r="D13" s="8">
        <f t="shared" si="2"/>
        <v>0.9978046112</v>
      </c>
    </row>
    <row r="14">
      <c r="A14" s="4" t="s">
        <v>30</v>
      </c>
      <c r="B14" s="5">
        <f>'Critters Per Run'!C16</f>
        <v>4.5</v>
      </c>
      <c r="C14" s="8">
        <f t="shared" si="1"/>
        <v>0.002195388843</v>
      </c>
      <c r="D14" s="8">
        <f t="shared" si="2"/>
        <v>0.9978046112</v>
      </c>
    </row>
    <row r="15">
      <c r="A15" s="4" t="s">
        <v>31</v>
      </c>
      <c r="B15" s="5">
        <f>'Critters Per Run'!C17</f>
        <v>4.5</v>
      </c>
      <c r="C15" s="8">
        <f t="shared" si="1"/>
        <v>0.002195388843</v>
      </c>
      <c r="D15" s="8">
        <f t="shared" si="2"/>
        <v>0.9978046112</v>
      </c>
    </row>
    <row r="16">
      <c r="A16" s="4" t="s">
        <v>32</v>
      </c>
      <c r="B16" s="5">
        <f>'Critters Per Run'!C18</f>
        <v>2</v>
      </c>
      <c r="C16" s="8">
        <f t="shared" si="1"/>
        <v>0.0009763240814</v>
      </c>
      <c r="D16" s="8">
        <f t="shared" si="2"/>
        <v>0.9990236759</v>
      </c>
    </row>
    <row r="17">
      <c r="A17" s="4" t="s">
        <v>33</v>
      </c>
      <c r="B17" s="5">
        <f>'Critters Per Run'!C19</f>
        <v>2</v>
      </c>
      <c r="C17" s="8">
        <f t="shared" si="1"/>
        <v>0.0009763240814</v>
      </c>
      <c r="D17" s="8">
        <f t="shared" si="2"/>
        <v>0.9990236759</v>
      </c>
    </row>
    <row r="18">
      <c r="A18" s="4" t="s">
        <v>39</v>
      </c>
      <c r="B18" s="5">
        <f>'Critters Per Run'!C20</f>
        <v>3.153415248</v>
      </c>
      <c r="C18" s="8">
        <f t="shared" si="1"/>
        <v>0.001538944187</v>
      </c>
      <c r="D18" s="8">
        <f t="shared" si="2"/>
        <v>0.9984610558</v>
      </c>
    </row>
    <row r="19">
      <c r="A19" s="4" t="s">
        <v>42</v>
      </c>
      <c r="B19" s="5">
        <f>'Critters Per Run'!C21</f>
        <v>1.293827103</v>
      </c>
      <c r="C19" s="8">
        <f t="shared" si="1"/>
        <v>0.0006317061911</v>
      </c>
      <c r="D19" s="8">
        <f t="shared" si="2"/>
        <v>0.9993682938</v>
      </c>
    </row>
    <row r="20">
      <c r="A20" s="4" t="s">
        <v>44</v>
      </c>
      <c r="B20" s="5">
        <f>'Critters Per Run'!C23</f>
        <v>4.5</v>
      </c>
      <c r="C20" s="8">
        <f t="shared" si="1"/>
        <v>0.002195388843</v>
      </c>
      <c r="D20" s="8">
        <f t="shared" si="2"/>
        <v>0.9978046112</v>
      </c>
    </row>
    <row r="21">
      <c r="A21" s="4" t="s">
        <v>46</v>
      </c>
      <c r="B21" s="5">
        <f>'Critters Per Run'!C24</f>
        <v>4.5</v>
      </c>
      <c r="C21" s="8">
        <f t="shared" si="1"/>
        <v>0.002195388843</v>
      </c>
      <c r="D21" s="8">
        <f t="shared" si="2"/>
        <v>0.9978046112</v>
      </c>
    </row>
    <row r="22">
      <c r="A22" s="4" t="s">
        <v>47</v>
      </c>
      <c r="B22" s="5">
        <f>'Critters Per Run'!C25</f>
        <v>3</v>
      </c>
      <c r="C22" s="8">
        <f t="shared" si="1"/>
        <v>0.001464128611</v>
      </c>
      <c r="D22" s="8">
        <f t="shared" si="2"/>
        <v>0.9985358714</v>
      </c>
    </row>
    <row r="23">
      <c r="A23" s="4" t="s">
        <v>48</v>
      </c>
      <c r="B23" s="5">
        <f>'Critters Per Run'!C26</f>
        <v>4</v>
      </c>
      <c r="C23" s="8">
        <f t="shared" si="1"/>
        <v>0.001951694954</v>
      </c>
      <c r="D23" s="8">
        <f t="shared" si="2"/>
        <v>0.998048305</v>
      </c>
    </row>
    <row r="24">
      <c r="A24" s="4" t="s">
        <v>49</v>
      </c>
      <c r="B24" s="5">
        <f>'Critters Per Run'!C27</f>
        <v>5</v>
      </c>
      <c r="C24" s="8">
        <f t="shared" si="1"/>
        <v>0.002439023228</v>
      </c>
      <c r="D24" s="8">
        <f t="shared" si="2"/>
        <v>0.9975609768</v>
      </c>
    </row>
    <row r="25">
      <c r="A25" s="4" t="s">
        <v>51</v>
      </c>
      <c r="B25" s="5">
        <f>'Critters Per Run'!C28</f>
        <v>6</v>
      </c>
      <c r="C25" s="8">
        <f t="shared" si="1"/>
        <v>0.002926113549</v>
      </c>
      <c r="D25" s="8">
        <f t="shared" si="2"/>
        <v>0.9970738865</v>
      </c>
    </row>
    <row r="26">
      <c r="A26" s="4" t="s">
        <v>53</v>
      </c>
      <c r="B26" s="5">
        <f>'Critters Per Run'!C29</f>
        <v>4.722222222</v>
      </c>
      <c r="C26" s="8">
        <f t="shared" si="1"/>
        <v>0.002303678137</v>
      </c>
      <c r="D26" s="8">
        <f t="shared" si="2"/>
        <v>0.9976963219</v>
      </c>
    </row>
    <row r="27">
      <c r="A27" s="4" t="s">
        <v>54</v>
      </c>
      <c r="B27" s="5">
        <f>'Critters Per Run'!C30</f>
        <v>3</v>
      </c>
      <c r="C27" s="8">
        <f t="shared" si="1"/>
        <v>0.001464128611</v>
      </c>
      <c r="D27" s="8">
        <f t="shared" si="2"/>
        <v>0.9985358714</v>
      </c>
    </row>
    <row r="28">
      <c r="A28" s="4" t="s">
        <v>55</v>
      </c>
      <c r="B28" s="5">
        <f>'Critters Per Run'!C31</f>
        <v>1</v>
      </c>
      <c r="C28" s="8">
        <f t="shared" si="1"/>
        <v>0.00048828125</v>
      </c>
      <c r="D28" s="8">
        <f t="shared" si="2"/>
        <v>0.9995117188</v>
      </c>
    </row>
    <row r="29">
      <c r="A29" s="4" t="s">
        <v>56</v>
      </c>
      <c r="B29" s="5">
        <f>'Critters Per Run'!C32</f>
        <v>1</v>
      </c>
      <c r="C29" s="8">
        <f t="shared" si="1"/>
        <v>0.00048828125</v>
      </c>
      <c r="D29" s="8">
        <f t="shared" si="2"/>
        <v>0.9995117188</v>
      </c>
    </row>
    <row r="30">
      <c r="A30" s="4" t="s">
        <v>57</v>
      </c>
      <c r="B30" s="5">
        <f>'Critters Per Run'!C34</f>
        <v>6</v>
      </c>
      <c r="C30" s="8">
        <f t="shared" si="1"/>
        <v>0.002926113549</v>
      </c>
      <c r="D30" s="8">
        <f t="shared" si="2"/>
        <v>0.9970738865</v>
      </c>
    </row>
    <row r="31">
      <c r="A31" s="4" t="s">
        <v>58</v>
      </c>
      <c r="B31" s="5">
        <f>'Critters Per Run'!B35</f>
        <v>7</v>
      </c>
      <c r="C31" s="8">
        <f t="shared" si="1"/>
        <v>0.003412966032</v>
      </c>
      <c r="D31" s="8">
        <f t="shared" si="2"/>
        <v>0.996587034</v>
      </c>
    </row>
    <row r="32">
      <c r="A32" s="4" t="s">
        <v>59</v>
      </c>
      <c r="B32" s="5">
        <f>'Critters Per Run'!B36</f>
        <v>3</v>
      </c>
      <c r="C32" s="8">
        <f t="shared" si="1"/>
        <v>0.001464128611</v>
      </c>
      <c r="D32" s="8">
        <f t="shared" si="2"/>
        <v>0.9985358714</v>
      </c>
    </row>
    <row r="33">
      <c r="A33" s="4" t="s">
        <v>60</v>
      </c>
      <c r="B33" s="5">
        <f>'Critters Per Run'!B37</f>
        <v>4.5</v>
      </c>
      <c r="C33" s="8">
        <f t="shared" si="1"/>
        <v>0.002195388843</v>
      </c>
      <c r="D33" s="8">
        <f t="shared" si="2"/>
        <v>0.9978046112</v>
      </c>
    </row>
    <row r="34">
      <c r="A34" s="4" t="s">
        <v>61</v>
      </c>
      <c r="B34" s="5">
        <f>'Critters Per Run'!B38</f>
        <v>3</v>
      </c>
      <c r="C34" s="8">
        <f t="shared" si="1"/>
        <v>0.001464128611</v>
      </c>
      <c r="D34" s="8">
        <f t="shared" si="2"/>
        <v>0.9985358714</v>
      </c>
    </row>
    <row r="35">
      <c r="A35" s="4" t="s">
        <v>62</v>
      </c>
      <c r="B35" s="5">
        <f>'Critters Per Run'!B39</f>
        <v>4.5</v>
      </c>
      <c r="C35" s="8">
        <f t="shared" si="1"/>
        <v>0.002195388843</v>
      </c>
      <c r="D35" s="8">
        <f t="shared" si="2"/>
        <v>0.9978046112</v>
      </c>
    </row>
    <row r="36">
      <c r="A36" s="4" t="s">
        <v>63</v>
      </c>
      <c r="B36" s="5">
        <f>'Critters Per Run'!B40</f>
        <v>3</v>
      </c>
      <c r="C36" s="8">
        <f t="shared" si="1"/>
        <v>0.001464128611</v>
      </c>
      <c r="D36" s="8">
        <f t="shared" si="2"/>
        <v>0.9985358714</v>
      </c>
    </row>
    <row r="37">
      <c r="A37" s="4" t="s">
        <v>64</v>
      </c>
      <c r="B37" s="5">
        <f>'Critters Per Run'!B41</f>
        <v>3</v>
      </c>
      <c r="C37" s="8">
        <f t="shared" si="1"/>
        <v>0.001464128611</v>
      </c>
      <c r="D37" s="8">
        <f t="shared" si="2"/>
        <v>0.9985358714</v>
      </c>
    </row>
    <row r="38">
      <c r="A38" s="4" t="s">
        <v>65</v>
      </c>
      <c r="B38" s="5">
        <f>'Critters Per Run'!B42</f>
        <v>1</v>
      </c>
      <c r="C38" s="8">
        <f t="shared" si="1"/>
        <v>0.00048828125</v>
      </c>
      <c r="D38" s="8">
        <f t="shared" si="2"/>
        <v>0.9995117188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6.5"/>
    <col customWidth="1" min="3" max="3" width="17.5"/>
    <col customWidth="1" min="4" max="4" width="12.25"/>
    <col customWidth="1" min="5" max="5" width="6.75"/>
    <col customWidth="1" min="6" max="6" width="60.38"/>
  </cols>
  <sheetData>
    <row r="1">
      <c r="A1" s="7" t="s">
        <v>0</v>
      </c>
      <c r="B1" s="9" t="s">
        <v>8</v>
      </c>
      <c r="C1" s="9" t="s">
        <v>9</v>
      </c>
      <c r="D1" s="9" t="s">
        <v>10</v>
      </c>
      <c r="E1" s="10"/>
      <c r="F1" s="11" t="s">
        <v>12</v>
      </c>
    </row>
    <row r="2">
      <c r="A2" s="12" t="s">
        <v>13</v>
      </c>
      <c r="B2" s="13"/>
      <c r="C2" s="13"/>
      <c r="D2" s="14"/>
      <c r="E2" s="10"/>
      <c r="F2" s="15" t="s">
        <v>16</v>
      </c>
    </row>
    <row r="3" ht="15.75" customHeight="1">
      <c r="A3" s="16" t="s">
        <v>6</v>
      </c>
      <c r="B3" s="18">
        <v>6.0</v>
      </c>
      <c r="C3" s="18">
        <v>6.0</v>
      </c>
      <c r="D3" s="19">
        <v>46120.0</v>
      </c>
      <c r="E3" s="10"/>
      <c r="F3" s="20" t="s">
        <v>20</v>
      </c>
    </row>
    <row r="4" ht="15.75" customHeight="1">
      <c r="A4" s="16" t="s">
        <v>11</v>
      </c>
      <c r="B4" s="18">
        <v>7.0</v>
      </c>
      <c r="C4" s="18">
        <v>7.0</v>
      </c>
      <c r="D4" s="19">
        <v>46181.0</v>
      </c>
      <c r="E4" s="10"/>
      <c r="F4" s="21" t="s">
        <v>21</v>
      </c>
    </row>
    <row r="5" ht="15.75" customHeight="1">
      <c r="A5" s="16" t="s">
        <v>14</v>
      </c>
      <c r="B5" s="18">
        <v>6.0</v>
      </c>
      <c r="C5" s="18">
        <v>6.0</v>
      </c>
      <c r="D5" s="19">
        <v>46120.0</v>
      </c>
      <c r="E5" s="10"/>
      <c r="F5" s="21" t="s">
        <v>23</v>
      </c>
    </row>
    <row r="6" ht="15.75" customHeight="1">
      <c r="A6" s="22" t="s">
        <v>15</v>
      </c>
      <c r="B6" s="18">
        <v>4.5</v>
      </c>
      <c r="C6" s="23">
        <v>4.0</v>
      </c>
      <c r="D6" s="19">
        <v>46087.0</v>
      </c>
      <c r="E6" s="10"/>
      <c r="F6" s="21" t="s">
        <v>25</v>
      </c>
    </row>
    <row r="7" ht="15.75" customHeight="1">
      <c r="A7" s="24" t="s">
        <v>17</v>
      </c>
      <c r="B7" s="18">
        <v>3.0</v>
      </c>
      <c r="C7" s="18">
        <v>3.0</v>
      </c>
      <c r="D7" s="19">
        <v>46057.0</v>
      </c>
      <c r="E7" s="10"/>
      <c r="F7" s="21" t="s">
        <v>27</v>
      </c>
    </row>
    <row r="8" ht="15.75" customHeight="1">
      <c r="A8" s="24" t="s">
        <v>18</v>
      </c>
      <c r="B8" s="25">
        <f>CalculationsNotesTests!F14</f>
        <v>4.125</v>
      </c>
      <c r="C8" s="25">
        <f>CalculationsNotesTests!F14</f>
        <v>4.125</v>
      </c>
      <c r="D8" s="26" t="s">
        <v>34</v>
      </c>
      <c r="E8" s="10"/>
      <c r="F8" s="21" t="s">
        <v>35</v>
      </c>
    </row>
    <row r="9" ht="15.75" customHeight="1">
      <c r="A9" s="24" t="s">
        <v>19</v>
      </c>
      <c r="B9" s="18">
        <v>3.0</v>
      </c>
      <c r="C9" s="23">
        <v>2.5</v>
      </c>
      <c r="D9" s="26">
        <v>3.0</v>
      </c>
      <c r="E9" s="10"/>
      <c r="F9" s="21" t="s">
        <v>36</v>
      </c>
    </row>
    <row r="10" ht="15.75" customHeight="1">
      <c r="A10" s="24" t="s">
        <v>22</v>
      </c>
      <c r="B10" s="18">
        <v>2.5</v>
      </c>
      <c r="C10" s="18">
        <v>2.5</v>
      </c>
      <c r="D10" s="26" t="s">
        <v>37</v>
      </c>
      <c r="E10" s="10"/>
      <c r="F10" s="21" t="s">
        <v>38</v>
      </c>
    </row>
    <row r="11" ht="15.75" customHeight="1">
      <c r="A11" s="27" t="s">
        <v>24</v>
      </c>
      <c r="B11" s="18">
        <v>3.0</v>
      </c>
      <c r="C11" s="18">
        <v>3.0</v>
      </c>
      <c r="D11" s="26">
        <v>3.0</v>
      </c>
      <c r="E11" s="10"/>
      <c r="F11" s="21" t="s">
        <v>40</v>
      </c>
    </row>
    <row r="12">
      <c r="A12" s="28" t="s">
        <v>41</v>
      </c>
      <c r="B12" s="13"/>
      <c r="C12" s="13"/>
      <c r="D12" s="14"/>
      <c r="E12" s="10"/>
      <c r="F12" s="21" t="s">
        <v>43</v>
      </c>
    </row>
    <row r="13" ht="15.75" customHeight="1">
      <c r="A13" s="16" t="s">
        <v>26</v>
      </c>
      <c r="B13" s="18">
        <v>7.0</v>
      </c>
      <c r="C13" s="18">
        <v>7.0</v>
      </c>
      <c r="D13" s="19">
        <v>46181.0</v>
      </c>
      <c r="E13" s="10"/>
      <c r="F13" s="21" t="s">
        <v>45</v>
      </c>
    </row>
    <row r="14" ht="15.75" customHeight="1">
      <c r="A14" s="22" t="s">
        <v>28</v>
      </c>
      <c r="B14" s="18">
        <f>CalculationsNotesTests!$L45*CalculationsNotesTests!$J21</f>
        <v>7.232949734</v>
      </c>
      <c r="C14" s="18">
        <f>10*CalculationsNotesTests!$J21</f>
        <v>6.199671201</v>
      </c>
      <c r="D14" s="26" t="s">
        <v>34</v>
      </c>
      <c r="E14" s="10"/>
      <c r="F14" s="29" t="s">
        <v>50</v>
      </c>
    </row>
    <row r="15" ht="15.75" customHeight="1">
      <c r="A15" s="22" t="s">
        <v>29</v>
      </c>
      <c r="B15" s="18">
        <v>4.5</v>
      </c>
      <c r="C15" s="18">
        <v>4.5</v>
      </c>
      <c r="D15" s="19">
        <v>46087.0</v>
      </c>
      <c r="E15" s="10"/>
      <c r="F15" s="10"/>
    </row>
    <row r="16" ht="15.75" customHeight="1">
      <c r="A16" s="22" t="s">
        <v>30</v>
      </c>
      <c r="B16" s="18">
        <v>4.5</v>
      </c>
      <c r="C16" s="18">
        <v>4.5</v>
      </c>
      <c r="D16" s="19">
        <v>46087.0</v>
      </c>
      <c r="E16" s="10"/>
      <c r="F16" s="30" t="s">
        <v>52</v>
      </c>
    </row>
    <row r="17" ht="15.75" customHeight="1">
      <c r="A17" s="22" t="s">
        <v>31</v>
      </c>
      <c r="B17" s="18">
        <v>4.5</v>
      </c>
      <c r="C17" s="18">
        <v>4.5</v>
      </c>
      <c r="D17" s="19">
        <v>46087.0</v>
      </c>
      <c r="E17" s="10"/>
      <c r="F17" s="10"/>
    </row>
    <row r="18" ht="15.75" customHeight="1">
      <c r="A18" s="24" t="s">
        <v>32</v>
      </c>
      <c r="B18" s="18">
        <v>2.0</v>
      </c>
      <c r="C18" s="18">
        <v>2.0</v>
      </c>
      <c r="D18" s="19">
        <v>46025.0</v>
      </c>
      <c r="E18" s="10"/>
      <c r="F18" s="10"/>
    </row>
    <row r="19" ht="15.75" customHeight="1">
      <c r="A19" s="24" t="s">
        <v>33</v>
      </c>
      <c r="B19" s="18">
        <v>2.0</v>
      </c>
      <c r="C19" s="18">
        <v>2.0</v>
      </c>
      <c r="D19" s="19">
        <v>46025.0</v>
      </c>
      <c r="E19" s="10"/>
      <c r="F19" s="10"/>
    </row>
    <row r="20" ht="15.75" customHeight="1">
      <c r="A20" s="24" t="s">
        <v>39</v>
      </c>
      <c r="B20" s="18">
        <f>CalculationsNotesTests!$L45*CalculationsNotesTests!$L21</f>
        <v>3.678984456</v>
      </c>
      <c r="C20" s="18">
        <f>10*CalculationsNotesTests!$L21</f>
        <v>3.153415248</v>
      </c>
      <c r="D20" s="26" t="s">
        <v>34</v>
      </c>
      <c r="E20" s="10"/>
      <c r="F20" s="10"/>
    </row>
    <row r="21" ht="15.75" customHeight="1">
      <c r="A21" s="31" t="s">
        <v>42</v>
      </c>
      <c r="B21" s="18">
        <f>(CalculationsNotesTests!$L45*CalculationsNotesTests!$N21)*2</f>
        <v>1.509464953</v>
      </c>
      <c r="C21" s="18">
        <f>(10*CalculationsNotesTests!$N21)*2</f>
        <v>1.293827103</v>
      </c>
      <c r="D21" s="26" t="s">
        <v>66</v>
      </c>
      <c r="E21" s="10"/>
      <c r="F21" s="10"/>
    </row>
    <row r="22">
      <c r="A22" s="32" t="s">
        <v>67</v>
      </c>
      <c r="B22" s="13"/>
      <c r="C22" s="13"/>
      <c r="D22" s="14"/>
      <c r="E22" s="10"/>
      <c r="F22" s="10"/>
    </row>
    <row r="23" ht="15.75" customHeight="1">
      <c r="A23" s="22" t="s">
        <v>44</v>
      </c>
      <c r="B23" s="18">
        <v>4.5</v>
      </c>
      <c r="C23" s="18">
        <v>4.5</v>
      </c>
      <c r="D23" s="19">
        <v>46087.0</v>
      </c>
      <c r="E23" s="10"/>
      <c r="F23" s="10"/>
    </row>
    <row r="24" ht="15.75" customHeight="1">
      <c r="A24" s="22" t="s">
        <v>46</v>
      </c>
      <c r="B24" s="18">
        <v>4.5</v>
      </c>
      <c r="C24" s="18">
        <v>4.5</v>
      </c>
      <c r="D24" s="19">
        <v>46087.0</v>
      </c>
      <c r="E24" s="10"/>
      <c r="F24" s="10"/>
    </row>
    <row r="25" ht="15.75" customHeight="1">
      <c r="A25" s="22" t="s">
        <v>47</v>
      </c>
      <c r="B25" s="18">
        <v>3.0</v>
      </c>
      <c r="C25" s="18">
        <v>3.0</v>
      </c>
      <c r="D25" s="19">
        <v>46057.0</v>
      </c>
      <c r="E25" s="10"/>
      <c r="F25" s="10"/>
    </row>
    <row r="26" ht="15.75" customHeight="1">
      <c r="A26" s="22" t="s">
        <v>48</v>
      </c>
      <c r="B26" s="18">
        <v>4.0</v>
      </c>
      <c r="C26" s="18">
        <v>4.0</v>
      </c>
      <c r="D26" s="26">
        <v>4.0</v>
      </c>
      <c r="E26" s="10"/>
      <c r="F26" s="10"/>
    </row>
    <row r="27" ht="15.75" customHeight="1">
      <c r="A27" s="22" t="s">
        <v>49</v>
      </c>
      <c r="B27" s="18">
        <v>6.0</v>
      </c>
      <c r="C27" s="23">
        <v>5.0</v>
      </c>
      <c r="D27" s="19">
        <v>46120.0</v>
      </c>
      <c r="E27" s="10"/>
      <c r="F27" s="10"/>
    </row>
    <row r="28" ht="15.75" customHeight="1">
      <c r="A28" s="22" t="s">
        <v>51</v>
      </c>
      <c r="B28" s="18">
        <v>6.0</v>
      </c>
      <c r="C28" s="18">
        <v>6.0</v>
      </c>
      <c r="D28" s="19">
        <v>46120.0</v>
      </c>
      <c r="E28" s="10"/>
      <c r="F28" s="10"/>
    </row>
    <row r="29" ht="15.75" customHeight="1">
      <c r="A29" s="24" t="s">
        <v>53</v>
      </c>
      <c r="B29" s="18">
        <f>4.5+(8*CalculationsNotesTests!$L48)</f>
        <v>5.388888889</v>
      </c>
      <c r="C29" s="18">
        <f>4.5+(2*CalculationsNotesTests!$L48)</f>
        <v>4.722222222</v>
      </c>
      <c r="D29" s="26" t="s">
        <v>68</v>
      </c>
      <c r="E29" s="10"/>
      <c r="F29" s="10"/>
    </row>
    <row r="30" ht="15.75" customHeight="1">
      <c r="A30" s="24" t="s">
        <v>54</v>
      </c>
      <c r="B30" s="18">
        <v>3.0</v>
      </c>
      <c r="C30" s="18">
        <v>3.0</v>
      </c>
      <c r="D30" s="19">
        <v>46057.0</v>
      </c>
      <c r="E30" s="10"/>
      <c r="F30" s="10"/>
    </row>
    <row r="31" ht="15.75" customHeight="1">
      <c r="A31" s="24" t="s">
        <v>55</v>
      </c>
      <c r="B31" s="18">
        <v>1.0</v>
      </c>
      <c r="C31" s="18">
        <v>1.0</v>
      </c>
      <c r="D31" s="26">
        <v>1.0</v>
      </c>
      <c r="E31" s="10"/>
      <c r="F31" s="10"/>
    </row>
    <row r="32" ht="15.75" customHeight="1">
      <c r="A32" s="31" t="s">
        <v>56</v>
      </c>
      <c r="B32" s="18">
        <v>1.0</v>
      </c>
      <c r="C32" s="18">
        <v>1.0</v>
      </c>
      <c r="D32" s="26">
        <v>1.0</v>
      </c>
      <c r="E32" s="10"/>
      <c r="F32" s="10"/>
    </row>
    <row r="33">
      <c r="A33" s="33" t="s">
        <v>69</v>
      </c>
      <c r="B33" s="13"/>
      <c r="C33" s="13"/>
      <c r="D33" s="14"/>
      <c r="E33" s="10"/>
      <c r="F33" s="10"/>
    </row>
    <row r="34" ht="15.75" customHeight="1">
      <c r="A34" s="16" t="s">
        <v>57</v>
      </c>
      <c r="B34" s="23">
        <v>6.0</v>
      </c>
      <c r="C34" s="23">
        <v>6.0</v>
      </c>
      <c r="D34" s="19">
        <v>46120.0</v>
      </c>
      <c r="E34" s="10"/>
      <c r="F34" s="10"/>
    </row>
    <row r="35" ht="15.75" customHeight="1">
      <c r="A35" s="16" t="s">
        <v>58</v>
      </c>
      <c r="B35" s="18">
        <v>7.0</v>
      </c>
      <c r="C35" s="18">
        <v>7.0</v>
      </c>
      <c r="D35" s="19">
        <v>46181.0</v>
      </c>
      <c r="E35" s="10"/>
      <c r="F35" s="10"/>
    </row>
    <row r="36" ht="15.75" customHeight="1">
      <c r="A36" s="22" t="s">
        <v>59</v>
      </c>
      <c r="B36" s="18">
        <v>3.0</v>
      </c>
      <c r="C36" s="18">
        <v>3.0</v>
      </c>
      <c r="D36" s="19">
        <v>46057.0</v>
      </c>
      <c r="E36" s="10"/>
      <c r="F36" s="10"/>
    </row>
    <row r="37" ht="15.75" customHeight="1">
      <c r="A37" s="22" t="s">
        <v>60</v>
      </c>
      <c r="B37" s="18">
        <v>4.5</v>
      </c>
      <c r="C37" s="18">
        <v>4.5</v>
      </c>
      <c r="D37" s="19">
        <v>46087.0</v>
      </c>
      <c r="E37" s="10"/>
      <c r="F37" s="10"/>
    </row>
    <row r="38" ht="15.75" customHeight="1">
      <c r="A38" s="24" t="s">
        <v>61</v>
      </c>
      <c r="B38" s="18">
        <v>3.0</v>
      </c>
      <c r="C38" s="18">
        <v>3.0</v>
      </c>
      <c r="D38" s="19">
        <v>46057.0</v>
      </c>
      <c r="E38" s="10"/>
      <c r="F38" s="10"/>
    </row>
    <row r="39" ht="15.75" customHeight="1">
      <c r="A39" s="24" t="s">
        <v>62</v>
      </c>
      <c r="B39" s="18">
        <v>4.5</v>
      </c>
      <c r="C39" s="18">
        <v>4.5</v>
      </c>
      <c r="D39" s="19">
        <v>46087.0</v>
      </c>
      <c r="E39" s="10"/>
      <c r="F39" s="10"/>
    </row>
    <row r="40" ht="15.75" customHeight="1">
      <c r="A40" s="24" t="s">
        <v>63</v>
      </c>
      <c r="B40" s="18">
        <v>3.0</v>
      </c>
      <c r="C40" s="18">
        <v>3.0</v>
      </c>
      <c r="D40" s="19">
        <v>46057.0</v>
      </c>
      <c r="E40" s="10"/>
      <c r="F40" s="10"/>
    </row>
    <row r="41" ht="15.75" customHeight="1">
      <c r="A41" s="24" t="s">
        <v>64</v>
      </c>
      <c r="B41" s="18">
        <v>3.0</v>
      </c>
      <c r="C41" s="18">
        <v>3.0</v>
      </c>
      <c r="D41" s="26">
        <v>3.0</v>
      </c>
      <c r="E41" s="10"/>
      <c r="F41" s="10"/>
    </row>
    <row r="42" ht="15.75" customHeight="1">
      <c r="A42" s="31" t="s">
        <v>65</v>
      </c>
      <c r="B42" s="18">
        <v>1.0</v>
      </c>
      <c r="C42" s="18">
        <v>1.0</v>
      </c>
      <c r="D42" s="26">
        <v>1.0</v>
      </c>
      <c r="E42" s="10"/>
      <c r="F42" s="10"/>
    </row>
    <row r="43">
      <c r="A43" s="10"/>
      <c r="B43" s="34" t="s">
        <v>70</v>
      </c>
      <c r="C43" s="14"/>
      <c r="D43" s="35"/>
      <c r="E43" s="10"/>
      <c r="F43" s="10"/>
    </row>
    <row r="44">
      <c r="A44" s="10"/>
      <c r="B44" s="36">
        <f t="shared" ref="B44:C44" si="1">SUM(B3:B11,B13:B21,B23:B32,B34:B42)</f>
        <v>149.435288</v>
      </c>
      <c r="C44" s="36">
        <f t="shared" si="1"/>
        <v>144.9941358</v>
      </c>
      <c r="D44" s="37"/>
      <c r="E44" s="10"/>
      <c r="F44" s="10"/>
    </row>
    <row r="45">
      <c r="C45" s="38"/>
      <c r="D45" s="38"/>
    </row>
    <row r="46">
      <c r="C46" s="38"/>
      <c r="D46" s="38"/>
    </row>
    <row r="47">
      <c r="C47" s="38"/>
      <c r="D47" s="38"/>
    </row>
    <row r="48">
      <c r="C48" s="38"/>
      <c r="D48" s="38"/>
    </row>
    <row r="49">
      <c r="C49" s="38"/>
      <c r="D49" s="38"/>
    </row>
    <row r="50">
      <c r="C50" s="38"/>
      <c r="D50" s="38"/>
    </row>
    <row r="51">
      <c r="C51" s="38"/>
      <c r="D51" s="38"/>
    </row>
    <row r="52">
      <c r="C52" s="38"/>
      <c r="D52" s="38"/>
    </row>
    <row r="53">
      <c r="C53" s="38"/>
      <c r="D53" s="38"/>
    </row>
    <row r="54">
      <c r="C54" s="38"/>
      <c r="D54" s="38"/>
    </row>
    <row r="55">
      <c r="C55" s="38"/>
      <c r="D55" s="38"/>
    </row>
    <row r="56">
      <c r="C56" s="38"/>
      <c r="D56" s="38"/>
    </row>
    <row r="57">
      <c r="C57" s="38"/>
      <c r="D57" s="38"/>
    </row>
    <row r="58">
      <c r="C58" s="38"/>
      <c r="D58" s="38"/>
    </row>
    <row r="59">
      <c r="C59" s="38"/>
      <c r="D59" s="38"/>
    </row>
    <row r="60">
      <c r="C60" s="38"/>
      <c r="D60" s="38"/>
    </row>
    <row r="61">
      <c r="C61" s="38"/>
      <c r="D61" s="38"/>
    </row>
    <row r="62">
      <c r="C62" s="38"/>
      <c r="D62" s="38"/>
    </row>
    <row r="63">
      <c r="C63" s="38"/>
      <c r="D63" s="38"/>
    </row>
    <row r="64">
      <c r="C64" s="38"/>
      <c r="D64" s="38"/>
    </row>
    <row r="65">
      <c r="C65" s="38"/>
      <c r="D65" s="38"/>
    </row>
    <row r="66">
      <c r="C66" s="38"/>
      <c r="D66" s="38"/>
    </row>
    <row r="67">
      <c r="C67" s="38"/>
      <c r="D67" s="38"/>
    </row>
    <row r="68">
      <c r="C68" s="38"/>
      <c r="D68" s="38"/>
    </row>
    <row r="69">
      <c r="C69" s="38"/>
      <c r="D69" s="38"/>
    </row>
    <row r="70">
      <c r="C70" s="38"/>
      <c r="D70" s="38"/>
    </row>
    <row r="71">
      <c r="C71" s="38"/>
      <c r="D71" s="38"/>
    </row>
    <row r="72">
      <c r="C72" s="38"/>
      <c r="D72" s="38"/>
    </row>
    <row r="73">
      <c r="C73" s="38"/>
      <c r="D73" s="38"/>
    </row>
    <row r="74">
      <c r="C74" s="38"/>
      <c r="D74" s="38"/>
    </row>
    <row r="75">
      <c r="C75" s="38"/>
      <c r="D75" s="38"/>
    </row>
    <row r="76">
      <c r="C76" s="38"/>
      <c r="D76" s="38"/>
    </row>
    <row r="77">
      <c r="C77" s="38"/>
      <c r="D77" s="38"/>
    </row>
    <row r="78">
      <c r="C78" s="38"/>
      <c r="D78" s="38"/>
    </row>
    <row r="79">
      <c r="C79" s="38"/>
      <c r="D79" s="38"/>
    </row>
    <row r="80">
      <c r="C80" s="38"/>
      <c r="D80" s="38"/>
    </row>
    <row r="81">
      <c r="C81" s="38"/>
      <c r="D81" s="38"/>
    </row>
    <row r="82">
      <c r="C82" s="38"/>
      <c r="D82" s="38"/>
    </row>
    <row r="83">
      <c r="C83" s="38"/>
      <c r="D83" s="38"/>
    </row>
    <row r="84">
      <c r="C84" s="38"/>
      <c r="D84" s="38"/>
    </row>
    <row r="85">
      <c r="C85" s="38"/>
      <c r="D85" s="38"/>
    </row>
    <row r="86">
      <c r="C86" s="38"/>
      <c r="D86" s="38"/>
    </row>
    <row r="87">
      <c r="C87" s="38"/>
      <c r="D87" s="38"/>
    </row>
    <row r="88">
      <c r="C88" s="38"/>
      <c r="D88" s="38"/>
    </row>
    <row r="89">
      <c r="C89" s="38"/>
      <c r="D89" s="38"/>
    </row>
    <row r="90">
      <c r="C90" s="38"/>
      <c r="D90" s="38"/>
    </row>
    <row r="91">
      <c r="C91" s="38"/>
      <c r="D91" s="38"/>
    </row>
    <row r="92">
      <c r="C92" s="38"/>
      <c r="D92" s="38"/>
    </row>
    <row r="93">
      <c r="C93" s="38"/>
      <c r="D93" s="38"/>
    </row>
    <row r="94">
      <c r="C94" s="38"/>
      <c r="D94" s="38"/>
    </row>
    <row r="95">
      <c r="C95" s="38"/>
      <c r="D95" s="38"/>
    </row>
    <row r="96">
      <c r="C96" s="38"/>
      <c r="D96" s="38"/>
    </row>
    <row r="97">
      <c r="C97" s="38"/>
      <c r="D97" s="38"/>
    </row>
    <row r="98">
      <c r="C98" s="38"/>
      <c r="D98" s="38"/>
    </row>
    <row r="99">
      <c r="C99" s="38"/>
      <c r="D99" s="38"/>
    </row>
    <row r="100">
      <c r="C100" s="38"/>
      <c r="D100" s="38"/>
    </row>
    <row r="101">
      <c r="C101" s="38"/>
      <c r="D101" s="38"/>
    </row>
    <row r="102">
      <c r="C102" s="38"/>
      <c r="D102" s="38"/>
    </row>
    <row r="103">
      <c r="C103" s="38"/>
      <c r="D103" s="38"/>
    </row>
    <row r="104">
      <c r="C104" s="38"/>
      <c r="D104" s="38"/>
    </row>
    <row r="105">
      <c r="C105" s="38"/>
      <c r="D105" s="38"/>
    </row>
    <row r="106">
      <c r="C106" s="38"/>
      <c r="D106" s="38"/>
    </row>
    <row r="107">
      <c r="C107" s="38"/>
      <c r="D107" s="38"/>
    </row>
    <row r="108">
      <c r="C108" s="38"/>
      <c r="D108" s="38"/>
    </row>
    <row r="109">
      <c r="C109" s="38"/>
      <c r="D109" s="38"/>
    </row>
    <row r="110">
      <c r="C110" s="38"/>
      <c r="D110" s="38"/>
    </row>
    <row r="111">
      <c r="C111" s="38"/>
      <c r="D111" s="38"/>
    </row>
    <row r="112">
      <c r="C112" s="38"/>
      <c r="D112" s="38"/>
    </row>
    <row r="113">
      <c r="C113" s="38"/>
      <c r="D113" s="38"/>
    </row>
    <row r="114">
      <c r="C114" s="38"/>
      <c r="D114" s="38"/>
    </row>
    <row r="115">
      <c r="C115" s="38"/>
      <c r="D115" s="38"/>
    </row>
    <row r="116">
      <c r="C116" s="38"/>
      <c r="D116" s="38"/>
    </row>
    <row r="117">
      <c r="C117" s="38"/>
      <c r="D117" s="38"/>
    </row>
    <row r="118">
      <c r="C118" s="38"/>
      <c r="D118" s="38"/>
    </row>
    <row r="119">
      <c r="C119" s="38"/>
      <c r="D119" s="38"/>
    </row>
    <row r="120">
      <c r="C120" s="38"/>
      <c r="D120" s="38"/>
    </row>
    <row r="121">
      <c r="C121" s="38"/>
      <c r="D121" s="38"/>
    </row>
    <row r="122">
      <c r="C122" s="38"/>
      <c r="D122" s="38"/>
    </row>
    <row r="123">
      <c r="C123" s="38"/>
      <c r="D123" s="38"/>
    </row>
    <row r="124">
      <c r="C124" s="38"/>
      <c r="D124" s="38"/>
    </row>
    <row r="125">
      <c r="C125" s="38"/>
      <c r="D125" s="38"/>
    </row>
    <row r="126">
      <c r="C126" s="38"/>
      <c r="D126" s="38"/>
    </row>
    <row r="127">
      <c r="C127" s="38"/>
      <c r="D127" s="38"/>
    </row>
    <row r="128">
      <c r="C128" s="38"/>
      <c r="D128" s="38"/>
    </row>
    <row r="129">
      <c r="C129" s="38"/>
      <c r="D129" s="38"/>
    </row>
    <row r="130">
      <c r="C130" s="38"/>
      <c r="D130" s="38"/>
    </row>
    <row r="131">
      <c r="C131" s="38"/>
      <c r="D131" s="38"/>
    </row>
    <row r="132">
      <c r="C132" s="38"/>
      <c r="D132" s="38"/>
    </row>
    <row r="133">
      <c r="C133" s="38"/>
      <c r="D133" s="38"/>
    </row>
    <row r="134">
      <c r="C134" s="38"/>
      <c r="D134" s="38"/>
    </row>
    <row r="135">
      <c r="C135" s="38"/>
      <c r="D135" s="38"/>
    </row>
    <row r="136">
      <c r="C136" s="38"/>
      <c r="D136" s="38"/>
    </row>
    <row r="137">
      <c r="C137" s="38"/>
      <c r="D137" s="38"/>
    </row>
    <row r="138">
      <c r="C138" s="38"/>
      <c r="D138" s="38"/>
    </row>
    <row r="139">
      <c r="C139" s="38"/>
      <c r="D139" s="38"/>
    </row>
    <row r="140">
      <c r="C140" s="38"/>
      <c r="D140" s="38"/>
    </row>
    <row r="141">
      <c r="C141" s="38"/>
      <c r="D141" s="38"/>
    </row>
    <row r="142">
      <c r="C142" s="38"/>
      <c r="D142" s="38"/>
    </row>
    <row r="143">
      <c r="C143" s="38"/>
      <c r="D143" s="38"/>
    </row>
    <row r="144">
      <c r="C144" s="38"/>
      <c r="D144" s="38"/>
    </row>
    <row r="145">
      <c r="C145" s="38"/>
      <c r="D145" s="38"/>
    </row>
    <row r="146">
      <c r="C146" s="38"/>
      <c r="D146" s="38"/>
    </row>
    <row r="147">
      <c r="C147" s="38"/>
      <c r="D147" s="38"/>
    </row>
    <row r="148">
      <c r="C148" s="38"/>
      <c r="D148" s="38"/>
    </row>
    <row r="149">
      <c r="C149" s="38"/>
      <c r="D149" s="38"/>
    </row>
    <row r="150">
      <c r="C150" s="38"/>
      <c r="D150" s="38"/>
    </row>
    <row r="151">
      <c r="C151" s="38"/>
      <c r="D151" s="38"/>
    </row>
    <row r="152">
      <c r="C152" s="38"/>
      <c r="D152" s="38"/>
    </row>
    <row r="153">
      <c r="C153" s="38"/>
      <c r="D153" s="38"/>
    </row>
    <row r="154">
      <c r="C154" s="38"/>
      <c r="D154" s="38"/>
    </row>
    <row r="155">
      <c r="C155" s="38"/>
      <c r="D155" s="38"/>
    </row>
    <row r="156">
      <c r="C156" s="38"/>
      <c r="D156" s="38"/>
    </row>
    <row r="157">
      <c r="C157" s="38"/>
      <c r="D157" s="38"/>
    </row>
    <row r="158">
      <c r="C158" s="38"/>
      <c r="D158" s="38"/>
    </row>
    <row r="159">
      <c r="C159" s="38"/>
      <c r="D159" s="38"/>
    </row>
    <row r="160">
      <c r="C160" s="38"/>
      <c r="D160" s="38"/>
    </row>
    <row r="161">
      <c r="C161" s="38"/>
      <c r="D161" s="38"/>
    </row>
    <row r="162">
      <c r="C162" s="38"/>
      <c r="D162" s="38"/>
    </row>
    <row r="163">
      <c r="C163" s="38"/>
      <c r="D163" s="38"/>
    </row>
    <row r="164">
      <c r="C164" s="38"/>
      <c r="D164" s="38"/>
    </row>
    <row r="165">
      <c r="C165" s="38"/>
      <c r="D165" s="38"/>
    </row>
    <row r="166">
      <c r="C166" s="38"/>
      <c r="D166" s="38"/>
    </row>
    <row r="167">
      <c r="C167" s="38"/>
      <c r="D167" s="38"/>
    </row>
    <row r="168">
      <c r="C168" s="38"/>
      <c r="D168" s="38"/>
    </row>
    <row r="169">
      <c r="C169" s="38"/>
      <c r="D169" s="38"/>
    </row>
    <row r="170">
      <c r="C170" s="38"/>
      <c r="D170" s="38"/>
    </row>
    <row r="171">
      <c r="C171" s="38"/>
      <c r="D171" s="38"/>
    </row>
    <row r="172">
      <c r="C172" s="38"/>
      <c r="D172" s="38"/>
    </row>
    <row r="173">
      <c r="C173" s="38"/>
      <c r="D173" s="38"/>
    </row>
    <row r="174">
      <c r="C174" s="38"/>
      <c r="D174" s="38"/>
    </row>
    <row r="175">
      <c r="C175" s="38"/>
      <c r="D175" s="38"/>
    </row>
    <row r="176">
      <c r="C176" s="38"/>
      <c r="D176" s="38"/>
    </row>
    <row r="177">
      <c r="C177" s="38"/>
      <c r="D177" s="38"/>
    </row>
    <row r="178">
      <c r="C178" s="38"/>
      <c r="D178" s="38"/>
    </row>
    <row r="179">
      <c r="C179" s="38"/>
      <c r="D179" s="38"/>
    </row>
    <row r="180">
      <c r="C180" s="38"/>
      <c r="D180" s="38"/>
    </row>
    <row r="181">
      <c r="C181" s="38"/>
      <c r="D181" s="38"/>
    </row>
    <row r="182">
      <c r="C182" s="38"/>
      <c r="D182" s="38"/>
    </row>
    <row r="183">
      <c r="C183" s="38"/>
      <c r="D183" s="38"/>
    </row>
    <row r="184">
      <c r="C184" s="38"/>
      <c r="D184" s="38"/>
    </row>
    <row r="185">
      <c r="C185" s="38"/>
      <c r="D185" s="38"/>
    </row>
    <row r="186">
      <c r="C186" s="38"/>
      <c r="D186" s="38"/>
    </row>
    <row r="187">
      <c r="C187" s="38"/>
      <c r="D187" s="38"/>
    </row>
    <row r="188">
      <c r="C188" s="38"/>
      <c r="D188" s="38"/>
    </row>
    <row r="189">
      <c r="C189" s="38"/>
      <c r="D189" s="38"/>
    </row>
    <row r="190">
      <c r="C190" s="38"/>
      <c r="D190" s="38"/>
    </row>
    <row r="191">
      <c r="C191" s="38"/>
      <c r="D191" s="38"/>
    </row>
    <row r="192">
      <c r="C192" s="38"/>
      <c r="D192" s="38"/>
    </row>
    <row r="193">
      <c r="C193" s="38"/>
      <c r="D193" s="38"/>
    </row>
    <row r="194">
      <c r="C194" s="38"/>
      <c r="D194" s="38"/>
    </row>
    <row r="195">
      <c r="C195" s="38"/>
      <c r="D195" s="38"/>
    </row>
    <row r="196">
      <c r="C196" s="38"/>
      <c r="D196" s="38"/>
    </row>
    <row r="197">
      <c r="C197" s="38"/>
      <c r="D197" s="38"/>
    </row>
    <row r="198">
      <c r="C198" s="38"/>
      <c r="D198" s="38"/>
    </row>
    <row r="199">
      <c r="C199" s="38"/>
      <c r="D199" s="38"/>
    </row>
    <row r="200">
      <c r="C200" s="38"/>
      <c r="D200" s="38"/>
    </row>
    <row r="201">
      <c r="C201" s="38"/>
      <c r="D201" s="38"/>
    </row>
    <row r="202">
      <c r="C202" s="38"/>
      <c r="D202" s="38"/>
    </row>
    <row r="203">
      <c r="C203" s="38"/>
      <c r="D203" s="38"/>
    </row>
    <row r="204">
      <c r="C204" s="38"/>
      <c r="D204" s="38"/>
    </row>
    <row r="205">
      <c r="C205" s="38"/>
      <c r="D205" s="38"/>
    </row>
    <row r="206">
      <c r="C206" s="38"/>
      <c r="D206" s="38"/>
    </row>
    <row r="207">
      <c r="C207" s="38"/>
      <c r="D207" s="38"/>
    </row>
    <row r="208">
      <c r="C208" s="38"/>
      <c r="D208" s="38"/>
    </row>
    <row r="209">
      <c r="C209" s="38"/>
      <c r="D209" s="38"/>
    </row>
    <row r="210">
      <c r="C210" s="38"/>
      <c r="D210" s="38"/>
    </row>
    <row r="211">
      <c r="C211" s="38"/>
      <c r="D211" s="38"/>
    </row>
    <row r="212">
      <c r="C212" s="38"/>
      <c r="D212" s="38"/>
    </row>
    <row r="213">
      <c r="C213" s="38"/>
      <c r="D213" s="38"/>
    </row>
    <row r="214">
      <c r="C214" s="38"/>
      <c r="D214" s="38"/>
    </row>
    <row r="215">
      <c r="C215" s="38"/>
      <c r="D215" s="38"/>
    </row>
    <row r="216">
      <c r="C216" s="38"/>
      <c r="D216" s="38"/>
    </row>
    <row r="217">
      <c r="C217" s="38"/>
      <c r="D217" s="38"/>
    </row>
    <row r="218">
      <c r="C218" s="38"/>
      <c r="D218" s="38"/>
    </row>
    <row r="219">
      <c r="C219" s="38"/>
      <c r="D219" s="38"/>
    </row>
    <row r="220">
      <c r="C220" s="38"/>
      <c r="D220" s="38"/>
    </row>
    <row r="221">
      <c r="C221" s="38"/>
      <c r="D221" s="38"/>
    </row>
    <row r="222">
      <c r="C222" s="38"/>
      <c r="D222" s="38"/>
    </row>
    <row r="223">
      <c r="C223" s="38"/>
      <c r="D223" s="38"/>
    </row>
    <row r="224">
      <c r="C224" s="38"/>
      <c r="D224" s="38"/>
    </row>
    <row r="225">
      <c r="C225" s="38"/>
      <c r="D225" s="38"/>
    </row>
    <row r="226">
      <c r="C226" s="38"/>
      <c r="D226" s="38"/>
    </row>
    <row r="227">
      <c r="C227" s="38"/>
      <c r="D227" s="38"/>
    </row>
    <row r="228">
      <c r="C228" s="38"/>
      <c r="D228" s="38"/>
    </row>
    <row r="229">
      <c r="C229" s="38"/>
      <c r="D229" s="38"/>
    </row>
    <row r="230">
      <c r="C230" s="38"/>
      <c r="D230" s="38"/>
    </row>
    <row r="231">
      <c r="C231" s="38"/>
      <c r="D231" s="38"/>
    </row>
    <row r="232">
      <c r="C232" s="38"/>
      <c r="D232" s="38"/>
    </row>
    <row r="233">
      <c r="C233" s="38"/>
      <c r="D233" s="38"/>
    </row>
    <row r="234">
      <c r="C234" s="38"/>
      <c r="D234" s="38"/>
    </row>
    <row r="235">
      <c r="C235" s="38"/>
      <c r="D235" s="38"/>
    </row>
    <row r="236">
      <c r="C236" s="38"/>
      <c r="D236" s="38"/>
    </row>
    <row r="237">
      <c r="C237" s="38"/>
      <c r="D237" s="38"/>
    </row>
    <row r="238">
      <c r="C238" s="38"/>
      <c r="D238" s="38"/>
    </row>
    <row r="239">
      <c r="C239" s="38"/>
      <c r="D239" s="38"/>
    </row>
    <row r="240">
      <c r="C240" s="38"/>
      <c r="D240" s="38"/>
    </row>
    <row r="241">
      <c r="C241" s="38"/>
      <c r="D241" s="38"/>
    </row>
    <row r="242">
      <c r="C242" s="38"/>
      <c r="D242" s="38"/>
    </row>
    <row r="243">
      <c r="C243" s="38"/>
      <c r="D243" s="38"/>
    </row>
    <row r="244">
      <c r="C244" s="38"/>
      <c r="D244" s="38"/>
    </row>
    <row r="245">
      <c r="C245" s="38"/>
      <c r="D245" s="38"/>
    </row>
    <row r="246">
      <c r="C246" s="38"/>
      <c r="D246" s="38"/>
    </row>
    <row r="247">
      <c r="C247" s="38"/>
      <c r="D247" s="38"/>
    </row>
    <row r="248">
      <c r="C248" s="38"/>
      <c r="D248" s="38"/>
    </row>
    <row r="249">
      <c r="C249" s="38"/>
      <c r="D249" s="38"/>
    </row>
    <row r="250">
      <c r="C250" s="38"/>
      <c r="D250" s="38"/>
    </row>
    <row r="251">
      <c r="C251" s="38"/>
      <c r="D251" s="38"/>
    </row>
    <row r="252">
      <c r="C252" s="38"/>
      <c r="D252" s="38"/>
    </row>
    <row r="253">
      <c r="C253" s="38"/>
      <c r="D253" s="38"/>
    </row>
    <row r="254">
      <c r="C254" s="38"/>
      <c r="D254" s="38"/>
    </row>
    <row r="255">
      <c r="C255" s="38"/>
      <c r="D255" s="38"/>
    </row>
    <row r="256">
      <c r="C256" s="38"/>
      <c r="D256" s="38"/>
    </row>
    <row r="257">
      <c r="C257" s="38"/>
      <c r="D257" s="38"/>
    </row>
    <row r="258">
      <c r="C258" s="38"/>
      <c r="D258" s="38"/>
    </row>
    <row r="259">
      <c r="C259" s="38"/>
      <c r="D259" s="38"/>
    </row>
    <row r="260">
      <c r="C260" s="38"/>
      <c r="D260" s="38"/>
    </row>
    <row r="261">
      <c r="C261" s="38"/>
      <c r="D261" s="38"/>
    </row>
    <row r="262">
      <c r="C262" s="38"/>
      <c r="D262" s="38"/>
    </row>
    <row r="263">
      <c r="C263" s="38"/>
      <c r="D263" s="38"/>
    </row>
    <row r="264">
      <c r="C264" s="38"/>
      <c r="D264" s="38"/>
    </row>
    <row r="265">
      <c r="C265" s="38"/>
      <c r="D265" s="38"/>
    </row>
    <row r="266">
      <c r="C266" s="38"/>
      <c r="D266" s="38"/>
    </row>
    <row r="267">
      <c r="C267" s="38"/>
      <c r="D267" s="38"/>
    </row>
    <row r="268">
      <c r="C268" s="38"/>
      <c r="D268" s="38"/>
    </row>
    <row r="269">
      <c r="C269" s="38"/>
      <c r="D269" s="38"/>
    </row>
    <row r="270">
      <c r="C270" s="38"/>
      <c r="D270" s="38"/>
    </row>
    <row r="271">
      <c r="C271" s="38"/>
      <c r="D271" s="38"/>
    </row>
    <row r="272">
      <c r="C272" s="38"/>
      <c r="D272" s="38"/>
    </row>
    <row r="273">
      <c r="C273" s="38"/>
      <c r="D273" s="38"/>
    </row>
    <row r="274">
      <c r="C274" s="38"/>
      <c r="D274" s="38"/>
    </row>
    <row r="275">
      <c r="C275" s="38"/>
      <c r="D275" s="38"/>
    </row>
    <row r="276">
      <c r="C276" s="38"/>
      <c r="D276" s="38"/>
    </row>
    <row r="277">
      <c r="C277" s="38"/>
      <c r="D277" s="38"/>
    </row>
    <row r="278">
      <c r="C278" s="38"/>
      <c r="D278" s="38"/>
    </row>
    <row r="279">
      <c r="C279" s="38"/>
      <c r="D279" s="38"/>
    </row>
    <row r="280">
      <c r="C280" s="38"/>
      <c r="D280" s="38"/>
    </row>
    <row r="281">
      <c r="C281" s="38"/>
      <c r="D281" s="38"/>
    </row>
    <row r="282">
      <c r="C282" s="38"/>
      <c r="D282" s="38"/>
    </row>
    <row r="283">
      <c r="C283" s="38"/>
      <c r="D283" s="38"/>
    </row>
    <row r="284">
      <c r="C284" s="38"/>
      <c r="D284" s="38"/>
    </row>
    <row r="285">
      <c r="C285" s="38"/>
      <c r="D285" s="38"/>
    </row>
    <row r="286">
      <c r="C286" s="38"/>
      <c r="D286" s="38"/>
    </row>
    <row r="287">
      <c r="C287" s="38"/>
      <c r="D287" s="38"/>
    </row>
    <row r="288">
      <c r="C288" s="38"/>
      <c r="D288" s="38"/>
    </row>
    <row r="289">
      <c r="C289" s="38"/>
      <c r="D289" s="38"/>
    </row>
    <row r="290">
      <c r="C290" s="38"/>
      <c r="D290" s="38"/>
    </row>
    <row r="291">
      <c r="C291" s="38"/>
      <c r="D291" s="38"/>
    </row>
    <row r="292">
      <c r="C292" s="38"/>
      <c r="D292" s="38"/>
    </row>
    <row r="293">
      <c r="C293" s="38"/>
      <c r="D293" s="38"/>
    </row>
    <row r="294">
      <c r="C294" s="38"/>
      <c r="D294" s="38"/>
    </row>
    <row r="295">
      <c r="C295" s="38"/>
      <c r="D295" s="38"/>
    </row>
    <row r="296">
      <c r="C296" s="38"/>
      <c r="D296" s="38"/>
    </row>
    <row r="297">
      <c r="C297" s="38"/>
      <c r="D297" s="38"/>
    </row>
    <row r="298">
      <c r="C298" s="38"/>
      <c r="D298" s="38"/>
    </row>
    <row r="299">
      <c r="C299" s="38"/>
      <c r="D299" s="38"/>
    </row>
    <row r="300">
      <c r="C300" s="38"/>
      <c r="D300" s="38"/>
    </row>
    <row r="301">
      <c r="C301" s="38"/>
      <c r="D301" s="38"/>
    </row>
    <row r="302">
      <c r="C302" s="38"/>
      <c r="D302" s="38"/>
    </row>
    <row r="303">
      <c r="C303" s="38"/>
      <c r="D303" s="38"/>
    </row>
    <row r="304">
      <c r="C304" s="38"/>
      <c r="D304" s="38"/>
    </row>
    <row r="305">
      <c r="C305" s="38"/>
      <c r="D305" s="38"/>
    </row>
    <row r="306">
      <c r="C306" s="38"/>
      <c r="D306" s="38"/>
    </row>
    <row r="307">
      <c r="C307" s="38"/>
      <c r="D307" s="38"/>
    </row>
    <row r="308">
      <c r="C308" s="38"/>
      <c r="D308" s="38"/>
    </row>
    <row r="309">
      <c r="C309" s="38"/>
      <c r="D309" s="38"/>
    </row>
    <row r="310">
      <c r="C310" s="38"/>
      <c r="D310" s="38"/>
    </row>
    <row r="311">
      <c r="C311" s="38"/>
      <c r="D311" s="38"/>
    </row>
    <row r="312">
      <c r="C312" s="38"/>
      <c r="D312" s="38"/>
    </row>
    <row r="313">
      <c r="C313" s="38"/>
      <c r="D313" s="38"/>
    </row>
    <row r="314">
      <c r="C314" s="38"/>
      <c r="D314" s="38"/>
    </row>
    <row r="315">
      <c r="C315" s="38"/>
      <c r="D315" s="38"/>
    </row>
    <row r="316">
      <c r="C316" s="38"/>
      <c r="D316" s="38"/>
    </row>
    <row r="317">
      <c r="C317" s="38"/>
      <c r="D317" s="38"/>
    </row>
    <row r="318">
      <c r="C318" s="38"/>
      <c r="D318" s="38"/>
    </row>
    <row r="319">
      <c r="C319" s="38"/>
      <c r="D319" s="38"/>
    </row>
    <row r="320">
      <c r="C320" s="38"/>
      <c r="D320" s="38"/>
    </row>
    <row r="321">
      <c r="C321" s="38"/>
      <c r="D321" s="38"/>
    </row>
    <row r="322">
      <c r="C322" s="38"/>
      <c r="D322" s="38"/>
    </row>
    <row r="323">
      <c r="C323" s="38"/>
      <c r="D323" s="38"/>
    </row>
    <row r="324">
      <c r="C324" s="38"/>
      <c r="D324" s="38"/>
    </row>
    <row r="325">
      <c r="C325" s="38"/>
      <c r="D325" s="38"/>
    </row>
    <row r="326">
      <c r="C326" s="38"/>
      <c r="D326" s="38"/>
    </row>
    <row r="327">
      <c r="C327" s="38"/>
      <c r="D327" s="38"/>
    </row>
    <row r="328">
      <c r="C328" s="38"/>
      <c r="D328" s="38"/>
    </row>
    <row r="329">
      <c r="C329" s="38"/>
      <c r="D329" s="38"/>
    </row>
    <row r="330">
      <c r="C330" s="38"/>
      <c r="D330" s="38"/>
    </row>
    <row r="331">
      <c r="C331" s="38"/>
      <c r="D331" s="38"/>
    </row>
    <row r="332">
      <c r="C332" s="38"/>
      <c r="D332" s="38"/>
    </row>
    <row r="333">
      <c r="C333" s="38"/>
      <c r="D333" s="38"/>
    </row>
    <row r="334">
      <c r="C334" s="38"/>
      <c r="D334" s="38"/>
    </row>
    <row r="335">
      <c r="C335" s="38"/>
      <c r="D335" s="38"/>
    </row>
    <row r="336">
      <c r="C336" s="38"/>
      <c r="D336" s="38"/>
    </row>
    <row r="337">
      <c r="C337" s="38"/>
      <c r="D337" s="38"/>
    </row>
    <row r="338">
      <c r="C338" s="38"/>
      <c r="D338" s="38"/>
    </row>
    <row r="339">
      <c r="C339" s="38"/>
      <c r="D339" s="38"/>
    </row>
    <row r="340">
      <c r="C340" s="38"/>
      <c r="D340" s="38"/>
    </row>
    <row r="341">
      <c r="C341" s="38"/>
      <c r="D341" s="38"/>
    </row>
    <row r="342">
      <c r="C342" s="38"/>
      <c r="D342" s="38"/>
    </row>
    <row r="343">
      <c r="C343" s="38"/>
      <c r="D343" s="38"/>
    </row>
    <row r="344">
      <c r="C344" s="38"/>
      <c r="D344" s="38"/>
    </row>
    <row r="345">
      <c r="C345" s="38"/>
      <c r="D345" s="38"/>
    </row>
    <row r="346">
      <c r="C346" s="38"/>
      <c r="D346" s="38"/>
    </row>
    <row r="347">
      <c r="C347" s="38"/>
      <c r="D347" s="38"/>
    </row>
    <row r="348">
      <c r="C348" s="38"/>
      <c r="D348" s="38"/>
    </row>
    <row r="349">
      <c r="C349" s="38"/>
      <c r="D349" s="38"/>
    </row>
    <row r="350">
      <c r="C350" s="38"/>
      <c r="D350" s="38"/>
    </row>
    <row r="351">
      <c r="C351" s="38"/>
      <c r="D351" s="38"/>
    </row>
    <row r="352">
      <c r="C352" s="38"/>
      <c r="D352" s="38"/>
    </row>
    <row r="353">
      <c r="C353" s="38"/>
      <c r="D353" s="38"/>
    </row>
    <row r="354">
      <c r="C354" s="38"/>
      <c r="D354" s="38"/>
    </row>
    <row r="355">
      <c r="C355" s="38"/>
      <c r="D355" s="38"/>
    </row>
    <row r="356">
      <c r="C356" s="38"/>
      <c r="D356" s="38"/>
    </row>
    <row r="357">
      <c r="C357" s="38"/>
      <c r="D357" s="38"/>
    </row>
    <row r="358">
      <c r="C358" s="38"/>
      <c r="D358" s="38"/>
    </row>
    <row r="359">
      <c r="C359" s="38"/>
      <c r="D359" s="38"/>
    </row>
    <row r="360">
      <c r="C360" s="38"/>
      <c r="D360" s="38"/>
    </row>
    <row r="361">
      <c r="C361" s="38"/>
      <c r="D361" s="38"/>
    </row>
    <row r="362">
      <c r="C362" s="38"/>
      <c r="D362" s="38"/>
    </row>
    <row r="363">
      <c r="C363" s="38"/>
      <c r="D363" s="38"/>
    </row>
    <row r="364">
      <c r="C364" s="38"/>
      <c r="D364" s="38"/>
    </row>
    <row r="365">
      <c r="C365" s="38"/>
      <c r="D365" s="38"/>
    </row>
    <row r="366">
      <c r="C366" s="38"/>
      <c r="D366" s="38"/>
    </row>
    <row r="367">
      <c r="C367" s="38"/>
      <c r="D367" s="38"/>
    </row>
    <row r="368">
      <c r="C368" s="38"/>
      <c r="D368" s="38"/>
    </row>
    <row r="369">
      <c r="C369" s="38"/>
      <c r="D369" s="38"/>
    </row>
    <row r="370">
      <c r="C370" s="38"/>
      <c r="D370" s="38"/>
    </row>
    <row r="371">
      <c r="C371" s="38"/>
      <c r="D371" s="38"/>
    </row>
    <row r="372">
      <c r="C372" s="38"/>
      <c r="D372" s="38"/>
    </row>
    <row r="373">
      <c r="C373" s="38"/>
      <c r="D373" s="38"/>
    </row>
    <row r="374">
      <c r="C374" s="38"/>
      <c r="D374" s="38"/>
    </row>
    <row r="375">
      <c r="C375" s="38"/>
      <c r="D375" s="38"/>
    </row>
    <row r="376">
      <c r="C376" s="38"/>
      <c r="D376" s="38"/>
    </row>
    <row r="377">
      <c r="C377" s="38"/>
      <c r="D377" s="38"/>
    </row>
    <row r="378">
      <c r="C378" s="38"/>
      <c r="D378" s="38"/>
    </row>
    <row r="379">
      <c r="C379" s="38"/>
      <c r="D379" s="38"/>
    </row>
    <row r="380">
      <c r="C380" s="38"/>
      <c r="D380" s="38"/>
    </row>
    <row r="381">
      <c r="C381" s="38"/>
      <c r="D381" s="38"/>
    </row>
    <row r="382">
      <c r="C382" s="38"/>
      <c r="D382" s="38"/>
    </row>
    <row r="383">
      <c r="C383" s="38"/>
      <c r="D383" s="38"/>
    </row>
    <row r="384">
      <c r="C384" s="38"/>
      <c r="D384" s="38"/>
    </row>
    <row r="385">
      <c r="C385" s="38"/>
      <c r="D385" s="38"/>
    </row>
    <row r="386">
      <c r="C386" s="38"/>
      <c r="D386" s="38"/>
    </row>
    <row r="387">
      <c r="C387" s="38"/>
      <c r="D387" s="38"/>
    </row>
    <row r="388">
      <c r="C388" s="38"/>
      <c r="D388" s="38"/>
    </row>
    <row r="389">
      <c r="C389" s="38"/>
      <c r="D389" s="38"/>
    </row>
    <row r="390">
      <c r="C390" s="38"/>
      <c r="D390" s="38"/>
    </row>
    <row r="391">
      <c r="C391" s="38"/>
      <c r="D391" s="38"/>
    </row>
    <row r="392">
      <c r="C392" s="38"/>
      <c r="D392" s="38"/>
    </row>
    <row r="393">
      <c r="C393" s="38"/>
      <c r="D393" s="38"/>
    </row>
    <row r="394">
      <c r="C394" s="38"/>
      <c r="D394" s="38"/>
    </row>
    <row r="395">
      <c r="C395" s="38"/>
      <c r="D395" s="38"/>
    </row>
    <row r="396">
      <c r="C396" s="38"/>
      <c r="D396" s="38"/>
    </row>
    <row r="397">
      <c r="C397" s="38"/>
      <c r="D397" s="38"/>
    </row>
    <row r="398">
      <c r="C398" s="38"/>
      <c r="D398" s="38"/>
    </row>
    <row r="399">
      <c r="C399" s="38"/>
      <c r="D399" s="38"/>
    </row>
    <row r="400">
      <c r="C400" s="38"/>
      <c r="D400" s="38"/>
    </row>
    <row r="401">
      <c r="C401" s="38"/>
      <c r="D401" s="38"/>
    </row>
    <row r="402">
      <c r="C402" s="38"/>
      <c r="D402" s="38"/>
    </row>
    <row r="403">
      <c r="C403" s="38"/>
      <c r="D403" s="38"/>
    </row>
    <row r="404">
      <c r="C404" s="38"/>
      <c r="D404" s="38"/>
    </row>
    <row r="405">
      <c r="C405" s="38"/>
      <c r="D405" s="38"/>
    </row>
    <row r="406">
      <c r="C406" s="38"/>
      <c r="D406" s="38"/>
    </row>
    <row r="407">
      <c r="C407" s="38"/>
      <c r="D407" s="38"/>
    </row>
    <row r="408">
      <c r="C408" s="38"/>
      <c r="D408" s="38"/>
    </row>
    <row r="409">
      <c r="C409" s="38"/>
      <c r="D409" s="38"/>
    </row>
    <row r="410">
      <c r="C410" s="38"/>
      <c r="D410" s="38"/>
    </row>
    <row r="411">
      <c r="C411" s="38"/>
      <c r="D411" s="38"/>
    </row>
    <row r="412">
      <c r="C412" s="38"/>
      <c r="D412" s="38"/>
    </row>
    <row r="413">
      <c r="C413" s="38"/>
      <c r="D413" s="38"/>
    </row>
    <row r="414">
      <c r="C414" s="38"/>
      <c r="D414" s="38"/>
    </row>
    <row r="415">
      <c r="C415" s="38"/>
      <c r="D415" s="38"/>
    </row>
    <row r="416">
      <c r="C416" s="38"/>
      <c r="D416" s="38"/>
    </row>
    <row r="417">
      <c r="C417" s="38"/>
      <c r="D417" s="38"/>
    </row>
    <row r="418">
      <c r="C418" s="38"/>
      <c r="D418" s="38"/>
    </row>
    <row r="419">
      <c r="C419" s="38"/>
      <c r="D419" s="38"/>
    </row>
    <row r="420">
      <c r="C420" s="38"/>
      <c r="D420" s="38"/>
    </row>
    <row r="421">
      <c r="C421" s="38"/>
      <c r="D421" s="38"/>
    </row>
    <row r="422">
      <c r="C422" s="38"/>
      <c r="D422" s="38"/>
    </row>
    <row r="423">
      <c r="C423" s="38"/>
      <c r="D423" s="38"/>
    </row>
    <row r="424">
      <c r="C424" s="38"/>
      <c r="D424" s="38"/>
    </row>
    <row r="425">
      <c r="C425" s="38"/>
      <c r="D425" s="38"/>
    </row>
    <row r="426">
      <c r="C426" s="38"/>
      <c r="D426" s="38"/>
    </row>
    <row r="427">
      <c r="C427" s="38"/>
      <c r="D427" s="38"/>
    </row>
    <row r="428">
      <c r="C428" s="38"/>
      <c r="D428" s="38"/>
    </row>
    <row r="429">
      <c r="C429" s="38"/>
      <c r="D429" s="38"/>
    </row>
    <row r="430">
      <c r="C430" s="38"/>
      <c r="D430" s="38"/>
    </row>
    <row r="431">
      <c r="C431" s="38"/>
      <c r="D431" s="38"/>
    </row>
    <row r="432">
      <c r="C432" s="38"/>
      <c r="D432" s="38"/>
    </row>
    <row r="433">
      <c r="C433" s="38"/>
      <c r="D433" s="38"/>
    </row>
    <row r="434">
      <c r="C434" s="38"/>
      <c r="D434" s="38"/>
    </row>
    <row r="435">
      <c r="C435" s="38"/>
      <c r="D435" s="38"/>
    </row>
    <row r="436">
      <c r="C436" s="38"/>
      <c r="D436" s="38"/>
    </row>
    <row r="437">
      <c r="C437" s="38"/>
      <c r="D437" s="38"/>
    </row>
    <row r="438">
      <c r="C438" s="38"/>
      <c r="D438" s="38"/>
    </row>
    <row r="439">
      <c r="C439" s="38"/>
      <c r="D439" s="38"/>
    </row>
    <row r="440">
      <c r="C440" s="38"/>
      <c r="D440" s="38"/>
    </row>
    <row r="441">
      <c r="C441" s="38"/>
      <c r="D441" s="38"/>
    </row>
    <row r="442">
      <c r="C442" s="38"/>
      <c r="D442" s="38"/>
    </row>
    <row r="443">
      <c r="C443" s="38"/>
      <c r="D443" s="38"/>
    </row>
    <row r="444">
      <c r="C444" s="38"/>
      <c r="D444" s="38"/>
    </row>
    <row r="445">
      <c r="C445" s="38"/>
      <c r="D445" s="38"/>
    </row>
    <row r="446">
      <c r="C446" s="38"/>
      <c r="D446" s="38"/>
    </row>
    <row r="447">
      <c r="C447" s="38"/>
      <c r="D447" s="38"/>
    </row>
    <row r="448">
      <c r="C448" s="38"/>
      <c r="D448" s="38"/>
    </row>
    <row r="449">
      <c r="C449" s="38"/>
      <c r="D449" s="38"/>
    </row>
    <row r="450">
      <c r="C450" s="38"/>
      <c r="D450" s="38"/>
    </row>
    <row r="451">
      <c r="C451" s="38"/>
      <c r="D451" s="38"/>
    </row>
    <row r="452">
      <c r="C452" s="38"/>
      <c r="D452" s="38"/>
    </row>
    <row r="453">
      <c r="C453" s="38"/>
      <c r="D453" s="38"/>
    </row>
    <row r="454">
      <c r="C454" s="38"/>
      <c r="D454" s="38"/>
    </row>
    <row r="455">
      <c r="C455" s="38"/>
      <c r="D455" s="38"/>
    </row>
    <row r="456">
      <c r="C456" s="38"/>
      <c r="D456" s="38"/>
    </row>
    <row r="457">
      <c r="C457" s="38"/>
      <c r="D457" s="38"/>
    </row>
    <row r="458">
      <c r="C458" s="38"/>
      <c r="D458" s="38"/>
    </row>
    <row r="459">
      <c r="C459" s="38"/>
      <c r="D459" s="38"/>
    </row>
    <row r="460">
      <c r="C460" s="38"/>
      <c r="D460" s="38"/>
    </row>
    <row r="461">
      <c r="C461" s="38"/>
      <c r="D461" s="38"/>
    </row>
    <row r="462">
      <c r="C462" s="38"/>
      <c r="D462" s="38"/>
    </row>
    <row r="463">
      <c r="C463" s="38"/>
      <c r="D463" s="38"/>
    </row>
    <row r="464">
      <c r="C464" s="38"/>
      <c r="D464" s="38"/>
    </row>
    <row r="465">
      <c r="C465" s="38"/>
      <c r="D465" s="38"/>
    </row>
    <row r="466">
      <c r="C466" s="38"/>
      <c r="D466" s="38"/>
    </row>
    <row r="467">
      <c r="C467" s="38"/>
      <c r="D467" s="38"/>
    </row>
    <row r="468">
      <c r="C468" s="38"/>
      <c r="D468" s="38"/>
    </row>
    <row r="469">
      <c r="C469" s="38"/>
      <c r="D469" s="38"/>
    </row>
    <row r="470">
      <c r="C470" s="38"/>
      <c r="D470" s="38"/>
    </row>
    <row r="471">
      <c r="C471" s="38"/>
      <c r="D471" s="38"/>
    </row>
    <row r="472">
      <c r="C472" s="38"/>
      <c r="D472" s="38"/>
    </row>
    <row r="473">
      <c r="C473" s="38"/>
      <c r="D473" s="38"/>
    </row>
    <row r="474">
      <c r="C474" s="38"/>
      <c r="D474" s="38"/>
    </row>
    <row r="475">
      <c r="C475" s="38"/>
      <c r="D475" s="38"/>
    </row>
    <row r="476">
      <c r="C476" s="38"/>
      <c r="D476" s="38"/>
    </row>
    <row r="477">
      <c r="C477" s="38"/>
      <c r="D477" s="38"/>
    </row>
    <row r="478">
      <c r="C478" s="38"/>
      <c r="D478" s="38"/>
    </row>
    <row r="479">
      <c r="C479" s="38"/>
      <c r="D479" s="38"/>
    </row>
    <row r="480">
      <c r="C480" s="38"/>
      <c r="D480" s="38"/>
    </row>
    <row r="481">
      <c r="C481" s="38"/>
      <c r="D481" s="38"/>
    </row>
    <row r="482">
      <c r="C482" s="38"/>
      <c r="D482" s="38"/>
    </row>
    <row r="483">
      <c r="C483" s="38"/>
      <c r="D483" s="38"/>
    </row>
    <row r="484">
      <c r="C484" s="38"/>
      <c r="D484" s="38"/>
    </row>
    <row r="485">
      <c r="C485" s="38"/>
      <c r="D485" s="38"/>
    </row>
    <row r="486">
      <c r="C486" s="38"/>
      <c r="D486" s="38"/>
    </row>
    <row r="487">
      <c r="C487" s="38"/>
      <c r="D487" s="38"/>
    </row>
    <row r="488">
      <c r="C488" s="38"/>
      <c r="D488" s="38"/>
    </row>
    <row r="489">
      <c r="C489" s="38"/>
      <c r="D489" s="38"/>
    </row>
    <row r="490">
      <c r="C490" s="38"/>
      <c r="D490" s="38"/>
    </row>
    <row r="491">
      <c r="C491" s="38"/>
      <c r="D491" s="38"/>
    </row>
    <row r="492">
      <c r="C492" s="38"/>
      <c r="D492" s="38"/>
    </row>
    <row r="493">
      <c r="C493" s="38"/>
      <c r="D493" s="38"/>
    </row>
    <row r="494">
      <c r="C494" s="38"/>
      <c r="D494" s="38"/>
    </row>
    <row r="495">
      <c r="C495" s="38"/>
      <c r="D495" s="38"/>
    </row>
    <row r="496">
      <c r="C496" s="38"/>
      <c r="D496" s="38"/>
    </row>
    <row r="497">
      <c r="C497" s="38"/>
      <c r="D497" s="38"/>
    </row>
    <row r="498">
      <c r="C498" s="38"/>
      <c r="D498" s="38"/>
    </row>
    <row r="499">
      <c r="C499" s="38"/>
      <c r="D499" s="38"/>
    </row>
    <row r="500">
      <c r="C500" s="38"/>
      <c r="D500" s="38"/>
    </row>
    <row r="501">
      <c r="C501" s="38"/>
      <c r="D501" s="38"/>
    </row>
    <row r="502">
      <c r="C502" s="38"/>
      <c r="D502" s="38"/>
    </row>
    <row r="503">
      <c r="C503" s="38"/>
      <c r="D503" s="38"/>
    </row>
    <row r="504">
      <c r="C504" s="38"/>
      <c r="D504" s="38"/>
    </row>
    <row r="505">
      <c r="C505" s="38"/>
      <c r="D505" s="38"/>
    </row>
    <row r="506">
      <c r="C506" s="38"/>
      <c r="D506" s="38"/>
    </row>
    <row r="507">
      <c r="C507" s="38"/>
      <c r="D507" s="38"/>
    </row>
    <row r="508">
      <c r="C508" s="38"/>
      <c r="D508" s="38"/>
    </row>
    <row r="509">
      <c r="C509" s="38"/>
      <c r="D509" s="38"/>
    </row>
    <row r="510">
      <c r="C510" s="38"/>
      <c r="D510" s="38"/>
    </row>
    <row r="511">
      <c r="C511" s="38"/>
      <c r="D511" s="38"/>
    </row>
    <row r="512">
      <c r="C512" s="38"/>
      <c r="D512" s="38"/>
    </row>
    <row r="513">
      <c r="C513" s="38"/>
      <c r="D513" s="38"/>
    </row>
    <row r="514">
      <c r="C514" s="38"/>
      <c r="D514" s="38"/>
    </row>
    <row r="515">
      <c r="C515" s="38"/>
      <c r="D515" s="38"/>
    </row>
    <row r="516">
      <c r="C516" s="38"/>
      <c r="D516" s="38"/>
    </row>
    <row r="517">
      <c r="C517" s="38"/>
      <c r="D517" s="38"/>
    </row>
    <row r="518">
      <c r="C518" s="38"/>
      <c r="D518" s="38"/>
    </row>
    <row r="519">
      <c r="C519" s="38"/>
      <c r="D519" s="38"/>
    </row>
    <row r="520">
      <c r="C520" s="38"/>
      <c r="D520" s="38"/>
    </row>
    <row r="521">
      <c r="C521" s="38"/>
      <c r="D521" s="38"/>
    </row>
    <row r="522">
      <c r="C522" s="38"/>
      <c r="D522" s="38"/>
    </row>
    <row r="523">
      <c r="C523" s="38"/>
      <c r="D523" s="38"/>
    </row>
    <row r="524">
      <c r="C524" s="38"/>
      <c r="D524" s="38"/>
    </row>
    <row r="525">
      <c r="C525" s="38"/>
      <c r="D525" s="38"/>
    </row>
    <row r="526">
      <c r="C526" s="38"/>
      <c r="D526" s="38"/>
    </row>
    <row r="527">
      <c r="C527" s="38"/>
      <c r="D527" s="38"/>
    </row>
    <row r="528">
      <c r="C528" s="38"/>
      <c r="D528" s="38"/>
    </row>
    <row r="529">
      <c r="C529" s="38"/>
      <c r="D529" s="38"/>
    </row>
    <row r="530">
      <c r="C530" s="38"/>
      <c r="D530" s="38"/>
    </row>
    <row r="531">
      <c r="C531" s="38"/>
      <c r="D531" s="38"/>
    </row>
    <row r="532">
      <c r="C532" s="38"/>
      <c r="D532" s="38"/>
    </row>
    <row r="533">
      <c r="C533" s="38"/>
      <c r="D533" s="38"/>
    </row>
    <row r="534">
      <c r="C534" s="38"/>
      <c r="D534" s="38"/>
    </row>
    <row r="535">
      <c r="C535" s="38"/>
      <c r="D535" s="38"/>
    </row>
    <row r="536">
      <c r="C536" s="38"/>
      <c r="D536" s="38"/>
    </row>
    <row r="537">
      <c r="C537" s="38"/>
      <c r="D537" s="38"/>
    </row>
    <row r="538">
      <c r="C538" s="38"/>
      <c r="D538" s="38"/>
    </row>
    <row r="539">
      <c r="C539" s="38"/>
      <c r="D539" s="38"/>
    </row>
    <row r="540">
      <c r="C540" s="38"/>
      <c r="D540" s="38"/>
    </row>
    <row r="541">
      <c r="C541" s="38"/>
      <c r="D541" s="38"/>
    </row>
    <row r="542">
      <c r="C542" s="38"/>
      <c r="D542" s="38"/>
    </row>
    <row r="543">
      <c r="C543" s="38"/>
      <c r="D543" s="38"/>
    </row>
    <row r="544">
      <c r="C544" s="38"/>
      <c r="D544" s="38"/>
    </row>
    <row r="545">
      <c r="C545" s="38"/>
      <c r="D545" s="38"/>
    </row>
    <row r="546">
      <c r="C546" s="38"/>
      <c r="D546" s="38"/>
    </row>
    <row r="547">
      <c r="C547" s="38"/>
      <c r="D547" s="38"/>
    </row>
    <row r="548">
      <c r="C548" s="38"/>
      <c r="D548" s="38"/>
    </row>
    <row r="549">
      <c r="C549" s="38"/>
      <c r="D549" s="38"/>
    </row>
    <row r="550">
      <c r="C550" s="38"/>
      <c r="D550" s="38"/>
    </row>
    <row r="551">
      <c r="C551" s="38"/>
      <c r="D551" s="38"/>
    </row>
    <row r="552">
      <c r="C552" s="38"/>
      <c r="D552" s="38"/>
    </row>
    <row r="553">
      <c r="C553" s="38"/>
      <c r="D553" s="38"/>
    </row>
    <row r="554">
      <c r="C554" s="38"/>
      <c r="D554" s="38"/>
    </row>
    <row r="555">
      <c r="C555" s="38"/>
      <c r="D555" s="38"/>
    </row>
    <row r="556">
      <c r="C556" s="38"/>
      <c r="D556" s="38"/>
    </row>
    <row r="557">
      <c r="C557" s="38"/>
      <c r="D557" s="38"/>
    </row>
    <row r="558">
      <c r="C558" s="38"/>
      <c r="D558" s="38"/>
    </row>
    <row r="559">
      <c r="C559" s="38"/>
      <c r="D559" s="38"/>
    </row>
    <row r="560">
      <c r="C560" s="38"/>
      <c r="D560" s="38"/>
    </row>
    <row r="561">
      <c r="C561" s="38"/>
      <c r="D561" s="38"/>
    </row>
    <row r="562">
      <c r="C562" s="38"/>
      <c r="D562" s="38"/>
    </row>
    <row r="563">
      <c r="C563" s="38"/>
      <c r="D563" s="38"/>
    </row>
    <row r="564">
      <c r="C564" s="38"/>
      <c r="D564" s="38"/>
    </row>
    <row r="565">
      <c r="C565" s="38"/>
      <c r="D565" s="38"/>
    </row>
    <row r="566">
      <c r="C566" s="38"/>
      <c r="D566" s="38"/>
    </row>
    <row r="567">
      <c r="C567" s="38"/>
      <c r="D567" s="38"/>
    </row>
    <row r="568">
      <c r="C568" s="38"/>
      <c r="D568" s="38"/>
    </row>
    <row r="569">
      <c r="C569" s="38"/>
      <c r="D569" s="38"/>
    </row>
    <row r="570">
      <c r="C570" s="38"/>
      <c r="D570" s="38"/>
    </row>
    <row r="571">
      <c r="C571" s="38"/>
      <c r="D571" s="38"/>
    </row>
    <row r="572">
      <c r="C572" s="38"/>
      <c r="D572" s="38"/>
    </row>
    <row r="573">
      <c r="C573" s="38"/>
      <c r="D573" s="38"/>
    </row>
    <row r="574">
      <c r="C574" s="38"/>
      <c r="D574" s="38"/>
    </row>
    <row r="575">
      <c r="C575" s="38"/>
      <c r="D575" s="38"/>
    </row>
    <row r="576">
      <c r="C576" s="38"/>
      <c r="D576" s="38"/>
    </row>
    <row r="577">
      <c r="C577" s="38"/>
      <c r="D577" s="38"/>
    </row>
    <row r="578">
      <c r="C578" s="38"/>
      <c r="D578" s="38"/>
    </row>
    <row r="579">
      <c r="C579" s="38"/>
      <c r="D579" s="38"/>
    </row>
    <row r="580">
      <c r="C580" s="38"/>
      <c r="D580" s="38"/>
    </row>
    <row r="581">
      <c r="C581" s="38"/>
      <c r="D581" s="38"/>
    </row>
    <row r="582">
      <c r="C582" s="38"/>
      <c r="D582" s="38"/>
    </row>
    <row r="583">
      <c r="C583" s="38"/>
      <c r="D583" s="38"/>
    </row>
    <row r="584">
      <c r="C584" s="38"/>
      <c r="D584" s="38"/>
    </row>
    <row r="585">
      <c r="C585" s="38"/>
      <c r="D585" s="38"/>
    </row>
    <row r="586">
      <c r="C586" s="38"/>
      <c r="D586" s="38"/>
    </row>
    <row r="587">
      <c r="C587" s="38"/>
      <c r="D587" s="38"/>
    </row>
    <row r="588">
      <c r="C588" s="38"/>
      <c r="D588" s="38"/>
    </row>
    <row r="589">
      <c r="C589" s="38"/>
      <c r="D589" s="38"/>
    </row>
    <row r="590">
      <c r="C590" s="38"/>
      <c r="D590" s="38"/>
    </row>
    <row r="591">
      <c r="C591" s="38"/>
      <c r="D591" s="38"/>
    </row>
    <row r="592">
      <c r="C592" s="38"/>
      <c r="D592" s="38"/>
    </row>
    <row r="593">
      <c r="C593" s="38"/>
      <c r="D593" s="38"/>
    </row>
    <row r="594">
      <c r="C594" s="38"/>
      <c r="D594" s="38"/>
    </row>
    <row r="595">
      <c r="C595" s="38"/>
      <c r="D595" s="38"/>
    </row>
    <row r="596">
      <c r="C596" s="38"/>
      <c r="D596" s="38"/>
    </row>
    <row r="597">
      <c r="C597" s="38"/>
      <c r="D597" s="38"/>
    </row>
    <row r="598">
      <c r="C598" s="38"/>
      <c r="D598" s="38"/>
    </row>
    <row r="599">
      <c r="C599" s="38"/>
      <c r="D599" s="38"/>
    </row>
    <row r="600">
      <c r="C600" s="38"/>
      <c r="D600" s="38"/>
    </row>
    <row r="601">
      <c r="C601" s="38"/>
      <c r="D601" s="38"/>
    </row>
    <row r="602">
      <c r="C602" s="38"/>
      <c r="D602" s="38"/>
    </row>
    <row r="603">
      <c r="C603" s="38"/>
      <c r="D603" s="38"/>
    </row>
    <row r="604">
      <c r="C604" s="38"/>
      <c r="D604" s="38"/>
    </row>
    <row r="605">
      <c r="C605" s="38"/>
      <c r="D605" s="38"/>
    </row>
    <row r="606">
      <c r="C606" s="38"/>
      <c r="D606" s="38"/>
    </row>
    <row r="607">
      <c r="C607" s="38"/>
      <c r="D607" s="38"/>
    </row>
    <row r="608">
      <c r="C608" s="38"/>
      <c r="D608" s="38"/>
    </row>
    <row r="609">
      <c r="C609" s="38"/>
      <c r="D609" s="38"/>
    </row>
    <row r="610">
      <c r="C610" s="38"/>
      <c r="D610" s="38"/>
    </row>
    <row r="611">
      <c r="C611" s="38"/>
      <c r="D611" s="38"/>
    </row>
    <row r="612">
      <c r="C612" s="38"/>
      <c r="D612" s="38"/>
    </row>
    <row r="613">
      <c r="C613" s="38"/>
      <c r="D613" s="38"/>
    </row>
    <row r="614">
      <c r="C614" s="38"/>
      <c r="D614" s="38"/>
    </row>
    <row r="615">
      <c r="C615" s="38"/>
      <c r="D615" s="38"/>
    </row>
    <row r="616">
      <c r="C616" s="38"/>
      <c r="D616" s="38"/>
    </row>
    <row r="617">
      <c r="C617" s="38"/>
      <c r="D617" s="38"/>
    </row>
    <row r="618">
      <c r="C618" s="38"/>
      <c r="D618" s="38"/>
    </row>
    <row r="619">
      <c r="C619" s="38"/>
      <c r="D619" s="38"/>
    </row>
    <row r="620">
      <c r="C620" s="38"/>
      <c r="D620" s="38"/>
    </row>
    <row r="621">
      <c r="C621" s="38"/>
      <c r="D621" s="38"/>
    </row>
    <row r="622">
      <c r="C622" s="38"/>
      <c r="D622" s="38"/>
    </row>
    <row r="623">
      <c r="C623" s="38"/>
      <c r="D623" s="38"/>
    </row>
    <row r="624">
      <c r="C624" s="38"/>
      <c r="D624" s="38"/>
    </row>
    <row r="625">
      <c r="C625" s="38"/>
      <c r="D625" s="38"/>
    </row>
    <row r="626">
      <c r="C626" s="38"/>
      <c r="D626" s="38"/>
    </row>
    <row r="627">
      <c r="C627" s="38"/>
      <c r="D627" s="38"/>
    </row>
    <row r="628">
      <c r="C628" s="38"/>
      <c r="D628" s="38"/>
    </row>
    <row r="629">
      <c r="C629" s="38"/>
      <c r="D629" s="38"/>
    </row>
    <row r="630">
      <c r="C630" s="38"/>
      <c r="D630" s="38"/>
    </row>
    <row r="631">
      <c r="C631" s="38"/>
      <c r="D631" s="38"/>
    </row>
    <row r="632">
      <c r="C632" s="38"/>
      <c r="D632" s="38"/>
    </row>
    <row r="633">
      <c r="C633" s="38"/>
      <c r="D633" s="38"/>
    </row>
    <row r="634">
      <c r="C634" s="38"/>
      <c r="D634" s="38"/>
    </row>
    <row r="635">
      <c r="C635" s="38"/>
      <c r="D635" s="38"/>
    </row>
    <row r="636">
      <c r="C636" s="38"/>
      <c r="D636" s="38"/>
    </row>
    <row r="637">
      <c r="C637" s="38"/>
      <c r="D637" s="38"/>
    </row>
    <row r="638">
      <c r="C638" s="38"/>
      <c r="D638" s="38"/>
    </row>
    <row r="639">
      <c r="C639" s="38"/>
      <c r="D639" s="38"/>
    </row>
    <row r="640">
      <c r="C640" s="38"/>
      <c r="D640" s="38"/>
    </row>
    <row r="641">
      <c r="C641" s="38"/>
      <c r="D641" s="38"/>
    </row>
    <row r="642">
      <c r="C642" s="38"/>
      <c r="D642" s="38"/>
    </row>
    <row r="643">
      <c r="C643" s="38"/>
      <c r="D643" s="38"/>
    </row>
    <row r="644">
      <c r="C644" s="38"/>
      <c r="D644" s="38"/>
    </row>
    <row r="645">
      <c r="C645" s="38"/>
      <c r="D645" s="38"/>
    </row>
    <row r="646">
      <c r="C646" s="38"/>
      <c r="D646" s="38"/>
    </row>
    <row r="647">
      <c r="C647" s="38"/>
      <c r="D647" s="38"/>
    </row>
    <row r="648">
      <c r="C648" s="38"/>
      <c r="D648" s="38"/>
    </row>
    <row r="649">
      <c r="C649" s="38"/>
      <c r="D649" s="38"/>
    </row>
    <row r="650">
      <c r="C650" s="38"/>
      <c r="D650" s="38"/>
    </row>
    <row r="651">
      <c r="C651" s="38"/>
      <c r="D651" s="38"/>
    </row>
    <row r="652">
      <c r="C652" s="38"/>
      <c r="D652" s="38"/>
    </row>
    <row r="653">
      <c r="C653" s="38"/>
      <c r="D653" s="38"/>
    </row>
    <row r="654">
      <c r="C654" s="38"/>
      <c r="D654" s="38"/>
    </row>
    <row r="655">
      <c r="C655" s="38"/>
      <c r="D655" s="38"/>
    </row>
    <row r="656">
      <c r="C656" s="38"/>
      <c r="D656" s="38"/>
    </row>
    <row r="657">
      <c r="C657" s="38"/>
      <c r="D657" s="38"/>
    </row>
    <row r="658">
      <c r="C658" s="38"/>
      <c r="D658" s="38"/>
    </row>
    <row r="659">
      <c r="C659" s="38"/>
      <c r="D659" s="38"/>
    </row>
    <row r="660">
      <c r="C660" s="38"/>
      <c r="D660" s="38"/>
    </row>
    <row r="661">
      <c r="C661" s="38"/>
      <c r="D661" s="38"/>
    </row>
    <row r="662">
      <c r="C662" s="38"/>
      <c r="D662" s="38"/>
    </row>
    <row r="663">
      <c r="C663" s="38"/>
      <c r="D663" s="38"/>
    </row>
    <row r="664">
      <c r="C664" s="38"/>
      <c r="D664" s="38"/>
    </row>
    <row r="665">
      <c r="C665" s="38"/>
      <c r="D665" s="38"/>
    </row>
    <row r="666">
      <c r="C666" s="38"/>
      <c r="D666" s="38"/>
    </row>
    <row r="667">
      <c r="C667" s="38"/>
      <c r="D667" s="38"/>
    </row>
    <row r="668">
      <c r="C668" s="38"/>
      <c r="D668" s="38"/>
    </row>
    <row r="669">
      <c r="C669" s="38"/>
      <c r="D669" s="38"/>
    </row>
    <row r="670">
      <c r="C670" s="38"/>
      <c r="D670" s="38"/>
    </row>
    <row r="671">
      <c r="C671" s="38"/>
      <c r="D671" s="38"/>
    </row>
    <row r="672">
      <c r="C672" s="38"/>
      <c r="D672" s="38"/>
    </row>
    <row r="673">
      <c r="C673" s="38"/>
      <c r="D673" s="38"/>
    </row>
    <row r="674">
      <c r="C674" s="38"/>
      <c r="D674" s="38"/>
    </row>
    <row r="675">
      <c r="C675" s="38"/>
      <c r="D675" s="38"/>
    </row>
    <row r="676">
      <c r="C676" s="38"/>
      <c r="D676" s="38"/>
    </row>
    <row r="677">
      <c r="C677" s="38"/>
      <c r="D677" s="38"/>
    </row>
    <row r="678">
      <c r="C678" s="38"/>
      <c r="D678" s="38"/>
    </row>
    <row r="679">
      <c r="C679" s="38"/>
      <c r="D679" s="38"/>
    </row>
    <row r="680">
      <c r="C680" s="38"/>
      <c r="D680" s="38"/>
    </row>
    <row r="681">
      <c r="C681" s="38"/>
      <c r="D681" s="38"/>
    </row>
    <row r="682">
      <c r="C682" s="38"/>
      <c r="D682" s="38"/>
    </row>
    <row r="683">
      <c r="C683" s="38"/>
      <c r="D683" s="38"/>
    </row>
    <row r="684">
      <c r="C684" s="38"/>
      <c r="D684" s="38"/>
    </row>
    <row r="685">
      <c r="C685" s="38"/>
      <c r="D685" s="38"/>
    </row>
    <row r="686">
      <c r="C686" s="38"/>
      <c r="D686" s="38"/>
    </row>
    <row r="687">
      <c r="C687" s="38"/>
      <c r="D687" s="38"/>
    </row>
    <row r="688">
      <c r="C688" s="38"/>
      <c r="D688" s="38"/>
    </row>
    <row r="689">
      <c r="C689" s="38"/>
      <c r="D689" s="38"/>
    </row>
    <row r="690">
      <c r="C690" s="38"/>
      <c r="D690" s="38"/>
    </row>
    <row r="691">
      <c r="C691" s="38"/>
      <c r="D691" s="38"/>
    </row>
    <row r="692">
      <c r="C692" s="38"/>
      <c r="D692" s="38"/>
    </row>
    <row r="693">
      <c r="C693" s="38"/>
      <c r="D693" s="38"/>
    </row>
    <row r="694">
      <c r="C694" s="38"/>
      <c r="D694" s="38"/>
    </row>
    <row r="695">
      <c r="C695" s="38"/>
      <c r="D695" s="38"/>
    </row>
    <row r="696">
      <c r="C696" s="38"/>
      <c r="D696" s="38"/>
    </row>
    <row r="697">
      <c r="C697" s="38"/>
      <c r="D697" s="38"/>
    </row>
    <row r="698">
      <c r="C698" s="38"/>
      <c r="D698" s="38"/>
    </row>
    <row r="699">
      <c r="C699" s="38"/>
      <c r="D699" s="38"/>
    </row>
    <row r="700">
      <c r="C700" s="38"/>
      <c r="D700" s="38"/>
    </row>
    <row r="701">
      <c r="C701" s="38"/>
      <c r="D701" s="38"/>
    </row>
    <row r="702">
      <c r="C702" s="38"/>
      <c r="D702" s="38"/>
    </row>
    <row r="703">
      <c r="C703" s="38"/>
      <c r="D703" s="38"/>
    </row>
    <row r="704">
      <c r="C704" s="38"/>
      <c r="D704" s="38"/>
    </row>
    <row r="705">
      <c r="C705" s="38"/>
      <c r="D705" s="38"/>
    </row>
    <row r="706">
      <c r="C706" s="38"/>
      <c r="D706" s="38"/>
    </row>
    <row r="707">
      <c r="C707" s="38"/>
      <c r="D707" s="38"/>
    </row>
    <row r="708">
      <c r="C708" s="38"/>
      <c r="D708" s="38"/>
    </row>
    <row r="709">
      <c r="C709" s="38"/>
      <c r="D709" s="38"/>
    </row>
    <row r="710">
      <c r="C710" s="38"/>
      <c r="D710" s="38"/>
    </row>
    <row r="711">
      <c r="C711" s="38"/>
      <c r="D711" s="38"/>
    </row>
    <row r="712">
      <c r="C712" s="38"/>
      <c r="D712" s="38"/>
    </row>
    <row r="713">
      <c r="C713" s="38"/>
      <c r="D713" s="38"/>
    </row>
    <row r="714">
      <c r="C714" s="38"/>
      <c r="D714" s="38"/>
    </row>
    <row r="715">
      <c r="C715" s="38"/>
      <c r="D715" s="38"/>
    </row>
    <row r="716">
      <c r="C716" s="38"/>
      <c r="D716" s="38"/>
    </row>
    <row r="717">
      <c r="C717" s="38"/>
      <c r="D717" s="38"/>
    </row>
    <row r="718">
      <c r="C718" s="38"/>
      <c r="D718" s="38"/>
    </row>
    <row r="719">
      <c r="C719" s="38"/>
      <c r="D719" s="38"/>
    </row>
    <row r="720">
      <c r="C720" s="38"/>
      <c r="D720" s="38"/>
    </row>
    <row r="721">
      <c r="C721" s="38"/>
      <c r="D721" s="38"/>
    </row>
    <row r="722">
      <c r="C722" s="38"/>
      <c r="D722" s="38"/>
    </row>
    <row r="723">
      <c r="C723" s="38"/>
      <c r="D723" s="38"/>
    </row>
    <row r="724">
      <c r="C724" s="38"/>
      <c r="D724" s="38"/>
    </row>
    <row r="725">
      <c r="C725" s="38"/>
      <c r="D725" s="38"/>
    </row>
    <row r="726">
      <c r="C726" s="38"/>
      <c r="D726" s="38"/>
    </row>
    <row r="727">
      <c r="C727" s="38"/>
      <c r="D727" s="38"/>
    </row>
    <row r="728">
      <c r="C728" s="38"/>
      <c r="D728" s="38"/>
    </row>
    <row r="729">
      <c r="C729" s="38"/>
      <c r="D729" s="38"/>
    </row>
    <row r="730">
      <c r="C730" s="38"/>
      <c r="D730" s="38"/>
    </row>
    <row r="731">
      <c r="C731" s="38"/>
      <c r="D731" s="38"/>
    </row>
    <row r="732">
      <c r="C732" s="38"/>
      <c r="D732" s="38"/>
    </row>
    <row r="733">
      <c r="C733" s="38"/>
      <c r="D733" s="38"/>
    </row>
    <row r="734">
      <c r="C734" s="38"/>
      <c r="D734" s="38"/>
    </row>
    <row r="735">
      <c r="C735" s="38"/>
      <c r="D735" s="38"/>
    </row>
    <row r="736">
      <c r="C736" s="38"/>
      <c r="D736" s="38"/>
    </row>
    <row r="737">
      <c r="C737" s="38"/>
      <c r="D737" s="38"/>
    </row>
    <row r="738">
      <c r="C738" s="38"/>
      <c r="D738" s="38"/>
    </row>
    <row r="739">
      <c r="C739" s="38"/>
      <c r="D739" s="38"/>
    </row>
    <row r="740">
      <c r="C740" s="38"/>
      <c r="D740" s="38"/>
    </row>
    <row r="741">
      <c r="C741" s="38"/>
      <c r="D741" s="38"/>
    </row>
    <row r="742">
      <c r="C742" s="38"/>
      <c r="D742" s="38"/>
    </row>
    <row r="743">
      <c r="C743" s="38"/>
      <c r="D743" s="38"/>
    </row>
    <row r="744">
      <c r="C744" s="38"/>
      <c r="D744" s="38"/>
    </row>
    <row r="745">
      <c r="C745" s="38"/>
      <c r="D745" s="38"/>
    </row>
    <row r="746">
      <c r="C746" s="38"/>
      <c r="D746" s="38"/>
    </row>
    <row r="747">
      <c r="C747" s="38"/>
      <c r="D747" s="38"/>
    </row>
    <row r="748">
      <c r="C748" s="38"/>
      <c r="D748" s="38"/>
    </row>
    <row r="749">
      <c r="C749" s="38"/>
      <c r="D749" s="38"/>
    </row>
    <row r="750">
      <c r="C750" s="38"/>
      <c r="D750" s="38"/>
    </row>
    <row r="751">
      <c r="C751" s="38"/>
      <c r="D751" s="38"/>
    </row>
    <row r="752">
      <c r="C752" s="38"/>
      <c r="D752" s="38"/>
    </row>
    <row r="753">
      <c r="C753" s="38"/>
      <c r="D753" s="38"/>
    </row>
    <row r="754">
      <c r="C754" s="38"/>
      <c r="D754" s="38"/>
    </row>
    <row r="755">
      <c r="C755" s="38"/>
      <c r="D755" s="38"/>
    </row>
    <row r="756">
      <c r="C756" s="38"/>
      <c r="D756" s="38"/>
    </row>
    <row r="757">
      <c r="C757" s="38"/>
      <c r="D757" s="38"/>
    </row>
    <row r="758">
      <c r="C758" s="38"/>
      <c r="D758" s="38"/>
    </row>
    <row r="759">
      <c r="C759" s="38"/>
      <c r="D759" s="38"/>
    </row>
    <row r="760">
      <c r="C760" s="38"/>
      <c r="D760" s="38"/>
    </row>
    <row r="761">
      <c r="C761" s="38"/>
      <c r="D761" s="38"/>
    </row>
    <row r="762">
      <c r="C762" s="38"/>
      <c r="D762" s="38"/>
    </row>
    <row r="763">
      <c r="C763" s="38"/>
      <c r="D763" s="38"/>
    </row>
    <row r="764">
      <c r="C764" s="38"/>
      <c r="D764" s="38"/>
    </row>
    <row r="765">
      <c r="C765" s="38"/>
      <c r="D765" s="38"/>
    </row>
    <row r="766">
      <c r="C766" s="38"/>
      <c r="D766" s="38"/>
    </row>
    <row r="767">
      <c r="C767" s="38"/>
      <c r="D767" s="38"/>
    </row>
    <row r="768">
      <c r="C768" s="38"/>
      <c r="D768" s="38"/>
    </row>
    <row r="769">
      <c r="C769" s="38"/>
      <c r="D769" s="38"/>
    </row>
    <row r="770">
      <c r="C770" s="38"/>
      <c r="D770" s="38"/>
    </row>
    <row r="771">
      <c r="C771" s="38"/>
      <c r="D771" s="38"/>
    </row>
    <row r="772">
      <c r="C772" s="38"/>
      <c r="D772" s="38"/>
    </row>
    <row r="773">
      <c r="C773" s="38"/>
      <c r="D773" s="38"/>
    </row>
    <row r="774">
      <c r="C774" s="38"/>
      <c r="D774" s="38"/>
    </row>
    <row r="775">
      <c r="C775" s="38"/>
      <c r="D775" s="38"/>
    </row>
    <row r="776">
      <c r="C776" s="38"/>
      <c r="D776" s="38"/>
    </row>
    <row r="777">
      <c r="C777" s="38"/>
      <c r="D777" s="38"/>
    </row>
    <row r="778">
      <c r="C778" s="38"/>
      <c r="D778" s="38"/>
    </row>
    <row r="779">
      <c r="C779" s="38"/>
      <c r="D779" s="38"/>
    </row>
    <row r="780">
      <c r="C780" s="38"/>
      <c r="D780" s="38"/>
    </row>
    <row r="781">
      <c r="C781" s="38"/>
      <c r="D781" s="38"/>
    </row>
    <row r="782">
      <c r="C782" s="38"/>
      <c r="D782" s="38"/>
    </row>
    <row r="783">
      <c r="C783" s="38"/>
      <c r="D783" s="38"/>
    </row>
    <row r="784">
      <c r="C784" s="38"/>
      <c r="D784" s="38"/>
    </row>
    <row r="785">
      <c r="C785" s="38"/>
      <c r="D785" s="38"/>
    </row>
    <row r="786">
      <c r="C786" s="38"/>
      <c r="D786" s="38"/>
    </row>
    <row r="787">
      <c r="C787" s="38"/>
      <c r="D787" s="38"/>
    </row>
    <row r="788">
      <c r="C788" s="38"/>
      <c r="D788" s="38"/>
    </row>
    <row r="789">
      <c r="C789" s="38"/>
      <c r="D789" s="38"/>
    </row>
    <row r="790">
      <c r="C790" s="38"/>
      <c r="D790" s="38"/>
    </row>
    <row r="791">
      <c r="C791" s="38"/>
      <c r="D791" s="38"/>
    </row>
    <row r="792">
      <c r="C792" s="38"/>
      <c r="D792" s="38"/>
    </row>
    <row r="793">
      <c r="C793" s="38"/>
      <c r="D793" s="38"/>
    </row>
    <row r="794">
      <c r="C794" s="38"/>
      <c r="D794" s="38"/>
    </row>
    <row r="795">
      <c r="C795" s="38"/>
      <c r="D795" s="38"/>
    </row>
    <row r="796">
      <c r="C796" s="38"/>
      <c r="D796" s="38"/>
    </row>
    <row r="797">
      <c r="C797" s="38"/>
      <c r="D797" s="38"/>
    </row>
    <row r="798">
      <c r="C798" s="38"/>
      <c r="D798" s="38"/>
    </row>
    <row r="799">
      <c r="C799" s="38"/>
      <c r="D799" s="38"/>
    </row>
    <row r="800">
      <c r="C800" s="38"/>
      <c r="D800" s="38"/>
    </row>
    <row r="801">
      <c r="C801" s="38"/>
      <c r="D801" s="38"/>
    </row>
    <row r="802">
      <c r="C802" s="38"/>
      <c r="D802" s="38"/>
    </row>
    <row r="803">
      <c r="C803" s="38"/>
      <c r="D803" s="38"/>
    </row>
    <row r="804">
      <c r="C804" s="38"/>
      <c r="D804" s="38"/>
    </row>
    <row r="805">
      <c r="C805" s="38"/>
      <c r="D805" s="38"/>
    </row>
    <row r="806">
      <c r="C806" s="38"/>
      <c r="D806" s="38"/>
    </row>
    <row r="807">
      <c r="C807" s="38"/>
      <c r="D807" s="38"/>
    </row>
    <row r="808">
      <c r="C808" s="38"/>
      <c r="D808" s="38"/>
    </row>
    <row r="809">
      <c r="C809" s="38"/>
      <c r="D809" s="38"/>
    </row>
    <row r="810">
      <c r="C810" s="38"/>
      <c r="D810" s="38"/>
    </row>
    <row r="811">
      <c r="C811" s="38"/>
      <c r="D811" s="38"/>
    </row>
    <row r="812">
      <c r="C812" s="38"/>
      <c r="D812" s="38"/>
    </row>
    <row r="813">
      <c r="C813" s="38"/>
      <c r="D813" s="38"/>
    </row>
    <row r="814">
      <c r="C814" s="38"/>
      <c r="D814" s="38"/>
    </row>
    <row r="815">
      <c r="C815" s="38"/>
      <c r="D815" s="38"/>
    </row>
    <row r="816">
      <c r="C816" s="38"/>
      <c r="D816" s="38"/>
    </row>
    <row r="817">
      <c r="C817" s="38"/>
      <c r="D817" s="38"/>
    </row>
    <row r="818">
      <c r="C818" s="38"/>
      <c r="D818" s="38"/>
    </row>
    <row r="819">
      <c r="C819" s="38"/>
      <c r="D819" s="38"/>
    </row>
    <row r="820">
      <c r="C820" s="38"/>
      <c r="D820" s="38"/>
    </row>
    <row r="821">
      <c r="C821" s="38"/>
      <c r="D821" s="38"/>
    </row>
    <row r="822">
      <c r="C822" s="38"/>
      <c r="D822" s="38"/>
    </row>
    <row r="823">
      <c r="C823" s="38"/>
      <c r="D823" s="38"/>
    </row>
    <row r="824">
      <c r="C824" s="38"/>
      <c r="D824" s="38"/>
    </row>
    <row r="825">
      <c r="C825" s="38"/>
      <c r="D825" s="38"/>
    </row>
    <row r="826">
      <c r="C826" s="38"/>
      <c r="D826" s="38"/>
    </row>
    <row r="827">
      <c r="C827" s="38"/>
      <c r="D827" s="38"/>
    </row>
    <row r="828">
      <c r="C828" s="38"/>
      <c r="D828" s="38"/>
    </row>
    <row r="829">
      <c r="C829" s="38"/>
      <c r="D829" s="38"/>
    </row>
    <row r="830">
      <c r="C830" s="38"/>
      <c r="D830" s="38"/>
    </row>
    <row r="831">
      <c r="C831" s="38"/>
      <c r="D831" s="38"/>
    </row>
    <row r="832">
      <c r="C832" s="38"/>
      <c r="D832" s="38"/>
    </row>
    <row r="833">
      <c r="C833" s="38"/>
      <c r="D833" s="38"/>
    </row>
    <row r="834">
      <c r="C834" s="38"/>
      <c r="D834" s="38"/>
    </row>
    <row r="835">
      <c r="C835" s="38"/>
      <c r="D835" s="38"/>
    </row>
    <row r="836">
      <c r="C836" s="38"/>
      <c r="D836" s="38"/>
    </row>
    <row r="837">
      <c r="C837" s="38"/>
      <c r="D837" s="38"/>
    </row>
    <row r="838">
      <c r="C838" s="38"/>
      <c r="D838" s="38"/>
    </row>
    <row r="839">
      <c r="C839" s="38"/>
      <c r="D839" s="38"/>
    </row>
    <row r="840">
      <c r="C840" s="38"/>
      <c r="D840" s="38"/>
    </row>
    <row r="841">
      <c r="C841" s="38"/>
      <c r="D841" s="38"/>
    </row>
    <row r="842">
      <c r="C842" s="38"/>
      <c r="D842" s="38"/>
    </row>
    <row r="843">
      <c r="C843" s="38"/>
      <c r="D843" s="38"/>
    </row>
    <row r="844">
      <c r="C844" s="38"/>
      <c r="D844" s="38"/>
    </row>
    <row r="845">
      <c r="C845" s="38"/>
      <c r="D845" s="38"/>
    </row>
    <row r="846">
      <c r="C846" s="38"/>
      <c r="D846" s="38"/>
    </row>
    <row r="847">
      <c r="C847" s="38"/>
      <c r="D847" s="38"/>
    </row>
    <row r="848">
      <c r="C848" s="38"/>
      <c r="D848" s="38"/>
    </row>
    <row r="849">
      <c r="C849" s="38"/>
      <c r="D849" s="38"/>
    </row>
    <row r="850">
      <c r="C850" s="38"/>
      <c r="D850" s="38"/>
    </row>
    <row r="851">
      <c r="C851" s="38"/>
      <c r="D851" s="38"/>
    </row>
    <row r="852">
      <c r="C852" s="38"/>
      <c r="D852" s="38"/>
    </row>
    <row r="853">
      <c r="C853" s="38"/>
      <c r="D853" s="38"/>
    </row>
    <row r="854">
      <c r="C854" s="38"/>
      <c r="D854" s="38"/>
    </row>
    <row r="855">
      <c r="C855" s="38"/>
      <c r="D855" s="38"/>
    </row>
    <row r="856">
      <c r="C856" s="38"/>
      <c r="D856" s="38"/>
    </row>
    <row r="857">
      <c r="C857" s="38"/>
      <c r="D857" s="38"/>
    </row>
    <row r="858">
      <c r="C858" s="38"/>
      <c r="D858" s="38"/>
    </row>
    <row r="859">
      <c r="C859" s="38"/>
      <c r="D859" s="38"/>
    </row>
    <row r="860">
      <c r="C860" s="38"/>
      <c r="D860" s="38"/>
    </row>
    <row r="861">
      <c r="C861" s="38"/>
      <c r="D861" s="38"/>
    </row>
    <row r="862">
      <c r="C862" s="38"/>
      <c r="D862" s="38"/>
    </row>
    <row r="863">
      <c r="C863" s="38"/>
      <c r="D863" s="38"/>
    </row>
    <row r="864">
      <c r="C864" s="38"/>
      <c r="D864" s="38"/>
    </row>
    <row r="865">
      <c r="C865" s="38"/>
      <c r="D865" s="38"/>
    </row>
    <row r="866">
      <c r="C866" s="38"/>
      <c r="D866" s="38"/>
    </row>
    <row r="867">
      <c r="C867" s="38"/>
      <c r="D867" s="38"/>
    </row>
    <row r="868">
      <c r="C868" s="38"/>
      <c r="D868" s="38"/>
    </row>
    <row r="869">
      <c r="C869" s="38"/>
      <c r="D869" s="38"/>
    </row>
    <row r="870">
      <c r="C870" s="38"/>
      <c r="D870" s="38"/>
    </row>
    <row r="871">
      <c r="C871" s="38"/>
      <c r="D871" s="38"/>
    </row>
    <row r="872">
      <c r="C872" s="38"/>
      <c r="D872" s="38"/>
    </row>
    <row r="873">
      <c r="C873" s="38"/>
      <c r="D873" s="38"/>
    </row>
    <row r="874">
      <c r="C874" s="38"/>
      <c r="D874" s="38"/>
    </row>
    <row r="875">
      <c r="C875" s="38"/>
      <c r="D875" s="38"/>
    </row>
    <row r="876">
      <c r="C876" s="38"/>
      <c r="D876" s="38"/>
    </row>
    <row r="877">
      <c r="C877" s="38"/>
      <c r="D877" s="38"/>
    </row>
    <row r="878">
      <c r="C878" s="38"/>
      <c r="D878" s="38"/>
    </row>
    <row r="879">
      <c r="C879" s="38"/>
      <c r="D879" s="38"/>
    </row>
    <row r="880">
      <c r="C880" s="38"/>
      <c r="D880" s="38"/>
    </row>
    <row r="881">
      <c r="C881" s="38"/>
      <c r="D881" s="38"/>
    </row>
    <row r="882">
      <c r="C882" s="38"/>
      <c r="D882" s="38"/>
    </row>
    <row r="883">
      <c r="C883" s="38"/>
      <c r="D883" s="38"/>
    </row>
    <row r="884">
      <c r="C884" s="38"/>
      <c r="D884" s="38"/>
    </row>
    <row r="885">
      <c r="C885" s="38"/>
      <c r="D885" s="38"/>
    </row>
    <row r="886">
      <c r="C886" s="38"/>
      <c r="D886" s="38"/>
    </row>
    <row r="887">
      <c r="C887" s="38"/>
      <c r="D887" s="38"/>
    </row>
    <row r="888">
      <c r="C888" s="38"/>
      <c r="D888" s="38"/>
    </row>
    <row r="889">
      <c r="C889" s="38"/>
      <c r="D889" s="38"/>
    </row>
    <row r="890">
      <c r="C890" s="38"/>
      <c r="D890" s="38"/>
    </row>
    <row r="891">
      <c r="C891" s="38"/>
      <c r="D891" s="38"/>
    </row>
    <row r="892">
      <c r="C892" s="38"/>
      <c r="D892" s="38"/>
    </row>
    <row r="893">
      <c r="C893" s="38"/>
      <c r="D893" s="38"/>
    </row>
    <row r="894">
      <c r="C894" s="38"/>
      <c r="D894" s="38"/>
    </row>
    <row r="895">
      <c r="C895" s="38"/>
      <c r="D895" s="38"/>
    </row>
    <row r="896">
      <c r="C896" s="38"/>
      <c r="D896" s="38"/>
    </row>
    <row r="897">
      <c r="C897" s="38"/>
      <c r="D897" s="38"/>
    </row>
    <row r="898">
      <c r="C898" s="38"/>
      <c r="D898" s="38"/>
    </row>
    <row r="899">
      <c r="C899" s="38"/>
      <c r="D899" s="38"/>
    </row>
    <row r="900">
      <c r="C900" s="38"/>
      <c r="D900" s="38"/>
    </row>
    <row r="901">
      <c r="C901" s="38"/>
      <c r="D901" s="38"/>
    </row>
    <row r="902">
      <c r="C902" s="38"/>
      <c r="D902" s="38"/>
    </row>
    <row r="903">
      <c r="C903" s="38"/>
      <c r="D903" s="38"/>
    </row>
    <row r="904">
      <c r="C904" s="38"/>
      <c r="D904" s="38"/>
    </row>
    <row r="905">
      <c r="C905" s="38"/>
      <c r="D905" s="38"/>
    </row>
    <row r="906">
      <c r="C906" s="38"/>
      <c r="D906" s="38"/>
    </row>
    <row r="907">
      <c r="C907" s="38"/>
      <c r="D907" s="38"/>
    </row>
    <row r="908">
      <c r="C908" s="38"/>
      <c r="D908" s="38"/>
    </row>
    <row r="909">
      <c r="C909" s="38"/>
      <c r="D909" s="38"/>
    </row>
    <row r="910">
      <c r="C910" s="38"/>
      <c r="D910" s="38"/>
    </row>
    <row r="911">
      <c r="C911" s="38"/>
      <c r="D911" s="38"/>
    </row>
    <row r="912">
      <c r="C912" s="38"/>
      <c r="D912" s="38"/>
    </row>
    <row r="913">
      <c r="C913" s="38"/>
      <c r="D913" s="38"/>
    </row>
    <row r="914">
      <c r="C914" s="38"/>
      <c r="D914" s="38"/>
    </row>
    <row r="915">
      <c r="C915" s="38"/>
      <c r="D915" s="38"/>
    </row>
    <row r="916">
      <c r="C916" s="38"/>
      <c r="D916" s="38"/>
    </row>
    <row r="917">
      <c r="C917" s="38"/>
      <c r="D917" s="38"/>
    </row>
    <row r="918">
      <c r="C918" s="38"/>
      <c r="D918" s="38"/>
    </row>
    <row r="919">
      <c r="C919" s="38"/>
      <c r="D919" s="38"/>
    </row>
    <row r="920">
      <c r="C920" s="38"/>
      <c r="D920" s="38"/>
    </row>
    <row r="921">
      <c r="C921" s="38"/>
      <c r="D921" s="38"/>
    </row>
    <row r="922">
      <c r="C922" s="38"/>
      <c r="D922" s="38"/>
    </row>
    <row r="923">
      <c r="C923" s="38"/>
      <c r="D923" s="38"/>
    </row>
    <row r="924">
      <c r="C924" s="38"/>
      <c r="D924" s="38"/>
    </row>
    <row r="925">
      <c r="C925" s="38"/>
      <c r="D925" s="38"/>
    </row>
    <row r="926">
      <c r="C926" s="38"/>
      <c r="D926" s="38"/>
    </row>
    <row r="927">
      <c r="C927" s="38"/>
      <c r="D927" s="38"/>
    </row>
    <row r="928">
      <c r="C928" s="38"/>
      <c r="D928" s="38"/>
    </row>
    <row r="929">
      <c r="C929" s="38"/>
      <c r="D929" s="38"/>
    </row>
    <row r="930">
      <c r="C930" s="38"/>
      <c r="D930" s="38"/>
    </row>
    <row r="931">
      <c r="C931" s="38"/>
      <c r="D931" s="38"/>
    </row>
    <row r="932">
      <c r="C932" s="38"/>
      <c r="D932" s="38"/>
    </row>
    <row r="933">
      <c r="C933" s="38"/>
      <c r="D933" s="38"/>
    </row>
    <row r="934">
      <c r="C934" s="38"/>
      <c r="D934" s="38"/>
    </row>
    <row r="935">
      <c r="C935" s="38"/>
      <c r="D935" s="38"/>
    </row>
    <row r="936">
      <c r="C936" s="38"/>
      <c r="D936" s="38"/>
    </row>
    <row r="937">
      <c r="C937" s="38"/>
      <c r="D937" s="38"/>
    </row>
    <row r="938">
      <c r="C938" s="38"/>
      <c r="D938" s="38"/>
    </row>
    <row r="939">
      <c r="C939" s="38"/>
      <c r="D939" s="38"/>
    </row>
    <row r="940">
      <c r="C940" s="38"/>
      <c r="D940" s="38"/>
    </row>
    <row r="941">
      <c r="C941" s="38"/>
      <c r="D941" s="38"/>
    </row>
    <row r="942">
      <c r="C942" s="38"/>
      <c r="D942" s="38"/>
    </row>
    <row r="943">
      <c r="C943" s="38"/>
      <c r="D943" s="38"/>
    </row>
    <row r="944">
      <c r="C944" s="38"/>
      <c r="D944" s="38"/>
    </row>
    <row r="945">
      <c r="C945" s="38"/>
      <c r="D945" s="38"/>
    </row>
    <row r="946">
      <c r="C946" s="38"/>
      <c r="D946" s="38"/>
    </row>
    <row r="947">
      <c r="C947" s="38"/>
      <c r="D947" s="38"/>
    </row>
    <row r="948">
      <c r="C948" s="38"/>
      <c r="D948" s="38"/>
    </row>
    <row r="949">
      <c r="C949" s="38"/>
      <c r="D949" s="38"/>
    </row>
    <row r="950">
      <c r="C950" s="38"/>
      <c r="D950" s="38"/>
    </row>
    <row r="951">
      <c r="C951" s="38"/>
      <c r="D951" s="38"/>
    </row>
    <row r="952">
      <c r="C952" s="38"/>
      <c r="D952" s="38"/>
    </row>
    <row r="953">
      <c r="C953" s="38"/>
      <c r="D953" s="38"/>
    </row>
    <row r="954">
      <c r="C954" s="38"/>
      <c r="D954" s="38"/>
    </row>
    <row r="955">
      <c r="C955" s="38"/>
      <c r="D955" s="38"/>
    </row>
    <row r="956">
      <c r="C956" s="38"/>
      <c r="D956" s="38"/>
    </row>
    <row r="957">
      <c r="C957" s="38"/>
      <c r="D957" s="38"/>
    </row>
    <row r="958">
      <c r="C958" s="38"/>
      <c r="D958" s="38"/>
    </row>
    <row r="959">
      <c r="C959" s="38"/>
      <c r="D959" s="38"/>
    </row>
    <row r="960">
      <c r="C960" s="38"/>
      <c r="D960" s="38"/>
    </row>
    <row r="961">
      <c r="C961" s="38"/>
      <c r="D961" s="38"/>
    </row>
    <row r="962">
      <c r="C962" s="38"/>
      <c r="D962" s="38"/>
    </row>
    <row r="963">
      <c r="C963" s="38"/>
      <c r="D963" s="38"/>
    </row>
    <row r="964">
      <c r="C964" s="38"/>
      <c r="D964" s="38"/>
    </row>
    <row r="965">
      <c r="C965" s="38"/>
      <c r="D965" s="38"/>
    </row>
    <row r="966">
      <c r="C966" s="38"/>
      <c r="D966" s="38"/>
    </row>
    <row r="967">
      <c r="C967" s="38"/>
      <c r="D967" s="38"/>
    </row>
    <row r="968">
      <c r="C968" s="38"/>
      <c r="D968" s="38"/>
    </row>
    <row r="969">
      <c r="C969" s="38"/>
      <c r="D969" s="38"/>
    </row>
    <row r="970">
      <c r="C970" s="38"/>
      <c r="D970" s="38"/>
    </row>
    <row r="971">
      <c r="C971" s="38"/>
      <c r="D971" s="38"/>
    </row>
    <row r="972">
      <c r="C972" s="38"/>
      <c r="D972" s="38"/>
    </row>
    <row r="973">
      <c r="C973" s="38"/>
      <c r="D973" s="38"/>
    </row>
    <row r="974">
      <c r="C974" s="38"/>
      <c r="D974" s="38"/>
    </row>
    <row r="975">
      <c r="C975" s="38"/>
      <c r="D975" s="38"/>
    </row>
    <row r="976">
      <c r="C976" s="38"/>
      <c r="D976" s="38"/>
    </row>
    <row r="977">
      <c r="C977" s="38"/>
      <c r="D977" s="38"/>
    </row>
    <row r="978">
      <c r="C978" s="38"/>
      <c r="D978" s="38"/>
    </row>
    <row r="979">
      <c r="C979" s="38"/>
      <c r="D979" s="38"/>
    </row>
    <row r="980">
      <c r="C980" s="38"/>
      <c r="D980" s="38"/>
    </row>
    <row r="981">
      <c r="C981" s="38"/>
      <c r="D981" s="38"/>
    </row>
    <row r="982">
      <c r="C982" s="38"/>
      <c r="D982" s="38"/>
    </row>
    <row r="983">
      <c r="C983" s="38"/>
      <c r="D983" s="38"/>
    </row>
    <row r="984">
      <c r="C984" s="38"/>
      <c r="D984" s="38"/>
    </row>
    <row r="985">
      <c r="C985" s="38"/>
      <c r="D985" s="38"/>
    </row>
    <row r="986">
      <c r="C986" s="38"/>
      <c r="D986" s="38"/>
    </row>
    <row r="987">
      <c r="C987" s="38"/>
      <c r="D987" s="38"/>
    </row>
    <row r="988">
      <c r="C988" s="38"/>
      <c r="D988" s="38"/>
    </row>
    <row r="989">
      <c r="C989" s="38"/>
      <c r="D989" s="38"/>
    </row>
    <row r="990">
      <c r="C990" s="38"/>
      <c r="D990" s="38"/>
    </row>
    <row r="991">
      <c r="C991" s="38"/>
      <c r="D991" s="38"/>
    </row>
    <row r="992">
      <c r="C992" s="38"/>
      <c r="D992" s="38"/>
    </row>
    <row r="993">
      <c r="C993" s="38"/>
      <c r="D993" s="38"/>
    </row>
    <row r="994">
      <c r="C994" s="38"/>
      <c r="D994" s="38"/>
    </row>
    <row r="995">
      <c r="C995" s="38"/>
      <c r="D995" s="38"/>
    </row>
    <row r="996">
      <c r="C996" s="38"/>
      <c r="D996" s="38"/>
    </row>
    <row r="997">
      <c r="C997" s="38"/>
      <c r="D997" s="38"/>
    </row>
    <row r="998">
      <c r="C998" s="38"/>
      <c r="D998" s="38"/>
    </row>
    <row r="999">
      <c r="C999" s="38"/>
      <c r="D999" s="38"/>
    </row>
    <row r="1000">
      <c r="C1000" s="38"/>
      <c r="D1000" s="38"/>
    </row>
  </sheetData>
  <mergeCells count="5">
    <mergeCell ref="A2:D2"/>
    <mergeCell ref="A12:D12"/>
    <mergeCell ref="A22:D22"/>
    <mergeCell ref="A33:D33"/>
    <mergeCell ref="B43:C43"/>
  </mergeCells>
  <printOptions horizontalCentered="1"/>
  <pageMargins bottom="0.12301957129543337" footer="0.0" header="0.0" left="0.0" right="0.0" top="0.12301957129543337"/>
  <pageSetup fitToWidth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3.5"/>
  </cols>
  <sheetData>
    <row r="1">
      <c r="A1" s="39" t="s">
        <v>70</v>
      </c>
      <c r="B1" s="14"/>
      <c r="C1" s="40"/>
      <c r="D1" s="41" t="s">
        <v>71</v>
      </c>
      <c r="E1" s="42"/>
      <c r="F1" s="43"/>
    </row>
    <row r="2">
      <c r="A2" s="44">
        <f>'Critters Per Run'!C44</f>
        <v>144.9941358</v>
      </c>
      <c r="B2" s="43"/>
      <c r="D2" s="45"/>
      <c r="F2" s="46"/>
    </row>
    <row r="3">
      <c r="A3" s="47"/>
      <c r="B3" s="48"/>
      <c r="D3" s="47"/>
      <c r="E3" s="49"/>
      <c r="F3" s="48"/>
    </row>
    <row r="4">
      <c r="D4" s="50">
        <f>2048/A2</f>
        <v>14.12470918</v>
      </c>
      <c r="E4" s="42"/>
      <c r="F4" s="43"/>
    </row>
    <row r="5">
      <c r="A5" s="34" t="s">
        <v>72</v>
      </c>
      <c r="B5" s="14"/>
      <c r="D5" s="45"/>
      <c r="F5" s="46"/>
    </row>
    <row r="6">
      <c r="A6" s="51">
        <v>54058.0</v>
      </c>
      <c r="B6" s="43"/>
      <c r="D6" s="45"/>
      <c r="F6" s="46"/>
    </row>
    <row r="7">
      <c r="A7" s="47"/>
      <c r="B7" s="48"/>
      <c r="D7" s="47"/>
      <c r="E7" s="49"/>
      <c r="F7" s="48"/>
    </row>
  </sheetData>
  <mergeCells count="6">
    <mergeCell ref="A1:B1"/>
    <mergeCell ref="D1:F3"/>
    <mergeCell ref="A2:B3"/>
    <mergeCell ref="D4:F7"/>
    <mergeCell ref="A5:B5"/>
    <mergeCell ref="A6:B7"/>
  </mergeCells>
  <printOptions horizontalCentered="1" verticalCentered="1"/>
  <pageMargins bottom="0.75" footer="0.0" header="0.0" left="0.7" right="0.7" top="0.75"/>
  <pageSetup scale="15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5.25"/>
    <col customWidth="1" min="5" max="5" width="39.13"/>
    <col customWidth="1" min="7" max="7" width="6.5"/>
    <col customWidth="1" min="13" max="13" width="15.25"/>
    <col customWidth="1" min="15" max="15" width="16.13"/>
    <col customWidth="1" min="16" max="16" width="25.75"/>
  </cols>
  <sheetData>
    <row r="1">
      <c r="A1" s="52" t="s">
        <v>73</v>
      </c>
      <c r="B1" s="42"/>
      <c r="C1" s="42"/>
      <c r="D1" s="53"/>
      <c r="E1" s="54" t="s">
        <v>74</v>
      </c>
      <c r="F1" s="55">
        <f>AVERAGE(B3:B1000)</f>
        <v>14.57391304</v>
      </c>
    </row>
    <row r="2">
      <c r="A2" s="56" t="s">
        <v>75</v>
      </c>
      <c r="B2" s="56" t="s">
        <v>76</v>
      </c>
      <c r="C2" s="57" t="s">
        <v>77</v>
      </c>
      <c r="D2" s="58"/>
      <c r="E2" s="54" t="s">
        <v>78</v>
      </c>
      <c r="F2" s="55">
        <f>AVERAGE(C3:C1000)</f>
        <v>4.139130435</v>
      </c>
      <c r="H2" s="59" t="s">
        <v>79</v>
      </c>
    </row>
    <row r="3">
      <c r="A3" s="4">
        <f t="array" ref="A3:A117">SEQUENCE(115,1,1,1)</f>
        <v>1</v>
      </c>
      <c r="B3" s="4">
        <v>12.0</v>
      </c>
      <c r="C3" s="4">
        <v>4.0</v>
      </c>
    </row>
    <row r="4">
      <c r="A4" s="6">
        <v>2.0</v>
      </c>
      <c r="B4" s="4">
        <v>17.0</v>
      </c>
      <c r="C4" s="4">
        <v>3.0</v>
      </c>
      <c r="E4" s="54" t="s">
        <v>80</v>
      </c>
      <c r="F4" s="60">
        <f>MIN(B3:B1000)</f>
        <v>10</v>
      </c>
    </row>
    <row r="5">
      <c r="A5" s="6">
        <v>3.0</v>
      </c>
      <c r="B5" s="4">
        <v>13.0</v>
      </c>
      <c r="C5" s="4">
        <v>4.0</v>
      </c>
      <c r="E5" s="54" t="s">
        <v>81</v>
      </c>
      <c r="F5" s="60">
        <f>MAX(B3:B1000)</f>
        <v>20</v>
      </c>
    </row>
    <row r="6">
      <c r="A6" s="6">
        <v>4.0</v>
      </c>
      <c r="B6" s="4">
        <v>15.0</v>
      </c>
      <c r="C6" s="4">
        <v>5.0</v>
      </c>
    </row>
    <row r="7">
      <c r="A7" s="6">
        <v>5.0</v>
      </c>
      <c r="B7" s="4">
        <v>10.0</v>
      </c>
      <c r="C7" s="4">
        <v>4.0</v>
      </c>
      <c r="E7" s="54" t="s">
        <v>82</v>
      </c>
      <c r="F7" s="60">
        <f>MIN(C3:C1000)</f>
        <v>0</v>
      </c>
    </row>
    <row r="8">
      <c r="A8" s="6">
        <v>6.0</v>
      </c>
      <c r="B8" s="4">
        <v>18.0</v>
      </c>
      <c r="C8" s="4">
        <v>9.0</v>
      </c>
      <c r="E8" s="54" t="s">
        <v>83</v>
      </c>
      <c r="F8" s="60">
        <f>MAX(C3:C1000)</f>
        <v>9</v>
      </c>
    </row>
    <row r="9">
      <c r="A9" s="6">
        <v>7.0</v>
      </c>
      <c r="B9" s="4">
        <v>15.0</v>
      </c>
      <c r="C9" s="4">
        <v>3.0</v>
      </c>
    </row>
    <row r="10">
      <c r="A10" s="6">
        <v>8.0</v>
      </c>
      <c r="B10" s="4">
        <v>11.0</v>
      </c>
      <c r="C10" s="4">
        <v>1.0</v>
      </c>
      <c r="E10" s="54" t="s">
        <v>84</v>
      </c>
      <c r="F10" s="61">
        <f>SUM(C3:C1000)/SUM(B3:B1000)</f>
        <v>0.2840095465</v>
      </c>
    </row>
    <row r="11">
      <c r="A11" s="6">
        <v>9.0</v>
      </c>
      <c r="B11" s="4">
        <v>12.0</v>
      </c>
      <c r="C11" s="4">
        <v>5.0</v>
      </c>
      <c r="E11" s="62" t="s">
        <v>85</v>
      </c>
      <c r="F11" s="63">
        <v>0.275</v>
      </c>
    </row>
    <row r="12">
      <c r="A12" s="6">
        <v>10.0</v>
      </c>
      <c r="B12" s="4">
        <v>12.0</v>
      </c>
      <c r="C12" s="4">
        <v>0.0</v>
      </c>
    </row>
    <row r="13">
      <c r="A13" s="6">
        <v>11.0</v>
      </c>
      <c r="B13" s="4">
        <v>17.0</v>
      </c>
      <c r="C13" s="4">
        <v>6.0</v>
      </c>
      <c r="E13" s="54" t="s">
        <v>86</v>
      </c>
      <c r="F13" s="64">
        <v>15.0</v>
      </c>
    </row>
    <row r="14">
      <c r="A14" s="6">
        <v>12.0</v>
      </c>
      <c r="B14" s="4">
        <v>17.0</v>
      </c>
      <c r="C14" s="4">
        <v>4.0</v>
      </c>
      <c r="E14" s="54" t="s">
        <v>87</v>
      </c>
      <c r="F14" s="55">
        <f>F13*F11</f>
        <v>4.125</v>
      </c>
    </row>
    <row r="15">
      <c r="A15" s="6">
        <v>13.0</v>
      </c>
      <c r="B15" s="4">
        <v>12.0</v>
      </c>
      <c r="C15" s="4">
        <v>4.0</v>
      </c>
    </row>
    <row r="16">
      <c r="A16" s="6">
        <v>14.0</v>
      </c>
      <c r="B16" s="4">
        <v>20.0</v>
      </c>
      <c r="C16" s="4">
        <v>6.0</v>
      </c>
      <c r="I16" s="65" t="s">
        <v>88</v>
      </c>
      <c r="J16" s="14"/>
      <c r="K16" s="65" t="s">
        <v>89</v>
      </c>
      <c r="L16" s="14"/>
      <c r="M16" s="66" t="s">
        <v>90</v>
      </c>
      <c r="N16" s="43"/>
    </row>
    <row r="17">
      <c r="A17" s="6">
        <v>15.0</v>
      </c>
      <c r="B17" s="4">
        <v>19.0</v>
      </c>
      <c r="C17" s="4">
        <v>3.0</v>
      </c>
      <c r="I17" s="67" t="s">
        <v>91</v>
      </c>
      <c r="J17" s="68" t="s">
        <v>92</v>
      </c>
      <c r="K17" s="67" t="s">
        <v>91</v>
      </c>
      <c r="L17" s="2" t="s">
        <v>92</v>
      </c>
      <c r="M17" s="67" t="s">
        <v>93</v>
      </c>
      <c r="N17" s="68" t="s">
        <v>92</v>
      </c>
      <c r="P17" s="4" t="s">
        <v>94</v>
      </c>
    </row>
    <row r="18">
      <c r="A18" s="6">
        <v>16.0</v>
      </c>
      <c r="B18" s="4">
        <v>11.0</v>
      </c>
      <c r="C18" s="4">
        <v>5.0</v>
      </c>
      <c r="E18" s="69" t="s">
        <v>95</v>
      </c>
      <c r="F18" s="43"/>
      <c r="H18" s="70" t="s">
        <v>96</v>
      </c>
      <c r="I18" s="4">
        <v>18.0</v>
      </c>
      <c r="J18" s="71">
        <f t="shared" ref="J18:J20" si="1">I18/P18</f>
        <v>0.71400238</v>
      </c>
      <c r="K18" s="72">
        <v>6.0</v>
      </c>
      <c r="L18" s="8">
        <f t="shared" ref="L18:L20" si="2">K18/P18</f>
        <v>0.2380007933</v>
      </c>
      <c r="M18" s="72">
        <f t="shared" ref="M18:M19" si="3">1.1^2</f>
        <v>1.21</v>
      </c>
      <c r="N18" s="71">
        <f t="shared" ref="N18:N20" si="4">M18/P18</f>
        <v>0.04799682666</v>
      </c>
      <c r="P18" s="6">
        <f t="shared" ref="P18:P20" si="5">SUM(I18,K18,M18)</f>
        <v>25.21</v>
      </c>
    </row>
    <row r="19">
      <c r="A19" s="6">
        <v>17.0</v>
      </c>
      <c r="B19" s="4">
        <v>10.0</v>
      </c>
      <c r="C19" s="4">
        <v>3.0</v>
      </c>
      <c r="E19" s="47"/>
      <c r="F19" s="48"/>
      <c r="H19" s="73" t="s">
        <v>97</v>
      </c>
      <c r="I19" s="4">
        <v>12.0</v>
      </c>
      <c r="J19" s="71">
        <f t="shared" si="1"/>
        <v>0.5402971634</v>
      </c>
      <c r="K19" s="72">
        <v>9.0</v>
      </c>
      <c r="L19" s="8">
        <f t="shared" si="2"/>
        <v>0.4052228726</v>
      </c>
      <c r="M19" s="72">
        <f t="shared" si="3"/>
        <v>1.21</v>
      </c>
      <c r="N19" s="71">
        <f t="shared" si="4"/>
        <v>0.05447996398</v>
      </c>
      <c r="P19" s="6">
        <f t="shared" si="5"/>
        <v>22.21</v>
      </c>
    </row>
    <row r="20">
      <c r="A20" s="6">
        <v>18.0</v>
      </c>
      <c r="B20" s="4">
        <v>19.0</v>
      </c>
      <c r="C20" s="4">
        <v>4.0</v>
      </c>
      <c r="E20" s="74">
        <f>MAX(A3:A1000)</f>
        <v>115</v>
      </c>
      <c r="F20" s="43"/>
      <c r="H20" s="75" t="s">
        <v>98</v>
      </c>
      <c r="I20" s="2">
        <v>12.0</v>
      </c>
      <c r="J20" s="71">
        <f t="shared" si="1"/>
        <v>0.6056018168</v>
      </c>
      <c r="K20" s="67">
        <v>6.0</v>
      </c>
      <c r="L20" s="8">
        <f t="shared" si="2"/>
        <v>0.3028009084</v>
      </c>
      <c r="M20" s="67">
        <f>1.5*(1.1^2)</f>
        <v>1.815</v>
      </c>
      <c r="N20" s="76">
        <f t="shared" si="4"/>
        <v>0.09159727479</v>
      </c>
      <c r="P20" s="6">
        <f t="shared" si="5"/>
        <v>19.815</v>
      </c>
    </row>
    <row r="21">
      <c r="A21" s="6">
        <v>19.0</v>
      </c>
      <c r="B21" s="4">
        <v>11.0</v>
      </c>
      <c r="C21" s="4">
        <v>3.0</v>
      </c>
      <c r="E21" s="45"/>
      <c r="F21" s="46"/>
      <c r="H21" s="65" t="s">
        <v>99</v>
      </c>
      <c r="I21" s="77"/>
      <c r="J21" s="78">
        <f>AVERAGE(J18:J20)</f>
        <v>0.6199671201</v>
      </c>
      <c r="K21" s="77"/>
      <c r="L21" s="78">
        <f>AVERAGE(L18:L20)</f>
        <v>0.3153415248</v>
      </c>
      <c r="M21" s="79" t="str">
        <f>I2</f>
        <v/>
      </c>
      <c r="N21" s="78">
        <f>AVERAGE(N18:N20)</f>
        <v>0.06469135514</v>
      </c>
    </row>
    <row r="22">
      <c r="A22" s="6">
        <v>20.0</v>
      </c>
      <c r="B22" s="4">
        <v>17.0</v>
      </c>
      <c r="C22" s="4">
        <v>2.0</v>
      </c>
      <c r="E22" s="45"/>
      <c r="F22" s="46"/>
      <c r="M22" s="4" t="s">
        <v>100</v>
      </c>
    </row>
    <row r="23">
      <c r="A23" s="6">
        <v>21.0</v>
      </c>
      <c r="B23" s="4">
        <v>19.0</v>
      </c>
      <c r="C23" s="4">
        <v>3.0</v>
      </c>
      <c r="E23" s="47"/>
      <c r="F23" s="48"/>
    </row>
    <row r="24">
      <c r="A24" s="6">
        <v>22.0</v>
      </c>
      <c r="B24" s="4">
        <v>11.0</v>
      </c>
      <c r="C24" s="4">
        <v>5.0</v>
      </c>
      <c r="H24" s="59" t="s">
        <v>79</v>
      </c>
    </row>
    <row r="25">
      <c r="A25" s="6">
        <v>23.0</v>
      </c>
      <c r="B25" s="4">
        <v>19.0</v>
      </c>
      <c r="C25" s="4">
        <v>7.0</v>
      </c>
    </row>
    <row r="26">
      <c r="A26" s="6">
        <v>24.0</v>
      </c>
      <c r="B26" s="4">
        <v>19.0</v>
      </c>
      <c r="C26" s="4">
        <v>7.0</v>
      </c>
    </row>
    <row r="27">
      <c r="A27" s="6">
        <v>25.0</v>
      </c>
      <c r="B27" s="4">
        <v>13.0</v>
      </c>
      <c r="C27" s="4">
        <v>3.0</v>
      </c>
    </row>
    <row r="28">
      <c r="A28" s="6">
        <v>26.0</v>
      </c>
      <c r="B28" s="4">
        <v>15.0</v>
      </c>
      <c r="C28" s="4">
        <v>3.0</v>
      </c>
    </row>
    <row r="29">
      <c r="A29" s="6">
        <v>27.0</v>
      </c>
      <c r="B29" s="4">
        <v>10.0</v>
      </c>
      <c r="C29" s="4">
        <v>2.0</v>
      </c>
    </row>
    <row r="30">
      <c r="A30" s="6">
        <v>28.0</v>
      </c>
      <c r="B30" s="4">
        <v>13.0</v>
      </c>
      <c r="C30" s="4">
        <v>5.0</v>
      </c>
    </row>
    <row r="31">
      <c r="A31" s="6">
        <v>29.0</v>
      </c>
      <c r="B31" s="4">
        <v>13.0</v>
      </c>
      <c r="C31" s="4">
        <v>3.0</v>
      </c>
    </row>
    <row r="32">
      <c r="A32" s="6">
        <v>30.0</v>
      </c>
      <c r="B32" s="4">
        <v>13.0</v>
      </c>
      <c r="C32" s="4">
        <v>5.0</v>
      </c>
    </row>
    <row r="33">
      <c r="A33" s="6">
        <v>31.0</v>
      </c>
      <c r="B33" s="4">
        <v>18.0</v>
      </c>
      <c r="C33" s="4">
        <v>9.0</v>
      </c>
    </row>
    <row r="34">
      <c r="A34" s="6">
        <v>32.0</v>
      </c>
      <c r="B34" s="4">
        <v>18.0</v>
      </c>
      <c r="C34" s="4">
        <v>5.0</v>
      </c>
    </row>
    <row r="35">
      <c r="A35" s="6">
        <v>33.0</v>
      </c>
      <c r="B35" s="4">
        <v>10.0</v>
      </c>
      <c r="C35" s="4">
        <v>3.0</v>
      </c>
    </row>
    <row r="36">
      <c r="A36" s="6">
        <v>34.0</v>
      </c>
      <c r="B36" s="4">
        <v>11.0</v>
      </c>
      <c r="C36" s="4">
        <v>3.0</v>
      </c>
    </row>
    <row r="37">
      <c r="A37" s="6">
        <v>35.0</v>
      </c>
      <c r="B37" s="4">
        <v>16.0</v>
      </c>
      <c r="C37" s="4">
        <v>4.0</v>
      </c>
    </row>
    <row r="38">
      <c r="A38" s="6">
        <v>36.0</v>
      </c>
      <c r="B38" s="4">
        <v>18.0</v>
      </c>
      <c r="C38" s="4">
        <v>2.0</v>
      </c>
    </row>
    <row r="39">
      <c r="A39" s="6">
        <v>37.0</v>
      </c>
      <c r="B39" s="4">
        <v>15.0</v>
      </c>
      <c r="C39" s="4">
        <v>2.0</v>
      </c>
      <c r="I39" s="2" t="s">
        <v>101</v>
      </c>
      <c r="J39" s="80"/>
      <c r="L39" s="2" t="s">
        <v>102</v>
      </c>
      <c r="M39" s="49"/>
      <c r="N39" s="49"/>
      <c r="O39" s="49"/>
      <c r="P39" s="49"/>
    </row>
    <row r="40">
      <c r="A40" s="6">
        <v>38.0</v>
      </c>
      <c r="B40" s="4">
        <v>18.0</v>
      </c>
      <c r="C40" s="4">
        <v>4.0</v>
      </c>
      <c r="I40" s="4" t="s">
        <v>103</v>
      </c>
      <c r="J40" s="4">
        <v>1.0</v>
      </c>
      <c r="L40" s="8">
        <f>SUM(J43:J45)/SUM(J40:J48)</f>
        <v>0.3333333333</v>
      </c>
    </row>
    <row r="41">
      <c r="A41" s="6">
        <v>39.0</v>
      </c>
      <c r="B41" s="4">
        <v>18.0</v>
      </c>
      <c r="C41" s="4">
        <v>5.0</v>
      </c>
      <c r="I41" s="4" t="s">
        <v>104</v>
      </c>
      <c r="J41" s="4">
        <v>1.0</v>
      </c>
    </row>
    <row r="42">
      <c r="A42" s="6">
        <v>40.0</v>
      </c>
      <c r="B42" s="4">
        <v>15.0</v>
      </c>
      <c r="C42" s="4">
        <v>4.0</v>
      </c>
      <c r="I42" s="4" t="s">
        <v>105</v>
      </c>
      <c r="J42" s="4">
        <v>1.0</v>
      </c>
      <c r="L42" s="2" t="s">
        <v>106</v>
      </c>
      <c r="M42" s="49"/>
      <c r="N42" s="49"/>
      <c r="O42" s="49"/>
      <c r="P42" s="49"/>
    </row>
    <row r="43">
      <c r="A43" s="6">
        <v>41.0</v>
      </c>
      <c r="B43" s="4">
        <v>14.0</v>
      </c>
      <c r="C43" s="4">
        <v>4.0</v>
      </c>
      <c r="I43" s="4" t="s">
        <v>96</v>
      </c>
      <c r="J43" s="4">
        <v>1.0</v>
      </c>
      <c r="L43" s="81">
        <f>8*L40</f>
        <v>2.666666667</v>
      </c>
    </row>
    <row r="44">
      <c r="A44" s="6">
        <v>42.0</v>
      </c>
      <c r="B44" s="4">
        <v>19.0</v>
      </c>
      <c r="C44" s="4">
        <v>7.0</v>
      </c>
      <c r="I44" s="4" t="s">
        <v>97</v>
      </c>
      <c r="J44" s="4">
        <v>1.0</v>
      </c>
      <c r="L44" s="2" t="s">
        <v>107</v>
      </c>
      <c r="M44" s="49"/>
      <c r="N44" s="49"/>
      <c r="O44" s="49"/>
      <c r="P44" s="49"/>
    </row>
    <row r="45">
      <c r="A45" s="6">
        <v>43.0</v>
      </c>
      <c r="B45" s="4">
        <v>17.0</v>
      </c>
      <c r="C45" s="4">
        <v>5.0</v>
      </c>
      <c r="I45" s="4" t="s">
        <v>98</v>
      </c>
      <c r="J45" s="4">
        <v>1.0</v>
      </c>
      <c r="L45" s="81">
        <f>9+L43</f>
        <v>11.66666667</v>
      </c>
    </row>
    <row r="46">
      <c r="A46" s="6">
        <v>44.0</v>
      </c>
      <c r="B46" s="4">
        <v>17.0</v>
      </c>
      <c r="C46" s="4">
        <v>6.0</v>
      </c>
      <c r="I46" s="4" t="s">
        <v>108</v>
      </c>
      <c r="J46" s="4">
        <v>1.0</v>
      </c>
    </row>
    <row r="47">
      <c r="A47" s="6">
        <v>45.0</v>
      </c>
      <c r="B47" s="4">
        <v>18.0</v>
      </c>
      <c r="C47" s="4">
        <v>6.0</v>
      </c>
      <c r="I47" s="4" t="s">
        <v>109</v>
      </c>
      <c r="J47" s="4">
        <v>1.0</v>
      </c>
      <c r="L47" s="2" t="s">
        <v>110</v>
      </c>
      <c r="M47" s="49"/>
      <c r="N47" s="49"/>
      <c r="O47" s="49"/>
      <c r="P47" s="49"/>
    </row>
    <row r="48">
      <c r="A48" s="6">
        <v>46.0</v>
      </c>
      <c r="B48" s="4">
        <v>12.0</v>
      </c>
      <c r="C48" s="4">
        <v>3.0</v>
      </c>
      <c r="I48" s="4" t="s">
        <v>111</v>
      </c>
      <c r="J48" s="4">
        <v>1.0</v>
      </c>
      <c r="L48" s="8">
        <f>J47/SUM(J40:J48)</f>
        <v>0.1111111111</v>
      </c>
    </row>
    <row r="49">
      <c r="A49" s="6">
        <v>47.0</v>
      </c>
      <c r="B49" s="4">
        <v>11.0</v>
      </c>
      <c r="C49" s="4">
        <v>2.0</v>
      </c>
    </row>
    <row r="50">
      <c r="A50" s="6">
        <v>48.0</v>
      </c>
      <c r="B50" s="4">
        <v>13.0</v>
      </c>
      <c r="C50" s="4">
        <v>2.0</v>
      </c>
    </row>
    <row r="51">
      <c r="A51" s="6">
        <v>49.0</v>
      </c>
      <c r="B51" s="4">
        <v>20.0</v>
      </c>
      <c r="C51" s="4">
        <v>6.0</v>
      </c>
    </row>
    <row r="52">
      <c r="A52" s="6">
        <v>50.0</v>
      </c>
      <c r="B52" s="4">
        <v>12.0</v>
      </c>
      <c r="C52" s="4">
        <v>2.0</v>
      </c>
    </row>
    <row r="53">
      <c r="A53" s="6">
        <v>51.0</v>
      </c>
      <c r="B53" s="4">
        <v>11.0</v>
      </c>
      <c r="C53" s="4">
        <v>3.0</v>
      </c>
    </row>
    <row r="54">
      <c r="A54" s="6">
        <v>52.0</v>
      </c>
      <c r="B54" s="4">
        <v>13.0</v>
      </c>
      <c r="C54" s="4">
        <v>2.0</v>
      </c>
    </row>
    <row r="55">
      <c r="A55" s="6">
        <v>53.0</v>
      </c>
      <c r="B55" s="4">
        <v>13.0</v>
      </c>
      <c r="C55" s="4">
        <v>3.0</v>
      </c>
    </row>
    <row r="56">
      <c r="A56" s="6">
        <v>54.0</v>
      </c>
      <c r="B56" s="4">
        <v>12.0</v>
      </c>
      <c r="C56" s="4">
        <v>7.0</v>
      </c>
    </row>
    <row r="57">
      <c r="A57" s="6">
        <v>55.0</v>
      </c>
      <c r="B57" s="4">
        <v>16.0</v>
      </c>
      <c r="C57" s="4">
        <v>2.0</v>
      </c>
    </row>
    <row r="58">
      <c r="A58" s="6">
        <v>56.0</v>
      </c>
      <c r="B58" s="4">
        <v>12.0</v>
      </c>
      <c r="C58" s="4">
        <v>2.0</v>
      </c>
    </row>
    <row r="59">
      <c r="A59" s="6">
        <v>57.0</v>
      </c>
      <c r="B59" s="4">
        <v>13.0</v>
      </c>
      <c r="C59" s="4">
        <v>3.0</v>
      </c>
    </row>
    <row r="60">
      <c r="A60" s="6">
        <v>58.0</v>
      </c>
      <c r="B60" s="4">
        <v>16.0</v>
      </c>
      <c r="C60" s="4">
        <v>4.0</v>
      </c>
    </row>
    <row r="61">
      <c r="A61" s="6">
        <v>59.0</v>
      </c>
      <c r="B61" s="4">
        <v>17.0</v>
      </c>
      <c r="C61" s="4">
        <v>7.0</v>
      </c>
    </row>
    <row r="62">
      <c r="A62" s="6">
        <v>60.0</v>
      </c>
      <c r="B62" s="4">
        <v>16.0</v>
      </c>
      <c r="C62" s="4">
        <v>7.0</v>
      </c>
    </row>
    <row r="63">
      <c r="A63" s="6">
        <v>61.0</v>
      </c>
      <c r="B63" s="4">
        <v>16.0</v>
      </c>
      <c r="C63" s="4">
        <v>2.0</v>
      </c>
    </row>
    <row r="64">
      <c r="A64" s="6">
        <v>62.0</v>
      </c>
      <c r="B64" s="4">
        <v>19.0</v>
      </c>
      <c r="C64" s="4">
        <v>1.0</v>
      </c>
    </row>
    <row r="65">
      <c r="A65" s="6">
        <v>63.0</v>
      </c>
      <c r="B65" s="4">
        <v>12.0</v>
      </c>
      <c r="C65" s="4">
        <v>3.0</v>
      </c>
    </row>
    <row r="66">
      <c r="A66" s="6">
        <v>64.0</v>
      </c>
      <c r="B66" s="4">
        <v>15.0</v>
      </c>
      <c r="C66" s="4">
        <v>6.0</v>
      </c>
    </row>
    <row r="67">
      <c r="A67" s="6">
        <v>65.0</v>
      </c>
      <c r="B67" s="4">
        <v>20.0</v>
      </c>
      <c r="C67" s="4">
        <v>7.0</v>
      </c>
    </row>
    <row r="68">
      <c r="A68" s="6">
        <v>66.0</v>
      </c>
      <c r="B68" s="4">
        <v>13.0</v>
      </c>
      <c r="C68" s="4">
        <v>3.0</v>
      </c>
    </row>
    <row r="69">
      <c r="A69" s="6">
        <v>67.0</v>
      </c>
      <c r="B69" s="4">
        <v>19.0</v>
      </c>
      <c r="C69" s="4">
        <v>5.0</v>
      </c>
    </row>
    <row r="70">
      <c r="A70" s="6">
        <v>68.0</v>
      </c>
      <c r="B70" s="4">
        <v>18.0</v>
      </c>
      <c r="C70" s="4">
        <v>5.0</v>
      </c>
    </row>
    <row r="71">
      <c r="A71" s="6">
        <v>69.0</v>
      </c>
      <c r="B71" s="4">
        <v>14.0</v>
      </c>
      <c r="C71" s="4">
        <v>5.0</v>
      </c>
    </row>
    <row r="72">
      <c r="A72" s="6">
        <v>70.0</v>
      </c>
      <c r="B72" s="4">
        <v>15.0</v>
      </c>
      <c r="C72" s="4">
        <v>4.0</v>
      </c>
    </row>
    <row r="73">
      <c r="A73" s="6">
        <v>71.0</v>
      </c>
      <c r="B73" s="4">
        <v>10.0</v>
      </c>
      <c r="C73" s="4">
        <v>2.0</v>
      </c>
    </row>
    <row r="74">
      <c r="A74" s="6">
        <v>72.0</v>
      </c>
      <c r="B74" s="4">
        <v>13.0</v>
      </c>
      <c r="C74" s="4">
        <v>4.0</v>
      </c>
    </row>
    <row r="75">
      <c r="A75" s="6">
        <v>73.0</v>
      </c>
      <c r="B75" s="4">
        <v>15.0</v>
      </c>
      <c r="C75" s="4">
        <v>6.0</v>
      </c>
    </row>
    <row r="76">
      <c r="A76" s="6">
        <v>74.0</v>
      </c>
      <c r="B76" s="4">
        <v>15.0</v>
      </c>
      <c r="C76" s="4">
        <v>2.0</v>
      </c>
    </row>
    <row r="77">
      <c r="A77" s="6">
        <v>75.0</v>
      </c>
      <c r="B77" s="4">
        <v>16.0</v>
      </c>
      <c r="C77" s="4">
        <v>4.0</v>
      </c>
    </row>
    <row r="78">
      <c r="A78" s="6">
        <v>76.0</v>
      </c>
      <c r="B78" s="4">
        <v>17.0</v>
      </c>
      <c r="C78" s="4">
        <v>4.0</v>
      </c>
    </row>
    <row r="79">
      <c r="A79" s="6">
        <v>77.0</v>
      </c>
      <c r="B79" s="4">
        <v>10.0</v>
      </c>
      <c r="C79" s="4">
        <v>4.0</v>
      </c>
    </row>
    <row r="80">
      <c r="A80" s="6">
        <v>78.0</v>
      </c>
      <c r="B80" s="4">
        <v>10.0</v>
      </c>
      <c r="C80" s="4">
        <v>3.0</v>
      </c>
    </row>
    <row r="81">
      <c r="A81" s="6">
        <v>79.0</v>
      </c>
      <c r="B81" s="4">
        <v>19.0</v>
      </c>
      <c r="C81" s="4">
        <v>4.0</v>
      </c>
    </row>
    <row r="82">
      <c r="A82" s="6">
        <v>80.0</v>
      </c>
      <c r="B82" s="4">
        <v>17.0</v>
      </c>
      <c r="C82" s="4">
        <v>5.0</v>
      </c>
    </row>
    <row r="83">
      <c r="A83" s="6">
        <v>81.0</v>
      </c>
      <c r="B83" s="4">
        <v>17.0</v>
      </c>
      <c r="C83" s="4">
        <v>5.0</v>
      </c>
    </row>
    <row r="84">
      <c r="A84" s="6">
        <v>82.0</v>
      </c>
      <c r="B84" s="4">
        <v>11.0</v>
      </c>
      <c r="C84" s="4">
        <v>4.0</v>
      </c>
    </row>
    <row r="85">
      <c r="A85" s="6">
        <v>83.0</v>
      </c>
      <c r="B85" s="4">
        <v>20.0</v>
      </c>
      <c r="C85" s="4">
        <v>6.0</v>
      </c>
    </row>
    <row r="86">
      <c r="A86" s="6">
        <v>84.0</v>
      </c>
      <c r="B86" s="4">
        <v>15.0</v>
      </c>
      <c r="C86" s="4">
        <v>4.0</v>
      </c>
    </row>
    <row r="87">
      <c r="A87" s="6">
        <v>85.0</v>
      </c>
      <c r="B87" s="4">
        <v>11.0</v>
      </c>
      <c r="C87" s="4">
        <v>5.0</v>
      </c>
    </row>
    <row r="88">
      <c r="A88" s="6">
        <v>86.0</v>
      </c>
      <c r="B88" s="4">
        <v>10.0</v>
      </c>
      <c r="C88" s="4">
        <v>3.0</v>
      </c>
    </row>
    <row r="89">
      <c r="A89" s="6">
        <v>87.0</v>
      </c>
      <c r="B89" s="4">
        <v>18.0</v>
      </c>
      <c r="C89" s="4">
        <v>2.0</v>
      </c>
    </row>
    <row r="90">
      <c r="A90" s="6">
        <v>88.0</v>
      </c>
      <c r="B90" s="4">
        <v>13.0</v>
      </c>
      <c r="C90" s="4">
        <v>3.0</v>
      </c>
    </row>
    <row r="91">
      <c r="A91" s="6">
        <v>89.0</v>
      </c>
      <c r="B91" s="4">
        <v>12.0</v>
      </c>
      <c r="C91" s="4">
        <v>2.0</v>
      </c>
    </row>
    <row r="92">
      <c r="A92" s="6">
        <v>90.0</v>
      </c>
      <c r="B92" s="4">
        <v>19.0</v>
      </c>
      <c r="C92" s="4">
        <v>9.0</v>
      </c>
    </row>
    <row r="93">
      <c r="A93" s="6">
        <v>91.0</v>
      </c>
      <c r="B93" s="4">
        <v>14.0</v>
      </c>
      <c r="C93" s="4">
        <v>4.0</v>
      </c>
    </row>
    <row r="94">
      <c r="A94" s="6">
        <v>92.0</v>
      </c>
      <c r="B94" s="4">
        <v>12.0</v>
      </c>
      <c r="C94" s="4">
        <v>3.0</v>
      </c>
    </row>
    <row r="95">
      <c r="A95" s="6">
        <v>93.0</v>
      </c>
      <c r="B95" s="4">
        <v>14.0</v>
      </c>
      <c r="C95" s="4">
        <v>7.0</v>
      </c>
    </row>
    <row r="96">
      <c r="A96" s="6">
        <v>94.0</v>
      </c>
      <c r="B96" s="4">
        <v>20.0</v>
      </c>
      <c r="C96" s="4">
        <v>5.0</v>
      </c>
    </row>
    <row r="97">
      <c r="A97" s="6">
        <v>95.0</v>
      </c>
      <c r="B97" s="4">
        <v>14.0</v>
      </c>
      <c r="C97" s="4">
        <v>3.0</v>
      </c>
    </row>
    <row r="98">
      <c r="A98" s="6">
        <v>96.0</v>
      </c>
      <c r="B98" s="4">
        <v>15.0</v>
      </c>
      <c r="C98" s="4">
        <v>5.0</v>
      </c>
    </row>
    <row r="99">
      <c r="A99" s="6">
        <v>97.0</v>
      </c>
      <c r="B99" s="4">
        <v>18.0</v>
      </c>
      <c r="C99" s="4">
        <v>6.0</v>
      </c>
    </row>
    <row r="100">
      <c r="A100" s="6">
        <v>98.0</v>
      </c>
      <c r="B100" s="4">
        <v>10.0</v>
      </c>
      <c r="C100" s="4">
        <v>4.0</v>
      </c>
    </row>
    <row r="101">
      <c r="A101" s="6">
        <v>99.0</v>
      </c>
      <c r="B101" s="4">
        <v>12.0</v>
      </c>
      <c r="C101" s="4">
        <v>1.0</v>
      </c>
    </row>
    <row r="102">
      <c r="A102" s="6">
        <v>100.0</v>
      </c>
      <c r="B102" s="4">
        <v>15.0</v>
      </c>
      <c r="C102" s="4">
        <v>5.0</v>
      </c>
    </row>
    <row r="103">
      <c r="A103" s="6">
        <v>101.0</v>
      </c>
      <c r="B103" s="4">
        <v>11.0</v>
      </c>
      <c r="C103" s="4">
        <v>4.0</v>
      </c>
    </row>
    <row r="104">
      <c r="A104" s="6">
        <v>102.0</v>
      </c>
      <c r="B104" s="4">
        <v>11.0</v>
      </c>
      <c r="C104" s="4">
        <v>3.0</v>
      </c>
    </row>
    <row r="105">
      <c r="A105" s="6">
        <v>103.0</v>
      </c>
      <c r="B105" s="4">
        <v>11.0</v>
      </c>
      <c r="C105" s="4">
        <v>1.0</v>
      </c>
    </row>
    <row r="106">
      <c r="A106" s="6">
        <v>104.0</v>
      </c>
      <c r="B106" s="4">
        <v>12.0</v>
      </c>
      <c r="C106" s="4">
        <v>4.0</v>
      </c>
    </row>
    <row r="107">
      <c r="A107" s="6">
        <v>105.0</v>
      </c>
      <c r="B107" s="4">
        <v>12.0</v>
      </c>
      <c r="C107" s="4">
        <v>4.0</v>
      </c>
    </row>
    <row r="108">
      <c r="A108" s="6">
        <v>106.0</v>
      </c>
      <c r="B108" s="4">
        <v>15.0</v>
      </c>
      <c r="C108" s="4">
        <v>3.0</v>
      </c>
    </row>
    <row r="109">
      <c r="A109" s="6">
        <v>107.0</v>
      </c>
      <c r="B109" s="4">
        <v>20.0</v>
      </c>
      <c r="C109" s="4">
        <v>7.0</v>
      </c>
    </row>
    <row r="110">
      <c r="A110" s="6">
        <v>108.0</v>
      </c>
      <c r="B110" s="4">
        <v>18.0</v>
      </c>
      <c r="C110" s="4">
        <v>7.0</v>
      </c>
    </row>
    <row r="111">
      <c r="A111" s="6">
        <v>109.0</v>
      </c>
      <c r="B111" s="4">
        <v>15.0</v>
      </c>
      <c r="C111" s="4">
        <v>7.0</v>
      </c>
    </row>
    <row r="112">
      <c r="A112" s="6">
        <v>110.0</v>
      </c>
      <c r="B112" s="4">
        <v>15.0</v>
      </c>
      <c r="C112" s="4">
        <v>2.0</v>
      </c>
    </row>
    <row r="113">
      <c r="A113" s="6">
        <v>111.0</v>
      </c>
      <c r="B113" s="4">
        <v>11.0</v>
      </c>
      <c r="C113" s="4">
        <v>5.0</v>
      </c>
    </row>
    <row r="114">
      <c r="A114" s="6">
        <v>112.0</v>
      </c>
      <c r="B114" s="4">
        <v>12.0</v>
      </c>
      <c r="C114" s="4">
        <v>5.0</v>
      </c>
    </row>
    <row r="115">
      <c r="A115" s="6">
        <v>113.0</v>
      </c>
      <c r="B115" s="4">
        <v>11.0</v>
      </c>
      <c r="C115" s="4">
        <v>4.0</v>
      </c>
    </row>
    <row r="116">
      <c r="A116" s="6">
        <v>114.0</v>
      </c>
      <c r="B116" s="4">
        <v>15.0</v>
      </c>
      <c r="C116" s="4">
        <v>3.0</v>
      </c>
    </row>
    <row r="117">
      <c r="A117" s="6">
        <v>115.0</v>
      </c>
      <c r="B117" s="4">
        <v>12.0</v>
      </c>
      <c r="C117" s="4">
        <v>7.0</v>
      </c>
    </row>
  </sheetData>
  <mergeCells count="15">
    <mergeCell ref="L39:P39"/>
    <mergeCell ref="L40:P40"/>
    <mergeCell ref="L42:P42"/>
    <mergeCell ref="L43:P43"/>
    <mergeCell ref="L44:P44"/>
    <mergeCell ref="L45:P45"/>
    <mergeCell ref="L47:P47"/>
    <mergeCell ref="L48:P48"/>
    <mergeCell ref="A1:C1"/>
    <mergeCell ref="I16:J16"/>
    <mergeCell ref="K16:L16"/>
    <mergeCell ref="M16:N16"/>
    <mergeCell ref="E18:F19"/>
    <mergeCell ref="E20:F23"/>
    <mergeCell ref="M22:P22"/>
  </mergeCells>
  <hyperlinks>
    <hyperlink r:id="rId1" location="Birdfeeder" ref="H2"/>
    <hyperlink r:id="rId2" ref="E11"/>
    <hyperlink r:id="rId3" ref="H24"/>
  </hyperlinks>
  <drawing r:id="rId4"/>
</worksheet>
</file>